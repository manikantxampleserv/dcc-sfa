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CD906D2-8C60-4290-B8CB-57F5D6013D6B}" xr6:coauthVersionLast="47" xr6:coauthVersionMax="47" xr10:uidLastSave="{00000000-0000-0000-0000-000000000000}"/>
  <bookViews>
    <workbookView xWindow="-108" yWindow="-108" windowWidth="23256" windowHeight="13176" tabRatio="771" firstSheet="5" activeTab="13" xr2:uid="{00000000-000D-0000-FFFF-FFFF00000000}"/>
  </bookViews>
  <sheets>
    <sheet name="_README" sheetId="1" r:id="rId1"/>
    <sheet name="M_Depot" sheetId="2" r:id="rId2"/>
    <sheet name="M_SKU" sheetId="3" r:id="rId3"/>
    <sheet name="M_DepotPrice" sheetId="4" r:id="rId4"/>
    <sheet name="M_User" sheetId="5" r:id="rId5"/>
    <sheet name="M_Config" sheetId="6" r:id="rId6"/>
    <sheet name="T_Load" sheetId="7" r:id="rId7"/>
    <sheet name="T_Sales" sheetId="8" r:id="rId8"/>
    <sheet name="T_Unload" sheetId="9" r:id="rId9"/>
    <sheet name="T_ROP" sheetId="10" r:id="rId10"/>
    <sheet name="T_DefaultOutletPosting" sheetId="11" r:id="rId11"/>
    <sheet name="T_VarianceReasons" sheetId="12" r:id="rId12"/>
    <sheet name="R_IntegrationPage" sheetId="13" r:id="rId13"/>
    <sheet name="R_SettlementSheet" sheetId="14" r:id="rId14"/>
    <sheet name="R_VarianceReport" sheetId="15" r:id="rId15"/>
    <sheet name="R_AgingView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4" l="1"/>
  <c r="M111" i="11" a="1"/>
  <c r="M111" i="11" s="1"/>
  <c r="M110" i="11" a="1"/>
  <c r="M110" i="11" s="1"/>
  <c r="M109" i="11" a="1"/>
  <c r="M109" i="11" s="1"/>
  <c r="M108" i="11" a="1"/>
  <c r="M108" i="11" s="1"/>
  <c r="M107" i="11" a="1"/>
  <c r="M107" i="11" s="1"/>
  <c r="M106" i="11" a="1"/>
  <c r="M106" i="11" s="1"/>
  <c r="M105" i="11" a="1"/>
  <c r="M105" i="11" s="1"/>
  <c r="M104" i="11" a="1"/>
  <c r="M104" i="11" s="1"/>
  <c r="M103" i="11" a="1"/>
  <c r="M103" i="11" s="1"/>
  <c r="M102" i="11" a="1"/>
  <c r="M102" i="11" s="1"/>
  <c r="M101" i="11" a="1"/>
  <c r="M101" i="11" s="1"/>
  <c r="M100" i="11" a="1"/>
  <c r="M100" i="11" s="1"/>
  <c r="M99" i="11" a="1"/>
  <c r="M99" i="11" s="1"/>
  <c r="M98" i="11" a="1"/>
  <c r="M98" i="11" s="1"/>
  <c r="M97" i="11" a="1"/>
  <c r="M97" i="11" s="1"/>
  <c r="M96" i="11" a="1"/>
  <c r="M96" i="11" s="1"/>
  <c r="M95" i="11" a="1"/>
  <c r="M95" i="11" s="1"/>
  <c r="M94" i="11" a="1"/>
  <c r="M94" i="11" s="1"/>
  <c r="M93" i="11" a="1"/>
  <c r="M93" i="11" s="1"/>
  <c r="M92" i="11" a="1"/>
  <c r="M92" i="11" s="1"/>
  <c r="M91" i="11" a="1"/>
  <c r="M91" i="11" s="1"/>
  <c r="M90" i="11" a="1"/>
  <c r="M90" i="11" s="1"/>
  <c r="M89" i="11" a="1"/>
  <c r="M89" i="11" s="1"/>
  <c r="M88" i="11" a="1"/>
  <c r="M88" i="11" s="1"/>
  <c r="M87" i="11" a="1"/>
  <c r="M87" i="11" s="1"/>
  <c r="M86" i="11" a="1"/>
  <c r="M86" i="11" s="1"/>
  <c r="M85" i="11" a="1"/>
  <c r="M85" i="11" s="1"/>
  <c r="M84" i="11" a="1"/>
  <c r="M84" i="11" s="1"/>
  <c r="M83" i="11" a="1"/>
  <c r="M83" i="11" s="1"/>
  <c r="M82" i="11" a="1"/>
  <c r="M82" i="11" s="1"/>
  <c r="M81" i="11" a="1"/>
  <c r="M81" i="11" s="1"/>
  <c r="M80" i="11" a="1"/>
  <c r="M80" i="11" s="1"/>
  <c r="M79" i="11" a="1"/>
  <c r="M79" i="11" s="1"/>
  <c r="M78" i="11" a="1"/>
  <c r="M78" i="11" s="1"/>
  <c r="M77" i="11" a="1"/>
  <c r="M77" i="11" s="1"/>
  <c r="M76" i="11" a="1"/>
  <c r="M76" i="11" s="1"/>
  <c r="M75" i="11" a="1"/>
  <c r="M75" i="11" s="1"/>
  <c r="M74" i="11" a="1"/>
  <c r="M74" i="11" s="1"/>
  <c r="M73" i="11" a="1"/>
  <c r="M73" i="11" s="1"/>
  <c r="M72" i="11" a="1"/>
  <c r="M72" i="11" s="1"/>
  <c r="M71" i="11" a="1"/>
  <c r="M71" i="11" s="1"/>
  <c r="M70" i="11" a="1"/>
  <c r="M70" i="11" s="1"/>
  <c r="M69" i="11" a="1"/>
  <c r="M69" i="11" s="1"/>
  <c r="M68" i="11" a="1"/>
  <c r="M68" i="11" s="1"/>
  <c r="M67" i="11" a="1"/>
  <c r="M67" i="11" s="1"/>
  <c r="M66" i="11" a="1"/>
  <c r="M66" i="11" s="1"/>
  <c r="M65" i="11" a="1"/>
  <c r="M65" i="11" s="1"/>
  <c r="M64" i="11" a="1"/>
  <c r="M64" i="11" s="1"/>
  <c r="M63" i="11" a="1"/>
  <c r="M63" i="11" s="1"/>
  <c r="M62" i="11" a="1"/>
  <c r="M62" i="11" s="1"/>
  <c r="M61" i="11" a="1"/>
  <c r="M61" i="11" s="1"/>
  <c r="M60" i="11" a="1"/>
  <c r="M60" i="11" s="1"/>
  <c r="M59" i="11" a="1"/>
  <c r="M59" i="11" s="1"/>
  <c r="M58" i="11" a="1"/>
  <c r="M58" i="11" s="1"/>
  <c r="M57" i="11" a="1"/>
  <c r="M57" i="11" s="1"/>
  <c r="M56" i="11" a="1"/>
  <c r="M56" i="11" s="1"/>
  <c r="M55" i="11" a="1"/>
  <c r="M55" i="11" s="1"/>
  <c r="M54" i="11" a="1"/>
  <c r="M54" i="11" s="1"/>
  <c r="M53" i="11" a="1"/>
  <c r="M53" i="11" s="1"/>
  <c r="M52" i="11" a="1"/>
  <c r="M52" i="11" s="1"/>
  <c r="M51" i="11" a="1"/>
  <c r="M51" i="11" s="1"/>
  <c r="M50" i="11" a="1"/>
  <c r="M50" i="11" s="1"/>
  <c r="M49" i="11" a="1"/>
  <c r="M49" i="11" s="1"/>
  <c r="M48" i="11" a="1"/>
  <c r="M48" i="11" s="1"/>
  <c r="M47" i="11" a="1"/>
  <c r="M47" i="11" s="1"/>
  <c r="M46" i="11" a="1"/>
  <c r="M46" i="11" s="1"/>
  <c r="M45" i="11" a="1"/>
  <c r="M45" i="11" s="1"/>
  <c r="M44" i="11" a="1"/>
  <c r="M44" i="11" s="1"/>
  <c r="M43" i="11" a="1"/>
  <c r="M43" i="11" s="1"/>
  <c r="M42" i="11" a="1"/>
  <c r="M42" i="11" s="1"/>
  <c r="M41" i="11" a="1"/>
  <c r="M41" i="11" s="1"/>
  <c r="M40" i="11" a="1"/>
  <c r="M40" i="11" s="1"/>
  <c r="M39" i="11" a="1"/>
  <c r="M39" i="11" s="1"/>
  <c r="M38" i="11" a="1"/>
  <c r="M38" i="11" s="1"/>
  <c r="M37" i="11" a="1"/>
  <c r="M37" i="11" s="1"/>
  <c r="M36" i="11" a="1"/>
  <c r="M36" i="11" s="1"/>
  <c r="M35" i="11" a="1"/>
  <c r="M35" i="11" s="1"/>
  <c r="M34" i="11" a="1"/>
  <c r="M34" i="11" s="1"/>
  <c r="M33" i="11" a="1"/>
  <c r="M33" i="11" s="1"/>
  <c r="M32" i="11" a="1"/>
  <c r="M32" i="11" s="1"/>
  <c r="M31" i="11" a="1"/>
  <c r="M31" i="11" s="1"/>
  <c r="M30" i="11" a="1"/>
  <c r="M30" i="11" s="1"/>
  <c r="M29" i="11" a="1"/>
  <c r="M29" i="11" s="1"/>
  <c r="M28" i="11" a="1"/>
  <c r="M28" i="11" s="1"/>
  <c r="M27" i="11" a="1"/>
  <c r="M27" i="11" s="1"/>
  <c r="M26" i="11" a="1"/>
  <c r="M26" i="11" s="1"/>
  <c r="M25" i="11" a="1"/>
  <c r="M25" i="11" s="1"/>
  <c r="M24" i="11" a="1"/>
  <c r="M24" i="11" s="1"/>
  <c r="M23" i="11" a="1"/>
  <c r="M23" i="11" s="1"/>
  <c r="M22" i="11" a="1"/>
  <c r="M22" i="11" s="1"/>
  <c r="M21" i="11" a="1"/>
  <c r="M21" i="11" s="1"/>
  <c r="M20" i="11" a="1"/>
  <c r="M20" i="11" s="1"/>
  <c r="M19" i="11" a="1"/>
  <c r="M19" i="11" s="1"/>
  <c r="M18" i="11" a="1"/>
  <c r="M18" i="11" s="1"/>
  <c r="M17" i="11" a="1"/>
  <c r="M17" i="11" s="1"/>
  <c r="M16" i="11" a="1"/>
  <c r="M16" i="11" s="1"/>
  <c r="M15" i="11" a="1"/>
  <c r="M15" i="11" s="1"/>
  <c r="M14" i="11" a="1"/>
  <c r="M14" i="11" s="1"/>
  <c r="M13" i="11" a="1"/>
  <c r="M13" i="11" s="1"/>
  <c r="M12" i="11" a="1"/>
  <c r="M12" i="11" s="1"/>
  <c r="M11" i="11" a="1"/>
  <c r="M11" i="11" s="1"/>
  <c r="M10" i="11" a="1"/>
  <c r="M10" i="11" s="1"/>
  <c r="M9" i="11" a="1"/>
  <c r="M9" i="11" s="1"/>
  <c r="N1164" i="8"/>
  <c r="N1163" i="8"/>
  <c r="N1162" i="8"/>
  <c r="N1161" i="8"/>
  <c r="N1160" i="8"/>
  <c r="N1159" i="8"/>
  <c r="N1158" i="8"/>
  <c r="N1157" i="8"/>
  <c r="N1156" i="8"/>
  <c r="N1155" i="8"/>
  <c r="N1154" i="8"/>
  <c r="N1153" i="8"/>
  <c r="N1152" i="8"/>
  <c r="N1151" i="8"/>
  <c r="N1150" i="8"/>
  <c r="N1149" i="8"/>
  <c r="N1148" i="8"/>
  <c r="N1147" i="8"/>
  <c r="N1146" i="8"/>
  <c r="N1145" i="8"/>
  <c r="N1144" i="8"/>
  <c r="N1143" i="8"/>
  <c r="N1142" i="8"/>
  <c r="N1141" i="8"/>
  <c r="N1140" i="8"/>
  <c r="N1139" i="8"/>
  <c r="N1138" i="8"/>
  <c r="N1137" i="8"/>
  <c r="N1136" i="8"/>
  <c r="N1135" i="8"/>
  <c r="N1134" i="8"/>
  <c r="N1133" i="8"/>
  <c r="N1132" i="8"/>
  <c r="N1131" i="8"/>
  <c r="N1130" i="8"/>
  <c r="N1129" i="8"/>
  <c r="N1128" i="8"/>
  <c r="N1127" i="8"/>
  <c r="N1126" i="8"/>
  <c r="N1125" i="8"/>
  <c r="N1124" i="8"/>
  <c r="N1123" i="8"/>
  <c r="N1122" i="8"/>
  <c r="N1121" i="8"/>
  <c r="N1120" i="8"/>
  <c r="N1119" i="8"/>
  <c r="N1118" i="8"/>
  <c r="N1117" i="8"/>
  <c r="N1116" i="8"/>
  <c r="N1115" i="8"/>
  <c r="N1114" i="8"/>
  <c r="N1113" i="8"/>
  <c r="N1112" i="8"/>
  <c r="N1111" i="8"/>
  <c r="N1110" i="8"/>
  <c r="N1109" i="8"/>
  <c r="N1108" i="8"/>
  <c r="N1107" i="8"/>
  <c r="N1106" i="8"/>
  <c r="N1105" i="8"/>
  <c r="N1104" i="8"/>
  <c r="N1103" i="8"/>
  <c r="N1102" i="8"/>
  <c r="N1101" i="8"/>
  <c r="N1100" i="8"/>
  <c r="N1099" i="8"/>
  <c r="N1098" i="8"/>
  <c r="N1097" i="8"/>
  <c r="N1096" i="8"/>
  <c r="N1095" i="8"/>
  <c r="N1094" i="8"/>
  <c r="N1093" i="8"/>
  <c r="N1092" i="8"/>
  <c r="N1091" i="8"/>
  <c r="N1090" i="8"/>
  <c r="N1089" i="8"/>
  <c r="N1088" i="8"/>
  <c r="N1087" i="8"/>
  <c r="N1086" i="8"/>
  <c r="N1085" i="8"/>
  <c r="N1084" i="8"/>
  <c r="N1083" i="8"/>
  <c r="N1082" i="8"/>
  <c r="N1081" i="8"/>
  <c r="N1080" i="8"/>
  <c r="N1079" i="8"/>
  <c r="N1078" i="8"/>
  <c r="N1077" i="8"/>
  <c r="N1076" i="8"/>
  <c r="N1075" i="8"/>
  <c r="N1074" i="8"/>
  <c r="N1073" i="8"/>
  <c r="N1072" i="8"/>
  <c r="N1071" i="8"/>
  <c r="N1070" i="8"/>
  <c r="N1069" i="8"/>
  <c r="N1068" i="8"/>
  <c r="N1067" i="8"/>
  <c r="N1066" i="8"/>
  <c r="N1065" i="8"/>
  <c r="N1064" i="8"/>
  <c r="N1063" i="8"/>
  <c r="N1062" i="8"/>
  <c r="N1061" i="8"/>
  <c r="N1060" i="8"/>
  <c r="N1059" i="8"/>
  <c r="N1058" i="8"/>
  <c r="N1057" i="8"/>
  <c r="N1056" i="8"/>
  <c r="N1055" i="8"/>
  <c r="N1054" i="8"/>
  <c r="N1053" i="8"/>
  <c r="N1052" i="8"/>
  <c r="N1051" i="8"/>
  <c r="N1050" i="8"/>
  <c r="N1049" i="8"/>
  <c r="N1048" i="8"/>
  <c r="N1047" i="8"/>
  <c r="N1046" i="8"/>
  <c r="N1045" i="8"/>
  <c r="N1044" i="8"/>
  <c r="N1043" i="8"/>
  <c r="N1042" i="8"/>
  <c r="N1041" i="8"/>
  <c r="N1040" i="8"/>
  <c r="N1039" i="8"/>
  <c r="N1038" i="8"/>
  <c r="N1037" i="8"/>
  <c r="N1036" i="8"/>
  <c r="N1035" i="8"/>
  <c r="N1034" i="8"/>
  <c r="N1033" i="8"/>
  <c r="N1032" i="8"/>
  <c r="N1031" i="8"/>
  <c r="N1030" i="8"/>
  <c r="N1029" i="8"/>
  <c r="N1028" i="8"/>
  <c r="N1027" i="8"/>
  <c r="N1026" i="8"/>
  <c r="N1025" i="8"/>
  <c r="N1024" i="8"/>
  <c r="N1023" i="8"/>
  <c r="N1022" i="8"/>
  <c r="N1021" i="8"/>
  <c r="N1020" i="8"/>
  <c r="N1019" i="8"/>
  <c r="N1018" i="8"/>
  <c r="N1017" i="8"/>
  <c r="N1016" i="8"/>
  <c r="N1015" i="8"/>
  <c r="N1014" i="8"/>
  <c r="N1013" i="8"/>
  <c r="N1012" i="8"/>
  <c r="N1011" i="8"/>
  <c r="N1010" i="8"/>
  <c r="N1009" i="8"/>
  <c r="N1008" i="8"/>
  <c r="N1007" i="8"/>
  <c r="N1006" i="8"/>
  <c r="N1005" i="8"/>
  <c r="N1004" i="8"/>
  <c r="N1003" i="8"/>
  <c r="N1002" i="8"/>
  <c r="N1001" i="8"/>
  <c r="N1000" i="8"/>
  <c r="N999" i="8"/>
  <c r="N998" i="8"/>
  <c r="N997" i="8"/>
  <c r="N996" i="8"/>
  <c r="N995" i="8"/>
  <c r="N994" i="8"/>
  <c r="N993" i="8"/>
  <c r="N992" i="8"/>
  <c r="N991" i="8"/>
  <c r="N990" i="8"/>
  <c r="N989" i="8"/>
  <c r="N988" i="8"/>
  <c r="N987" i="8"/>
  <c r="N986" i="8"/>
  <c r="N985" i="8"/>
  <c r="N984" i="8"/>
  <c r="N983" i="8"/>
  <c r="N982" i="8"/>
  <c r="N981" i="8"/>
  <c r="N980" i="8"/>
  <c r="N979" i="8"/>
  <c r="N978" i="8"/>
  <c r="N977" i="8"/>
  <c r="N976" i="8"/>
  <c r="N975" i="8"/>
  <c r="N974" i="8"/>
  <c r="N973" i="8"/>
  <c r="N972" i="8"/>
  <c r="N971" i="8"/>
  <c r="N970" i="8"/>
  <c r="N969" i="8"/>
  <c r="N968" i="8"/>
  <c r="N967" i="8"/>
  <c r="N966" i="8"/>
  <c r="N965" i="8"/>
  <c r="N964" i="8"/>
  <c r="N963" i="8"/>
  <c r="N962" i="8"/>
  <c r="N961" i="8"/>
  <c r="N960" i="8"/>
  <c r="N959" i="8"/>
  <c r="N958" i="8"/>
  <c r="N957" i="8"/>
  <c r="N956" i="8"/>
  <c r="N955" i="8"/>
  <c r="N954" i="8"/>
  <c r="N953" i="8"/>
  <c r="N952" i="8"/>
  <c r="N951" i="8"/>
  <c r="N950" i="8"/>
  <c r="N949" i="8"/>
  <c r="N948" i="8"/>
  <c r="N947" i="8"/>
  <c r="N946" i="8"/>
  <c r="N945" i="8"/>
  <c r="N944" i="8"/>
  <c r="N943" i="8"/>
  <c r="N942" i="8"/>
  <c r="N941" i="8"/>
  <c r="N940" i="8"/>
  <c r="N939" i="8"/>
  <c r="N938" i="8"/>
  <c r="N937" i="8"/>
  <c r="N936" i="8"/>
  <c r="N935" i="8"/>
  <c r="N934" i="8"/>
  <c r="N933" i="8"/>
  <c r="N932" i="8"/>
  <c r="N931" i="8"/>
  <c r="N930" i="8"/>
  <c r="N929" i="8"/>
  <c r="N928" i="8"/>
  <c r="N927" i="8"/>
  <c r="N926" i="8"/>
  <c r="N925" i="8"/>
  <c r="N924" i="8"/>
  <c r="N923" i="8"/>
  <c r="N922" i="8"/>
  <c r="N921" i="8"/>
  <c r="N920" i="8"/>
  <c r="N919" i="8"/>
  <c r="N918" i="8"/>
  <c r="N917" i="8"/>
  <c r="N916" i="8"/>
  <c r="N915" i="8"/>
  <c r="N914" i="8"/>
  <c r="N913" i="8"/>
  <c r="N912" i="8"/>
  <c r="N911" i="8"/>
  <c r="N910" i="8"/>
  <c r="N909" i="8"/>
  <c r="N908" i="8"/>
  <c r="N907" i="8"/>
  <c r="N906" i="8"/>
  <c r="N905" i="8"/>
  <c r="N904" i="8"/>
  <c r="N903" i="8"/>
  <c r="N902" i="8"/>
  <c r="N901" i="8"/>
  <c r="N900" i="8"/>
  <c r="N899" i="8"/>
  <c r="N898" i="8"/>
  <c r="N897" i="8"/>
  <c r="N896" i="8"/>
  <c r="N895" i="8"/>
  <c r="N894" i="8"/>
  <c r="N893" i="8"/>
  <c r="N892" i="8"/>
  <c r="N891" i="8"/>
  <c r="N890" i="8"/>
  <c r="N889" i="8"/>
  <c r="N888" i="8"/>
  <c r="N887" i="8"/>
  <c r="N886" i="8"/>
  <c r="N885" i="8"/>
  <c r="N884" i="8"/>
  <c r="N883" i="8"/>
  <c r="N882" i="8"/>
  <c r="N881" i="8"/>
  <c r="N880" i="8"/>
  <c r="N879" i="8"/>
  <c r="N878" i="8"/>
  <c r="N877" i="8"/>
  <c r="N876" i="8"/>
  <c r="N875" i="8"/>
  <c r="N874" i="8"/>
  <c r="N873" i="8"/>
  <c r="N872" i="8"/>
  <c r="N871" i="8"/>
  <c r="N870" i="8"/>
  <c r="N869" i="8"/>
  <c r="N868" i="8"/>
  <c r="N867" i="8"/>
  <c r="N866" i="8"/>
  <c r="N865" i="8"/>
  <c r="N864" i="8"/>
  <c r="N863" i="8"/>
  <c r="N862" i="8"/>
  <c r="N861" i="8"/>
  <c r="N860" i="8"/>
  <c r="N859" i="8"/>
  <c r="N858" i="8"/>
  <c r="N857" i="8"/>
  <c r="N856" i="8"/>
  <c r="N855" i="8"/>
  <c r="N854" i="8"/>
  <c r="N853" i="8"/>
  <c r="N852" i="8"/>
  <c r="N851" i="8"/>
  <c r="N850" i="8"/>
  <c r="N849" i="8"/>
  <c r="N848" i="8"/>
  <c r="N847" i="8"/>
  <c r="N846" i="8"/>
  <c r="N845" i="8"/>
  <c r="N844" i="8"/>
  <c r="N843" i="8"/>
  <c r="N842" i="8"/>
  <c r="N841" i="8"/>
  <c r="N840" i="8"/>
  <c r="N839" i="8"/>
  <c r="N838" i="8"/>
  <c r="N837" i="8"/>
  <c r="N836" i="8"/>
  <c r="N835" i="8"/>
  <c r="N834" i="8"/>
  <c r="N833" i="8"/>
  <c r="N832" i="8"/>
  <c r="N831" i="8"/>
  <c r="N830" i="8"/>
  <c r="N829" i="8"/>
  <c r="N828" i="8"/>
  <c r="N827" i="8"/>
  <c r="N826" i="8"/>
  <c r="N825" i="8"/>
  <c r="N824" i="8"/>
  <c r="N823" i="8"/>
  <c r="N822" i="8"/>
  <c r="N821" i="8"/>
  <c r="N820" i="8"/>
  <c r="N819" i="8"/>
  <c r="N818" i="8"/>
  <c r="N817" i="8"/>
  <c r="N816" i="8"/>
  <c r="N815" i="8"/>
  <c r="N814" i="8"/>
  <c r="N813" i="8"/>
  <c r="N812" i="8"/>
  <c r="N811" i="8"/>
  <c r="N810" i="8"/>
  <c r="N809" i="8"/>
  <c r="N808" i="8"/>
  <c r="N807" i="8"/>
  <c r="N806" i="8"/>
  <c r="N805" i="8"/>
  <c r="N804" i="8"/>
  <c r="N803" i="8"/>
  <c r="N802" i="8"/>
  <c r="N801" i="8"/>
  <c r="N800" i="8"/>
  <c r="N799" i="8"/>
  <c r="N798" i="8"/>
  <c r="N797" i="8"/>
  <c r="N796" i="8"/>
  <c r="N795" i="8"/>
  <c r="N794" i="8"/>
  <c r="N793" i="8"/>
  <c r="N792" i="8"/>
  <c r="N791" i="8"/>
  <c r="N790" i="8"/>
  <c r="N789" i="8"/>
  <c r="N788" i="8"/>
  <c r="N787" i="8"/>
  <c r="N786" i="8"/>
  <c r="N785" i="8"/>
  <c r="N784" i="8"/>
  <c r="N783" i="8"/>
  <c r="N782" i="8"/>
  <c r="N781" i="8"/>
  <c r="N780" i="8"/>
  <c r="N779" i="8"/>
  <c r="N778" i="8"/>
  <c r="N777" i="8"/>
  <c r="N776" i="8"/>
  <c r="N775" i="8"/>
  <c r="N774" i="8"/>
  <c r="N773" i="8"/>
  <c r="N772" i="8"/>
  <c r="N771" i="8"/>
  <c r="N770" i="8"/>
  <c r="N769" i="8"/>
  <c r="N768" i="8"/>
  <c r="N767" i="8"/>
  <c r="N766" i="8"/>
  <c r="N765" i="8"/>
  <c r="N764" i="8"/>
  <c r="N763" i="8"/>
  <c r="N762" i="8"/>
  <c r="N761" i="8"/>
  <c r="N760" i="8"/>
  <c r="N759" i="8"/>
  <c r="N758" i="8"/>
  <c r="N757" i="8"/>
  <c r="N756" i="8"/>
  <c r="N755" i="8"/>
  <c r="N754" i="8"/>
  <c r="N753" i="8"/>
  <c r="N752" i="8"/>
  <c r="N751" i="8"/>
  <c r="N750" i="8"/>
  <c r="N749" i="8"/>
  <c r="N748" i="8"/>
  <c r="N747" i="8"/>
  <c r="N746" i="8"/>
  <c r="N745" i="8"/>
  <c r="N744" i="8"/>
  <c r="N743" i="8"/>
  <c r="N742" i="8"/>
  <c r="N741" i="8"/>
  <c r="N740" i="8"/>
  <c r="N739" i="8"/>
  <c r="N738" i="8"/>
  <c r="N737" i="8"/>
  <c r="N736" i="8"/>
  <c r="N735" i="8"/>
  <c r="N734" i="8"/>
  <c r="N733" i="8"/>
  <c r="N732" i="8"/>
  <c r="N731" i="8"/>
  <c r="N730" i="8"/>
  <c r="N729" i="8"/>
  <c r="N728" i="8"/>
  <c r="N727" i="8"/>
  <c r="N726" i="8"/>
  <c r="N725" i="8"/>
  <c r="N724" i="8"/>
  <c r="N723" i="8"/>
  <c r="N722" i="8"/>
  <c r="N721" i="8"/>
  <c r="N720" i="8"/>
  <c r="N719" i="8"/>
  <c r="N718" i="8"/>
  <c r="N717" i="8"/>
  <c r="N716" i="8"/>
  <c r="N715" i="8"/>
  <c r="N714" i="8"/>
  <c r="N713" i="8"/>
  <c r="N712" i="8"/>
  <c r="N711" i="8"/>
  <c r="N710" i="8"/>
  <c r="N709" i="8"/>
  <c r="N708" i="8"/>
  <c r="N707" i="8"/>
  <c r="N706" i="8"/>
  <c r="N705" i="8"/>
  <c r="N704" i="8"/>
  <c r="N703" i="8"/>
  <c r="N702" i="8"/>
  <c r="N701" i="8"/>
  <c r="N700" i="8"/>
  <c r="N699" i="8"/>
  <c r="N698" i="8"/>
  <c r="N697" i="8"/>
  <c r="N696" i="8"/>
  <c r="N695" i="8"/>
  <c r="N694" i="8"/>
  <c r="N693" i="8"/>
  <c r="N692" i="8"/>
  <c r="N691" i="8"/>
  <c r="N690" i="8"/>
  <c r="N689" i="8"/>
  <c r="N688" i="8"/>
  <c r="N687" i="8"/>
  <c r="N686" i="8"/>
  <c r="N685" i="8"/>
  <c r="N684" i="8"/>
  <c r="N683" i="8"/>
  <c r="N682" i="8"/>
  <c r="N681" i="8"/>
  <c r="N680" i="8"/>
  <c r="N679" i="8"/>
  <c r="N678" i="8"/>
  <c r="N677" i="8"/>
  <c r="N676" i="8"/>
  <c r="N675" i="8"/>
  <c r="N674" i="8"/>
  <c r="N673" i="8"/>
  <c r="N672" i="8"/>
  <c r="N671" i="8"/>
  <c r="N670" i="8"/>
  <c r="N669" i="8"/>
  <c r="N668" i="8"/>
  <c r="N667" i="8"/>
  <c r="N666" i="8"/>
  <c r="N665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6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N572" i="8"/>
  <c r="N571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P9" i="8"/>
  <c r="M1164" i="8" l="1" a="1"/>
  <c r="M1164" i="8" s="1"/>
  <c r="M1163" i="8" a="1"/>
  <c r="M1163" i="8" s="1"/>
  <c r="M1162" i="8" a="1"/>
  <c r="M1162" i="8" s="1"/>
  <c r="M1161" i="8" a="1"/>
  <c r="M1161" i="8" s="1"/>
  <c r="M1160" i="8"/>
  <c r="M1160" i="8" a="1"/>
  <c r="M1159" i="8" a="1"/>
  <c r="M1159" i="8" s="1"/>
  <c r="M1158" i="8" a="1"/>
  <c r="M1158" i="8" s="1"/>
  <c r="M1157" i="8"/>
  <c r="M1157" i="8" a="1"/>
  <c r="M1156" i="8" a="1"/>
  <c r="M1156" i="8" s="1"/>
  <c r="M1155" i="8" a="1"/>
  <c r="M1155" i="8" s="1"/>
  <c r="M1154" i="8" a="1"/>
  <c r="M1154" i="8" s="1"/>
  <c r="M1153" i="8" a="1"/>
  <c r="M1153" i="8" s="1"/>
  <c r="M1152" i="8" a="1"/>
  <c r="M1152" i="8" s="1"/>
  <c r="M1151" i="8" a="1"/>
  <c r="M1151" i="8" s="1"/>
  <c r="M1150" i="8" a="1"/>
  <c r="M1150" i="8" s="1"/>
  <c r="M1149" i="8" a="1"/>
  <c r="M1149" i="8" s="1"/>
  <c r="M1148" i="8" a="1"/>
  <c r="M1148" i="8" s="1"/>
  <c r="M1147" i="8"/>
  <c r="M1147" i="8" a="1"/>
  <c r="M1146" i="8" a="1"/>
  <c r="M1146" i="8" s="1"/>
  <c r="M1145" i="8" a="1"/>
  <c r="M1145" i="8" s="1"/>
  <c r="M1144" i="8"/>
  <c r="M1144" i="8" a="1"/>
  <c r="M1143" i="8" a="1"/>
  <c r="M1143" i="8" s="1"/>
  <c r="M1142" i="8"/>
  <c r="M1142" i="8" a="1"/>
  <c r="M1141" i="8"/>
  <c r="M1141" i="8" a="1"/>
  <c r="M1140" i="8" a="1"/>
  <c r="M1140" i="8" s="1"/>
  <c r="M1139" i="8" a="1"/>
  <c r="M1139" i="8" s="1"/>
  <c r="M1138" i="8" a="1"/>
  <c r="M1138" i="8" s="1"/>
  <c r="M1137" i="8" a="1"/>
  <c r="M1137" i="8" s="1"/>
  <c r="M1136" i="8" a="1"/>
  <c r="M1136" i="8" s="1"/>
  <c r="M1135" i="8" a="1"/>
  <c r="M1135" i="8" s="1"/>
  <c r="M1134" i="8" a="1"/>
  <c r="M1134" i="8" s="1"/>
  <c r="M1133" i="8" a="1"/>
  <c r="M1133" i="8" s="1"/>
  <c r="M1132" i="8" a="1"/>
  <c r="M1132" i="8" s="1"/>
  <c r="M1131" i="8" a="1"/>
  <c r="M1131" i="8" s="1"/>
  <c r="M1130" i="8" a="1"/>
  <c r="M1130" i="8" s="1"/>
  <c r="M1129" i="8" a="1"/>
  <c r="M1129" i="8" s="1"/>
  <c r="M1128" i="8" a="1"/>
  <c r="M1128" i="8" s="1"/>
  <c r="M1127" i="8"/>
  <c r="M1127" i="8" a="1"/>
  <c r="M1126" i="8"/>
  <c r="M1126" i="8" a="1"/>
  <c r="M1125" i="8"/>
  <c r="M1125" i="8" a="1"/>
  <c r="M1124" i="8" a="1"/>
  <c r="M1124" i="8" s="1"/>
  <c r="M1123" i="8" a="1"/>
  <c r="M1123" i="8" s="1"/>
  <c r="M1122" i="8" a="1"/>
  <c r="M1122" i="8" s="1"/>
  <c r="M1121" i="8" a="1"/>
  <c r="M1121" i="8" s="1"/>
  <c r="M1120" i="8" a="1"/>
  <c r="M1120" i="8" s="1"/>
  <c r="M1119" i="8" a="1"/>
  <c r="M1119" i="8" s="1"/>
  <c r="M1118" i="8" a="1"/>
  <c r="M1118" i="8" s="1"/>
  <c r="M1117" i="8" a="1"/>
  <c r="M1117" i="8" s="1"/>
  <c r="M1116" i="8" a="1"/>
  <c r="M1116" i="8" s="1"/>
  <c r="M1115" i="8"/>
  <c r="M1115" i="8" a="1"/>
  <c r="M1114" i="8" a="1"/>
  <c r="M1114" i="8" s="1"/>
  <c r="M1113" i="8" a="1"/>
  <c r="M1113" i="8" s="1"/>
  <c r="M1112" i="8" a="1"/>
  <c r="M1112" i="8" s="1"/>
  <c r="M1111" i="8"/>
  <c r="M1111" i="8" a="1"/>
  <c r="M1110" i="8"/>
  <c r="M1110" i="8" a="1"/>
  <c r="M1109" i="8" a="1"/>
  <c r="M1109" i="8" s="1"/>
  <c r="M1108" i="8" a="1"/>
  <c r="M1108" i="8" s="1"/>
  <c r="M1107" i="8" a="1"/>
  <c r="M1107" i="8" s="1"/>
  <c r="M1106" i="8" a="1"/>
  <c r="M1106" i="8" s="1"/>
  <c r="M1105" i="8" a="1"/>
  <c r="M1105" i="8" s="1"/>
  <c r="M1104" i="8" a="1"/>
  <c r="M1104" i="8" s="1"/>
  <c r="M1103" i="8" a="1"/>
  <c r="M1103" i="8" s="1"/>
  <c r="M1102" i="8"/>
  <c r="M1102" i="8" a="1"/>
  <c r="M1101" i="8" a="1"/>
  <c r="M1101" i="8" s="1"/>
  <c r="M1100" i="8" a="1"/>
  <c r="M1100" i="8" s="1"/>
  <c r="M1099" i="8" a="1"/>
  <c r="M1099" i="8" s="1"/>
  <c r="M1098" i="8" a="1"/>
  <c r="M1098" i="8" s="1"/>
  <c r="M1097" i="8" a="1"/>
  <c r="M1097" i="8" s="1"/>
  <c r="M1096" i="8"/>
  <c r="M1096" i="8" a="1"/>
  <c r="M1095" i="8"/>
  <c r="M1095" i="8" a="1"/>
  <c r="M1094" i="8"/>
  <c r="M1094" i="8" a="1"/>
  <c r="M1093" i="8" a="1"/>
  <c r="M1093" i="8" s="1"/>
  <c r="M1092" i="8" a="1"/>
  <c r="M1092" i="8" s="1"/>
  <c r="M1091" i="8" a="1"/>
  <c r="M1091" i="8" s="1"/>
  <c r="M1090" i="8" a="1"/>
  <c r="M1090" i="8" s="1"/>
  <c r="M1089" i="8" a="1"/>
  <c r="M1089" i="8" s="1"/>
  <c r="M1088" i="8" a="1"/>
  <c r="M1088" i="8" s="1"/>
  <c r="M1087" i="8" a="1"/>
  <c r="M1087" i="8" s="1"/>
  <c r="M1086" i="8" a="1"/>
  <c r="M1086" i="8" s="1"/>
  <c r="M1085" i="8" a="1"/>
  <c r="M1085" i="8" s="1"/>
  <c r="M1084" i="8" a="1"/>
  <c r="M1084" i="8" s="1"/>
  <c r="M1083" i="8" a="1"/>
  <c r="M1083" i="8" s="1"/>
  <c r="M1082" i="8" a="1"/>
  <c r="M1082" i="8" s="1"/>
  <c r="M1081" i="8" a="1"/>
  <c r="M1081" i="8" s="1"/>
  <c r="M1080" i="8"/>
  <c r="M1080" i="8" a="1"/>
  <c r="M1079" i="8" a="1"/>
  <c r="M1079" i="8" s="1"/>
  <c r="M1078" i="8"/>
  <c r="M1078" i="8" a="1"/>
  <c r="M1077" i="8"/>
  <c r="M1077" i="8" a="1"/>
  <c r="M1076" i="8" a="1"/>
  <c r="M1076" i="8" s="1"/>
  <c r="M1075" i="8" a="1"/>
  <c r="M1075" i="8" s="1"/>
  <c r="M1074" i="8" a="1"/>
  <c r="M1074" i="8" s="1"/>
  <c r="M1073" i="8" a="1"/>
  <c r="M1073" i="8" s="1"/>
  <c r="M1072" i="8"/>
  <c r="M1072" i="8" a="1"/>
  <c r="M1071" i="8" a="1"/>
  <c r="M1071" i="8" s="1"/>
  <c r="M1070" i="8" a="1"/>
  <c r="M1070" i="8" s="1"/>
  <c r="M1069" i="8" a="1"/>
  <c r="M1069" i="8" s="1"/>
  <c r="M1068" i="8" a="1"/>
  <c r="M1068" i="8" s="1"/>
  <c r="M1067" i="8"/>
  <c r="M1067" i="8" a="1"/>
  <c r="M1066" i="8" a="1"/>
  <c r="M1066" i="8" s="1"/>
  <c r="M1065" i="8" a="1"/>
  <c r="M1065" i="8" s="1"/>
  <c r="M1064" i="8"/>
  <c r="M1064" i="8" a="1"/>
  <c r="M1063" i="8" a="1"/>
  <c r="M1063" i="8" s="1"/>
  <c r="M1062" i="8"/>
  <c r="M1062" i="8" a="1"/>
  <c r="M1061" i="8"/>
  <c r="M1061" i="8" a="1"/>
  <c r="M1060" i="8" a="1"/>
  <c r="M1060" i="8" s="1"/>
  <c r="M1059" i="8" a="1"/>
  <c r="M1059" i="8" s="1"/>
  <c r="M1058" i="8" a="1"/>
  <c r="M1058" i="8" s="1"/>
  <c r="M1057" i="8" a="1"/>
  <c r="M1057" i="8" s="1"/>
  <c r="M1056" i="8" a="1"/>
  <c r="M1056" i="8" s="1"/>
  <c r="M1055" i="8" a="1"/>
  <c r="M1055" i="8" s="1"/>
  <c r="M1054" i="8" a="1"/>
  <c r="M1054" i="8" s="1"/>
  <c r="M1053" i="8"/>
  <c r="M1053" i="8" a="1"/>
  <c r="M1052" i="8" a="1"/>
  <c r="M1052" i="8" s="1"/>
  <c r="M1051" i="8"/>
  <c r="M1051" i="8" a="1"/>
  <c r="M1050" i="8" a="1"/>
  <c r="M1050" i="8" s="1"/>
  <c r="M1049" i="8" a="1"/>
  <c r="M1049" i="8" s="1"/>
  <c r="M1048" i="8"/>
  <c r="M1048" i="8" a="1"/>
  <c r="M1047" i="8"/>
  <c r="M1047" i="8" a="1"/>
  <c r="M1046" i="8"/>
  <c r="M1046" i="8" a="1"/>
  <c r="M1045" i="8"/>
  <c r="M1045" i="8" a="1"/>
  <c r="M1044" i="8" a="1"/>
  <c r="M1044" i="8" s="1"/>
  <c r="M1043" i="8" a="1"/>
  <c r="M1043" i="8" s="1"/>
  <c r="M1042" i="8" a="1"/>
  <c r="M1042" i="8" s="1"/>
  <c r="M1041" i="8" a="1"/>
  <c r="M1041" i="8" s="1"/>
  <c r="M1040" i="8" a="1"/>
  <c r="M1040" i="8" s="1"/>
  <c r="M1039" i="8" a="1"/>
  <c r="M1039" i="8" s="1"/>
  <c r="M1038" i="8" a="1"/>
  <c r="M1038" i="8" s="1"/>
  <c r="M1037" i="8" a="1"/>
  <c r="M1037" i="8" s="1"/>
  <c r="M1036" i="8" a="1"/>
  <c r="M1036" i="8" s="1"/>
  <c r="M1035" i="8" a="1"/>
  <c r="M1035" i="8" s="1"/>
  <c r="M1034" i="8" a="1"/>
  <c r="M1034" i="8" s="1"/>
  <c r="M1033" i="8" a="1"/>
  <c r="M1033" i="8" s="1"/>
  <c r="M1032" i="8"/>
  <c r="M1032" i="8" a="1"/>
  <c r="M1031" i="8"/>
  <c r="M1031" i="8" a="1"/>
  <c r="M1030" i="8" a="1"/>
  <c r="M1030" i="8" s="1"/>
  <c r="M1029" i="8"/>
  <c r="M1029" i="8" a="1"/>
  <c r="M1028" i="8" a="1"/>
  <c r="M1028" i="8" s="1"/>
  <c r="M1027" i="8" a="1"/>
  <c r="M1027" i="8" s="1"/>
  <c r="M1026" i="8" a="1"/>
  <c r="M1026" i="8" s="1"/>
  <c r="M1025" i="8" a="1"/>
  <c r="M1025" i="8" s="1"/>
  <c r="M1024" i="8" a="1"/>
  <c r="M1024" i="8" s="1"/>
  <c r="M1023" i="8"/>
  <c r="M1023" i="8" a="1"/>
  <c r="M1022" i="8" a="1"/>
  <c r="M1022" i="8" s="1"/>
  <c r="M1021" i="8" a="1"/>
  <c r="M1021" i="8" s="1"/>
  <c r="M1020" i="8" a="1"/>
  <c r="M1020" i="8" s="1"/>
  <c r="M1019" i="8"/>
  <c r="M1019" i="8" a="1"/>
  <c r="M1018" i="8" a="1"/>
  <c r="M1018" i="8" s="1"/>
  <c r="M1017" i="8" a="1"/>
  <c r="M1017" i="8" s="1"/>
  <c r="M1016" i="8"/>
  <c r="M1016" i="8" a="1"/>
  <c r="M1015" i="8" a="1"/>
  <c r="M1015" i="8" s="1"/>
  <c r="M1014" i="8" a="1"/>
  <c r="M1014" i="8" s="1"/>
  <c r="M1013" i="8"/>
  <c r="M1013" i="8" a="1"/>
  <c r="M1012" i="8" a="1"/>
  <c r="M1012" i="8" s="1"/>
  <c r="M1011" i="8" a="1"/>
  <c r="M1011" i="8" s="1"/>
  <c r="M1010" i="8" a="1"/>
  <c r="M1010" i="8" s="1"/>
  <c r="M1009" i="8" a="1"/>
  <c r="M1009" i="8" s="1"/>
  <c r="M1008" i="8" a="1"/>
  <c r="M1008" i="8" s="1"/>
  <c r="M1007" i="8" a="1"/>
  <c r="M1007" i="8" s="1"/>
  <c r="M1006" i="8" a="1"/>
  <c r="M1006" i="8" s="1"/>
  <c r="M1005" i="8" a="1"/>
  <c r="M1005" i="8" s="1"/>
  <c r="M1004" i="8" a="1"/>
  <c r="M1004" i="8" s="1"/>
  <c r="M1003" i="8"/>
  <c r="M1003" i="8" a="1"/>
  <c r="M1002" i="8" a="1"/>
  <c r="M1002" i="8" s="1"/>
  <c r="M1001" i="8" a="1"/>
  <c r="M1001" i="8" s="1"/>
  <c r="M1000" i="8" a="1"/>
  <c r="M1000" i="8" s="1"/>
  <c r="M999" i="8"/>
  <c r="M999" i="8" a="1"/>
  <c r="M998" i="8"/>
  <c r="M998" i="8" a="1"/>
  <c r="M997" i="8"/>
  <c r="M997" i="8" a="1"/>
  <c r="M996" i="8" a="1"/>
  <c r="M996" i="8" s="1"/>
  <c r="M995" i="8" a="1"/>
  <c r="M995" i="8" s="1"/>
  <c r="M994" i="8" a="1"/>
  <c r="M994" i="8" s="1"/>
  <c r="M993" i="8" a="1"/>
  <c r="M993" i="8" s="1"/>
  <c r="M992" i="8" a="1"/>
  <c r="M992" i="8" s="1"/>
  <c r="M991" i="8" a="1"/>
  <c r="M991" i="8" s="1"/>
  <c r="M990" i="8" a="1"/>
  <c r="M990" i="8" s="1"/>
  <c r="M989" i="8" a="1"/>
  <c r="M989" i="8" s="1"/>
  <c r="M988" i="8" a="1"/>
  <c r="M988" i="8" s="1"/>
  <c r="M987" i="8"/>
  <c r="M987" i="8" a="1"/>
  <c r="M986" i="8" a="1"/>
  <c r="M986" i="8" s="1"/>
  <c r="M985" i="8" a="1"/>
  <c r="M985" i="8" s="1"/>
  <c r="M984" i="8" a="1"/>
  <c r="M984" i="8" s="1"/>
  <c r="M983" i="8"/>
  <c r="M983" i="8" a="1"/>
  <c r="M982" i="8"/>
  <c r="M982" i="8" a="1"/>
  <c r="M981" i="8" a="1"/>
  <c r="M981" i="8" s="1"/>
  <c r="M980" i="8" a="1"/>
  <c r="M980" i="8" s="1"/>
  <c r="M979" i="8" a="1"/>
  <c r="M979" i="8" s="1"/>
  <c r="M978" i="8" a="1"/>
  <c r="M978" i="8" s="1"/>
  <c r="M977" i="8" a="1"/>
  <c r="M977" i="8" s="1"/>
  <c r="M976" i="8" a="1"/>
  <c r="M976" i="8" s="1"/>
  <c r="M975" i="8" a="1"/>
  <c r="M975" i="8" s="1"/>
  <c r="M974" i="8"/>
  <c r="M974" i="8" a="1"/>
  <c r="M973" i="8" a="1"/>
  <c r="M973" i="8" s="1"/>
  <c r="M972" i="8" a="1"/>
  <c r="M972" i="8" s="1"/>
  <c r="M971" i="8" a="1"/>
  <c r="M971" i="8" s="1"/>
  <c r="M970" i="8" a="1"/>
  <c r="M970" i="8" s="1"/>
  <c r="M969" i="8" a="1"/>
  <c r="M969" i="8" s="1"/>
  <c r="M968" i="8"/>
  <c r="M968" i="8" a="1"/>
  <c r="M967" i="8"/>
  <c r="M967" i="8" a="1"/>
  <c r="M966" i="8"/>
  <c r="M966" i="8" a="1"/>
  <c r="M965" i="8" a="1"/>
  <c r="M965" i="8" s="1"/>
  <c r="M964" i="8" a="1"/>
  <c r="M964" i="8" s="1"/>
  <c r="M963" i="8" a="1"/>
  <c r="M963" i="8" s="1"/>
  <c r="M962" i="8" a="1"/>
  <c r="M962" i="8" s="1"/>
  <c r="M961" i="8" a="1"/>
  <c r="M961" i="8" s="1"/>
  <c r="M960" i="8" a="1"/>
  <c r="M960" i="8" s="1"/>
  <c r="M959" i="8" a="1"/>
  <c r="M959" i="8" s="1"/>
  <c r="M958" i="8" a="1"/>
  <c r="M958" i="8" s="1"/>
  <c r="M957" i="8" a="1"/>
  <c r="M957" i="8" s="1"/>
  <c r="M956" i="8" a="1"/>
  <c r="M956" i="8" s="1"/>
  <c r="M955" i="8" a="1"/>
  <c r="M955" i="8" s="1"/>
  <c r="M954" i="8" a="1"/>
  <c r="M954" i="8" s="1"/>
  <c r="M953" i="8" a="1"/>
  <c r="M953" i="8" s="1"/>
  <c r="M952" i="8"/>
  <c r="M952" i="8" a="1"/>
  <c r="M951" i="8" a="1"/>
  <c r="M951" i="8" s="1"/>
  <c r="M950" i="8"/>
  <c r="M950" i="8" a="1"/>
  <c r="M949" i="8"/>
  <c r="M949" i="8" a="1"/>
  <c r="M948" i="8" a="1"/>
  <c r="M948" i="8" s="1"/>
  <c r="M947" i="8" a="1"/>
  <c r="M947" i="8" s="1"/>
  <c r="M946" i="8" a="1"/>
  <c r="M946" i="8" s="1"/>
  <c r="M945" i="8" a="1"/>
  <c r="M945" i="8" s="1"/>
  <c r="M944" i="8"/>
  <c r="M944" i="8" a="1"/>
  <c r="M943" i="8" a="1"/>
  <c r="M943" i="8" s="1"/>
  <c r="M942" i="8" a="1"/>
  <c r="M942" i="8" s="1"/>
  <c r="M941" i="8" a="1"/>
  <c r="M941" i="8" s="1"/>
  <c r="M940" i="8" a="1"/>
  <c r="M940" i="8" s="1"/>
  <c r="M939" i="8"/>
  <c r="M939" i="8" a="1"/>
  <c r="M938" i="8" a="1"/>
  <c r="M938" i="8" s="1"/>
  <c r="M937" i="8" a="1"/>
  <c r="M937" i="8" s="1"/>
  <c r="M936" i="8"/>
  <c r="M936" i="8" a="1"/>
  <c r="M935" i="8" a="1"/>
  <c r="M935" i="8" s="1"/>
  <c r="M934" i="8"/>
  <c r="M934" i="8" a="1"/>
  <c r="M933" i="8"/>
  <c r="M933" i="8" a="1"/>
  <c r="M932" i="8" a="1"/>
  <c r="M932" i="8" s="1"/>
  <c r="M931" i="8" a="1"/>
  <c r="M931" i="8" s="1"/>
  <c r="M930" i="8" a="1"/>
  <c r="M930" i="8" s="1"/>
  <c r="M929" i="8" a="1"/>
  <c r="M929" i="8" s="1"/>
  <c r="M928" i="8" a="1"/>
  <c r="M928" i="8" s="1"/>
  <c r="M927" i="8" a="1"/>
  <c r="M927" i="8" s="1"/>
  <c r="M926" i="8" a="1"/>
  <c r="M926" i="8" s="1"/>
  <c r="M925" i="8"/>
  <c r="M925" i="8" a="1"/>
  <c r="M924" i="8" a="1"/>
  <c r="M924" i="8" s="1"/>
  <c r="M923" i="8"/>
  <c r="M923" i="8" a="1"/>
  <c r="M922" i="8" a="1"/>
  <c r="M922" i="8" s="1"/>
  <c r="M921" i="8" a="1"/>
  <c r="M921" i="8" s="1"/>
  <c r="M920" i="8"/>
  <c r="M920" i="8" a="1"/>
  <c r="M919" i="8"/>
  <c r="M919" i="8" a="1"/>
  <c r="M918" i="8"/>
  <c r="M918" i="8" a="1"/>
  <c r="M917" i="8" a="1"/>
  <c r="M917" i="8" s="1"/>
  <c r="M916" i="8" a="1"/>
  <c r="M916" i="8" s="1"/>
  <c r="M915" i="8"/>
  <c r="M915" i="8" a="1"/>
  <c r="M914" i="8" a="1"/>
  <c r="M914" i="8" s="1"/>
  <c r="M913" i="8" a="1"/>
  <c r="M913" i="8" s="1"/>
  <c r="M912" i="8" a="1"/>
  <c r="M912" i="8" s="1"/>
  <c r="M911" i="8" a="1"/>
  <c r="M911" i="8" s="1"/>
  <c r="M910" i="8" a="1"/>
  <c r="M910" i="8" s="1"/>
  <c r="M909" i="8" a="1"/>
  <c r="M909" i="8" s="1"/>
  <c r="M908" i="8" a="1"/>
  <c r="M908" i="8" s="1"/>
  <c r="M907" i="8" a="1"/>
  <c r="M907" i="8" s="1"/>
  <c r="M906" i="8" a="1"/>
  <c r="M906" i="8" s="1"/>
  <c r="M905" i="8" a="1"/>
  <c r="M905" i="8" s="1"/>
  <c r="M904" i="8"/>
  <c r="M904" i="8" a="1"/>
  <c r="M903" i="8"/>
  <c r="M903" i="8" a="1"/>
  <c r="M902" i="8" a="1"/>
  <c r="M902" i="8" s="1"/>
  <c r="M901" i="8"/>
  <c r="M901" i="8" a="1"/>
  <c r="M900" i="8" a="1"/>
  <c r="M900" i="8" s="1"/>
  <c r="M899" i="8" a="1"/>
  <c r="M899" i="8" s="1"/>
  <c r="M898" i="8" a="1"/>
  <c r="M898" i="8" s="1"/>
  <c r="M897" i="8" a="1"/>
  <c r="M897" i="8" s="1"/>
  <c r="M896" i="8" a="1"/>
  <c r="M896" i="8" s="1"/>
  <c r="M895" i="8"/>
  <c r="M895" i="8" a="1"/>
  <c r="M894" i="8" a="1"/>
  <c r="M894" i="8" s="1"/>
  <c r="M893" i="8" a="1"/>
  <c r="M893" i="8" s="1"/>
  <c r="M892" i="8" a="1"/>
  <c r="M892" i="8" s="1"/>
  <c r="M891" i="8"/>
  <c r="M891" i="8" a="1"/>
  <c r="M890" i="8" a="1"/>
  <c r="M890" i="8" s="1"/>
  <c r="M889" i="8" a="1"/>
  <c r="M889" i="8" s="1"/>
  <c r="M888" i="8"/>
  <c r="M888" i="8" a="1"/>
  <c r="M887" i="8" a="1"/>
  <c r="M887" i="8" s="1"/>
  <c r="M886" i="8" a="1"/>
  <c r="M886" i="8" s="1"/>
  <c r="M885" i="8"/>
  <c r="M885" i="8" a="1"/>
  <c r="M884" i="8" a="1"/>
  <c r="M884" i="8" s="1"/>
  <c r="M883" i="8" a="1"/>
  <c r="M883" i="8" s="1"/>
  <c r="M882" i="8" a="1"/>
  <c r="M882" i="8" s="1"/>
  <c r="M881" i="8" a="1"/>
  <c r="M881" i="8" s="1"/>
  <c r="M880" i="8" a="1"/>
  <c r="M880" i="8" s="1"/>
  <c r="M879" i="8" a="1"/>
  <c r="M879" i="8" s="1"/>
  <c r="M878" i="8" a="1"/>
  <c r="M878" i="8" s="1"/>
  <c r="M877" i="8" a="1"/>
  <c r="M877" i="8" s="1"/>
  <c r="M876" i="8" a="1"/>
  <c r="M876" i="8" s="1"/>
  <c r="M875" i="8"/>
  <c r="M875" i="8" a="1"/>
  <c r="M874" i="8" a="1"/>
  <c r="M874" i="8" s="1"/>
  <c r="M873" i="8" a="1"/>
  <c r="M873" i="8" s="1"/>
  <c r="M872" i="8" a="1"/>
  <c r="M872" i="8" s="1"/>
  <c r="M871" i="8"/>
  <c r="M871" i="8" a="1"/>
  <c r="M870" i="8"/>
  <c r="M870" i="8" a="1"/>
  <c r="M869" i="8"/>
  <c r="M869" i="8" a="1"/>
  <c r="M868" i="8" a="1"/>
  <c r="M868" i="8" s="1"/>
  <c r="M867" i="8" a="1"/>
  <c r="M867" i="8" s="1"/>
  <c r="M866" i="8" a="1"/>
  <c r="M866" i="8" s="1"/>
  <c r="M865" i="8" a="1"/>
  <c r="M865" i="8" s="1"/>
  <c r="M864" i="8" a="1"/>
  <c r="M864" i="8" s="1"/>
  <c r="M863" i="8" a="1"/>
  <c r="M863" i="8" s="1"/>
  <c r="M862" i="8" a="1"/>
  <c r="M862" i="8" s="1"/>
  <c r="M861" i="8" a="1"/>
  <c r="M861" i="8" s="1"/>
  <c r="M860" i="8" a="1"/>
  <c r="M860" i="8" s="1"/>
  <c r="M859" i="8"/>
  <c r="M859" i="8" a="1"/>
  <c r="M858" i="8" a="1"/>
  <c r="M858" i="8" s="1"/>
  <c r="M857" i="8" a="1"/>
  <c r="M857" i="8" s="1"/>
  <c r="M856" i="8" a="1"/>
  <c r="M856" i="8" s="1"/>
  <c r="M855" i="8"/>
  <c r="M855" i="8" a="1"/>
  <c r="M854" i="8"/>
  <c r="M854" i="8" a="1"/>
  <c r="M853" i="8" a="1"/>
  <c r="M853" i="8" s="1"/>
  <c r="M852" i="8" a="1"/>
  <c r="M852" i="8" s="1"/>
  <c r="M851" i="8" a="1"/>
  <c r="M851" i="8" s="1"/>
  <c r="M850" i="8" a="1"/>
  <c r="M850" i="8" s="1"/>
  <c r="M849" i="8" a="1"/>
  <c r="M849" i="8" s="1"/>
  <c r="M848" i="8" a="1"/>
  <c r="M848" i="8" s="1"/>
  <c r="M847" i="8" a="1"/>
  <c r="M847" i="8" s="1"/>
  <c r="M846" i="8"/>
  <c r="M846" i="8" a="1"/>
  <c r="M845" i="8" a="1"/>
  <c r="M845" i="8" s="1"/>
  <c r="M844" i="8" a="1"/>
  <c r="M844" i="8" s="1"/>
  <c r="M843" i="8" a="1"/>
  <c r="M843" i="8" s="1"/>
  <c r="M842" i="8" a="1"/>
  <c r="M842" i="8" s="1"/>
  <c r="M841" i="8" a="1"/>
  <c r="M841" i="8" s="1"/>
  <c r="M840" i="8"/>
  <c r="M840" i="8" a="1"/>
  <c r="M839" i="8"/>
  <c r="M839" i="8" a="1"/>
  <c r="M838" i="8"/>
  <c r="M838" i="8" a="1"/>
  <c r="M837" i="8" a="1"/>
  <c r="M837" i="8" s="1"/>
  <c r="M836" i="8" a="1"/>
  <c r="M836" i="8" s="1"/>
  <c r="M835" i="8" a="1"/>
  <c r="M835" i="8" s="1"/>
  <c r="M834" i="8" a="1"/>
  <c r="M834" i="8" s="1"/>
  <c r="M833" i="8" a="1"/>
  <c r="M833" i="8" s="1"/>
  <c r="M832" i="8" a="1"/>
  <c r="M832" i="8" s="1"/>
  <c r="M831" i="8" a="1"/>
  <c r="M831" i="8" s="1"/>
  <c r="M830" i="8" a="1"/>
  <c r="M830" i="8" s="1"/>
  <c r="M829" i="8" a="1"/>
  <c r="M829" i="8" s="1"/>
  <c r="M828" i="8" a="1"/>
  <c r="M828" i="8" s="1"/>
  <c r="M827" i="8" a="1"/>
  <c r="M827" i="8" s="1"/>
  <c r="M826" i="8" a="1"/>
  <c r="M826" i="8" s="1"/>
  <c r="M825" i="8" a="1"/>
  <c r="M825" i="8" s="1"/>
  <c r="M824" i="8"/>
  <c r="M824" i="8" a="1"/>
  <c r="M823" i="8" a="1"/>
  <c r="M823" i="8" s="1"/>
  <c r="M822" i="8"/>
  <c r="M822" i="8" a="1"/>
  <c r="M821" i="8"/>
  <c r="M821" i="8" a="1"/>
  <c r="M820" i="8" a="1"/>
  <c r="M820" i="8" s="1"/>
  <c r="M819" i="8" a="1"/>
  <c r="M819" i="8" s="1"/>
  <c r="M818" i="8" a="1"/>
  <c r="M818" i="8" s="1"/>
  <c r="M817" i="8" a="1"/>
  <c r="M817" i="8" s="1"/>
  <c r="M816" i="8"/>
  <c r="M816" i="8" a="1"/>
  <c r="M815" i="8" a="1"/>
  <c r="M815" i="8" s="1"/>
  <c r="M814" i="8" a="1"/>
  <c r="M814" i="8" s="1"/>
  <c r="M813" i="8" a="1"/>
  <c r="M813" i="8" s="1"/>
  <c r="M812" i="8" a="1"/>
  <c r="M812" i="8" s="1"/>
  <c r="M811" i="8"/>
  <c r="M811" i="8" a="1"/>
  <c r="M810" i="8" a="1"/>
  <c r="M810" i="8" s="1"/>
  <c r="M809" i="8" a="1"/>
  <c r="M809" i="8" s="1"/>
  <c r="M808" i="8" a="1"/>
  <c r="M808" i="8" s="1"/>
  <c r="M807" i="8" a="1"/>
  <c r="M807" i="8" s="1"/>
  <c r="M806" i="8"/>
  <c r="M806" i="8" a="1"/>
  <c r="M805" i="8"/>
  <c r="M805" i="8" a="1"/>
  <c r="M804" i="8" a="1"/>
  <c r="M804" i="8" s="1"/>
  <c r="M803" i="8" a="1"/>
  <c r="M803" i="8" s="1"/>
  <c r="M802" i="8" a="1"/>
  <c r="M802" i="8" s="1"/>
  <c r="M801" i="8" a="1"/>
  <c r="M801" i="8" s="1"/>
  <c r="M800" i="8" a="1"/>
  <c r="M800" i="8" s="1"/>
  <c r="M799" i="8" a="1"/>
  <c r="M799" i="8" s="1"/>
  <c r="M798" i="8" a="1"/>
  <c r="M798" i="8" s="1"/>
  <c r="M797" i="8"/>
  <c r="M797" i="8" a="1"/>
  <c r="M796" i="8" a="1"/>
  <c r="M796" i="8" s="1"/>
  <c r="M795" i="8"/>
  <c r="M795" i="8" a="1"/>
  <c r="M794" i="8" a="1"/>
  <c r="M794" i="8" s="1"/>
  <c r="M793" i="8" a="1"/>
  <c r="M793" i="8" s="1"/>
  <c r="M792" i="8"/>
  <c r="M792" i="8" a="1"/>
  <c r="M791" i="8"/>
  <c r="M791" i="8" a="1"/>
  <c r="M790" i="8"/>
  <c r="M790" i="8" a="1"/>
  <c r="M789" i="8" a="1"/>
  <c r="M789" i="8" s="1"/>
  <c r="M788" i="8" a="1"/>
  <c r="M788" i="8" s="1"/>
  <c r="M787" i="8"/>
  <c r="M787" i="8" a="1"/>
  <c r="M786" i="8" a="1"/>
  <c r="M786" i="8" s="1"/>
  <c r="M785" i="8" a="1"/>
  <c r="M785" i="8" s="1"/>
  <c r="M784" i="8" a="1"/>
  <c r="M784" i="8" s="1"/>
  <c r="M783" i="8" a="1"/>
  <c r="M783" i="8" s="1"/>
  <c r="M782" i="8"/>
  <c r="M782" i="8" a="1"/>
  <c r="M781" i="8" a="1"/>
  <c r="M781" i="8" s="1"/>
  <c r="M780" i="8" a="1"/>
  <c r="M780" i="8" s="1"/>
  <c r="M779" i="8" a="1"/>
  <c r="M779" i="8" s="1"/>
  <c r="M778" i="8" a="1"/>
  <c r="M778" i="8" s="1"/>
  <c r="M777" i="8" a="1"/>
  <c r="M777" i="8" s="1"/>
  <c r="M776" i="8"/>
  <c r="M776" i="8" a="1"/>
  <c r="M775" i="8"/>
  <c r="M775" i="8" a="1"/>
  <c r="M774" i="8" a="1"/>
  <c r="M774" i="8" s="1"/>
  <c r="M773" i="8"/>
  <c r="M773" i="8" a="1"/>
  <c r="M772" i="8" a="1"/>
  <c r="M772" i="8" s="1"/>
  <c r="M771" i="8" a="1"/>
  <c r="M771" i="8" s="1"/>
  <c r="M770" i="8" a="1"/>
  <c r="M770" i="8" s="1"/>
  <c r="M769" i="8" a="1"/>
  <c r="M769" i="8" s="1"/>
  <c r="M768" i="8" a="1"/>
  <c r="M768" i="8" s="1"/>
  <c r="M767" i="8"/>
  <c r="M767" i="8" a="1"/>
  <c r="M766" i="8" a="1"/>
  <c r="M766" i="8" s="1"/>
  <c r="M765" i="8" a="1"/>
  <c r="M765" i="8" s="1"/>
  <c r="M764" i="8" a="1"/>
  <c r="M764" i="8" s="1"/>
  <c r="M763" i="8" a="1"/>
  <c r="M763" i="8" s="1"/>
  <c r="M762" i="8" a="1"/>
  <c r="M762" i="8" s="1"/>
  <c r="M761" i="8" a="1"/>
  <c r="M761" i="8" s="1"/>
  <c r="M760" i="8"/>
  <c r="M760" i="8" a="1"/>
  <c r="M759" i="8" a="1"/>
  <c r="M759" i="8" s="1"/>
  <c r="M758" i="8" a="1"/>
  <c r="M758" i="8" s="1"/>
  <c r="M757" i="8"/>
  <c r="M757" i="8" a="1"/>
  <c r="M756" i="8" a="1"/>
  <c r="M756" i="8" s="1"/>
  <c r="M755" i="8" a="1"/>
  <c r="M755" i="8" s="1"/>
  <c r="M754" i="8" a="1"/>
  <c r="M754" i="8" s="1"/>
  <c r="M753" i="8" a="1"/>
  <c r="M753" i="8" s="1"/>
  <c r="M752" i="8" a="1"/>
  <c r="M752" i="8" s="1"/>
  <c r="M751" i="8" a="1"/>
  <c r="M751" i="8" s="1"/>
  <c r="M750" i="8" a="1"/>
  <c r="M750" i="8" s="1"/>
  <c r="M749" i="8" a="1"/>
  <c r="M749" i="8" s="1"/>
  <c r="M748" i="8" a="1"/>
  <c r="M748" i="8" s="1"/>
  <c r="M747" i="8"/>
  <c r="M747" i="8" a="1"/>
  <c r="M746" i="8" a="1"/>
  <c r="M746" i="8" s="1"/>
  <c r="M745" i="8" a="1"/>
  <c r="M745" i="8" s="1"/>
  <c r="M744" i="8" a="1"/>
  <c r="M744" i="8" s="1"/>
  <c r="M743" i="8" a="1"/>
  <c r="M743" i="8" s="1"/>
  <c r="M742" i="8"/>
  <c r="M742" i="8" a="1"/>
  <c r="M741" i="8"/>
  <c r="M741" i="8" a="1"/>
  <c r="M740" i="8" a="1"/>
  <c r="M740" i="8" s="1"/>
  <c r="M739" i="8" a="1"/>
  <c r="M739" i="8" s="1"/>
  <c r="M738" i="8" a="1"/>
  <c r="M738" i="8" s="1"/>
  <c r="M737" i="8" a="1"/>
  <c r="M737" i="8" s="1"/>
  <c r="M736" i="8" a="1"/>
  <c r="M736" i="8" s="1"/>
  <c r="M735" i="8" a="1"/>
  <c r="M735" i="8" s="1"/>
  <c r="M734" i="8" a="1"/>
  <c r="M734" i="8" s="1"/>
  <c r="M733" i="8" a="1"/>
  <c r="M733" i="8" s="1"/>
  <c r="M732" i="8" a="1"/>
  <c r="M732" i="8" s="1"/>
  <c r="M731" i="8"/>
  <c r="M731" i="8" a="1"/>
  <c r="M730" i="8" a="1"/>
  <c r="M730" i="8" s="1"/>
  <c r="M729" i="8" a="1"/>
  <c r="M729" i="8" s="1"/>
  <c r="M728" i="8" a="1"/>
  <c r="M728" i="8" s="1"/>
  <c r="M727" i="8"/>
  <c r="M727" i="8" a="1"/>
  <c r="M726" i="8"/>
  <c r="M726" i="8" a="1"/>
  <c r="M725" i="8" a="1"/>
  <c r="M725" i="8" s="1"/>
  <c r="M724" i="8" a="1"/>
  <c r="M724" i="8" s="1"/>
  <c r="M723" i="8" a="1"/>
  <c r="M723" i="8" s="1"/>
  <c r="M722" i="8" a="1"/>
  <c r="M722" i="8" s="1"/>
  <c r="M721" i="8" a="1"/>
  <c r="M721" i="8" s="1"/>
  <c r="M720" i="8" a="1"/>
  <c r="M720" i="8" s="1"/>
  <c r="M719" i="8" a="1"/>
  <c r="M719" i="8" s="1"/>
  <c r="M718" i="8"/>
  <c r="M718" i="8" a="1"/>
  <c r="M717" i="8" a="1"/>
  <c r="M717" i="8" s="1"/>
  <c r="M716" i="8" a="1"/>
  <c r="M716" i="8" s="1"/>
  <c r="M715" i="8" a="1"/>
  <c r="M715" i="8" s="1"/>
  <c r="M714" i="8" a="1"/>
  <c r="M714" i="8" s="1"/>
  <c r="M713" i="8" a="1"/>
  <c r="M713" i="8" s="1"/>
  <c r="M712" i="8"/>
  <c r="M712" i="8" a="1"/>
  <c r="M711" i="8"/>
  <c r="M711" i="8" a="1"/>
  <c r="M710" i="8" a="1"/>
  <c r="M710" i="8" s="1"/>
  <c r="M709" i="8" a="1"/>
  <c r="M709" i="8" s="1"/>
  <c r="M708" i="8" a="1"/>
  <c r="M708" i="8" s="1"/>
  <c r="M707" i="8" a="1"/>
  <c r="M707" i="8" s="1"/>
  <c r="M706" i="8" a="1"/>
  <c r="M706" i="8" s="1"/>
  <c r="M705" i="8" a="1"/>
  <c r="M705" i="8" s="1"/>
  <c r="M704" i="8" a="1"/>
  <c r="M704" i="8" s="1"/>
  <c r="M703" i="8" a="1"/>
  <c r="M703" i="8" s="1"/>
  <c r="M702" i="8" a="1"/>
  <c r="M702" i="8" s="1"/>
  <c r="M701" i="8" a="1"/>
  <c r="M701" i="8" s="1"/>
  <c r="M700" i="8" a="1"/>
  <c r="M700" i="8" s="1"/>
  <c r="M699" i="8"/>
  <c r="M699" i="8" a="1"/>
  <c r="M698" i="8" a="1"/>
  <c r="M698" i="8" s="1"/>
  <c r="M697" i="8" a="1"/>
  <c r="M697" i="8" s="1"/>
  <c r="M696" i="8"/>
  <c r="M696" i="8" a="1"/>
  <c r="M695" i="8" a="1"/>
  <c r="M695" i="8" s="1"/>
  <c r="M694" i="8"/>
  <c r="M694" i="8" a="1"/>
  <c r="M693" i="8"/>
  <c r="M693" i="8" a="1"/>
  <c r="M692" i="8" a="1"/>
  <c r="M692" i="8" s="1"/>
  <c r="M691" i="8" a="1"/>
  <c r="M691" i="8" s="1"/>
  <c r="M690" i="8" a="1"/>
  <c r="M690" i="8" s="1"/>
  <c r="M689" i="8" a="1"/>
  <c r="M689" i="8" s="1"/>
  <c r="M688" i="8" a="1"/>
  <c r="M688" i="8" s="1"/>
  <c r="M687" i="8" a="1"/>
  <c r="M687" i="8" s="1"/>
  <c r="M686" i="8" a="1"/>
  <c r="M686" i="8" s="1"/>
  <c r="M685" i="8" a="1"/>
  <c r="M685" i="8" s="1"/>
  <c r="M684" i="8" a="1"/>
  <c r="M684" i="8" s="1"/>
  <c r="M683" i="8"/>
  <c r="M683" i="8" a="1"/>
  <c r="M682" i="8" a="1"/>
  <c r="M682" i="8" s="1"/>
  <c r="M681" i="8" a="1"/>
  <c r="M681" i="8" s="1"/>
  <c r="M680" i="8" a="1"/>
  <c r="M680" i="8" s="1"/>
  <c r="M679" i="8" a="1"/>
  <c r="M679" i="8" s="1"/>
  <c r="M678" i="8"/>
  <c r="M678" i="8" a="1"/>
  <c r="M677" i="8"/>
  <c r="M677" i="8" a="1"/>
  <c r="M676" i="8" a="1"/>
  <c r="M676" i="8" s="1"/>
  <c r="M675" i="8" a="1"/>
  <c r="M675" i="8" s="1"/>
  <c r="M674" i="8" a="1"/>
  <c r="M674" i="8" s="1"/>
  <c r="M673" i="8" a="1"/>
  <c r="M673" i="8" s="1"/>
  <c r="M672" i="8" a="1"/>
  <c r="M672" i="8" s="1"/>
  <c r="M671" i="8" a="1"/>
  <c r="M671" i="8" s="1"/>
  <c r="M670" i="8" a="1"/>
  <c r="M670" i="8" s="1"/>
  <c r="M669" i="8" a="1"/>
  <c r="M669" i="8" s="1"/>
  <c r="M668" i="8" a="1"/>
  <c r="M668" i="8" s="1"/>
  <c r="M667" i="8"/>
  <c r="M667" i="8" a="1"/>
  <c r="M666" i="8" a="1"/>
  <c r="M666" i="8" s="1"/>
  <c r="M665" i="8" a="1"/>
  <c r="M665" i="8" s="1"/>
  <c r="M664" i="8"/>
  <c r="M664" i="8" a="1"/>
  <c r="M663" i="8"/>
  <c r="M663" i="8" a="1"/>
  <c r="M662" i="8"/>
  <c r="M662" i="8" a="1"/>
  <c r="M661" i="8" a="1"/>
  <c r="M661" i="8" s="1"/>
  <c r="M660" i="8" a="1"/>
  <c r="M660" i="8" s="1"/>
  <c r="M659" i="8"/>
  <c r="M659" i="8" a="1"/>
  <c r="M658" i="8" a="1"/>
  <c r="M658" i="8" s="1"/>
  <c r="M657" i="8" a="1"/>
  <c r="M657" i="8" s="1"/>
  <c r="M656" i="8" a="1"/>
  <c r="M656" i="8" s="1"/>
  <c r="M655" i="8" a="1"/>
  <c r="M655" i="8" s="1"/>
  <c r="M654" i="8" a="1"/>
  <c r="M654" i="8" s="1"/>
  <c r="M653" i="8" a="1"/>
  <c r="M653" i="8" s="1"/>
  <c r="M652" i="8" a="1"/>
  <c r="M652" i="8" s="1"/>
  <c r="M651" i="8" a="1"/>
  <c r="M651" i="8" s="1"/>
  <c r="M650" i="8" a="1"/>
  <c r="M650" i="8" s="1"/>
  <c r="M649" i="8" a="1"/>
  <c r="M649" i="8" s="1"/>
  <c r="M648" i="8"/>
  <c r="M648" i="8" a="1"/>
  <c r="M647" i="8"/>
  <c r="M647" i="8" a="1"/>
  <c r="M646" i="8" a="1"/>
  <c r="M646" i="8" s="1"/>
  <c r="M645" i="8"/>
  <c r="M645" i="8" a="1"/>
  <c r="M644" i="8" a="1"/>
  <c r="M644" i="8" s="1"/>
  <c r="M643" i="8" a="1"/>
  <c r="M643" i="8" s="1"/>
  <c r="M642" i="8" a="1"/>
  <c r="M642" i="8" s="1"/>
  <c r="M641" i="8" a="1"/>
  <c r="M641" i="8" s="1"/>
  <c r="M640" i="8" a="1"/>
  <c r="M640" i="8" s="1"/>
  <c r="M639" i="8" a="1"/>
  <c r="M639" i="8" s="1"/>
  <c r="M638" i="8" a="1"/>
  <c r="M638" i="8" s="1"/>
  <c r="M637" i="8" a="1"/>
  <c r="M637" i="8" s="1"/>
  <c r="M636" i="8" a="1"/>
  <c r="M636" i="8" s="1"/>
  <c r="M635" i="8"/>
  <c r="M635" i="8" a="1"/>
  <c r="M634" i="8" a="1"/>
  <c r="M634" i="8" s="1"/>
  <c r="M633" i="8" a="1"/>
  <c r="M633" i="8" s="1"/>
  <c r="M632" i="8"/>
  <c r="M632" i="8" a="1"/>
  <c r="M631" i="8" a="1"/>
  <c r="M631" i="8" s="1"/>
  <c r="M630" i="8"/>
  <c r="M630" i="8" a="1"/>
  <c r="M629" i="8"/>
  <c r="M629" i="8" a="1"/>
  <c r="M628" i="8" a="1"/>
  <c r="M628" i="8" s="1"/>
  <c r="M627" i="8" a="1"/>
  <c r="M627" i="8" s="1"/>
  <c r="M626" i="8" a="1"/>
  <c r="M626" i="8" s="1"/>
  <c r="M625" i="8" a="1"/>
  <c r="M625" i="8" s="1"/>
  <c r="M624" i="8" a="1"/>
  <c r="M624" i="8" s="1"/>
  <c r="M623" i="8" a="1"/>
  <c r="M623" i="8" s="1"/>
  <c r="M622" i="8" a="1"/>
  <c r="M622" i="8" s="1"/>
  <c r="M621" i="8" a="1"/>
  <c r="M621" i="8" s="1"/>
  <c r="M620" i="8" a="1"/>
  <c r="M620" i="8" s="1"/>
  <c r="M619" i="8"/>
  <c r="M619" i="8" a="1"/>
  <c r="M618" i="8" a="1"/>
  <c r="M618" i="8" s="1"/>
  <c r="M617" i="8" a="1"/>
  <c r="M617" i="8" s="1"/>
  <c r="M616" i="8" a="1"/>
  <c r="M616" i="8" s="1"/>
  <c r="M615" i="8"/>
  <c r="M615" i="8" a="1"/>
  <c r="M614" i="8"/>
  <c r="M614" i="8" a="1"/>
  <c r="M613" i="8"/>
  <c r="M613" i="8" a="1"/>
  <c r="M612" i="8" a="1"/>
  <c r="M612" i="8" s="1"/>
  <c r="M611" i="8" a="1"/>
  <c r="M611" i="8" s="1"/>
  <c r="M610" i="8" a="1"/>
  <c r="M610" i="8" s="1"/>
  <c r="M609" i="8" a="1"/>
  <c r="M609" i="8" s="1"/>
  <c r="M608" i="8" a="1"/>
  <c r="M608" i="8" s="1"/>
  <c r="M607" i="8" a="1"/>
  <c r="M607" i="8" s="1"/>
  <c r="M606" i="8" a="1"/>
  <c r="M606" i="8" s="1"/>
  <c r="M605" i="8"/>
  <c r="M605" i="8" a="1"/>
  <c r="M604" i="8" a="1"/>
  <c r="M604" i="8" s="1"/>
  <c r="M603" i="8"/>
  <c r="M603" i="8" a="1"/>
  <c r="M602" i="8" a="1"/>
  <c r="M602" i="8" s="1"/>
  <c r="M601" i="8" a="1"/>
  <c r="M601" i="8" s="1"/>
  <c r="M600" i="8"/>
  <c r="M600" i="8" a="1"/>
  <c r="M599" i="8"/>
  <c r="M599" i="8" a="1"/>
  <c r="M598" i="8"/>
  <c r="M598" i="8" a="1"/>
  <c r="M597" i="8" a="1"/>
  <c r="M597" i="8" s="1"/>
  <c r="M596" i="8" a="1"/>
  <c r="M596" i="8" s="1"/>
  <c r="M595" i="8" a="1"/>
  <c r="M595" i="8" s="1"/>
  <c r="M594" i="8" a="1"/>
  <c r="M594" i="8" s="1"/>
  <c r="M593" i="8" a="1"/>
  <c r="M593" i="8" s="1"/>
  <c r="M592" i="8" a="1"/>
  <c r="M592" i="8" s="1"/>
  <c r="M591" i="8" a="1"/>
  <c r="M591" i="8" s="1"/>
  <c r="M590" i="8"/>
  <c r="M590" i="8" a="1"/>
  <c r="M589" i="8" a="1"/>
  <c r="M589" i="8" s="1"/>
  <c r="M588" i="8" a="1"/>
  <c r="M588" i="8" s="1"/>
  <c r="M587" i="8" a="1"/>
  <c r="M587" i="8" s="1"/>
  <c r="M586" i="8" a="1"/>
  <c r="M586" i="8" s="1"/>
  <c r="M585" i="8" a="1"/>
  <c r="M585" i="8" s="1"/>
  <c r="M584" i="8"/>
  <c r="M584" i="8" a="1"/>
  <c r="M583" i="8"/>
  <c r="M583" i="8" a="1"/>
  <c r="M582" i="8" a="1"/>
  <c r="M582" i="8" s="1"/>
  <c r="M581" i="8" a="1"/>
  <c r="M581" i="8" s="1"/>
  <c r="M580" i="8" a="1"/>
  <c r="M580" i="8" s="1"/>
  <c r="M579" i="8" a="1"/>
  <c r="M579" i="8" s="1"/>
  <c r="M578" i="8" a="1"/>
  <c r="M578" i="8" s="1"/>
  <c r="M577" i="8" a="1"/>
  <c r="M577" i="8" s="1"/>
  <c r="M576" i="8" a="1"/>
  <c r="M576" i="8" s="1"/>
  <c r="M575" i="8" a="1"/>
  <c r="M575" i="8" s="1"/>
  <c r="M574" i="8" a="1"/>
  <c r="M574" i="8" s="1"/>
  <c r="M573" i="8" a="1"/>
  <c r="M573" i="8" s="1"/>
  <c r="M572" i="8" a="1"/>
  <c r="M572" i="8" s="1"/>
  <c r="M571" i="8" a="1"/>
  <c r="M571" i="8" s="1"/>
  <c r="M570" i="8" a="1"/>
  <c r="M570" i="8" s="1"/>
  <c r="M569" i="8" a="1"/>
  <c r="M569" i="8" s="1"/>
  <c r="M568" i="8"/>
  <c r="M568" i="8" a="1"/>
  <c r="M567" i="8" a="1"/>
  <c r="M567" i="8" s="1"/>
  <c r="M566" i="8" a="1"/>
  <c r="M566" i="8" s="1"/>
  <c r="M565" i="8"/>
  <c r="M565" i="8" a="1"/>
  <c r="M564" i="8" a="1"/>
  <c r="M564" i="8" s="1"/>
  <c r="M563" i="8" a="1"/>
  <c r="M563" i="8" s="1"/>
  <c r="M562" i="8" a="1"/>
  <c r="M562" i="8" s="1"/>
  <c r="M561" i="8" a="1"/>
  <c r="M561" i="8" s="1"/>
  <c r="M560" i="8"/>
  <c r="M560" i="8" a="1"/>
  <c r="M559" i="8" a="1"/>
  <c r="M559" i="8" s="1"/>
  <c r="M558" i="8" a="1"/>
  <c r="M558" i="8" s="1"/>
  <c r="M557" i="8" a="1"/>
  <c r="M557" i="8" s="1"/>
  <c r="M556" i="8" a="1"/>
  <c r="M556" i="8" s="1"/>
  <c r="M555" i="8"/>
  <c r="M555" i="8" a="1"/>
  <c r="M554" i="8" a="1"/>
  <c r="M554" i="8" s="1"/>
  <c r="M553" i="8" a="1"/>
  <c r="M553" i="8" s="1"/>
  <c r="M552" i="8" a="1"/>
  <c r="M552" i="8" s="1"/>
  <c r="M551" i="8"/>
  <c r="M551" i="8" a="1"/>
  <c r="M550" i="8"/>
  <c r="M550" i="8" a="1"/>
  <c r="M549" i="8"/>
  <c r="M549" i="8" a="1"/>
  <c r="M548" i="8" a="1"/>
  <c r="M548" i="8" s="1"/>
  <c r="M547" i="8" a="1"/>
  <c r="M547" i="8" s="1"/>
  <c r="M546" i="8" a="1"/>
  <c r="M546" i="8" s="1"/>
  <c r="M545" i="8" a="1"/>
  <c r="M545" i="8" s="1"/>
  <c r="M544" i="8" a="1"/>
  <c r="M544" i="8" s="1"/>
  <c r="M543" i="8" a="1"/>
  <c r="M543" i="8" s="1"/>
  <c r="M542" i="8" a="1"/>
  <c r="M542" i="8" s="1"/>
  <c r="M541" i="8" a="1"/>
  <c r="M541" i="8" s="1"/>
  <c r="M540" i="8" a="1"/>
  <c r="M540" i="8" s="1"/>
  <c r="M539" i="8"/>
  <c r="M539" i="8" a="1"/>
  <c r="M538" i="8" a="1"/>
  <c r="M538" i="8" s="1"/>
  <c r="M537" i="8" a="1"/>
  <c r="M537" i="8" s="1"/>
  <c r="M536" i="8"/>
  <c r="M536" i="8" a="1"/>
  <c r="M535" i="8"/>
  <c r="M535" i="8" a="1"/>
  <c r="M534" i="8"/>
  <c r="M534" i="8" a="1"/>
  <c r="M533" i="8" a="1"/>
  <c r="M533" i="8" s="1"/>
  <c r="M532" i="8" a="1"/>
  <c r="M532" i="8" s="1"/>
  <c r="M531" i="8"/>
  <c r="M531" i="8" a="1"/>
  <c r="M530" i="8" a="1"/>
  <c r="M530" i="8" s="1"/>
  <c r="M529" i="8" a="1"/>
  <c r="M529" i="8" s="1"/>
  <c r="M528" i="8" a="1"/>
  <c r="M528" i="8" s="1"/>
  <c r="M527" i="8" a="1"/>
  <c r="M527" i="8" s="1"/>
  <c r="M526" i="8"/>
  <c r="M526" i="8" a="1"/>
  <c r="M525" i="8" a="1"/>
  <c r="M525" i="8" s="1"/>
  <c r="M524" i="8" a="1"/>
  <c r="M524" i="8" s="1"/>
  <c r="M523" i="8" a="1"/>
  <c r="M523" i="8" s="1"/>
  <c r="M522" i="8" a="1"/>
  <c r="M522" i="8" s="1"/>
  <c r="M521" i="8" a="1"/>
  <c r="M521" i="8" s="1"/>
  <c r="M520" i="8"/>
  <c r="M520" i="8" a="1"/>
  <c r="M519" i="8"/>
  <c r="M519" i="8" a="1"/>
  <c r="M518" i="8" a="1"/>
  <c r="M518" i="8" s="1"/>
  <c r="M517" i="8"/>
  <c r="M517" i="8" a="1"/>
  <c r="M516" i="8" a="1"/>
  <c r="M516" i="8" s="1"/>
  <c r="M515" i="8" a="1"/>
  <c r="M515" i="8" s="1"/>
  <c r="M514" i="8" a="1"/>
  <c r="M514" i="8" s="1"/>
  <c r="M513" i="8" a="1"/>
  <c r="M513" i="8" s="1"/>
  <c r="M512" i="8" a="1"/>
  <c r="M512" i="8" s="1"/>
  <c r="M511" i="8" a="1"/>
  <c r="M511" i="8" s="1"/>
  <c r="M510" i="8" a="1"/>
  <c r="M510" i="8" s="1"/>
  <c r="M509" i="8" a="1"/>
  <c r="M509" i="8" s="1"/>
  <c r="M508" i="8" a="1"/>
  <c r="M508" i="8" s="1"/>
  <c r="M507" i="8" a="1"/>
  <c r="M507" i="8" s="1"/>
  <c r="M506" i="8" a="1"/>
  <c r="M506" i="8" s="1"/>
  <c r="M505" i="8" a="1"/>
  <c r="M505" i="8" s="1"/>
  <c r="M504" i="8"/>
  <c r="M504" i="8" a="1"/>
  <c r="M503" i="8" a="1"/>
  <c r="M503" i="8" s="1"/>
  <c r="M502" i="8" a="1"/>
  <c r="M502" i="8" s="1"/>
  <c r="M501" i="8"/>
  <c r="M501" i="8" a="1"/>
  <c r="M500" i="8" a="1"/>
  <c r="M500" i="8" s="1"/>
  <c r="M499" i="8" a="1"/>
  <c r="M499" i="8" s="1"/>
  <c r="M498" i="8" a="1"/>
  <c r="M498" i="8" s="1"/>
  <c r="M497" i="8" a="1"/>
  <c r="M497" i="8" s="1"/>
  <c r="M496" i="8"/>
  <c r="M496" i="8" a="1"/>
  <c r="M495" i="8" a="1"/>
  <c r="M495" i="8" s="1"/>
  <c r="M494" i="8" a="1"/>
  <c r="M494" i="8" s="1"/>
  <c r="M493" i="8" a="1"/>
  <c r="M493" i="8" s="1"/>
  <c r="M492" i="8" a="1"/>
  <c r="M492" i="8" s="1"/>
  <c r="M491" i="8"/>
  <c r="M491" i="8" a="1"/>
  <c r="M490" i="8" a="1"/>
  <c r="M490" i="8" s="1"/>
  <c r="M489" i="8" a="1"/>
  <c r="M489" i="8" s="1"/>
  <c r="M488" i="8" a="1"/>
  <c r="M488" i="8" s="1"/>
  <c r="M487" i="8"/>
  <c r="M487" i="8" a="1"/>
  <c r="M486" i="8"/>
  <c r="M486" i="8" a="1"/>
  <c r="M485" i="8"/>
  <c r="M485" i="8" a="1"/>
  <c r="M484" i="8" a="1"/>
  <c r="M484" i="8" s="1"/>
  <c r="M483" i="8"/>
  <c r="M483" i="8" a="1"/>
  <c r="M482" i="8"/>
  <c r="M482" i="8" a="1"/>
  <c r="M481" i="8"/>
  <c r="M481" i="8" a="1"/>
  <c r="M480" i="8" a="1"/>
  <c r="M480" i="8" s="1"/>
  <c r="M479" i="8" a="1"/>
  <c r="M479" i="8" s="1"/>
  <c r="M478" i="8"/>
  <c r="M478" i="8" a="1"/>
  <c r="M477" i="8"/>
  <c r="M477" i="8" a="1"/>
  <c r="M476" i="8" a="1"/>
  <c r="M476" i="8" s="1"/>
  <c r="M475" i="8" a="1"/>
  <c r="M475" i="8" s="1"/>
  <c r="M474" i="8"/>
  <c r="M474" i="8" a="1"/>
  <c r="M473" i="8"/>
  <c r="M473" i="8" a="1"/>
  <c r="M472" i="8" a="1"/>
  <c r="M472" i="8" s="1"/>
  <c r="M471" i="8" a="1"/>
  <c r="M471" i="8" s="1"/>
  <c r="M470" i="8"/>
  <c r="M470" i="8" a="1"/>
  <c r="M469" i="8"/>
  <c r="M469" i="8" a="1"/>
  <c r="M468" i="8" a="1"/>
  <c r="M468" i="8" s="1"/>
  <c r="M467" i="8" a="1"/>
  <c r="M467" i="8" s="1"/>
  <c r="M466" i="8"/>
  <c r="M466" i="8" a="1"/>
  <c r="M465" i="8"/>
  <c r="M465" i="8" a="1"/>
  <c r="M464" i="8" a="1"/>
  <c r="M464" i="8" s="1"/>
  <c r="M463" i="8"/>
  <c r="M463" i="8" a="1"/>
  <c r="M462" i="8"/>
  <c r="M462" i="8" a="1"/>
  <c r="M461" i="8"/>
  <c r="M461" i="8" a="1"/>
  <c r="M460" i="8" a="1"/>
  <c r="M460" i="8" s="1"/>
  <c r="M459" i="8" a="1"/>
  <c r="M459" i="8" s="1"/>
  <c r="M458" i="8"/>
  <c r="M458" i="8" a="1"/>
  <c r="M457" i="8"/>
  <c r="M457" i="8" a="1"/>
  <c r="M456" i="8" a="1"/>
  <c r="M456" i="8" s="1"/>
  <c r="M455" i="8"/>
  <c r="M455" i="8" a="1"/>
  <c r="M454" i="8"/>
  <c r="M454" i="8" a="1"/>
  <c r="M453" i="8" a="1"/>
  <c r="M453" i="8" s="1"/>
  <c r="M452" i="8" a="1"/>
  <c r="M452" i="8" s="1"/>
  <c r="M451" i="8"/>
  <c r="M451" i="8" a="1"/>
  <c r="M450" i="8"/>
  <c r="M450" i="8" a="1"/>
  <c r="M449" i="8" a="1"/>
  <c r="M449" i="8" s="1"/>
  <c r="M448" i="8" a="1"/>
  <c r="M448" i="8" s="1"/>
  <c r="M447" i="8" a="1"/>
  <c r="M447" i="8" s="1"/>
  <c r="M446" i="8"/>
  <c r="M446" i="8" a="1"/>
  <c r="M445" i="8" a="1"/>
  <c r="M445" i="8" s="1"/>
  <c r="M444" i="8" a="1"/>
  <c r="M444" i="8" s="1"/>
  <c r="M443" i="8" a="1"/>
  <c r="M443" i="8" s="1"/>
  <c r="M442" i="8"/>
  <c r="M442" i="8" a="1"/>
  <c r="M441" i="8" a="1"/>
  <c r="M441" i="8" s="1"/>
  <c r="M440" i="8" a="1"/>
  <c r="M440" i="8" s="1"/>
  <c r="M439" i="8" a="1"/>
  <c r="M439" i="8" s="1"/>
  <c r="M438" i="8"/>
  <c r="M438" i="8" a="1"/>
  <c r="M437" i="8" a="1"/>
  <c r="M437" i="8" s="1"/>
  <c r="M436" i="8" a="1"/>
  <c r="M436" i="8" s="1"/>
  <c r="M435" i="8" a="1"/>
  <c r="M435" i="8" s="1"/>
  <c r="M434" i="8"/>
  <c r="M434" i="8" a="1"/>
  <c r="M433" i="8" a="1"/>
  <c r="M433" i="8" s="1"/>
  <c r="M432" i="8" a="1"/>
  <c r="M432" i="8" s="1"/>
  <c r="M431" i="8"/>
  <c r="M431" i="8" a="1"/>
  <c r="M430" i="8" a="1"/>
  <c r="M430" i="8" s="1"/>
  <c r="M429" i="8" a="1"/>
  <c r="M429" i="8" s="1"/>
  <c r="M428" i="8" a="1"/>
  <c r="M428" i="8" s="1"/>
  <c r="M427" i="8" a="1"/>
  <c r="M427" i="8" s="1"/>
  <c r="M426" i="8"/>
  <c r="M426" i="8" a="1"/>
  <c r="M425" i="8" a="1"/>
  <c r="M425" i="8" s="1"/>
  <c r="M424" i="8" a="1"/>
  <c r="M424" i="8" s="1"/>
  <c r="M423" i="8" a="1"/>
  <c r="M423" i="8" s="1"/>
  <c r="M422" i="8"/>
  <c r="M422" i="8" a="1"/>
  <c r="M421" i="8"/>
  <c r="M421" i="8" a="1"/>
  <c r="M420" i="8" a="1"/>
  <c r="M420" i="8" s="1"/>
  <c r="M419" i="8" a="1"/>
  <c r="M419" i="8" s="1"/>
  <c r="M418" i="8" a="1"/>
  <c r="M418" i="8" s="1"/>
  <c r="M417" i="8" a="1"/>
  <c r="M417" i="8" s="1"/>
  <c r="M416" i="8" a="1"/>
  <c r="M416" i="8" s="1"/>
  <c r="M415" i="8" a="1"/>
  <c r="M415" i="8" s="1"/>
  <c r="M414" i="8"/>
  <c r="M414" i="8" a="1"/>
  <c r="M413" i="8" a="1"/>
  <c r="M413" i="8" s="1"/>
  <c r="M412" i="8" a="1"/>
  <c r="M412" i="8" s="1"/>
  <c r="M411" i="8"/>
  <c r="M411" i="8" a="1"/>
  <c r="M410" i="8"/>
  <c r="M410" i="8" a="1"/>
  <c r="M409" i="8" a="1"/>
  <c r="M409" i="8" s="1"/>
  <c r="M408" i="8" a="1"/>
  <c r="M408" i="8" s="1"/>
  <c r="M407" i="8" a="1"/>
  <c r="M407" i="8" s="1"/>
  <c r="M406" i="8"/>
  <c r="M406" i="8" a="1"/>
  <c r="M405" i="8"/>
  <c r="M405" i="8" a="1"/>
  <c r="M404" i="8" a="1"/>
  <c r="M404" i="8" s="1"/>
  <c r="M403" i="8" a="1"/>
  <c r="M403" i="8" s="1"/>
  <c r="M402" i="8"/>
  <c r="M402" i="8" a="1"/>
  <c r="M401" i="8" a="1"/>
  <c r="M401" i="8" s="1"/>
  <c r="M400" i="8" a="1"/>
  <c r="M400" i="8" s="1"/>
  <c r="M399" i="8" a="1"/>
  <c r="M399" i="8" s="1"/>
  <c r="M398" i="8" a="1"/>
  <c r="M398" i="8" s="1"/>
  <c r="M397" i="8"/>
  <c r="M397" i="8" a="1"/>
  <c r="M396" i="8" a="1"/>
  <c r="M396" i="8" s="1"/>
  <c r="M395" i="8"/>
  <c r="M395" i="8" a="1"/>
  <c r="M394" i="8" a="1"/>
  <c r="M394" i="8" s="1"/>
  <c r="M393" i="8" a="1"/>
  <c r="M393" i="8" s="1"/>
  <c r="M392" i="8" a="1"/>
  <c r="M392" i="8" s="1"/>
  <c r="M391" i="8"/>
  <c r="M391" i="8" a="1"/>
  <c r="M390" i="8"/>
  <c r="M390" i="8" a="1"/>
  <c r="M389" i="8" a="1"/>
  <c r="M389" i="8" s="1"/>
  <c r="M388" i="8" a="1"/>
  <c r="M388" i="8" s="1"/>
  <c r="M387" i="8"/>
  <c r="M387" i="8" a="1"/>
  <c r="M386" i="8" a="1"/>
  <c r="M386" i="8" s="1"/>
  <c r="M385" i="8" a="1"/>
  <c r="M385" i="8" s="1"/>
  <c r="M384" i="8" a="1"/>
  <c r="M384" i="8" s="1"/>
  <c r="M383" i="8" a="1"/>
  <c r="M383" i="8" s="1"/>
  <c r="M382" i="8"/>
  <c r="M382" i="8" a="1"/>
  <c r="M381" i="8"/>
  <c r="M381" i="8" a="1"/>
  <c r="M380" i="8" a="1"/>
  <c r="M380" i="8" s="1"/>
  <c r="M379" i="8" a="1"/>
  <c r="M379" i="8" s="1"/>
  <c r="M378" i="8" a="1"/>
  <c r="M378" i="8" s="1"/>
  <c r="M377" i="8" a="1"/>
  <c r="M377" i="8" s="1"/>
  <c r="M376" i="8" a="1"/>
  <c r="M376" i="8" s="1"/>
  <c r="M375" i="8"/>
  <c r="M375" i="8" a="1"/>
  <c r="M374" i="8" a="1"/>
  <c r="M374" i="8" s="1"/>
  <c r="M373" i="8"/>
  <c r="M373" i="8" a="1"/>
  <c r="M372" i="8" a="1"/>
  <c r="M372" i="8" s="1"/>
  <c r="M371" i="8"/>
  <c r="M371" i="8" a="1"/>
  <c r="M370" i="8" a="1"/>
  <c r="M370" i="8" s="1"/>
  <c r="M369" i="8" a="1"/>
  <c r="M369" i="8" s="1"/>
  <c r="M368" i="8" a="1"/>
  <c r="M368" i="8" s="1"/>
  <c r="M367" i="8"/>
  <c r="M367" i="8" a="1"/>
  <c r="M366" i="8" a="1"/>
  <c r="M366" i="8" s="1"/>
  <c r="M365" i="8"/>
  <c r="M365" i="8" a="1"/>
  <c r="M364" i="8" a="1"/>
  <c r="M364" i="8" s="1"/>
  <c r="M363" i="8"/>
  <c r="M363" i="8" a="1"/>
  <c r="M362" i="8"/>
  <c r="M362" i="8" a="1"/>
  <c r="M361" i="8" a="1"/>
  <c r="M361" i="8" s="1"/>
  <c r="M360" i="8" a="1"/>
  <c r="M360" i="8" s="1"/>
  <c r="M359" i="8" a="1"/>
  <c r="M359" i="8" s="1"/>
  <c r="M358" i="8" a="1"/>
  <c r="M358" i="8" s="1"/>
  <c r="M357" i="8"/>
  <c r="M357" i="8" a="1"/>
  <c r="M356" i="8" a="1"/>
  <c r="M356" i="8" s="1"/>
  <c r="M355" i="8"/>
  <c r="M355" i="8" a="1"/>
  <c r="M354" i="8" a="1"/>
  <c r="M354" i="8" s="1"/>
  <c r="M353" i="8" a="1"/>
  <c r="M353" i="8" s="1"/>
  <c r="M352" i="8" a="1"/>
  <c r="M352" i="8" s="1"/>
  <c r="M351" i="8" a="1"/>
  <c r="M351" i="8" s="1"/>
  <c r="M350" i="8" a="1"/>
  <c r="M350" i="8" s="1"/>
  <c r="M349" i="8"/>
  <c r="M349" i="8" a="1"/>
  <c r="M348" i="8" a="1"/>
  <c r="M348" i="8" s="1"/>
  <c r="M347" i="8"/>
  <c r="M347" i="8" a="1"/>
  <c r="M346" i="8"/>
  <c r="M346" i="8" a="1"/>
  <c r="M345" i="8" a="1"/>
  <c r="M345" i="8" s="1"/>
  <c r="M344" i="8" a="1"/>
  <c r="M344" i="8" s="1"/>
  <c r="M343" i="8"/>
  <c r="M343" i="8" a="1"/>
  <c r="M342" i="8" a="1"/>
  <c r="M342" i="8" s="1"/>
  <c r="M341" i="8" a="1"/>
  <c r="M341" i="8" s="1"/>
  <c r="M340" i="8" a="1"/>
  <c r="M340" i="8" s="1"/>
  <c r="M339" i="8" a="1"/>
  <c r="M339" i="8" s="1"/>
  <c r="M338" i="8"/>
  <c r="M338" i="8" a="1"/>
  <c r="M337" i="8" a="1"/>
  <c r="M337" i="8" s="1"/>
  <c r="M336" i="8" a="1"/>
  <c r="M336" i="8" s="1"/>
  <c r="M335" i="8" a="1"/>
  <c r="M335" i="8" s="1"/>
  <c r="M334" i="8" a="1"/>
  <c r="M334" i="8" s="1"/>
  <c r="M333" i="8"/>
  <c r="M333" i="8" a="1"/>
  <c r="M332" i="8" a="1"/>
  <c r="M332" i="8" s="1"/>
  <c r="M331" i="8" a="1"/>
  <c r="M331" i="8" s="1"/>
  <c r="M330" i="8" a="1"/>
  <c r="M330" i="8" s="1"/>
  <c r="M329" i="8" a="1"/>
  <c r="M329" i="8" s="1"/>
  <c r="M328" i="8" a="1"/>
  <c r="M328" i="8" s="1"/>
  <c r="M327" i="8"/>
  <c r="M327" i="8" a="1"/>
  <c r="M326" i="8"/>
  <c r="M326" i="8" a="1"/>
  <c r="M325" i="8" a="1"/>
  <c r="M325" i="8" s="1"/>
  <c r="M324" i="8" a="1"/>
  <c r="M324" i="8" s="1"/>
  <c r="M323" i="8"/>
  <c r="M323" i="8" a="1"/>
  <c r="M322" i="8"/>
  <c r="M322" i="8" a="1"/>
  <c r="M321" i="8" a="1"/>
  <c r="M321" i="8" s="1"/>
  <c r="M320" i="8" a="1"/>
  <c r="M320" i="8" s="1"/>
  <c r="M319" i="8" a="1"/>
  <c r="M319" i="8" s="1"/>
  <c r="M318" i="8"/>
  <c r="M318" i="8" a="1"/>
  <c r="M317" i="8" a="1"/>
  <c r="M317" i="8" s="1"/>
  <c r="M316" i="8" a="1"/>
  <c r="M316" i="8" s="1"/>
  <c r="M315" i="8" a="1"/>
  <c r="M315" i="8" s="1"/>
  <c r="M314" i="8"/>
  <c r="M314" i="8" a="1"/>
  <c r="M313" i="8" a="1"/>
  <c r="M313" i="8" s="1"/>
  <c r="M312" i="8" a="1"/>
  <c r="M312" i="8" s="1"/>
  <c r="M311" i="8" a="1"/>
  <c r="M311" i="8" s="1"/>
  <c r="M310" i="8" a="1"/>
  <c r="M310" i="8" s="1"/>
  <c r="M309" i="8" a="1"/>
  <c r="M309" i="8" s="1"/>
  <c r="M308" i="8" a="1"/>
  <c r="M308" i="8" s="1"/>
  <c r="M307" i="8" a="1"/>
  <c r="M307" i="8" s="1"/>
  <c r="M306" i="8"/>
  <c r="M306" i="8" a="1"/>
  <c r="M305" i="8" a="1"/>
  <c r="M305" i="8" s="1"/>
  <c r="M304" i="8" a="1"/>
  <c r="M304" i="8" s="1"/>
  <c r="M303" i="8"/>
  <c r="M303" i="8" a="1"/>
  <c r="M302" i="8"/>
  <c r="M302" i="8" a="1"/>
  <c r="M301" i="8" a="1"/>
  <c r="M301" i="8" s="1"/>
  <c r="M300" i="8" a="1"/>
  <c r="M300" i="8" s="1"/>
  <c r="M299" i="8" a="1"/>
  <c r="M299" i="8" s="1"/>
  <c r="M298" i="8"/>
  <c r="M298" i="8" a="1"/>
  <c r="M297" i="8" a="1"/>
  <c r="M297" i="8" s="1"/>
  <c r="M296" i="8" a="1"/>
  <c r="M296" i="8" s="1"/>
  <c r="M295" i="8" a="1"/>
  <c r="M295" i="8" s="1"/>
  <c r="M294" i="8"/>
  <c r="M294" i="8" a="1"/>
  <c r="M293" i="8" a="1"/>
  <c r="M293" i="8" s="1"/>
  <c r="M292" i="8" a="1"/>
  <c r="M292" i="8" s="1"/>
  <c r="M291" i="8" a="1"/>
  <c r="M291" i="8" s="1"/>
  <c r="M290" i="8" a="1"/>
  <c r="M290" i="8" s="1"/>
  <c r="M289" i="8" a="1"/>
  <c r="M289" i="8" s="1"/>
  <c r="M288" i="8" a="1"/>
  <c r="M288" i="8" s="1"/>
  <c r="M287" i="8" a="1"/>
  <c r="M287" i="8" s="1"/>
  <c r="M286" i="8"/>
  <c r="M286" i="8" a="1"/>
  <c r="M285" i="8" a="1"/>
  <c r="M285" i="8" s="1"/>
  <c r="M284" i="8" a="1"/>
  <c r="M284" i="8" s="1"/>
  <c r="M283" i="8" a="1"/>
  <c r="M283" i="8" s="1"/>
  <c r="M282" i="8" a="1"/>
  <c r="M282" i="8" s="1"/>
  <c r="M281" i="8" a="1"/>
  <c r="M281" i="8" s="1"/>
  <c r="M280" i="8" a="1"/>
  <c r="M280" i="8" s="1"/>
  <c r="M279" i="8" a="1"/>
  <c r="M279" i="8" s="1"/>
  <c r="M278" i="8"/>
  <c r="M278" i="8" a="1"/>
  <c r="M277" i="8"/>
  <c r="M277" i="8" a="1"/>
  <c r="M276" i="8" a="1"/>
  <c r="M276" i="8" s="1"/>
  <c r="M275" i="8" a="1"/>
  <c r="M275" i="8" s="1"/>
  <c r="M274" i="8"/>
  <c r="M274" i="8" a="1"/>
  <c r="M273" i="8" a="1"/>
  <c r="M273" i="8" s="1"/>
  <c r="M272" i="8" a="1"/>
  <c r="M272" i="8" s="1"/>
  <c r="M271" i="8" a="1"/>
  <c r="M271" i="8" s="1"/>
  <c r="M270" i="8" a="1"/>
  <c r="M270" i="8" s="1"/>
  <c r="M269" i="8"/>
  <c r="M269" i="8" a="1"/>
  <c r="M268" i="8" a="1"/>
  <c r="M268" i="8" s="1"/>
  <c r="M267" i="8"/>
  <c r="M267" i="8" a="1"/>
  <c r="M266" i="8" a="1"/>
  <c r="M266" i="8" s="1"/>
  <c r="M265" i="8" a="1"/>
  <c r="M265" i="8" s="1"/>
  <c r="M264" i="8" a="1"/>
  <c r="M264" i="8" s="1"/>
  <c r="M263" i="8" a="1"/>
  <c r="M263" i="8" s="1"/>
  <c r="M262" i="8" a="1"/>
  <c r="M262" i="8" s="1"/>
  <c r="M261" i="8" a="1"/>
  <c r="M261" i="8" s="1"/>
  <c r="M260" i="8" a="1"/>
  <c r="M260" i="8" s="1"/>
  <c r="M259" i="8"/>
  <c r="M259" i="8" a="1"/>
  <c r="M258" i="8" a="1"/>
  <c r="M258" i="8" s="1"/>
  <c r="M257" i="8" a="1"/>
  <c r="M257" i="8" s="1"/>
  <c r="M256" i="8" a="1"/>
  <c r="M256" i="8" s="1"/>
  <c r="M255" i="8" a="1"/>
  <c r="M255" i="8" s="1"/>
  <c r="M254" i="8"/>
  <c r="M254" i="8" a="1"/>
  <c r="M253" i="8"/>
  <c r="M253" i="8" a="1"/>
  <c r="M252" i="8" a="1"/>
  <c r="M252" i="8" s="1"/>
  <c r="M251" i="8" a="1"/>
  <c r="M251" i="8" s="1"/>
  <c r="M250" i="8" a="1"/>
  <c r="M250" i="8" s="1"/>
  <c r="M249" i="8" a="1"/>
  <c r="M249" i="8" s="1"/>
  <c r="M248" i="8" a="1"/>
  <c r="M248" i="8" s="1"/>
  <c r="M247" i="8"/>
  <c r="M247" i="8" a="1"/>
  <c r="M246" i="8" a="1"/>
  <c r="M246" i="8" s="1"/>
  <c r="M245" i="8"/>
  <c r="M245" i="8" a="1"/>
  <c r="M244" i="8" a="1"/>
  <c r="M244" i="8" s="1"/>
  <c r="M243" i="8"/>
  <c r="M243" i="8" a="1"/>
  <c r="M242" i="8" a="1"/>
  <c r="M242" i="8" s="1"/>
  <c r="M241" i="8" a="1"/>
  <c r="M241" i="8" s="1"/>
  <c r="M240" i="8" a="1"/>
  <c r="M240" i="8" s="1"/>
  <c r="M239" i="8"/>
  <c r="M239" i="8" a="1"/>
  <c r="M238" i="8" a="1"/>
  <c r="M238" i="8" s="1"/>
  <c r="M237" i="8"/>
  <c r="M237" i="8" a="1"/>
  <c r="M236" i="8" a="1"/>
  <c r="M236" i="8" s="1"/>
  <c r="M235" i="8"/>
  <c r="M235" i="8" a="1"/>
  <c r="M234" i="8" a="1"/>
  <c r="M234" i="8" s="1"/>
  <c r="M233" i="8" a="1"/>
  <c r="M233" i="8" s="1"/>
  <c r="M232" i="8" a="1"/>
  <c r="M232" i="8" s="1"/>
  <c r="M231" i="8" a="1"/>
  <c r="M231" i="8" s="1"/>
  <c r="M230" i="8" a="1"/>
  <c r="M230" i="8" s="1"/>
  <c r="M229" i="8"/>
  <c r="M229" i="8" a="1"/>
  <c r="M228" i="8" a="1"/>
  <c r="M228" i="8" s="1"/>
  <c r="M227" i="8"/>
  <c r="M227" i="8" a="1"/>
  <c r="M226" i="8" a="1"/>
  <c r="M226" i="8" s="1"/>
  <c r="M225" i="8" a="1"/>
  <c r="M225" i="8" s="1"/>
  <c r="M224" i="8" a="1"/>
  <c r="M224" i="8" s="1"/>
  <c r="M223" i="8"/>
  <c r="M223" i="8" a="1"/>
  <c r="M222" i="8" a="1"/>
  <c r="M222" i="8" s="1"/>
  <c r="M221" i="8"/>
  <c r="M221" i="8" a="1"/>
  <c r="M220" i="8" a="1"/>
  <c r="M220" i="8" s="1"/>
  <c r="M219" i="8"/>
  <c r="M219" i="8" a="1"/>
  <c r="M218" i="8"/>
  <c r="M218" i="8" a="1"/>
  <c r="M217" i="8" a="1"/>
  <c r="M217" i="8" s="1"/>
  <c r="M216" i="8" a="1"/>
  <c r="M216" i="8" s="1"/>
  <c r="M215" i="8"/>
  <c r="M215" i="8" a="1"/>
  <c r="M214" i="8" a="1"/>
  <c r="M214" i="8" s="1"/>
  <c r="M213" i="8" a="1"/>
  <c r="M213" i="8" s="1"/>
  <c r="M212" i="8" a="1"/>
  <c r="M212" i="8" s="1"/>
  <c r="M211" i="8" a="1"/>
  <c r="M211" i="8" s="1"/>
  <c r="M210" i="8"/>
  <c r="M210" i="8" a="1"/>
  <c r="M209" i="8" a="1"/>
  <c r="M209" i="8" s="1"/>
  <c r="M208" i="8" a="1"/>
  <c r="M208" i="8" s="1"/>
  <c r="M207" i="8" a="1"/>
  <c r="M207" i="8" s="1"/>
  <c r="M206" i="8" a="1"/>
  <c r="M206" i="8" s="1"/>
  <c r="M205" i="8"/>
  <c r="M205" i="8" a="1"/>
  <c r="M204" i="8" a="1"/>
  <c r="M204" i="8" s="1"/>
  <c r="M203" i="8" a="1"/>
  <c r="M203" i="8" s="1"/>
  <c r="M202" i="8" a="1"/>
  <c r="M202" i="8" s="1"/>
  <c r="M201" i="8" a="1"/>
  <c r="M201" i="8" s="1"/>
  <c r="M200" i="8" a="1"/>
  <c r="M200" i="8" s="1"/>
  <c r="M199" i="8"/>
  <c r="M199" i="8" a="1"/>
  <c r="M198" i="8"/>
  <c r="M198" i="8" a="1"/>
  <c r="M197" i="8" a="1"/>
  <c r="M197" i="8" s="1"/>
  <c r="M196" i="8" a="1"/>
  <c r="M196" i="8" s="1"/>
  <c r="M195" i="8"/>
  <c r="M195" i="8" a="1"/>
  <c r="M194" i="8"/>
  <c r="M194" i="8" a="1"/>
  <c r="M193" i="8" a="1"/>
  <c r="M193" i="8" s="1"/>
  <c r="M192" i="8" a="1"/>
  <c r="M192" i="8" s="1"/>
  <c r="M191" i="8" a="1"/>
  <c r="M191" i="8" s="1"/>
  <c r="M190" i="8"/>
  <c r="M190" i="8" a="1"/>
  <c r="M189" i="8" a="1"/>
  <c r="M189" i="8" s="1"/>
  <c r="M188" i="8" a="1"/>
  <c r="M188" i="8" s="1"/>
  <c r="M187" i="8" a="1"/>
  <c r="M187" i="8" s="1"/>
  <c r="M186" i="8"/>
  <c r="M186" i="8" a="1"/>
  <c r="M185" i="8" a="1"/>
  <c r="M185" i="8" s="1"/>
  <c r="M184" i="8" a="1"/>
  <c r="M184" i="8" s="1"/>
  <c r="M183" i="8" a="1"/>
  <c r="M183" i="8" s="1"/>
  <c r="M182" i="8" a="1"/>
  <c r="M182" i="8" s="1"/>
  <c r="M181" i="8" a="1"/>
  <c r="M181" i="8" s="1"/>
  <c r="M180" i="8" a="1"/>
  <c r="M180" i="8" s="1"/>
  <c r="M179" i="8" a="1"/>
  <c r="M179" i="8" s="1"/>
  <c r="M178" i="8"/>
  <c r="M178" i="8" a="1"/>
  <c r="M177" i="8" a="1"/>
  <c r="M177" i="8" s="1"/>
  <c r="M176" i="8" a="1"/>
  <c r="M176" i="8" s="1"/>
  <c r="M175" i="8"/>
  <c r="M175" i="8" a="1"/>
  <c r="M174" i="8"/>
  <c r="M174" i="8" a="1"/>
  <c r="M173" i="8" a="1"/>
  <c r="M173" i="8" s="1"/>
  <c r="M172" i="8" a="1"/>
  <c r="M172" i="8" s="1"/>
  <c r="M171" i="8" a="1"/>
  <c r="M171" i="8" s="1"/>
  <c r="M170" i="8"/>
  <c r="M170" i="8" a="1"/>
  <c r="M169" i="8" a="1"/>
  <c r="M169" i="8" s="1"/>
  <c r="M168" i="8" a="1"/>
  <c r="M168" i="8" s="1"/>
  <c r="M167" i="8" a="1"/>
  <c r="M167" i="8" s="1"/>
  <c r="M166" i="8"/>
  <c r="M166" i="8" a="1"/>
  <c r="M165" i="8" a="1"/>
  <c r="M165" i="8" s="1"/>
  <c r="M164" i="8" a="1"/>
  <c r="M164" i="8" s="1"/>
  <c r="M163" i="8" a="1"/>
  <c r="M163" i="8" s="1"/>
  <c r="M162" i="8"/>
  <c r="M162" i="8" a="1"/>
  <c r="M161" i="8" a="1"/>
  <c r="M161" i="8" s="1"/>
  <c r="M160" i="8" a="1"/>
  <c r="M160" i="8" s="1"/>
  <c r="M159" i="8" a="1"/>
  <c r="M159" i="8" s="1"/>
  <c r="M158" i="8"/>
  <c r="M158" i="8" a="1"/>
  <c r="M157" i="8" a="1"/>
  <c r="M157" i="8" s="1"/>
  <c r="M156" i="8" a="1"/>
  <c r="M156" i="8" s="1"/>
  <c r="M155" i="8" a="1"/>
  <c r="M155" i="8" s="1"/>
  <c r="M154" i="8" a="1"/>
  <c r="M154" i="8" s="1"/>
  <c r="M153" i="8" a="1"/>
  <c r="M153" i="8" s="1"/>
  <c r="M152" i="8" a="1"/>
  <c r="M152" i="8" s="1"/>
  <c r="M151" i="8" a="1"/>
  <c r="M151" i="8" s="1"/>
  <c r="M150" i="8"/>
  <c r="M150" i="8" a="1"/>
  <c r="M149" i="8"/>
  <c r="M149" i="8" a="1"/>
  <c r="M148" i="8" a="1"/>
  <c r="M148" i="8" s="1"/>
  <c r="M147" i="8" a="1"/>
  <c r="M147" i="8" s="1"/>
  <c r="M146" i="8"/>
  <c r="M146" i="8" a="1"/>
  <c r="M145" i="8" a="1"/>
  <c r="M145" i="8" s="1"/>
  <c r="M144" i="8" a="1"/>
  <c r="M144" i="8" s="1"/>
  <c r="M143" i="8" a="1"/>
  <c r="M143" i="8" s="1"/>
  <c r="M142" i="8"/>
  <c r="M142" i="8" a="1"/>
  <c r="M141" i="8"/>
  <c r="M141" i="8" a="1"/>
  <c r="M140" i="8" a="1"/>
  <c r="M140" i="8" s="1"/>
  <c r="M139" i="8"/>
  <c r="M139" i="8" a="1"/>
  <c r="M138" i="8" a="1"/>
  <c r="M138" i="8" s="1"/>
  <c r="M137" i="8" a="1"/>
  <c r="M137" i="8" s="1"/>
  <c r="M136" i="8" a="1"/>
  <c r="M136" i="8" s="1"/>
  <c r="M135" i="8" a="1"/>
  <c r="M135" i="8" s="1"/>
  <c r="M134" i="8" a="1"/>
  <c r="M134" i="8" s="1"/>
  <c r="M133" i="8" a="1"/>
  <c r="M133" i="8" s="1"/>
  <c r="M132" i="8" a="1"/>
  <c r="M132" i="8" s="1"/>
  <c r="M131" i="8"/>
  <c r="M131" i="8" a="1"/>
  <c r="M130" i="8" a="1"/>
  <c r="M130" i="8" s="1"/>
  <c r="M129" i="8" a="1"/>
  <c r="M129" i="8" s="1"/>
  <c r="M128" i="8" a="1"/>
  <c r="M128" i="8" s="1"/>
  <c r="M127" i="8" a="1"/>
  <c r="M127" i="8" s="1"/>
  <c r="M126" i="8"/>
  <c r="M126" i="8" a="1"/>
  <c r="M125" i="8"/>
  <c r="M125" i="8" a="1"/>
  <c r="M124" i="8" a="1"/>
  <c r="M124" i="8" s="1"/>
  <c r="M123" i="8" a="1"/>
  <c r="M123" i="8" s="1"/>
  <c r="M122" i="8" a="1"/>
  <c r="M122" i="8" s="1"/>
  <c r="M121" i="8" a="1"/>
  <c r="M121" i="8" s="1"/>
  <c r="M120" i="8" a="1"/>
  <c r="M120" i="8" s="1"/>
  <c r="M119" i="8"/>
  <c r="M119" i="8" a="1"/>
  <c r="M118" i="8" a="1"/>
  <c r="M118" i="8" s="1"/>
  <c r="M117" i="8"/>
  <c r="M117" i="8" a="1"/>
  <c r="M116" i="8" a="1"/>
  <c r="M116" i="8" s="1"/>
  <c r="M115" i="8"/>
  <c r="M115" i="8" a="1"/>
  <c r="M114" i="8" a="1"/>
  <c r="M114" i="8" s="1"/>
  <c r="M113" i="8" a="1"/>
  <c r="M113" i="8" s="1"/>
  <c r="M112" i="8" a="1"/>
  <c r="M112" i="8" s="1"/>
  <c r="M111" i="8"/>
  <c r="M111" i="8" a="1"/>
  <c r="M110" i="8" a="1"/>
  <c r="M110" i="8" s="1"/>
  <c r="M109" i="8"/>
  <c r="M109" i="8" a="1"/>
  <c r="M108" i="8" a="1"/>
  <c r="M108" i="8" s="1"/>
  <c r="M107" i="8"/>
  <c r="M107" i="8" a="1"/>
  <c r="M106" i="8" a="1"/>
  <c r="M106" i="8" s="1"/>
  <c r="M105" i="8" a="1"/>
  <c r="M105" i="8" s="1"/>
  <c r="M104" i="8" a="1"/>
  <c r="M104" i="8" s="1"/>
  <c r="M103" i="8" a="1"/>
  <c r="M103" i="8" s="1"/>
  <c r="M102" i="8" a="1"/>
  <c r="M102" i="8" s="1"/>
  <c r="M101" i="8"/>
  <c r="M101" i="8" a="1"/>
  <c r="M100" i="8" a="1"/>
  <c r="M100" i="8" s="1"/>
  <c r="M99" i="8"/>
  <c r="M99" i="8" a="1"/>
  <c r="M98" i="8" a="1"/>
  <c r="M98" i="8" s="1"/>
  <c r="M97" i="8" a="1"/>
  <c r="M97" i="8" s="1"/>
  <c r="M96" i="8" a="1"/>
  <c r="M96" i="8" s="1"/>
  <c r="M95" i="8"/>
  <c r="M95" i="8" a="1"/>
  <c r="M94" i="8" a="1"/>
  <c r="M94" i="8" s="1"/>
  <c r="M93" i="8"/>
  <c r="M93" i="8" a="1"/>
  <c r="M92" i="8" a="1"/>
  <c r="M92" i="8" s="1"/>
  <c r="M91" i="8"/>
  <c r="M91" i="8" a="1"/>
  <c r="M90" i="8"/>
  <c r="M90" i="8" a="1"/>
  <c r="M89" i="8" a="1"/>
  <c r="M89" i="8" s="1"/>
  <c r="M88" i="8" a="1"/>
  <c r="M88" i="8" s="1"/>
  <c r="M87" i="8"/>
  <c r="M87" i="8" a="1"/>
  <c r="M86" i="8" a="1"/>
  <c r="M86" i="8" s="1"/>
  <c r="M85" i="8" a="1"/>
  <c r="M85" i="8" s="1"/>
  <c r="M84" i="8" a="1"/>
  <c r="M84" i="8" s="1"/>
  <c r="M83" i="8" a="1"/>
  <c r="M83" i="8" s="1"/>
  <c r="M82" i="8"/>
  <c r="M82" i="8" a="1"/>
  <c r="M81" i="8" a="1"/>
  <c r="M81" i="8" s="1"/>
  <c r="M80" i="8" a="1"/>
  <c r="M80" i="8" s="1"/>
  <c r="M79" i="8" a="1"/>
  <c r="M79" i="8" s="1"/>
  <c r="M78" i="8" a="1"/>
  <c r="M78" i="8" s="1"/>
  <c r="M77" i="8"/>
  <c r="M77" i="8" a="1"/>
  <c r="M76" i="8" a="1"/>
  <c r="M76" i="8" s="1"/>
  <c r="M75" i="8" a="1"/>
  <c r="M75" i="8" s="1"/>
  <c r="M74" i="8" a="1"/>
  <c r="M74" i="8" s="1"/>
  <c r="M73" i="8" a="1"/>
  <c r="M73" i="8" s="1"/>
  <c r="M72" i="8" a="1"/>
  <c r="M72" i="8" s="1"/>
  <c r="M71" i="8"/>
  <c r="M71" i="8" a="1"/>
  <c r="M70" i="8"/>
  <c r="M70" i="8" a="1"/>
  <c r="M69" i="8" a="1"/>
  <c r="M69" i="8" s="1"/>
  <c r="M68" i="8" a="1"/>
  <c r="M68" i="8" s="1"/>
  <c r="M67" i="8"/>
  <c r="M67" i="8" a="1"/>
  <c r="M66" i="8"/>
  <c r="M66" i="8" a="1"/>
  <c r="M65" i="8" a="1"/>
  <c r="M65" i="8" s="1"/>
  <c r="M64" i="8" a="1"/>
  <c r="M64" i="8" s="1"/>
  <c r="M63" i="8" a="1"/>
  <c r="M63" i="8" s="1"/>
  <c r="M62" i="8"/>
  <c r="M62" i="8" a="1"/>
  <c r="M61" i="8" a="1"/>
  <c r="M61" i="8" s="1"/>
  <c r="M60" i="8" a="1"/>
  <c r="M60" i="8" s="1"/>
  <c r="M59" i="8" a="1"/>
  <c r="M59" i="8" s="1"/>
  <c r="M58" i="8"/>
  <c r="M58" i="8" a="1"/>
  <c r="M57" i="8" a="1"/>
  <c r="M57" i="8" s="1"/>
  <c r="M56" i="8" a="1"/>
  <c r="M56" i="8" s="1"/>
  <c r="M55" i="8" a="1"/>
  <c r="M55" i="8" s="1"/>
  <c r="M54" i="8" a="1"/>
  <c r="M54" i="8" s="1"/>
  <c r="M53" i="8" a="1"/>
  <c r="M53" i="8" s="1"/>
  <c r="M52" i="8" a="1"/>
  <c r="M52" i="8" s="1"/>
  <c r="M51" i="8" a="1"/>
  <c r="M51" i="8" s="1"/>
  <c r="M50" i="8" a="1"/>
  <c r="M50" i="8" s="1"/>
  <c r="M49" i="8" a="1"/>
  <c r="M49" i="8" s="1"/>
  <c r="M48" i="8" a="1"/>
  <c r="M48" i="8" s="1"/>
  <c r="M47" i="8"/>
  <c r="M47" i="8" a="1"/>
  <c r="M46" i="8"/>
  <c r="M46" i="8" a="1"/>
  <c r="M45" i="8" a="1"/>
  <c r="M45" i="8" s="1"/>
  <c r="M44" i="8" a="1"/>
  <c r="M44" i="8" s="1"/>
  <c r="M43" i="8" a="1"/>
  <c r="M43" i="8" s="1"/>
  <c r="M42" i="8"/>
  <c r="M42" i="8" a="1"/>
  <c r="M41" i="8" a="1"/>
  <c r="M41" i="8" s="1"/>
  <c r="M40" i="8" a="1"/>
  <c r="M40" i="8" s="1"/>
  <c r="M39" i="8" a="1"/>
  <c r="M39" i="8" s="1"/>
  <c r="M38" i="8"/>
  <c r="M38" i="8" a="1"/>
  <c r="M37" i="8" a="1"/>
  <c r="M37" i="8" s="1"/>
  <c r="M36" i="8" a="1"/>
  <c r="M36" i="8" s="1"/>
  <c r="M35" i="8" a="1"/>
  <c r="M35" i="8" s="1"/>
  <c r="M34" i="8" a="1"/>
  <c r="M34" i="8" s="1"/>
  <c r="M33" i="8" a="1"/>
  <c r="M33" i="8" s="1"/>
  <c r="M32" i="8" a="1"/>
  <c r="M32" i="8" s="1"/>
  <c r="M31" i="8" a="1"/>
  <c r="M31" i="8" s="1"/>
  <c r="M30" i="8" a="1"/>
  <c r="M30" i="8" s="1"/>
  <c r="M29" i="8" a="1"/>
  <c r="M29" i="8" s="1"/>
  <c r="M28" i="8" a="1"/>
  <c r="M28" i="8" s="1"/>
  <c r="M27" i="8" a="1"/>
  <c r="M27" i="8" s="1"/>
  <c r="M26" i="8" a="1"/>
  <c r="M26" i="8" s="1"/>
  <c r="M25" i="8" a="1"/>
  <c r="M25" i="8" s="1"/>
  <c r="M24" i="8" a="1"/>
  <c r="M24" i="8" s="1"/>
  <c r="M23" i="8" a="1"/>
  <c r="M23" i="8" s="1"/>
  <c r="M22" i="8"/>
  <c r="M22" i="8" a="1"/>
  <c r="M21" i="8"/>
  <c r="M21" i="8" a="1"/>
  <c r="M20" i="8" a="1"/>
  <c r="M20" i="8" s="1"/>
  <c r="M19" i="8" a="1"/>
  <c r="M19" i="8" s="1"/>
  <c r="M18" i="8"/>
  <c r="M18" i="8" a="1"/>
  <c r="M17" i="8" a="1"/>
  <c r="M17" i="8" s="1"/>
  <c r="M16" i="8" a="1"/>
  <c r="M16" i="8" s="1"/>
  <c r="M15" i="8" a="1"/>
  <c r="M15" i="8" s="1"/>
  <c r="M14" i="8" a="1"/>
  <c r="M14" i="8" s="1"/>
  <c r="M13" i="8"/>
  <c r="M13" i="8" a="1"/>
  <c r="M12" i="8" a="1"/>
  <c r="M12" i="8" s="1"/>
  <c r="M11" i="8" a="1"/>
  <c r="M11" i="8" s="1"/>
  <c r="M10" i="8" a="1"/>
  <c r="M10" i="8" s="1"/>
  <c r="M9" i="8" a="1"/>
  <c r="M9" i="8" s="1"/>
  <c r="C62" i="4" a="1"/>
  <c r="C62" i="4" s="1"/>
  <c r="D62" i="4" a="1"/>
  <c r="D62" i="4" s="1"/>
  <c r="J33" i="16"/>
  <c r="I33" i="16"/>
  <c r="D31" i="16"/>
  <c r="D30" i="16"/>
  <c r="D29" i="16"/>
  <c r="D28" i="16"/>
  <c r="D27" i="16"/>
  <c r="D26" i="16"/>
  <c r="D25" i="16"/>
  <c r="L25" i="16" s="1"/>
  <c r="D24" i="16"/>
  <c r="D23" i="16"/>
  <c r="E23" i="16" s="1"/>
  <c r="D22" i="16"/>
  <c r="E22" i="16" s="1"/>
  <c r="D21" i="16"/>
  <c r="E21" i="16" s="1"/>
  <c r="D20" i="16"/>
  <c r="E20" i="16" s="1"/>
  <c r="D19" i="16"/>
  <c r="D18" i="16"/>
  <c r="D17" i="16"/>
  <c r="D16" i="16"/>
  <c r="D15" i="16"/>
  <c r="D14" i="16"/>
  <c r="D13" i="16"/>
  <c r="D12" i="16"/>
  <c r="F3" i="16"/>
  <c r="B3" i="16"/>
  <c r="D39" i="15"/>
  <c r="B39" i="15"/>
  <c r="D38" i="15"/>
  <c r="B38" i="15"/>
  <c r="D37" i="15"/>
  <c r="B37" i="15"/>
  <c r="D36" i="15"/>
  <c r="B36" i="15"/>
  <c r="D35" i="15"/>
  <c r="B35" i="15"/>
  <c r="D34" i="15"/>
  <c r="B34" i="15"/>
  <c r="J33" i="15"/>
  <c r="I33" i="15"/>
  <c r="F33" i="15"/>
  <c r="D33" i="15"/>
  <c r="B33" i="15"/>
  <c r="D32" i="15"/>
  <c r="B32" i="15"/>
  <c r="D31" i="15"/>
  <c r="B31" i="15"/>
  <c r="F30" i="15"/>
  <c r="D30" i="15"/>
  <c r="B30" i="15"/>
  <c r="D29" i="15"/>
  <c r="B29" i="15"/>
  <c r="H28" i="15"/>
  <c r="G28" i="15"/>
  <c r="F28" i="15"/>
  <c r="E28" i="15"/>
  <c r="D28" i="15"/>
  <c r="B28" i="15"/>
  <c r="D27" i="15"/>
  <c r="B27" i="15"/>
  <c r="D26" i="15"/>
  <c r="B26" i="15"/>
  <c r="D25" i="15"/>
  <c r="B25" i="15"/>
  <c r="J24" i="15"/>
  <c r="I24" i="15"/>
  <c r="F24" i="15"/>
  <c r="D24" i="15"/>
  <c r="B24" i="15"/>
  <c r="D23" i="15"/>
  <c r="B23" i="15"/>
  <c r="D22" i="15"/>
  <c r="B22" i="15"/>
  <c r="B3" i="15"/>
  <c r="G8" i="14"/>
  <c r="C37" i="14"/>
  <c r="C49" i="13"/>
  <c r="B49" i="13"/>
  <c r="C48" i="13"/>
  <c r="B48" i="13"/>
  <c r="C47" i="13"/>
  <c r="B47" i="13"/>
  <c r="C46" i="13"/>
  <c r="B46" i="13"/>
  <c r="H39" i="13"/>
  <c r="G39" i="13"/>
  <c r="F39" i="13"/>
  <c r="D39" i="13"/>
  <c r="C39" i="13"/>
  <c r="B39" i="13"/>
  <c r="A39" i="13"/>
  <c r="H38" i="13"/>
  <c r="G38" i="13"/>
  <c r="F38" i="13"/>
  <c r="D38" i="13"/>
  <c r="C38" i="13"/>
  <c r="B38" i="13"/>
  <c r="A38" i="13"/>
  <c r="H37" i="13"/>
  <c r="G37" i="13"/>
  <c r="F37" i="13"/>
  <c r="D37" i="13"/>
  <c r="C37" i="13"/>
  <c r="B37" i="13"/>
  <c r="A37" i="13"/>
  <c r="H36" i="13"/>
  <c r="G36" i="13"/>
  <c r="F36" i="13"/>
  <c r="D36" i="13"/>
  <c r="C36" i="13"/>
  <c r="B36" i="13"/>
  <c r="A36" i="13"/>
  <c r="H35" i="13"/>
  <c r="G35" i="13"/>
  <c r="F35" i="13"/>
  <c r="D35" i="13"/>
  <c r="C35" i="13"/>
  <c r="B35" i="13"/>
  <c r="A35" i="13"/>
  <c r="H34" i="13"/>
  <c r="G34" i="13"/>
  <c r="F34" i="13"/>
  <c r="D34" i="13"/>
  <c r="C34" i="13"/>
  <c r="B34" i="13"/>
  <c r="A34" i="13"/>
  <c r="H33" i="13"/>
  <c r="G33" i="13"/>
  <c r="F33" i="13"/>
  <c r="D33" i="13"/>
  <c r="C33" i="13"/>
  <c r="B33" i="13"/>
  <c r="A33" i="13"/>
  <c r="H32" i="13"/>
  <c r="G32" i="13"/>
  <c r="F32" i="13"/>
  <c r="D32" i="13"/>
  <c r="C32" i="13"/>
  <c r="B32" i="13"/>
  <c r="A32" i="13"/>
  <c r="H31" i="13"/>
  <c r="G31" i="13"/>
  <c r="F31" i="13"/>
  <c r="D31" i="13"/>
  <c r="C31" i="13"/>
  <c r="B31" i="13"/>
  <c r="A31" i="13"/>
  <c r="H30" i="13"/>
  <c r="G30" i="13"/>
  <c r="F30" i="13"/>
  <c r="D30" i="13"/>
  <c r="C30" i="13"/>
  <c r="B30" i="13"/>
  <c r="A30" i="13"/>
  <c r="H29" i="13"/>
  <c r="G29" i="13"/>
  <c r="F29" i="13"/>
  <c r="D29" i="13"/>
  <c r="C29" i="13"/>
  <c r="B29" i="13"/>
  <c r="A29" i="13"/>
  <c r="H28" i="13"/>
  <c r="G28" i="13"/>
  <c r="F28" i="13"/>
  <c r="D28" i="13"/>
  <c r="C28" i="13"/>
  <c r="B28" i="13"/>
  <c r="A28" i="13"/>
  <c r="H27" i="13"/>
  <c r="G27" i="13"/>
  <c r="F27" i="13"/>
  <c r="D27" i="13"/>
  <c r="C27" i="13"/>
  <c r="B27" i="13"/>
  <c r="A27" i="13"/>
  <c r="H26" i="13"/>
  <c r="G26" i="13"/>
  <c r="F26" i="13"/>
  <c r="D26" i="13"/>
  <c r="C26" i="13"/>
  <c r="B26" i="13"/>
  <c r="A26" i="13"/>
  <c r="H25" i="13"/>
  <c r="G25" i="13"/>
  <c r="F25" i="13"/>
  <c r="D25" i="13"/>
  <c r="C25" i="13"/>
  <c r="B25" i="13"/>
  <c r="A25" i="13"/>
  <c r="H24" i="13"/>
  <c r="G24" i="13"/>
  <c r="F24" i="13"/>
  <c r="D24" i="13"/>
  <c r="C24" i="13"/>
  <c r="B24" i="13"/>
  <c r="A24" i="13"/>
  <c r="H23" i="13"/>
  <c r="G23" i="13"/>
  <c r="F23" i="13"/>
  <c r="D23" i="13"/>
  <c r="C23" i="13"/>
  <c r="B23" i="13"/>
  <c r="A23" i="13"/>
  <c r="H22" i="13"/>
  <c r="G22" i="13"/>
  <c r="F22" i="13"/>
  <c r="D22" i="13"/>
  <c r="C22" i="13"/>
  <c r="B22" i="13"/>
  <c r="A22" i="13"/>
  <c r="H21" i="13"/>
  <c r="G21" i="13"/>
  <c r="F21" i="13"/>
  <c r="D21" i="13"/>
  <c r="C21" i="13"/>
  <c r="B21" i="13"/>
  <c r="A21" i="13"/>
  <c r="H20" i="13"/>
  <c r="G20" i="13"/>
  <c r="F20" i="13"/>
  <c r="D20" i="13"/>
  <c r="C20" i="13"/>
  <c r="B20" i="13"/>
  <c r="A20" i="13"/>
  <c r="H19" i="13"/>
  <c r="G19" i="13"/>
  <c r="F19" i="13"/>
  <c r="D19" i="13"/>
  <c r="C19" i="13"/>
  <c r="B19" i="13"/>
  <c r="A19" i="13"/>
  <c r="H18" i="13"/>
  <c r="G18" i="13"/>
  <c r="F18" i="13"/>
  <c r="D18" i="13"/>
  <c r="C18" i="13"/>
  <c r="B18" i="13"/>
  <c r="A18" i="13"/>
  <c r="H17" i="13"/>
  <c r="G17" i="13"/>
  <c r="F17" i="13"/>
  <c r="D17" i="13"/>
  <c r="C17" i="13"/>
  <c r="B17" i="13"/>
  <c r="A17" i="13"/>
  <c r="H16" i="13"/>
  <c r="G16" i="13"/>
  <c r="F16" i="13"/>
  <c r="D16" i="13"/>
  <c r="C16" i="13"/>
  <c r="B16" i="13"/>
  <c r="A16" i="13"/>
  <c r="A11" i="13"/>
  <c r="E7" i="13"/>
  <c r="B3" i="13"/>
  <c r="D249" i="12"/>
  <c r="D248" i="12"/>
  <c r="D247" i="12"/>
  <c r="D244" i="12"/>
  <c r="O240" i="12"/>
  <c r="G240" i="12"/>
  <c r="E240" i="12"/>
  <c r="O239" i="12"/>
  <c r="G239" i="12"/>
  <c r="E239" i="12"/>
  <c r="O238" i="12"/>
  <c r="G238" i="12"/>
  <c r="E238" i="12"/>
  <c r="O237" i="12"/>
  <c r="G237" i="12"/>
  <c r="E237" i="12"/>
  <c r="O236" i="12"/>
  <c r="G236" i="12"/>
  <c r="E236" i="12"/>
  <c r="O235" i="12"/>
  <c r="G235" i="12"/>
  <c r="E235" i="12"/>
  <c r="O234" i="12"/>
  <c r="G234" i="12"/>
  <c r="E234" i="12"/>
  <c r="O233" i="12"/>
  <c r="G233" i="12"/>
  <c r="E233" i="12"/>
  <c r="O232" i="12"/>
  <c r="G232" i="12"/>
  <c r="E232" i="12"/>
  <c r="O231" i="12"/>
  <c r="G231" i="12"/>
  <c r="E231" i="12"/>
  <c r="O230" i="12"/>
  <c r="G230" i="12"/>
  <c r="E230" i="12"/>
  <c r="O229" i="12"/>
  <c r="G229" i="12"/>
  <c r="E229" i="12"/>
  <c r="O228" i="12"/>
  <c r="G228" i="12"/>
  <c r="E228" i="12"/>
  <c r="O227" i="12"/>
  <c r="G227" i="12"/>
  <c r="E227" i="12"/>
  <c r="O226" i="12"/>
  <c r="G226" i="12"/>
  <c r="E226" i="12"/>
  <c r="O225" i="12"/>
  <c r="G225" i="12"/>
  <c r="E225" i="12"/>
  <c r="O224" i="12"/>
  <c r="G224" i="12"/>
  <c r="E224" i="12"/>
  <c r="O223" i="12"/>
  <c r="G223" i="12"/>
  <c r="E223" i="12"/>
  <c r="O222" i="12"/>
  <c r="G222" i="12"/>
  <c r="E222" i="12"/>
  <c r="O221" i="12"/>
  <c r="G221" i="12"/>
  <c r="E221" i="12"/>
  <c r="O220" i="12"/>
  <c r="G220" i="12"/>
  <c r="E220" i="12"/>
  <c r="O219" i="12"/>
  <c r="G219" i="12"/>
  <c r="E219" i="12"/>
  <c r="O218" i="12"/>
  <c r="G218" i="12"/>
  <c r="E218" i="12"/>
  <c r="O217" i="12"/>
  <c r="G217" i="12"/>
  <c r="E217" i="12"/>
  <c r="O216" i="12"/>
  <c r="G216" i="12"/>
  <c r="E216" i="12"/>
  <c r="O215" i="12"/>
  <c r="G215" i="12"/>
  <c r="E215" i="12"/>
  <c r="O214" i="12"/>
  <c r="G214" i="12"/>
  <c r="E214" i="12"/>
  <c r="O213" i="12"/>
  <c r="G213" i="12"/>
  <c r="E213" i="12"/>
  <c r="O212" i="12"/>
  <c r="G212" i="12"/>
  <c r="E212" i="12"/>
  <c r="O211" i="12"/>
  <c r="G211" i="12"/>
  <c r="E211" i="12"/>
  <c r="O210" i="12"/>
  <c r="G210" i="12"/>
  <c r="E210" i="12"/>
  <c r="O209" i="12"/>
  <c r="G209" i="12"/>
  <c r="E209" i="12"/>
  <c r="O208" i="12"/>
  <c r="G208" i="12"/>
  <c r="E208" i="12"/>
  <c r="O207" i="12"/>
  <c r="G207" i="12"/>
  <c r="E207" i="12"/>
  <c r="O206" i="12"/>
  <c r="G206" i="12"/>
  <c r="E206" i="12"/>
  <c r="O205" i="12"/>
  <c r="G205" i="12"/>
  <c r="E205" i="12"/>
  <c r="O204" i="12"/>
  <c r="G204" i="12"/>
  <c r="E204" i="12"/>
  <c r="O203" i="12"/>
  <c r="G203" i="12"/>
  <c r="E203" i="12"/>
  <c r="O202" i="12"/>
  <c r="G202" i="12"/>
  <c r="E202" i="12"/>
  <c r="O201" i="12"/>
  <c r="G201" i="12"/>
  <c r="E201" i="12"/>
  <c r="O200" i="12"/>
  <c r="G200" i="12"/>
  <c r="E200" i="12"/>
  <c r="O199" i="12"/>
  <c r="G199" i="12"/>
  <c r="E199" i="12"/>
  <c r="O198" i="12"/>
  <c r="G198" i="12"/>
  <c r="E198" i="12"/>
  <c r="O197" i="12"/>
  <c r="G197" i="12"/>
  <c r="E197" i="12"/>
  <c r="O196" i="12"/>
  <c r="G196" i="12"/>
  <c r="E196" i="12"/>
  <c r="O195" i="12"/>
  <c r="G195" i="12"/>
  <c r="E195" i="12"/>
  <c r="O194" i="12"/>
  <c r="G194" i="12"/>
  <c r="E194" i="12"/>
  <c r="O193" i="12"/>
  <c r="G193" i="12"/>
  <c r="E193" i="12"/>
  <c r="O192" i="12"/>
  <c r="G192" i="12"/>
  <c r="E192" i="12"/>
  <c r="O191" i="12"/>
  <c r="G191" i="12"/>
  <c r="E191" i="12"/>
  <c r="O190" i="12"/>
  <c r="G190" i="12"/>
  <c r="E190" i="12"/>
  <c r="O189" i="12"/>
  <c r="G189" i="12"/>
  <c r="E189" i="12"/>
  <c r="O188" i="12"/>
  <c r="G188" i="12"/>
  <c r="E188" i="12"/>
  <c r="O187" i="12"/>
  <c r="G187" i="12"/>
  <c r="E187" i="12"/>
  <c r="O186" i="12"/>
  <c r="G186" i="12"/>
  <c r="E186" i="12"/>
  <c r="O185" i="12"/>
  <c r="G185" i="12"/>
  <c r="E185" i="12"/>
  <c r="O184" i="12"/>
  <c r="G184" i="12"/>
  <c r="E184" i="12"/>
  <c r="O183" i="12"/>
  <c r="G183" i="12"/>
  <c r="E183" i="12"/>
  <c r="O182" i="12"/>
  <c r="G182" i="12"/>
  <c r="E182" i="12"/>
  <c r="O181" i="12"/>
  <c r="G181" i="12"/>
  <c r="E181" i="12"/>
  <c r="O180" i="12"/>
  <c r="G180" i="12"/>
  <c r="E180" i="12"/>
  <c r="O179" i="12"/>
  <c r="G179" i="12"/>
  <c r="E179" i="12"/>
  <c r="O178" i="12"/>
  <c r="G178" i="12"/>
  <c r="E178" i="12"/>
  <c r="O177" i="12"/>
  <c r="G177" i="12"/>
  <c r="E177" i="12"/>
  <c r="O176" i="12"/>
  <c r="G176" i="12"/>
  <c r="E176" i="12"/>
  <c r="O175" i="12"/>
  <c r="G175" i="12"/>
  <c r="E175" i="12"/>
  <c r="O174" i="12"/>
  <c r="G174" i="12"/>
  <c r="E174" i="12"/>
  <c r="O173" i="12"/>
  <c r="G173" i="12"/>
  <c r="E173" i="12"/>
  <c r="O172" i="12"/>
  <c r="G172" i="12"/>
  <c r="E172" i="12"/>
  <c r="O171" i="12"/>
  <c r="G171" i="12"/>
  <c r="E171" i="12"/>
  <c r="O170" i="12"/>
  <c r="G170" i="12"/>
  <c r="E170" i="12"/>
  <c r="O169" i="12"/>
  <c r="G169" i="12"/>
  <c r="E169" i="12"/>
  <c r="O168" i="12"/>
  <c r="G168" i="12"/>
  <c r="E168" i="12"/>
  <c r="O167" i="12"/>
  <c r="G167" i="12"/>
  <c r="E167" i="12"/>
  <c r="O166" i="12"/>
  <c r="G166" i="12"/>
  <c r="E166" i="12"/>
  <c r="O165" i="12"/>
  <c r="G165" i="12"/>
  <c r="E165" i="12"/>
  <c r="O164" i="12"/>
  <c r="G164" i="12"/>
  <c r="E164" i="12"/>
  <c r="O163" i="12"/>
  <c r="G163" i="12"/>
  <c r="E163" i="12"/>
  <c r="O162" i="12"/>
  <c r="G162" i="12"/>
  <c r="E162" i="12"/>
  <c r="O161" i="12"/>
  <c r="G161" i="12"/>
  <c r="E161" i="12"/>
  <c r="O160" i="12"/>
  <c r="G160" i="12"/>
  <c r="E160" i="12"/>
  <c r="O159" i="12"/>
  <c r="G159" i="12"/>
  <c r="E159" i="12"/>
  <c r="O158" i="12"/>
  <c r="G158" i="12"/>
  <c r="E158" i="12"/>
  <c r="O157" i="12"/>
  <c r="G157" i="12"/>
  <c r="E157" i="12"/>
  <c r="O156" i="12"/>
  <c r="G156" i="12"/>
  <c r="E156" i="12"/>
  <c r="O155" i="12"/>
  <c r="G155" i="12"/>
  <c r="E155" i="12"/>
  <c r="O154" i="12"/>
  <c r="G154" i="12"/>
  <c r="E154" i="12"/>
  <c r="O153" i="12"/>
  <c r="G153" i="12"/>
  <c r="E153" i="12"/>
  <c r="O152" i="12"/>
  <c r="G152" i="12"/>
  <c r="E152" i="12"/>
  <c r="O151" i="12"/>
  <c r="G151" i="12"/>
  <c r="E151" i="12"/>
  <c r="O150" i="12"/>
  <c r="G150" i="12"/>
  <c r="E150" i="12"/>
  <c r="O149" i="12"/>
  <c r="G149" i="12"/>
  <c r="E149" i="12"/>
  <c r="O148" i="12"/>
  <c r="G148" i="12"/>
  <c r="E148" i="12"/>
  <c r="O147" i="12"/>
  <c r="G147" i="12"/>
  <c r="E147" i="12"/>
  <c r="O146" i="12"/>
  <c r="G146" i="12"/>
  <c r="E146" i="12"/>
  <c r="O145" i="12"/>
  <c r="G145" i="12"/>
  <c r="E145" i="12"/>
  <c r="O144" i="12"/>
  <c r="G144" i="12"/>
  <c r="E144" i="12"/>
  <c r="O143" i="12"/>
  <c r="G143" i="12"/>
  <c r="E143" i="12"/>
  <c r="O142" i="12"/>
  <c r="G142" i="12"/>
  <c r="E142" i="12"/>
  <c r="O141" i="12"/>
  <c r="G141" i="12"/>
  <c r="E141" i="12"/>
  <c r="O140" i="12"/>
  <c r="G140" i="12"/>
  <c r="E140" i="12"/>
  <c r="O139" i="12"/>
  <c r="G139" i="12"/>
  <c r="E139" i="12"/>
  <c r="O138" i="12"/>
  <c r="G138" i="12"/>
  <c r="E138" i="12"/>
  <c r="O137" i="12"/>
  <c r="G137" i="12"/>
  <c r="E137" i="12"/>
  <c r="O136" i="12"/>
  <c r="G136" i="12"/>
  <c r="E136" i="12"/>
  <c r="O135" i="12"/>
  <c r="G135" i="12"/>
  <c r="E135" i="12"/>
  <c r="O134" i="12"/>
  <c r="G134" i="12"/>
  <c r="E134" i="12"/>
  <c r="O133" i="12"/>
  <c r="G133" i="12"/>
  <c r="E133" i="12"/>
  <c r="O132" i="12"/>
  <c r="G132" i="12"/>
  <c r="E132" i="12"/>
  <c r="O131" i="12"/>
  <c r="G131" i="12"/>
  <c r="E131" i="12"/>
  <c r="O130" i="12"/>
  <c r="G130" i="12"/>
  <c r="E130" i="12"/>
  <c r="O129" i="12"/>
  <c r="G129" i="12"/>
  <c r="E129" i="12"/>
  <c r="O128" i="12"/>
  <c r="G128" i="12"/>
  <c r="E128" i="12"/>
  <c r="O127" i="12"/>
  <c r="G127" i="12"/>
  <c r="E127" i="12"/>
  <c r="O126" i="12"/>
  <c r="G126" i="12"/>
  <c r="E126" i="12"/>
  <c r="O125" i="12"/>
  <c r="G125" i="12"/>
  <c r="E125" i="12"/>
  <c r="O124" i="12"/>
  <c r="G124" i="12"/>
  <c r="E124" i="12"/>
  <c r="O123" i="12"/>
  <c r="G123" i="12"/>
  <c r="E123" i="12"/>
  <c r="O122" i="12"/>
  <c r="G122" i="12"/>
  <c r="E122" i="12"/>
  <c r="O121" i="12"/>
  <c r="G121" i="12"/>
  <c r="E121" i="12"/>
  <c r="O120" i="12"/>
  <c r="G120" i="12"/>
  <c r="E120" i="12"/>
  <c r="O119" i="12"/>
  <c r="G119" i="12"/>
  <c r="E119" i="12"/>
  <c r="O118" i="12"/>
  <c r="G118" i="12"/>
  <c r="E118" i="12"/>
  <c r="O117" i="12"/>
  <c r="G117" i="12"/>
  <c r="E117" i="12"/>
  <c r="O116" i="12"/>
  <c r="G116" i="12"/>
  <c r="E116" i="12"/>
  <c r="O115" i="12"/>
  <c r="G115" i="12"/>
  <c r="E115" i="12"/>
  <c r="O114" i="12"/>
  <c r="G114" i="12"/>
  <c r="E114" i="12"/>
  <c r="O113" i="12"/>
  <c r="G113" i="12"/>
  <c r="E113" i="12"/>
  <c r="O112" i="12"/>
  <c r="G112" i="12"/>
  <c r="E112" i="12"/>
  <c r="O111" i="12"/>
  <c r="G111" i="12"/>
  <c r="E111" i="12"/>
  <c r="O110" i="12"/>
  <c r="G110" i="12"/>
  <c r="E110" i="12"/>
  <c r="O109" i="12"/>
  <c r="G109" i="12"/>
  <c r="E109" i="12"/>
  <c r="O108" i="12"/>
  <c r="G108" i="12"/>
  <c r="E108" i="12"/>
  <c r="O107" i="12"/>
  <c r="G107" i="12"/>
  <c r="E107" i="12"/>
  <c r="O106" i="12"/>
  <c r="G106" i="12"/>
  <c r="E106" i="12"/>
  <c r="O105" i="12"/>
  <c r="G105" i="12"/>
  <c r="E105" i="12"/>
  <c r="O104" i="12"/>
  <c r="G104" i="12"/>
  <c r="E104" i="12"/>
  <c r="O103" i="12"/>
  <c r="G103" i="12"/>
  <c r="E103" i="12"/>
  <c r="O102" i="12"/>
  <c r="G102" i="12"/>
  <c r="E102" i="12"/>
  <c r="O101" i="12"/>
  <c r="G101" i="12"/>
  <c r="E101" i="12"/>
  <c r="O100" i="12"/>
  <c r="G100" i="12"/>
  <c r="E100" i="12"/>
  <c r="O99" i="12"/>
  <c r="G99" i="12"/>
  <c r="E99" i="12"/>
  <c r="O98" i="12"/>
  <c r="G98" i="12"/>
  <c r="E98" i="12"/>
  <c r="O97" i="12"/>
  <c r="G97" i="12"/>
  <c r="E97" i="12"/>
  <c r="O96" i="12"/>
  <c r="G96" i="12"/>
  <c r="E96" i="12"/>
  <c r="O95" i="12"/>
  <c r="G95" i="12"/>
  <c r="E95" i="12"/>
  <c r="O94" i="12"/>
  <c r="G94" i="12"/>
  <c r="E94" i="12"/>
  <c r="O93" i="12"/>
  <c r="G93" i="12"/>
  <c r="E93" i="12"/>
  <c r="O92" i="12"/>
  <c r="G92" i="12"/>
  <c r="E92" i="12"/>
  <c r="O91" i="12"/>
  <c r="G91" i="12"/>
  <c r="E91" i="12"/>
  <c r="O90" i="12"/>
  <c r="G90" i="12"/>
  <c r="E90" i="12"/>
  <c r="O89" i="12"/>
  <c r="G89" i="12"/>
  <c r="E89" i="12"/>
  <c r="O88" i="12"/>
  <c r="G88" i="12"/>
  <c r="E88" i="12"/>
  <c r="O87" i="12"/>
  <c r="G87" i="12"/>
  <c r="E87" i="12"/>
  <c r="O86" i="12"/>
  <c r="G86" i="12"/>
  <c r="E86" i="12"/>
  <c r="O85" i="12"/>
  <c r="G85" i="12"/>
  <c r="E85" i="12"/>
  <c r="O84" i="12"/>
  <c r="G84" i="12"/>
  <c r="E84" i="12"/>
  <c r="O83" i="12"/>
  <c r="G83" i="12"/>
  <c r="E83" i="12"/>
  <c r="O82" i="12"/>
  <c r="G82" i="12"/>
  <c r="E82" i="12"/>
  <c r="O81" i="12"/>
  <c r="G81" i="12"/>
  <c r="E81" i="12"/>
  <c r="O80" i="12"/>
  <c r="G80" i="12"/>
  <c r="E80" i="12"/>
  <c r="O79" i="12"/>
  <c r="G79" i="12"/>
  <c r="E79" i="12"/>
  <c r="O78" i="12"/>
  <c r="G78" i="12"/>
  <c r="E78" i="12"/>
  <c r="O77" i="12"/>
  <c r="G77" i="12"/>
  <c r="E77" i="12"/>
  <c r="O76" i="12"/>
  <c r="G76" i="12"/>
  <c r="E76" i="12"/>
  <c r="O75" i="12"/>
  <c r="G75" i="12"/>
  <c r="E75" i="12"/>
  <c r="O74" i="12"/>
  <c r="G74" i="12"/>
  <c r="E74" i="12"/>
  <c r="O73" i="12"/>
  <c r="G73" i="12"/>
  <c r="E73" i="12"/>
  <c r="O72" i="12"/>
  <c r="G72" i="12"/>
  <c r="E72" i="12"/>
  <c r="O71" i="12"/>
  <c r="G71" i="12"/>
  <c r="E71" i="12"/>
  <c r="O70" i="12"/>
  <c r="G70" i="12"/>
  <c r="E70" i="12"/>
  <c r="O69" i="12"/>
  <c r="G69" i="12"/>
  <c r="E69" i="12"/>
  <c r="O68" i="12"/>
  <c r="G68" i="12"/>
  <c r="E68" i="12"/>
  <c r="O67" i="12"/>
  <c r="G67" i="12"/>
  <c r="E67" i="12"/>
  <c r="O66" i="12"/>
  <c r="G66" i="12"/>
  <c r="E66" i="12"/>
  <c r="O65" i="12"/>
  <c r="G65" i="12"/>
  <c r="E65" i="12"/>
  <c r="O64" i="12"/>
  <c r="G64" i="12"/>
  <c r="E64" i="12"/>
  <c r="O63" i="12"/>
  <c r="G63" i="12"/>
  <c r="E63" i="12"/>
  <c r="O62" i="12"/>
  <c r="G62" i="12"/>
  <c r="E62" i="12"/>
  <c r="O61" i="12"/>
  <c r="G61" i="12"/>
  <c r="E61" i="12"/>
  <c r="O60" i="12"/>
  <c r="G60" i="12"/>
  <c r="E60" i="12"/>
  <c r="O59" i="12"/>
  <c r="G59" i="12"/>
  <c r="E59" i="12"/>
  <c r="O58" i="12"/>
  <c r="G58" i="12"/>
  <c r="E58" i="12"/>
  <c r="O57" i="12"/>
  <c r="G57" i="12"/>
  <c r="E57" i="12"/>
  <c r="O56" i="12"/>
  <c r="G56" i="12"/>
  <c r="E56" i="12"/>
  <c r="O55" i="12"/>
  <c r="G55" i="12"/>
  <c r="E55" i="12"/>
  <c r="O54" i="12"/>
  <c r="G54" i="12"/>
  <c r="E54" i="12"/>
  <c r="O53" i="12"/>
  <c r="G53" i="12"/>
  <c r="E53" i="12"/>
  <c r="O52" i="12"/>
  <c r="G52" i="12"/>
  <c r="E52" i="12"/>
  <c r="O51" i="12"/>
  <c r="G51" i="12"/>
  <c r="E51" i="12"/>
  <c r="O50" i="12"/>
  <c r="G50" i="12"/>
  <c r="E50" i="12"/>
  <c r="O49" i="12"/>
  <c r="G49" i="12"/>
  <c r="E49" i="12"/>
  <c r="O48" i="12"/>
  <c r="G48" i="12"/>
  <c r="E48" i="12"/>
  <c r="O47" i="12"/>
  <c r="G47" i="12"/>
  <c r="E47" i="12"/>
  <c r="O46" i="12"/>
  <c r="G46" i="12"/>
  <c r="E46" i="12"/>
  <c r="O45" i="12"/>
  <c r="G45" i="12"/>
  <c r="E45" i="12"/>
  <c r="O44" i="12"/>
  <c r="G44" i="12"/>
  <c r="E44" i="12"/>
  <c r="O43" i="12"/>
  <c r="G43" i="12"/>
  <c r="E43" i="12"/>
  <c r="O42" i="12"/>
  <c r="G42" i="12"/>
  <c r="E42" i="12"/>
  <c r="O41" i="12"/>
  <c r="G41" i="12"/>
  <c r="E41" i="12"/>
  <c r="O40" i="12"/>
  <c r="G40" i="12"/>
  <c r="E40" i="12"/>
  <c r="O39" i="12"/>
  <c r="G39" i="12"/>
  <c r="E39" i="12"/>
  <c r="O38" i="12"/>
  <c r="G38" i="12"/>
  <c r="E38" i="12"/>
  <c r="O37" i="12"/>
  <c r="G37" i="12"/>
  <c r="E37" i="12"/>
  <c r="O36" i="12"/>
  <c r="G36" i="12"/>
  <c r="E36" i="12"/>
  <c r="O35" i="12"/>
  <c r="G35" i="12"/>
  <c r="E35" i="12"/>
  <c r="O34" i="12"/>
  <c r="G34" i="12"/>
  <c r="E34" i="12"/>
  <c r="O33" i="12"/>
  <c r="G33" i="12"/>
  <c r="E33" i="12"/>
  <c r="O32" i="12"/>
  <c r="G32" i="12"/>
  <c r="E32" i="12"/>
  <c r="O31" i="12"/>
  <c r="G31" i="12"/>
  <c r="E31" i="12"/>
  <c r="O30" i="12"/>
  <c r="G30" i="12"/>
  <c r="E30" i="12"/>
  <c r="O29" i="12"/>
  <c r="G29" i="12"/>
  <c r="E29" i="12"/>
  <c r="O28" i="12"/>
  <c r="G28" i="12"/>
  <c r="E28" i="12"/>
  <c r="O27" i="12"/>
  <c r="G27" i="12"/>
  <c r="E27" i="12"/>
  <c r="O26" i="12"/>
  <c r="G26" i="12"/>
  <c r="E26" i="12"/>
  <c r="O25" i="12"/>
  <c r="G25" i="12"/>
  <c r="E25" i="12"/>
  <c r="O24" i="12"/>
  <c r="G24" i="12"/>
  <c r="E24" i="12"/>
  <c r="O23" i="12"/>
  <c r="G23" i="12"/>
  <c r="E23" i="12"/>
  <c r="O22" i="12"/>
  <c r="G22" i="12"/>
  <c r="E22" i="12"/>
  <c r="O21" i="12"/>
  <c r="G21" i="12"/>
  <c r="E21" i="12"/>
  <c r="O20" i="12"/>
  <c r="G20" i="12"/>
  <c r="E20" i="12"/>
  <c r="O19" i="12"/>
  <c r="G19" i="12"/>
  <c r="E19" i="12"/>
  <c r="O18" i="12"/>
  <c r="G18" i="12"/>
  <c r="E18" i="12"/>
  <c r="O17" i="12"/>
  <c r="G17" i="12"/>
  <c r="E17" i="12"/>
  <c r="O16" i="12"/>
  <c r="G16" i="12"/>
  <c r="E16" i="12"/>
  <c r="O15" i="12"/>
  <c r="G15" i="12"/>
  <c r="E15" i="12"/>
  <c r="O14" i="12"/>
  <c r="G14" i="12"/>
  <c r="E14" i="12"/>
  <c r="O13" i="12"/>
  <c r="G13" i="12"/>
  <c r="E13" i="12"/>
  <c r="O12" i="12"/>
  <c r="G12" i="12"/>
  <c r="E12" i="12"/>
  <c r="O11" i="12"/>
  <c r="G11" i="12"/>
  <c r="E11" i="12"/>
  <c r="O10" i="12"/>
  <c r="G10" i="12"/>
  <c r="E10" i="12"/>
  <c r="O9" i="12"/>
  <c r="G9" i="12"/>
  <c r="E9" i="12"/>
  <c r="D117" i="11"/>
  <c r="D116" i="11"/>
  <c r="D115" i="11"/>
  <c r="J111" i="11"/>
  <c r="H111" i="11"/>
  <c r="F111" i="11"/>
  <c r="G111" i="11" s="1"/>
  <c r="E111" i="11"/>
  <c r="N110" i="11"/>
  <c r="J110" i="11"/>
  <c r="F110" i="11"/>
  <c r="H110" i="11" s="1"/>
  <c r="E110" i="11"/>
  <c r="J109" i="11"/>
  <c r="F109" i="11"/>
  <c r="E109" i="11"/>
  <c r="J108" i="11"/>
  <c r="F108" i="11"/>
  <c r="E108" i="11"/>
  <c r="J107" i="11"/>
  <c r="F107" i="11"/>
  <c r="E107" i="11"/>
  <c r="J106" i="11"/>
  <c r="F106" i="11"/>
  <c r="E106" i="11"/>
  <c r="J105" i="11"/>
  <c r="H105" i="11"/>
  <c r="F105" i="11"/>
  <c r="N105" i="11" s="1"/>
  <c r="E105" i="11"/>
  <c r="J104" i="11"/>
  <c r="F104" i="11"/>
  <c r="E104" i="11"/>
  <c r="J103" i="11"/>
  <c r="F103" i="11"/>
  <c r="N103" i="11" s="1"/>
  <c r="E103" i="11"/>
  <c r="J102" i="11"/>
  <c r="F102" i="11"/>
  <c r="N102" i="11" s="1"/>
  <c r="E102" i="11"/>
  <c r="J101" i="11"/>
  <c r="F101" i="11"/>
  <c r="G101" i="11" s="1"/>
  <c r="E101" i="11"/>
  <c r="J100" i="11"/>
  <c r="F100" i="11"/>
  <c r="E100" i="11"/>
  <c r="J99" i="11"/>
  <c r="F99" i="11"/>
  <c r="H99" i="11" s="1"/>
  <c r="E99" i="11"/>
  <c r="J98" i="11"/>
  <c r="F98" i="11"/>
  <c r="H98" i="11" s="1"/>
  <c r="E98" i="11"/>
  <c r="J97" i="11"/>
  <c r="F97" i="11"/>
  <c r="N97" i="11" s="1"/>
  <c r="E97" i="11"/>
  <c r="J96" i="11"/>
  <c r="F96" i="11"/>
  <c r="E96" i="11"/>
  <c r="J95" i="11"/>
  <c r="F95" i="11"/>
  <c r="H95" i="11" s="1"/>
  <c r="E95" i="11"/>
  <c r="J94" i="11"/>
  <c r="F94" i="11"/>
  <c r="H94" i="11" s="1"/>
  <c r="E94" i="11"/>
  <c r="J93" i="11"/>
  <c r="F93" i="11"/>
  <c r="N93" i="11" s="1"/>
  <c r="E93" i="11"/>
  <c r="J92" i="11"/>
  <c r="F92" i="11"/>
  <c r="G92" i="11" s="1"/>
  <c r="E92" i="11"/>
  <c r="J91" i="11"/>
  <c r="F91" i="11"/>
  <c r="G91" i="11" s="1"/>
  <c r="E91" i="11"/>
  <c r="J90" i="11"/>
  <c r="G90" i="11"/>
  <c r="F90" i="11"/>
  <c r="N90" i="11" s="1"/>
  <c r="E90" i="11"/>
  <c r="J89" i="11"/>
  <c r="F89" i="11"/>
  <c r="N89" i="11" s="1"/>
  <c r="E89" i="11"/>
  <c r="J88" i="11"/>
  <c r="F88" i="11"/>
  <c r="H88" i="11" s="1"/>
  <c r="E88" i="11"/>
  <c r="J87" i="11"/>
  <c r="F87" i="11"/>
  <c r="N87" i="11" s="1"/>
  <c r="E87" i="11"/>
  <c r="J86" i="11"/>
  <c r="F86" i="11"/>
  <c r="N86" i="11" s="1"/>
  <c r="E86" i="11"/>
  <c r="J85" i="11"/>
  <c r="F85" i="11"/>
  <c r="G85" i="11" s="1"/>
  <c r="E85" i="11"/>
  <c r="J84" i="11"/>
  <c r="F84" i="11"/>
  <c r="H84" i="11" s="1"/>
  <c r="E84" i="11"/>
  <c r="J83" i="11"/>
  <c r="F83" i="11"/>
  <c r="N83" i="11" s="1"/>
  <c r="E83" i="11"/>
  <c r="J82" i="11"/>
  <c r="F82" i="11"/>
  <c r="E82" i="11"/>
  <c r="J81" i="11"/>
  <c r="F81" i="11"/>
  <c r="E81" i="11"/>
  <c r="J80" i="11"/>
  <c r="F80" i="11"/>
  <c r="N80" i="11" s="1"/>
  <c r="E80" i="11"/>
  <c r="J79" i="11"/>
  <c r="F79" i="11"/>
  <c r="N79" i="11" s="1"/>
  <c r="E79" i="11"/>
  <c r="J78" i="11"/>
  <c r="F78" i="11"/>
  <c r="N78" i="11" s="1"/>
  <c r="E78" i="11"/>
  <c r="J77" i="11"/>
  <c r="H77" i="11"/>
  <c r="F77" i="11"/>
  <c r="N77" i="11" s="1"/>
  <c r="E77" i="11"/>
  <c r="J76" i="11"/>
  <c r="F76" i="11"/>
  <c r="G76" i="11" s="1"/>
  <c r="E76" i="11"/>
  <c r="J75" i="11"/>
  <c r="F75" i="11"/>
  <c r="E75" i="11"/>
  <c r="J74" i="11"/>
  <c r="F74" i="11"/>
  <c r="H74" i="11" s="1"/>
  <c r="E74" i="11"/>
  <c r="J73" i="11"/>
  <c r="F73" i="11"/>
  <c r="N73" i="11" s="1"/>
  <c r="E73" i="11"/>
  <c r="J72" i="11"/>
  <c r="F72" i="11"/>
  <c r="N72" i="11" s="1"/>
  <c r="E72" i="11"/>
  <c r="J71" i="11"/>
  <c r="F71" i="11"/>
  <c r="N71" i="11" s="1"/>
  <c r="E71" i="11"/>
  <c r="J70" i="11"/>
  <c r="F70" i="11"/>
  <c r="G70" i="11" s="1"/>
  <c r="E70" i="11"/>
  <c r="J69" i="11"/>
  <c r="G69" i="11"/>
  <c r="F69" i="11"/>
  <c r="E69" i="11"/>
  <c r="J68" i="11"/>
  <c r="F68" i="11"/>
  <c r="H68" i="11" s="1"/>
  <c r="E68" i="11"/>
  <c r="J67" i="11"/>
  <c r="F67" i="11"/>
  <c r="N67" i="11" s="1"/>
  <c r="E67" i="11"/>
  <c r="J66" i="11"/>
  <c r="F66" i="11"/>
  <c r="E66" i="11"/>
  <c r="J65" i="11"/>
  <c r="F65" i="11"/>
  <c r="N65" i="11" s="1"/>
  <c r="E65" i="11"/>
  <c r="J64" i="11"/>
  <c r="F64" i="11"/>
  <c r="E64" i="11"/>
  <c r="J63" i="11"/>
  <c r="F63" i="11"/>
  <c r="G63" i="11" s="1"/>
  <c r="E63" i="11"/>
  <c r="J62" i="11"/>
  <c r="F62" i="11"/>
  <c r="N62" i="11" s="1"/>
  <c r="E62" i="11"/>
  <c r="J61" i="11"/>
  <c r="F61" i="11"/>
  <c r="E61" i="11"/>
  <c r="J60" i="11"/>
  <c r="F60" i="11"/>
  <c r="G60" i="11" s="1"/>
  <c r="E60" i="11"/>
  <c r="J59" i="11"/>
  <c r="F59" i="11"/>
  <c r="G59" i="11" s="1"/>
  <c r="E59" i="11"/>
  <c r="J58" i="11"/>
  <c r="F58" i="11"/>
  <c r="E58" i="11"/>
  <c r="N57" i="11"/>
  <c r="J57" i="11"/>
  <c r="G57" i="11"/>
  <c r="F57" i="11"/>
  <c r="H57" i="11" s="1"/>
  <c r="E57" i="11"/>
  <c r="J56" i="11"/>
  <c r="F56" i="11"/>
  <c r="N56" i="11" s="1"/>
  <c r="E56" i="11"/>
  <c r="J55" i="11"/>
  <c r="F55" i="11"/>
  <c r="N55" i="11" s="1"/>
  <c r="E55" i="11"/>
  <c r="J54" i="11"/>
  <c r="F54" i="11"/>
  <c r="N54" i="11" s="1"/>
  <c r="E54" i="11"/>
  <c r="J53" i="11"/>
  <c r="F53" i="11"/>
  <c r="H53" i="11" s="1"/>
  <c r="E53" i="11"/>
  <c r="J52" i="11"/>
  <c r="F52" i="11"/>
  <c r="N52" i="11" s="1"/>
  <c r="E52" i="11"/>
  <c r="J51" i="11"/>
  <c r="H51" i="11"/>
  <c r="G51" i="11"/>
  <c r="F51" i="11"/>
  <c r="N51" i="11" s="1"/>
  <c r="E51" i="11"/>
  <c r="J50" i="11"/>
  <c r="F50" i="11"/>
  <c r="H50" i="11" s="1"/>
  <c r="E50" i="11"/>
  <c r="J49" i="11"/>
  <c r="F49" i="11"/>
  <c r="G49" i="11" s="1"/>
  <c r="E49" i="11"/>
  <c r="J48" i="11"/>
  <c r="F48" i="11"/>
  <c r="G48" i="11" s="1"/>
  <c r="E48" i="11"/>
  <c r="J47" i="11"/>
  <c r="F47" i="11"/>
  <c r="H47" i="11" s="1"/>
  <c r="E47" i="11"/>
  <c r="J46" i="11"/>
  <c r="F46" i="11"/>
  <c r="N46" i="11" s="1"/>
  <c r="E46" i="11"/>
  <c r="J45" i="11"/>
  <c r="F45" i="11"/>
  <c r="N45" i="11" s="1"/>
  <c r="E45" i="11"/>
  <c r="J44" i="11"/>
  <c r="F44" i="11"/>
  <c r="G44" i="11" s="1"/>
  <c r="E44" i="11"/>
  <c r="J43" i="11"/>
  <c r="F43" i="11"/>
  <c r="E43" i="11"/>
  <c r="J42" i="11"/>
  <c r="F42" i="11"/>
  <c r="H42" i="11" s="1"/>
  <c r="E42" i="11"/>
  <c r="J41" i="11"/>
  <c r="F41" i="11"/>
  <c r="H41" i="11" s="1"/>
  <c r="E41" i="11"/>
  <c r="J40" i="11"/>
  <c r="F40" i="11"/>
  <c r="N40" i="11" s="1"/>
  <c r="E40" i="11"/>
  <c r="J39" i="11"/>
  <c r="F39" i="11"/>
  <c r="E39" i="11"/>
  <c r="J38" i="11"/>
  <c r="F38" i="11"/>
  <c r="G38" i="11" s="1"/>
  <c r="E38" i="11"/>
  <c r="J37" i="11"/>
  <c r="F37" i="11"/>
  <c r="E37" i="11"/>
  <c r="J36" i="11"/>
  <c r="F36" i="11"/>
  <c r="N36" i="11" s="1"/>
  <c r="E36" i="11"/>
  <c r="J35" i="11"/>
  <c r="F35" i="11"/>
  <c r="H35" i="11" s="1"/>
  <c r="E35" i="11"/>
  <c r="J34" i="11"/>
  <c r="F34" i="11"/>
  <c r="H34" i="11" s="1"/>
  <c r="E34" i="11"/>
  <c r="J33" i="11"/>
  <c r="F33" i="11"/>
  <c r="N33" i="11" s="1"/>
  <c r="E33" i="11"/>
  <c r="J32" i="11"/>
  <c r="F32" i="11"/>
  <c r="N32" i="11" s="1"/>
  <c r="E32" i="11"/>
  <c r="J31" i="11"/>
  <c r="F31" i="11"/>
  <c r="N31" i="11" s="1"/>
  <c r="E31" i="11"/>
  <c r="J30" i="11"/>
  <c r="F30" i="11"/>
  <c r="N30" i="11" s="1"/>
  <c r="E30" i="11"/>
  <c r="J29" i="11"/>
  <c r="F29" i="11"/>
  <c r="G29" i="11" s="1"/>
  <c r="E29" i="11"/>
  <c r="J28" i="11"/>
  <c r="F28" i="11"/>
  <c r="H28" i="11" s="1"/>
  <c r="E28" i="11"/>
  <c r="J27" i="11"/>
  <c r="F27" i="11"/>
  <c r="E27" i="11"/>
  <c r="J26" i="11"/>
  <c r="F26" i="11"/>
  <c r="G26" i="11" s="1"/>
  <c r="E26" i="11"/>
  <c r="J25" i="11"/>
  <c r="F25" i="11"/>
  <c r="H25" i="11" s="1"/>
  <c r="E25" i="11"/>
  <c r="J24" i="11"/>
  <c r="F24" i="11"/>
  <c r="G24" i="11" s="1"/>
  <c r="E24" i="11"/>
  <c r="J23" i="11"/>
  <c r="F23" i="11"/>
  <c r="H23" i="11" s="1"/>
  <c r="E23" i="11"/>
  <c r="J22" i="11"/>
  <c r="F22" i="11"/>
  <c r="H22" i="11" s="1"/>
  <c r="E22" i="11"/>
  <c r="N21" i="11"/>
  <c r="J21" i="11"/>
  <c r="F21" i="11"/>
  <c r="H21" i="11" s="1"/>
  <c r="E21" i="11"/>
  <c r="N20" i="11"/>
  <c r="J20" i="11"/>
  <c r="F20" i="11"/>
  <c r="H20" i="11" s="1"/>
  <c r="E20" i="11"/>
  <c r="J19" i="11"/>
  <c r="F19" i="11"/>
  <c r="H19" i="11" s="1"/>
  <c r="E19" i="11"/>
  <c r="J18" i="11"/>
  <c r="F18" i="11"/>
  <c r="N18" i="11" s="1"/>
  <c r="E18" i="11"/>
  <c r="J17" i="11"/>
  <c r="F17" i="11"/>
  <c r="N17" i="11" s="1"/>
  <c r="E17" i="11"/>
  <c r="J16" i="11"/>
  <c r="F16" i="11"/>
  <c r="H16" i="11" s="1"/>
  <c r="E16" i="11"/>
  <c r="J15" i="11"/>
  <c r="F15" i="11"/>
  <c r="H15" i="11" s="1"/>
  <c r="E15" i="11"/>
  <c r="J14" i="11"/>
  <c r="H14" i="11"/>
  <c r="F14" i="11"/>
  <c r="G14" i="11" s="1"/>
  <c r="E14" i="11"/>
  <c r="J13" i="11"/>
  <c r="H13" i="11"/>
  <c r="F13" i="11"/>
  <c r="N13" i="11" s="1"/>
  <c r="E13" i="11"/>
  <c r="J12" i="11"/>
  <c r="F12" i="11"/>
  <c r="G12" i="11" s="1"/>
  <c r="E12" i="11"/>
  <c r="J11" i="11"/>
  <c r="F11" i="11"/>
  <c r="E11" i="11"/>
  <c r="J10" i="11"/>
  <c r="F10" i="11"/>
  <c r="G10" i="11" s="1"/>
  <c r="E10" i="11"/>
  <c r="J9" i="11"/>
  <c r="F9" i="11"/>
  <c r="G9" i="11" s="1"/>
  <c r="E9" i="11"/>
  <c r="B457" i="10"/>
  <c r="B450" i="10"/>
  <c r="B440" i="10"/>
  <c r="G436" i="10"/>
  <c r="E436" i="10"/>
  <c r="D436" i="10"/>
  <c r="G435" i="10"/>
  <c r="E435" i="10"/>
  <c r="D435" i="10"/>
  <c r="G434" i="10"/>
  <c r="E434" i="10"/>
  <c r="D434" i="10"/>
  <c r="G433" i="10"/>
  <c r="E433" i="10"/>
  <c r="D433" i="10"/>
  <c r="G432" i="10"/>
  <c r="E432" i="10"/>
  <c r="D432" i="10"/>
  <c r="G431" i="10"/>
  <c r="E431" i="10"/>
  <c r="D431" i="10"/>
  <c r="G430" i="10"/>
  <c r="E430" i="10"/>
  <c r="D430" i="10"/>
  <c r="G429" i="10"/>
  <c r="E429" i="10"/>
  <c r="D429" i="10"/>
  <c r="G428" i="10"/>
  <c r="E428" i="10"/>
  <c r="D428" i="10"/>
  <c r="G427" i="10"/>
  <c r="E427" i="10"/>
  <c r="D427" i="10"/>
  <c r="G426" i="10"/>
  <c r="E426" i="10"/>
  <c r="D426" i="10"/>
  <c r="G425" i="10"/>
  <c r="E425" i="10"/>
  <c r="D425" i="10"/>
  <c r="G424" i="10"/>
  <c r="E424" i="10"/>
  <c r="D424" i="10"/>
  <c r="G423" i="10"/>
  <c r="E423" i="10"/>
  <c r="D423" i="10"/>
  <c r="G422" i="10"/>
  <c r="E422" i="10"/>
  <c r="D422" i="10"/>
  <c r="G421" i="10"/>
  <c r="E421" i="10"/>
  <c r="D421" i="10"/>
  <c r="G420" i="10"/>
  <c r="E420" i="10"/>
  <c r="D420" i="10"/>
  <c r="G419" i="10"/>
  <c r="E419" i="10"/>
  <c r="D419" i="10"/>
  <c r="G418" i="10"/>
  <c r="E418" i="10"/>
  <c r="D418" i="10"/>
  <c r="G417" i="10"/>
  <c r="E417" i="10"/>
  <c r="D417" i="10"/>
  <c r="G416" i="10"/>
  <c r="E416" i="10"/>
  <c r="D416" i="10"/>
  <c r="G415" i="10"/>
  <c r="E415" i="10"/>
  <c r="D415" i="10"/>
  <c r="G414" i="10"/>
  <c r="E414" i="10"/>
  <c r="D414" i="10"/>
  <c r="G413" i="10"/>
  <c r="E413" i="10"/>
  <c r="D413" i="10"/>
  <c r="G412" i="10"/>
  <c r="E412" i="10"/>
  <c r="D412" i="10"/>
  <c r="G411" i="10"/>
  <c r="E411" i="10"/>
  <c r="D411" i="10"/>
  <c r="G410" i="10"/>
  <c r="E410" i="10"/>
  <c r="D410" i="10"/>
  <c r="G409" i="10"/>
  <c r="E409" i="10"/>
  <c r="D409" i="10"/>
  <c r="G408" i="10"/>
  <c r="E408" i="10"/>
  <c r="D408" i="10"/>
  <c r="G407" i="10"/>
  <c r="E407" i="10"/>
  <c r="D407" i="10"/>
  <c r="G406" i="10"/>
  <c r="E406" i="10"/>
  <c r="D406" i="10"/>
  <c r="G405" i="10"/>
  <c r="E405" i="10"/>
  <c r="D405" i="10"/>
  <c r="G404" i="10"/>
  <c r="E404" i="10"/>
  <c r="D404" i="10"/>
  <c r="G403" i="10"/>
  <c r="E403" i="10"/>
  <c r="D403" i="10"/>
  <c r="G402" i="10"/>
  <c r="E402" i="10"/>
  <c r="D402" i="10"/>
  <c r="G401" i="10"/>
  <c r="E401" i="10"/>
  <c r="D401" i="10"/>
  <c r="G400" i="10"/>
  <c r="E400" i="10"/>
  <c r="D400" i="10"/>
  <c r="G399" i="10"/>
  <c r="E399" i="10"/>
  <c r="D399" i="10"/>
  <c r="G398" i="10"/>
  <c r="E398" i="10"/>
  <c r="D398" i="10"/>
  <c r="G397" i="10"/>
  <c r="E397" i="10"/>
  <c r="D397" i="10"/>
  <c r="G396" i="10"/>
  <c r="E396" i="10"/>
  <c r="D396" i="10"/>
  <c r="G395" i="10"/>
  <c r="E395" i="10"/>
  <c r="D395" i="10"/>
  <c r="G394" i="10"/>
  <c r="E394" i="10"/>
  <c r="D394" i="10"/>
  <c r="G393" i="10"/>
  <c r="E393" i="10"/>
  <c r="D393" i="10"/>
  <c r="G392" i="10"/>
  <c r="E392" i="10"/>
  <c r="D392" i="10"/>
  <c r="G391" i="10"/>
  <c r="E391" i="10"/>
  <c r="D391" i="10"/>
  <c r="G390" i="10"/>
  <c r="E390" i="10"/>
  <c r="D390" i="10"/>
  <c r="G389" i="10"/>
  <c r="E389" i="10"/>
  <c r="D389" i="10"/>
  <c r="G388" i="10"/>
  <c r="E388" i="10"/>
  <c r="D388" i="10"/>
  <c r="G387" i="10"/>
  <c r="E387" i="10"/>
  <c r="D387" i="10"/>
  <c r="G386" i="10"/>
  <c r="E386" i="10"/>
  <c r="D386" i="10"/>
  <c r="G385" i="10"/>
  <c r="E385" i="10"/>
  <c r="D385" i="10"/>
  <c r="G384" i="10"/>
  <c r="E384" i="10"/>
  <c r="D384" i="10"/>
  <c r="G383" i="10"/>
  <c r="E383" i="10"/>
  <c r="D383" i="10"/>
  <c r="G382" i="10"/>
  <c r="E382" i="10"/>
  <c r="D382" i="10"/>
  <c r="G381" i="10"/>
  <c r="E381" i="10"/>
  <c r="D381" i="10"/>
  <c r="G380" i="10"/>
  <c r="E380" i="10"/>
  <c r="D380" i="10"/>
  <c r="G379" i="10"/>
  <c r="E379" i="10"/>
  <c r="D379" i="10"/>
  <c r="G378" i="10"/>
  <c r="E378" i="10"/>
  <c r="D378" i="10"/>
  <c r="G377" i="10"/>
  <c r="E377" i="10"/>
  <c r="D377" i="10"/>
  <c r="G376" i="10"/>
  <c r="E376" i="10"/>
  <c r="D376" i="10"/>
  <c r="G375" i="10"/>
  <c r="E375" i="10"/>
  <c r="D375" i="10"/>
  <c r="G374" i="10"/>
  <c r="E374" i="10"/>
  <c r="D374" i="10"/>
  <c r="G373" i="10"/>
  <c r="E373" i="10"/>
  <c r="D373" i="10"/>
  <c r="G372" i="10"/>
  <c r="E372" i="10"/>
  <c r="D372" i="10"/>
  <c r="G371" i="10"/>
  <c r="E371" i="10"/>
  <c r="D371" i="10"/>
  <c r="G370" i="10"/>
  <c r="E370" i="10"/>
  <c r="D370" i="10"/>
  <c r="G369" i="10"/>
  <c r="E369" i="10"/>
  <c r="D369" i="10"/>
  <c r="G368" i="10"/>
  <c r="E368" i="10"/>
  <c r="D368" i="10"/>
  <c r="G367" i="10"/>
  <c r="E367" i="10"/>
  <c r="D367" i="10"/>
  <c r="G366" i="10"/>
  <c r="E366" i="10"/>
  <c r="D366" i="10"/>
  <c r="G365" i="10"/>
  <c r="E365" i="10"/>
  <c r="D365" i="10"/>
  <c r="G364" i="10"/>
  <c r="E364" i="10"/>
  <c r="D364" i="10"/>
  <c r="G363" i="10"/>
  <c r="E363" i="10"/>
  <c r="D363" i="10"/>
  <c r="G362" i="10"/>
  <c r="E362" i="10"/>
  <c r="D362" i="10"/>
  <c r="G361" i="10"/>
  <c r="E361" i="10"/>
  <c r="D361" i="10"/>
  <c r="G360" i="10"/>
  <c r="E360" i="10"/>
  <c r="D360" i="10"/>
  <c r="G359" i="10"/>
  <c r="E359" i="10"/>
  <c r="D359" i="10"/>
  <c r="G358" i="10"/>
  <c r="E358" i="10"/>
  <c r="D358" i="10"/>
  <c r="G357" i="10"/>
  <c r="E357" i="10"/>
  <c r="D357" i="10"/>
  <c r="G356" i="10"/>
  <c r="E356" i="10"/>
  <c r="D356" i="10"/>
  <c r="G355" i="10"/>
  <c r="E355" i="10"/>
  <c r="D355" i="10"/>
  <c r="G354" i="10"/>
  <c r="E354" i="10"/>
  <c r="D354" i="10"/>
  <c r="G353" i="10"/>
  <c r="E353" i="10"/>
  <c r="D353" i="10"/>
  <c r="G352" i="10"/>
  <c r="E352" i="10"/>
  <c r="D352" i="10"/>
  <c r="G351" i="10"/>
  <c r="E351" i="10"/>
  <c r="D351" i="10"/>
  <c r="G350" i="10"/>
  <c r="E350" i="10"/>
  <c r="D350" i="10"/>
  <c r="G349" i="10"/>
  <c r="E349" i="10"/>
  <c r="D349" i="10"/>
  <c r="G348" i="10"/>
  <c r="E348" i="10"/>
  <c r="D348" i="10"/>
  <c r="G347" i="10"/>
  <c r="E347" i="10"/>
  <c r="D347" i="10"/>
  <c r="G346" i="10"/>
  <c r="E346" i="10"/>
  <c r="D346" i="10"/>
  <c r="G345" i="10"/>
  <c r="E345" i="10"/>
  <c r="D345" i="10"/>
  <c r="G344" i="10"/>
  <c r="E344" i="10"/>
  <c r="D344" i="10"/>
  <c r="G343" i="10"/>
  <c r="E343" i="10"/>
  <c r="D343" i="10"/>
  <c r="G342" i="10"/>
  <c r="E342" i="10"/>
  <c r="D342" i="10"/>
  <c r="G341" i="10"/>
  <c r="E341" i="10"/>
  <c r="D341" i="10"/>
  <c r="G340" i="10"/>
  <c r="E340" i="10"/>
  <c r="D340" i="10"/>
  <c r="G339" i="10"/>
  <c r="E339" i="10"/>
  <c r="D339" i="10"/>
  <c r="G338" i="10"/>
  <c r="E338" i="10"/>
  <c r="D338" i="10"/>
  <c r="G337" i="10"/>
  <c r="E337" i="10"/>
  <c r="D337" i="10"/>
  <c r="G336" i="10"/>
  <c r="E336" i="10"/>
  <c r="D336" i="10"/>
  <c r="G335" i="10"/>
  <c r="E335" i="10"/>
  <c r="D335" i="10"/>
  <c r="G334" i="10"/>
  <c r="E334" i="10"/>
  <c r="D334" i="10"/>
  <c r="G333" i="10"/>
  <c r="E333" i="10"/>
  <c r="D333" i="10"/>
  <c r="G332" i="10"/>
  <c r="E332" i="10"/>
  <c r="D332" i="10"/>
  <c r="G331" i="10"/>
  <c r="E331" i="10"/>
  <c r="D331" i="10"/>
  <c r="G330" i="10"/>
  <c r="E330" i="10"/>
  <c r="D330" i="10"/>
  <c r="G329" i="10"/>
  <c r="E329" i="10"/>
  <c r="D329" i="10"/>
  <c r="G328" i="10"/>
  <c r="E328" i="10"/>
  <c r="D328" i="10"/>
  <c r="G327" i="10"/>
  <c r="E327" i="10"/>
  <c r="D327" i="10"/>
  <c r="G326" i="10"/>
  <c r="E326" i="10"/>
  <c r="D326" i="10"/>
  <c r="G325" i="10"/>
  <c r="E325" i="10"/>
  <c r="D325" i="10"/>
  <c r="G324" i="10"/>
  <c r="E324" i="10"/>
  <c r="D324" i="10"/>
  <c r="G323" i="10"/>
  <c r="E323" i="10"/>
  <c r="D323" i="10"/>
  <c r="G322" i="10"/>
  <c r="E322" i="10"/>
  <c r="D322" i="10"/>
  <c r="G321" i="10"/>
  <c r="E321" i="10"/>
  <c r="D321" i="10"/>
  <c r="G320" i="10"/>
  <c r="E320" i="10"/>
  <c r="D320" i="10"/>
  <c r="G319" i="10"/>
  <c r="E319" i="10"/>
  <c r="D319" i="10"/>
  <c r="G318" i="10"/>
  <c r="E318" i="10"/>
  <c r="D318" i="10"/>
  <c r="G317" i="10"/>
  <c r="E317" i="10"/>
  <c r="D317" i="10"/>
  <c r="G316" i="10"/>
  <c r="E316" i="10"/>
  <c r="D316" i="10"/>
  <c r="G315" i="10"/>
  <c r="E315" i="10"/>
  <c r="D315" i="10"/>
  <c r="G314" i="10"/>
  <c r="E314" i="10"/>
  <c r="D314" i="10"/>
  <c r="G313" i="10"/>
  <c r="E313" i="10"/>
  <c r="D313" i="10"/>
  <c r="G312" i="10"/>
  <c r="E312" i="10"/>
  <c r="D312" i="10"/>
  <c r="G311" i="10"/>
  <c r="E311" i="10"/>
  <c r="D311" i="10"/>
  <c r="G310" i="10"/>
  <c r="E310" i="10"/>
  <c r="D310" i="10"/>
  <c r="G309" i="10"/>
  <c r="E309" i="10"/>
  <c r="D309" i="10"/>
  <c r="G308" i="10"/>
  <c r="E308" i="10"/>
  <c r="D308" i="10"/>
  <c r="G307" i="10"/>
  <c r="E307" i="10"/>
  <c r="D307" i="10"/>
  <c r="G306" i="10"/>
  <c r="E306" i="10"/>
  <c r="D306" i="10"/>
  <c r="G305" i="10"/>
  <c r="E305" i="10"/>
  <c r="D305" i="10"/>
  <c r="G304" i="10"/>
  <c r="E304" i="10"/>
  <c r="D304" i="10"/>
  <c r="G303" i="10"/>
  <c r="E303" i="10"/>
  <c r="D303" i="10"/>
  <c r="G302" i="10"/>
  <c r="E302" i="10"/>
  <c r="D302" i="10"/>
  <c r="G301" i="10"/>
  <c r="E301" i="10"/>
  <c r="D301" i="10"/>
  <c r="G300" i="10"/>
  <c r="E300" i="10"/>
  <c r="D300" i="10"/>
  <c r="G299" i="10"/>
  <c r="E299" i="10"/>
  <c r="D299" i="10"/>
  <c r="G298" i="10"/>
  <c r="E298" i="10"/>
  <c r="D298" i="10"/>
  <c r="G297" i="10"/>
  <c r="E297" i="10"/>
  <c r="D297" i="10"/>
  <c r="G296" i="10"/>
  <c r="E296" i="10"/>
  <c r="D296" i="10"/>
  <c r="G295" i="10"/>
  <c r="E295" i="10"/>
  <c r="D295" i="10"/>
  <c r="G294" i="10"/>
  <c r="E294" i="10"/>
  <c r="D294" i="10"/>
  <c r="G293" i="10"/>
  <c r="E293" i="10"/>
  <c r="D293" i="10"/>
  <c r="G292" i="10"/>
  <c r="E292" i="10"/>
  <c r="D292" i="10"/>
  <c r="G291" i="10"/>
  <c r="E291" i="10"/>
  <c r="D291" i="10"/>
  <c r="G290" i="10"/>
  <c r="E290" i="10"/>
  <c r="D290" i="10"/>
  <c r="G289" i="10"/>
  <c r="E289" i="10"/>
  <c r="D289" i="10"/>
  <c r="G288" i="10"/>
  <c r="E288" i="10"/>
  <c r="D288" i="10"/>
  <c r="G287" i="10"/>
  <c r="E287" i="10"/>
  <c r="D287" i="10"/>
  <c r="G286" i="10"/>
  <c r="E286" i="10"/>
  <c r="D286" i="10"/>
  <c r="G285" i="10"/>
  <c r="E285" i="10"/>
  <c r="D285" i="10"/>
  <c r="G284" i="10"/>
  <c r="E284" i="10"/>
  <c r="D284" i="10"/>
  <c r="G283" i="10"/>
  <c r="E283" i="10"/>
  <c r="D283" i="10"/>
  <c r="G282" i="10"/>
  <c r="E282" i="10"/>
  <c r="D282" i="10"/>
  <c r="G281" i="10"/>
  <c r="E281" i="10"/>
  <c r="D281" i="10"/>
  <c r="G280" i="10"/>
  <c r="E280" i="10"/>
  <c r="D280" i="10"/>
  <c r="G279" i="10"/>
  <c r="E279" i="10"/>
  <c r="D279" i="10"/>
  <c r="G278" i="10"/>
  <c r="E278" i="10"/>
  <c r="D278" i="10"/>
  <c r="G277" i="10"/>
  <c r="E277" i="10"/>
  <c r="D277" i="10"/>
  <c r="G276" i="10"/>
  <c r="E276" i="10"/>
  <c r="D276" i="10"/>
  <c r="G275" i="10"/>
  <c r="E275" i="10"/>
  <c r="D275" i="10"/>
  <c r="G274" i="10"/>
  <c r="E274" i="10"/>
  <c r="D274" i="10"/>
  <c r="G273" i="10"/>
  <c r="E273" i="10"/>
  <c r="D273" i="10"/>
  <c r="G272" i="10"/>
  <c r="E272" i="10"/>
  <c r="D272" i="10"/>
  <c r="G271" i="10"/>
  <c r="E271" i="10"/>
  <c r="D271" i="10"/>
  <c r="G270" i="10"/>
  <c r="E270" i="10"/>
  <c r="D270" i="10"/>
  <c r="G269" i="10"/>
  <c r="E269" i="10"/>
  <c r="D269" i="10"/>
  <c r="G268" i="10"/>
  <c r="E268" i="10"/>
  <c r="D268" i="10"/>
  <c r="G267" i="10"/>
  <c r="E267" i="10"/>
  <c r="D267" i="10"/>
  <c r="G266" i="10"/>
  <c r="E266" i="10"/>
  <c r="D266" i="10"/>
  <c r="G265" i="10"/>
  <c r="E265" i="10"/>
  <c r="D265" i="10"/>
  <c r="G264" i="10"/>
  <c r="E264" i="10"/>
  <c r="D264" i="10"/>
  <c r="G263" i="10"/>
  <c r="E263" i="10"/>
  <c r="D263" i="10"/>
  <c r="G262" i="10"/>
  <c r="E262" i="10"/>
  <c r="D262" i="10"/>
  <c r="G261" i="10"/>
  <c r="E261" i="10"/>
  <c r="D261" i="10"/>
  <c r="G260" i="10"/>
  <c r="E260" i="10"/>
  <c r="D260" i="10"/>
  <c r="G259" i="10"/>
  <c r="E259" i="10"/>
  <c r="D259" i="10"/>
  <c r="G258" i="10"/>
  <c r="E258" i="10"/>
  <c r="D258" i="10"/>
  <c r="G257" i="10"/>
  <c r="E257" i="10"/>
  <c r="D257" i="10"/>
  <c r="G256" i="10"/>
  <c r="E256" i="10"/>
  <c r="D256" i="10"/>
  <c r="G255" i="10"/>
  <c r="E255" i="10"/>
  <c r="D255" i="10"/>
  <c r="G254" i="10"/>
  <c r="E254" i="10"/>
  <c r="D254" i="10"/>
  <c r="G253" i="10"/>
  <c r="E253" i="10"/>
  <c r="D253" i="10"/>
  <c r="G252" i="10"/>
  <c r="E252" i="10"/>
  <c r="D252" i="10"/>
  <c r="G251" i="10"/>
  <c r="E251" i="10"/>
  <c r="D251" i="10"/>
  <c r="G250" i="10"/>
  <c r="E250" i="10"/>
  <c r="D250" i="10"/>
  <c r="G249" i="10"/>
  <c r="E249" i="10"/>
  <c r="D249" i="10"/>
  <c r="G248" i="10"/>
  <c r="E248" i="10"/>
  <c r="D248" i="10"/>
  <c r="G247" i="10"/>
  <c r="E247" i="10"/>
  <c r="D247" i="10"/>
  <c r="G246" i="10"/>
  <c r="E246" i="10"/>
  <c r="D246" i="10"/>
  <c r="G245" i="10"/>
  <c r="E245" i="10"/>
  <c r="D245" i="10"/>
  <c r="G244" i="10"/>
  <c r="E244" i="10"/>
  <c r="D244" i="10"/>
  <c r="G243" i="10"/>
  <c r="E243" i="10"/>
  <c r="D243" i="10"/>
  <c r="G242" i="10"/>
  <c r="E242" i="10"/>
  <c r="D242" i="10"/>
  <c r="G241" i="10"/>
  <c r="E241" i="10"/>
  <c r="D241" i="10"/>
  <c r="G240" i="10"/>
  <c r="E240" i="10"/>
  <c r="D240" i="10"/>
  <c r="G239" i="10"/>
  <c r="E239" i="10"/>
  <c r="D239" i="10"/>
  <c r="G238" i="10"/>
  <c r="E238" i="10"/>
  <c r="D238" i="10"/>
  <c r="G237" i="10"/>
  <c r="E237" i="10"/>
  <c r="D237" i="10"/>
  <c r="G236" i="10"/>
  <c r="E236" i="10"/>
  <c r="D236" i="10"/>
  <c r="G235" i="10"/>
  <c r="E235" i="10"/>
  <c r="D235" i="10"/>
  <c r="G234" i="10"/>
  <c r="E234" i="10"/>
  <c r="D234" i="10"/>
  <c r="G233" i="10"/>
  <c r="E233" i="10"/>
  <c r="D233" i="10"/>
  <c r="G232" i="10"/>
  <c r="E232" i="10"/>
  <c r="D232" i="10"/>
  <c r="G231" i="10"/>
  <c r="E231" i="10"/>
  <c r="D231" i="10"/>
  <c r="G230" i="10"/>
  <c r="E230" i="10"/>
  <c r="D230" i="10"/>
  <c r="G229" i="10"/>
  <c r="E229" i="10"/>
  <c r="D229" i="10"/>
  <c r="G228" i="10"/>
  <c r="E228" i="10"/>
  <c r="D228" i="10"/>
  <c r="G227" i="10"/>
  <c r="E227" i="10"/>
  <c r="D227" i="10"/>
  <c r="G226" i="10"/>
  <c r="E226" i="10"/>
  <c r="D226" i="10"/>
  <c r="G225" i="10"/>
  <c r="E225" i="10"/>
  <c r="D225" i="10"/>
  <c r="G224" i="10"/>
  <c r="E224" i="10"/>
  <c r="D224" i="10"/>
  <c r="G223" i="10"/>
  <c r="E223" i="10"/>
  <c r="D223" i="10"/>
  <c r="G222" i="10"/>
  <c r="E222" i="10"/>
  <c r="D222" i="10"/>
  <c r="G221" i="10"/>
  <c r="E221" i="10"/>
  <c r="D221" i="10"/>
  <c r="G220" i="10"/>
  <c r="E220" i="10"/>
  <c r="D220" i="10"/>
  <c r="G219" i="10"/>
  <c r="E219" i="10"/>
  <c r="D219" i="10"/>
  <c r="G218" i="10"/>
  <c r="E218" i="10"/>
  <c r="D218" i="10"/>
  <c r="G217" i="10"/>
  <c r="E217" i="10"/>
  <c r="D217" i="10"/>
  <c r="G216" i="10"/>
  <c r="E216" i="10"/>
  <c r="D216" i="10"/>
  <c r="G215" i="10"/>
  <c r="E215" i="10"/>
  <c r="D215" i="10"/>
  <c r="G214" i="10"/>
  <c r="E214" i="10"/>
  <c r="D214" i="10"/>
  <c r="G213" i="10"/>
  <c r="E213" i="10"/>
  <c r="D213" i="10"/>
  <c r="G212" i="10"/>
  <c r="E212" i="10"/>
  <c r="D212" i="10"/>
  <c r="G211" i="10"/>
  <c r="E211" i="10"/>
  <c r="D211" i="10"/>
  <c r="G210" i="10"/>
  <c r="E210" i="10"/>
  <c r="D210" i="10"/>
  <c r="G209" i="10"/>
  <c r="E209" i="10"/>
  <c r="D209" i="10"/>
  <c r="G208" i="10"/>
  <c r="E208" i="10"/>
  <c r="D208" i="10"/>
  <c r="G207" i="10"/>
  <c r="E207" i="10"/>
  <c r="D207" i="10"/>
  <c r="G206" i="10"/>
  <c r="E206" i="10"/>
  <c r="D206" i="10"/>
  <c r="G205" i="10"/>
  <c r="E205" i="10"/>
  <c r="D205" i="10"/>
  <c r="G204" i="10"/>
  <c r="E204" i="10"/>
  <c r="D204" i="10"/>
  <c r="G203" i="10"/>
  <c r="E203" i="10"/>
  <c r="D203" i="10"/>
  <c r="G202" i="10"/>
  <c r="E202" i="10"/>
  <c r="D202" i="10"/>
  <c r="G201" i="10"/>
  <c r="E201" i="10"/>
  <c r="D201" i="10"/>
  <c r="G200" i="10"/>
  <c r="E200" i="10"/>
  <c r="D200" i="10"/>
  <c r="G199" i="10"/>
  <c r="E199" i="10"/>
  <c r="D199" i="10"/>
  <c r="G198" i="10"/>
  <c r="E198" i="10"/>
  <c r="D198" i="10"/>
  <c r="G197" i="10"/>
  <c r="E197" i="10"/>
  <c r="D197" i="10"/>
  <c r="G196" i="10"/>
  <c r="E196" i="10"/>
  <c r="D196" i="10"/>
  <c r="G195" i="10"/>
  <c r="E195" i="10"/>
  <c r="D195" i="10"/>
  <c r="G194" i="10"/>
  <c r="E194" i="10"/>
  <c r="D194" i="10"/>
  <c r="G193" i="10"/>
  <c r="E193" i="10"/>
  <c r="D193" i="10"/>
  <c r="G192" i="10"/>
  <c r="E192" i="10"/>
  <c r="D192" i="10"/>
  <c r="G191" i="10"/>
  <c r="E191" i="10"/>
  <c r="D191" i="10"/>
  <c r="G190" i="10"/>
  <c r="E190" i="10"/>
  <c r="D190" i="10"/>
  <c r="G189" i="10"/>
  <c r="E189" i="10"/>
  <c r="D189" i="10"/>
  <c r="G188" i="10"/>
  <c r="E188" i="10"/>
  <c r="D188" i="10"/>
  <c r="G187" i="10"/>
  <c r="E187" i="10"/>
  <c r="D187" i="10"/>
  <c r="G186" i="10"/>
  <c r="E186" i="10"/>
  <c r="D186" i="10"/>
  <c r="G185" i="10"/>
  <c r="E185" i="10"/>
  <c r="D185" i="10"/>
  <c r="G184" i="10"/>
  <c r="E184" i="10"/>
  <c r="D184" i="10"/>
  <c r="G183" i="10"/>
  <c r="E183" i="10"/>
  <c r="D183" i="10"/>
  <c r="G182" i="10"/>
  <c r="E182" i="10"/>
  <c r="D182" i="10"/>
  <c r="G181" i="10"/>
  <c r="E181" i="10"/>
  <c r="D181" i="10"/>
  <c r="G180" i="10"/>
  <c r="E180" i="10"/>
  <c r="D180" i="10"/>
  <c r="G179" i="10"/>
  <c r="E179" i="10"/>
  <c r="D179" i="10"/>
  <c r="G178" i="10"/>
  <c r="E178" i="10"/>
  <c r="D178" i="10"/>
  <c r="G177" i="10"/>
  <c r="E177" i="10"/>
  <c r="D177" i="10"/>
  <c r="G176" i="10"/>
  <c r="E176" i="10"/>
  <c r="D176" i="10"/>
  <c r="G175" i="10"/>
  <c r="E175" i="10"/>
  <c r="D175" i="10"/>
  <c r="G174" i="10"/>
  <c r="E174" i="10"/>
  <c r="D174" i="10"/>
  <c r="G173" i="10"/>
  <c r="E173" i="10"/>
  <c r="D173" i="10"/>
  <c r="G172" i="10"/>
  <c r="E172" i="10"/>
  <c r="D172" i="10"/>
  <c r="G171" i="10"/>
  <c r="E171" i="10"/>
  <c r="D171" i="10"/>
  <c r="G170" i="10"/>
  <c r="E170" i="10"/>
  <c r="D170" i="10"/>
  <c r="G169" i="10"/>
  <c r="E169" i="10"/>
  <c r="D169" i="10"/>
  <c r="G168" i="10"/>
  <c r="E168" i="10"/>
  <c r="D168" i="10"/>
  <c r="G167" i="10"/>
  <c r="E167" i="10"/>
  <c r="D167" i="10"/>
  <c r="G166" i="10"/>
  <c r="E166" i="10"/>
  <c r="D166" i="10"/>
  <c r="G165" i="10"/>
  <c r="E165" i="10"/>
  <c r="D165" i="10"/>
  <c r="G164" i="10"/>
  <c r="E164" i="10"/>
  <c r="D164" i="10"/>
  <c r="G163" i="10"/>
  <c r="E163" i="10"/>
  <c r="D163" i="10"/>
  <c r="G162" i="10"/>
  <c r="E162" i="10"/>
  <c r="D162" i="10"/>
  <c r="G161" i="10"/>
  <c r="E161" i="10"/>
  <c r="D161" i="10"/>
  <c r="G160" i="10"/>
  <c r="E160" i="10"/>
  <c r="D160" i="10"/>
  <c r="G159" i="10"/>
  <c r="E159" i="10"/>
  <c r="D159" i="10"/>
  <c r="G158" i="10"/>
  <c r="E158" i="10"/>
  <c r="D158" i="10"/>
  <c r="G157" i="10"/>
  <c r="E157" i="10"/>
  <c r="D157" i="10"/>
  <c r="G156" i="10"/>
  <c r="E156" i="10"/>
  <c r="D156" i="10"/>
  <c r="G155" i="10"/>
  <c r="E155" i="10"/>
  <c r="D155" i="10"/>
  <c r="G154" i="10"/>
  <c r="E154" i="10"/>
  <c r="D154" i="10"/>
  <c r="G153" i="10"/>
  <c r="E153" i="10"/>
  <c r="D153" i="10"/>
  <c r="G152" i="10"/>
  <c r="E152" i="10"/>
  <c r="D152" i="10"/>
  <c r="G151" i="10"/>
  <c r="E151" i="10"/>
  <c r="D151" i="10"/>
  <c r="G150" i="10"/>
  <c r="E150" i="10"/>
  <c r="D150" i="10"/>
  <c r="G149" i="10"/>
  <c r="E149" i="10"/>
  <c r="D149" i="10"/>
  <c r="G148" i="10"/>
  <c r="E148" i="10"/>
  <c r="D148" i="10"/>
  <c r="G147" i="10"/>
  <c r="E147" i="10"/>
  <c r="D147" i="10"/>
  <c r="G146" i="10"/>
  <c r="E146" i="10"/>
  <c r="D146" i="10"/>
  <c r="G145" i="10"/>
  <c r="E145" i="10"/>
  <c r="D145" i="10"/>
  <c r="G144" i="10"/>
  <c r="E144" i="10"/>
  <c r="D144" i="10"/>
  <c r="G143" i="10"/>
  <c r="E143" i="10"/>
  <c r="D143" i="10"/>
  <c r="G142" i="10"/>
  <c r="E142" i="10"/>
  <c r="D142" i="10"/>
  <c r="G141" i="10"/>
  <c r="E141" i="10"/>
  <c r="D141" i="10"/>
  <c r="G140" i="10"/>
  <c r="E140" i="10"/>
  <c r="D140" i="10"/>
  <c r="G139" i="10"/>
  <c r="E139" i="10"/>
  <c r="D139" i="10"/>
  <c r="G138" i="10"/>
  <c r="E138" i="10"/>
  <c r="D138" i="10"/>
  <c r="G137" i="10"/>
  <c r="E137" i="10"/>
  <c r="D137" i="10"/>
  <c r="G136" i="10"/>
  <c r="E136" i="10"/>
  <c r="D136" i="10"/>
  <c r="G135" i="10"/>
  <c r="E135" i="10"/>
  <c r="D135" i="10"/>
  <c r="G134" i="10"/>
  <c r="E134" i="10"/>
  <c r="D134" i="10"/>
  <c r="G133" i="10"/>
  <c r="E133" i="10"/>
  <c r="D133" i="10"/>
  <c r="G132" i="10"/>
  <c r="E132" i="10"/>
  <c r="D132" i="10"/>
  <c r="G131" i="10"/>
  <c r="E131" i="10"/>
  <c r="D131" i="10"/>
  <c r="G130" i="10"/>
  <c r="E130" i="10"/>
  <c r="D130" i="10"/>
  <c r="G129" i="10"/>
  <c r="E129" i="10"/>
  <c r="D129" i="10"/>
  <c r="G128" i="10"/>
  <c r="E128" i="10"/>
  <c r="D128" i="10"/>
  <c r="G127" i="10"/>
  <c r="E127" i="10"/>
  <c r="D127" i="10"/>
  <c r="G126" i="10"/>
  <c r="E126" i="10"/>
  <c r="D126" i="10"/>
  <c r="G125" i="10"/>
  <c r="E125" i="10"/>
  <c r="D125" i="10"/>
  <c r="G124" i="10"/>
  <c r="E124" i="10"/>
  <c r="D124" i="10"/>
  <c r="G123" i="10"/>
  <c r="E123" i="10"/>
  <c r="D123" i="10"/>
  <c r="G122" i="10"/>
  <c r="E122" i="10"/>
  <c r="D122" i="10"/>
  <c r="G121" i="10"/>
  <c r="E121" i="10"/>
  <c r="D121" i="10"/>
  <c r="G120" i="10"/>
  <c r="E120" i="10"/>
  <c r="D120" i="10"/>
  <c r="G119" i="10"/>
  <c r="E119" i="10"/>
  <c r="D119" i="10"/>
  <c r="G118" i="10"/>
  <c r="E118" i="10"/>
  <c r="D118" i="10"/>
  <c r="G117" i="10"/>
  <c r="E117" i="10"/>
  <c r="D117" i="10"/>
  <c r="G116" i="10"/>
  <c r="E116" i="10"/>
  <c r="D116" i="10"/>
  <c r="G115" i="10"/>
  <c r="E115" i="10"/>
  <c r="D115" i="10"/>
  <c r="G114" i="10"/>
  <c r="E114" i="10"/>
  <c r="D114" i="10"/>
  <c r="G113" i="10"/>
  <c r="E113" i="10"/>
  <c r="D113" i="10"/>
  <c r="G112" i="10"/>
  <c r="E112" i="10"/>
  <c r="D112" i="10"/>
  <c r="G111" i="10"/>
  <c r="E111" i="10"/>
  <c r="D111" i="10"/>
  <c r="G110" i="10"/>
  <c r="E110" i="10"/>
  <c r="D110" i="10"/>
  <c r="G109" i="10"/>
  <c r="E109" i="10"/>
  <c r="D109" i="10"/>
  <c r="G108" i="10"/>
  <c r="E108" i="10"/>
  <c r="D108" i="10"/>
  <c r="G107" i="10"/>
  <c r="E107" i="10"/>
  <c r="D107" i="10"/>
  <c r="G106" i="10"/>
  <c r="E106" i="10"/>
  <c r="D106" i="10"/>
  <c r="G105" i="10"/>
  <c r="E105" i="10"/>
  <c r="D105" i="10"/>
  <c r="G104" i="10"/>
  <c r="E104" i="10"/>
  <c r="D104" i="10"/>
  <c r="G103" i="10"/>
  <c r="E103" i="10"/>
  <c r="D103" i="10"/>
  <c r="G102" i="10"/>
  <c r="E102" i="10"/>
  <c r="D102" i="10"/>
  <c r="G101" i="10"/>
  <c r="E101" i="10"/>
  <c r="D101" i="10"/>
  <c r="G100" i="10"/>
  <c r="E100" i="10"/>
  <c r="D100" i="10"/>
  <c r="G99" i="10"/>
  <c r="E99" i="10"/>
  <c r="D99" i="10"/>
  <c r="G98" i="10"/>
  <c r="E98" i="10"/>
  <c r="D98" i="10"/>
  <c r="G97" i="10"/>
  <c r="E97" i="10"/>
  <c r="D97" i="10"/>
  <c r="G96" i="10"/>
  <c r="E96" i="10"/>
  <c r="D96" i="10"/>
  <c r="G95" i="10"/>
  <c r="E95" i="10"/>
  <c r="D95" i="10"/>
  <c r="G94" i="10"/>
  <c r="E94" i="10"/>
  <c r="D94" i="10"/>
  <c r="G93" i="10"/>
  <c r="E93" i="10"/>
  <c r="D93" i="10"/>
  <c r="G92" i="10"/>
  <c r="E92" i="10"/>
  <c r="D92" i="10"/>
  <c r="G91" i="10"/>
  <c r="E91" i="10"/>
  <c r="D91" i="10"/>
  <c r="G90" i="10"/>
  <c r="E90" i="10"/>
  <c r="D90" i="10"/>
  <c r="G89" i="10"/>
  <c r="E89" i="10"/>
  <c r="D89" i="10"/>
  <c r="G88" i="10"/>
  <c r="E88" i="10"/>
  <c r="D88" i="10"/>
  <c r="G87" i="10"/>
  <c r="E87" i="10"/>
  <c r="D87" i="10"/>
  <c r="G86" i="10"/>
  <c r="E86" i="10"/>
  <c r="D86" i="10"/>
  <c r="G85" i="10"/>
  <c r="E85" i="10"/>
  <c r="D85" i="10"/>
  <c r="G84" i="10"/>
  <c r="E84" i="10"/>
  <c r="D84" i="10"/>
  <c r="G83" i="10"/>
  <c r="E83" i="10"/>
  <c r="D83" i="10"/>
  <c r="G82" i="10"/>
  <c r="E82" i="10"/>
  <c r="D82" i="10"/>
  <c r="G81" i="10"/>
  <c r="E81" i="10"/>
  <c r="D81" i="10"/>
  <c r="G80" i="10"/>
  <c r="E80" i="10"/>
  <c r="D80" i="10"/>
  <c r="G79" i="10"/>
  <c r="E79" i="10"/>
  <c r="D79" i="10"/>
  <c r="G78" i="10"/>
  <c r="E78" i="10"/>
  <c r="D78" i="10"/>
  <c r="G77" i="10"/>
  <c r="E77" i="10"/>
  <c r="D77" i="10"/>
  <c r="G76" i="10"/>
  <c r="E76" i="10"/>
  <c r="D76" i="10"/>
  <c r="G75" i="10"/>
  <c r="E75" i="10"/>
  <c r="D75" i="10"/>
  <c r="G74" i="10"/>
  <c r="E74" i="10"/>
  <c r="D74" i="10"/>
  <c r="G73" i="10"/>
  <c r="E73" i="10"/>
  <c r="D73" i="10"/>
  <c r="G72" i="10"/>
  <c r="E72" i="10"/>
  <c r="D72" i="10"/>
  <c r="G71" i="10"/>
  <c r="E71" i="10"/>
  <c r="D71" i="10"/>
  <c r="G70" i="10"/>
  <c r="E70" i="10"/>
  <c r="D70" i="10"/>
  <c r="G69" i="10"/>
  <c r="E69" i="10"/>
  <c r="D69" i="10"/>
  <c r="G68" i="10"/>
  <c r="E68" i="10"/>
  <c r="D68" i="10"/>
  <c r="G67" i="10"/>
  <c r="E67" i="10"/>
  <c r="D67" i="10"/>
  <c r="G66" i="10"/>
  <c r="E66" i="10"/>
  <c r="D66" i="10"/>
  <c r="G65" i="10"/>
  <c r="E65" i="10"/>
  <c r="D65" i="10"/>
  <c r="G64" i="10"/>
  <c r="E64" i="10"/>
  <c r="D64" i="10"/>
  <c r="G63" i="10"/>
  <c r="E63" i="10"/>
  <c r="D63" i="10"/>
  <c r="G62" i="10"/>
  <c r="E62" i="10"/>
  <c r="D62" i="10"/>
  <c r="G61" i="10"/>
  <c r="E61" i="10"/>
  <c r="D61" i="10"/>
  <c r="G60" i="10"/>
  <c r="E60" i="10"/>
  <c r="D60" i="10"/>
  <c r="G59" i="10"/>
  <c r="E59" i="10"/>
  <c r="D59" i="10"/>
  <c r="G58" i="10"/>
  <c r="E58" i="10"/>
  <c r="D58" i="10"/>
  <c r="G57" i="10"/>
  <c r="E57" i="10"/>
  <c r="D57" i="10"/>
  <c r="G56" i="10"/>
  <c r="E56" i="10"/>
  <c r="D56" i="10"/>
  <c r="G55" i="10"/>
  <c r="E55" i="10"/>
  <c r="D55" i="10"/>
  <c r="G54" i="10"/>
  <c r="E54" i="10"/>
  <c r="D54" i="10"/>
  <c r="G53" i="10"/>
  <c r="E53" i="10"/>
  <c r="D53" i="10"/>
  <c r="G52" i="10"/>
  <c r="E52" i="10"/>
  <c r="D52" i="10"/>
  <c r="G51" i="10"/>
  <c r="E51" i="10"/>
  <c r="D51" i="10"/>
  <c r="G50" i="10"/>
  <c r="E50" i="10"/>
  <c r="D50" i="10"/>
  <c r="G49" i="10"/>
  <c r="E49" i="10"/>
  <c r="D49" i="10"/>
  <c r="G48" i="10"/>
  <c r="E48" i="10"/>
  <c r="D48" i="10"/>
  <c r="G47" i="10"/>
  <c r="E47" i="10"/>
  <c r="D47" i="10"/>
  <c r="G46" i="10"/>
  <c r="E46" i="10"/>
  <c r="D46" i="10"/>
  <c r="G45" i="10"/>
  <c r="E45" i="10"/>
  <c r="D45" i="10"/>
  <c r="G44" i="10"/>
  <c r="E44" i="10"/>
  <c r="D44" i="10"/>
  <c r="G43" i="10"/>
  <c r="E43" i="10"/>
  <c r="D43" i="10"/>
  <c r="G42" i="10"/>
  <c r="E42" i="10"/>
  <c r="D42" i="10"/>
  <c r="G41" i="10"/>
  <c r="E41" i="10"/>
  <c r="D41" i="10"/>
  <c r="G40" i="10"/>
  <c r="E40" i="10"/>
  <c r="D40" i="10"/>
  <c r="G39" i="10"/>
  <c r="E39" i="10"/>
  <c r="D39" i="10"/>
  <c r="G38" i="10"/>
  <c r="E38" i="10"/>
  <c r="D38" i="10"/>
  <c r="G37" i="10"/>
  <c r="E37" i="10"/>
  <c r="D37" i="10"/>
  <c r="G36" i="10"/>
  <c r="E36" i="10"/>
  <c r="D36" i="10"/>
  <c r="G35" i="10"/>
  <c r="E35" i="10"/>
  <c r="D35" i="10"/>
  <c r="G34" i="10"/>
  <c r="E34" i="10"/>
  <c r="D34" i="10"/>
  <c r="G33" i="10"/>
  <c r="E33" i="10"/>
  <c r="D33" i="10"/>
  <c r="G32" i="10"/>
  <c r="E32" i="10"/>
  <c r="D32" i="10"/>
  <c r="G31" i="10"/>
  <c r="E31" i="10"/>
  <c r="D31" i="10"/>
  <c r="G30" i="10"/>
  <c r="E30" i="10"/>
  <c r="D30" i="10"/>
  <c r="G29" i="10"/>
  <c r="E29" i="10"/>
  <c r="D29" i="10"/>
  <c r="G28" i="10"/>
  <c r="E28" i="10"/>
  <c r="D28" i="10"/>
  <c r="G27" i="10"/>
  <c r="E27" i="10"/>
  <c r="D27" i="10"/>
  <c r="G26" i="10"/>
  <c r="E26" i="10"/>
  <c r="D26" i="10"/>
  <c r="G25" i="10"/>
  <c r="E25" i="10"/>
  <c r="D25" i="10"/>
  <c r="G24" i="10"/>
  <c r="E24" i="10"/>
  <c r="D24" i="10"/>
  <c r="G23" i="10"/>
  <c r="E23" i="10"/>
  <c r="D23" i="10"/>
  <c r="G22" i="10"/>
  <c r="E22" i="10"/>
  <c r="D22" i="10"/>
  <c r="G21" i="10"/>
  <c r="E21" i="10"/>
  <c r="D21" i="10"/>
  <c r="G20" i="10"/>
  <c r="E20" i="10"/>
  <c r="D20" i="10"/>
  <c r="G19" i="10"/>
  <c r="E19" i="10"/>
  <c r="D19" i="10"/>
  <c r="G18" i="10"/>
  <c r="E18" i="10"/>
  <c r="D18" i="10"/>
  <c r="G17" i="10"/>
  <c r="E17" i="10"/>
  <c r="D17" i="10"/>
  <c r="G16" i="10"/>
  <c r="E16" i="10"/>
  <c r="D16" i="10"/>
  <c r="G15" i="10"/>
  <c r="E15" i="10"/>
  <c r="D15" i="10"/>
  <c r="G14" i="10"/>
  <c r="E14" i="10"/>
  <c r="D14" i="10"/>
  <c r="G13" i="10"/>
  <c r="E13" i="10"/>
  <c r="D13" i="10"/>
  <c r="E445" i="9"/>
  <c r="E444" i="9"/>
  <c r="E438" i="9"/>
  <c r="E437" i="9"/>
  <c r="G433" i="9"/>
  <c r="E433" i="9"/>
  <c r="D433" i="9"/>
  <c r="G432" i="9"/>
  <c r="E432" i="9"/>
  <c r="D432" i="9"/>
  <c r="G431" i="9"/>
  <c r="E431" i="9"/>
  <c r="D431" i="9"/>
  <c r="G430" i="9"/>
  <c r="E430" i="9"/>
  <c r="D430" i="9"/>
  <c r="G429" i="9"/>
  <c r="E429" i="9"/>
  <c r="D429" i="9"/>
  <c r="G428" i="9"/>
  <c r="E428" i="9"/>
  <c r="D428" i="9"/>
  <c r="G427" i="9"/>
  <c r="E427" i="9"/>
  <c r="D427" i="9"/>
  <c r="G426" i="9"/>
  <c r="E426" i="9"/>
  <c r="D426" i="9"/>
  <c r="G425" i="9"/>
  <c r="E425" i="9"/>
  <c r="D425" i="9"/>
  <c r="G424" i="9"/>
  <c r="E424" i="9"/>
  <c r="D424" i="9"/>
  <c r="G423" i="9"/>
  <c r="E423" i="9"/>
  <c r="D423" i="9"/>
  <c r="G422" i="9"/>
  <c r="E422" i="9"/>
  <c r="D422" i="9"/>
  <c r="G421" i="9"/>
  <c r="E421" i="9"/>
  <c r="D421" i="9"/>
  <c r="G420" i="9"/>
  <c r="E420" i="9"/>
  <c r="D420" i="9"/>
  <c r="G419" i="9"/>
  <c r="E419" i="9"/>
  <c r="D419" i="9"/>
  <c r="G418" i="9"/>
  <c r="E418" i="9"/>
  <c r="D418" i="9"/>
  <c r="G417" i="9"/>
  <c r="E417" i="9"/>
  <c r="D417" i="9"/>
  <c r="G416" i="9"/>
  <c r="E416" i="9"/>
  <c r="D416" i="9"/>
  <c r="G415" i="9"/>
  <c r="E415" i="9"/>
  <c r="D415" i="9"/>
  <c r="G414" i="9"/>
  <c r="E414" i="9"/>
  <c r="D414" i="9"/>
  <c r="G413" i="9"/>
  <c r="E413" i="9"/>
  <c r="D413" i="9"/>
  <c r="G412" i="9"/>
  <c r="E412" i="9"/>
  <c r="D412" i="9"/>
  <c r="G411" i="9"/>
  <c r="E411" i="9"/>
  <c r="D411" i="9"/>
  <c r="G410" i="9"/>
  <c r="E410" i="9"/>
  <c r="D410" i="9"/>
  <c r="G409" i="9"/>
  <c r="E409" i="9"/>
  <c r="D409" i="9"/>
  <c r="G408" i="9"/>
  <c r="E408" i="9"/>
  <c r="D408" i="9"/>
  <c r="G407" i="9"/>
  <c r="E407" i="9"/>
  <c r="D407" i="9"/>
  <c r="G406" i="9"/>
  <c r="E406" i="9"/>
  <c r="D406" i="9"/>
  <c r="G405" i="9"/>
  <c r="E405" i="9"/>
  <c r="D405" i="9"/>
  <c r="G404" i="9"/>
  <c r="E404" i="9"/>
  <c r="D404" i="9"/>
  <c r="G403" i="9"/>
  <c r="E403" i="9"/>
  <c r="D403" i="9"/>
  <c r="G402" i="9"/>
  <c r="E402" i="9"/>
  <c r="D402" i="9"/>
  <c r="G401" i="9"/>
  <c r="E401" i="9"/>
  <c r="D401" i="9"/>
  <c r="G400" i="9"/>
  <c r="E400" i="9"/>
  <c r="D400" i="9"/>
  <c r="G399" i="9"/>
  <c r="E399" i="9"/>
  <c r="D399" i="9"/>
  <c r="G398" i="9"/>
  <c r="E398" i="9"/>
  <c r="D398" i="9"/>
  <c r="G397" i="9"/>
  <c r="E397" i="9"/>
  <c r="D397" i="9"/>
  <c r="G396" i="9"/>
  <c r="E396" i="9"/>
  <c r="D396" i="9"/>
  <c r="G395" i="9"/>
  <c r="E395" i="9"/>
  <c r="D395" i="9"/>
  <c r="G394" i="9"/>
  <c r="E394" i="9"/>
  <c r="D394" i="9"/>
  <c r="G393" i="9"/>
  <c r="E393" i="9"/>
  <c r="D393" i="9"/>
  <c r="G392" i="9"/>
  <c r="E392" i="9"/>
  <c r="D392" i="9"/>
  <c r="G391" i="9"/>
  <c r="E391" i="9"/>
  <c r="D391" i="9"/>
  <c r="G390" i="9"/>
  <c r="E390" i="9"/>
  <c r="D390" i="9"/>
  <c r="G389" i="9"/>
  <c r="E389" i="9"/>
  <c r="D389" i="9"/>
  <c r="G388" i="9"/>
  <c r="E388" i="9"/>
  <c r="D388" i="9"/>
  <c r="G387" i="9"/>
  <c r="E387" i="9"/>
  <c r="D387" i="9"/>
  <c r="G386" i="9"/>
  <c r="E386" i="9"/>
  <c r="D386" i="9"/>
  <c r="G385" i="9"/>
  <c r="E385" i="9"/>
  <c r="D385" i="9"/>
  <c r="G384" i="9"/>
  <c r="E384" i="9"/>
  <c r="D384" i="9"/>
  <c r="G383" i="9"/>
  <c r="E383" i="9"/>
  <c r="D383" i="9"/>
  <c r="G382" i="9"/>
  <c r="E382" i="9"/>
  <c r="D382" i="9"/>
  <c r="G381" i="9"/>
  <c r="E381" i="9"/>
  <c r="D381" i="9"/>
  <c r="G380" i="9"/>
  <c r="E380" i="9"/>
  <c r="D380" i="9"/>
  <c r="G379" i="9"/>
  <c r="E379" i="9"/>
  <c r="D379" i="9"/>
  <c r="G378" i="9"/>
  <c r="E378" i="9"/>
  <c r="D378" i="9"/>
  <c r="G377" i="9"/>
  <c r="E377" i="9"/>
  <c r="D377" i="9"/>
  <c r="G376" i="9"/>
  <c r="E376" i="9"/>
  <c r="D376" i="9"/>
  <c r="G375" i="9"/>
  <c r="E375" i="9"/>
  <c r="D375" i="9"/>
  <c r="G374" i="9"/>
  <c r="E374" i="9"/>
  <c r="D374" i="9"/>
  <c r="G373" i="9"/>
  <c r="E373" i="9"/>
  <c r="D373" i="9"/>
  <c r="G372" i="9"/>
  <c r="E372" i="9"/>
  <c r="D372" i="9"/>
  <c r="G371" i="9"/>
  <c r="E371" i="9"/>
  <c r="D371" i="9"/>
  <c r="G370" i="9"/>
  <c r="E370" i="9"/>
  <c r="D370" i="9"/>
  <c r="G369" i="9"/>
  <c r="E369" i="9"/>
  <c r="D369" i="9"/>
  <c r="G368" i="9"/>
  <c r="E368" i="9"/>
  <c r="D368" i="9"/>
  <c r="G367" i="9"/>
  <c r="E367" i="9"/>
  <c r="D367" i="9"/>
  <c r="G366" i="9"/>
  <c r="E366" i="9"/>
  <c r="D366" i="9"/>
  <c r="G365" i="9"/>
  <c r="E365" i="9"/>
  <c r="D365" i="9"/>
  <c r="G364" i="9"/>
  <c r="E364" i="9"/>
  <c r="D364" i="9"/>
  <c r="G363" i="9"/>
  <c r="E363" i="9"/>
  <c r="D363" i="9"/>
  <c r="G362" i="9"/>
  <c r="E362" i="9"/>
  <c r="D362" i="9"/>
  <c r="G361" i="9"/>
  <c r="E361" i="9"/>
  <c r="D361" i="9"/>
  <c r="G360" i="9"/>
  <c r="E360" i="9"/>
  <c r="D360" i="9"/>
  <c r="G359" i="9"/>
  <c r="E359" i="9"/>
  <c r="D359" i="9"/>
  <c r="G358" i="9"/>
  <c r="E358" i="9"/>
  <c r="D358" i="9"/>
  <c r="G357" i="9"/>
  <c r="E357" i="9"/>
  <c r="D357" i="9"/>
  <c r="G356" i="9"/>
  <c r="E356" i="9"/>
  <c r="D356" i="9"/>
  <c r="G355" i="9"/>
  <c r="E355" i="9"/>
  <c r="D355" i="9"/>
  <c r="G354" i="9"/>
  <c r="E354" i="9"/>
  <c r="D354" i="9"/>
  <c r="G353" i="9"/>
  <c r="E353" i="9"/>
  <c r="D353" i="9"/>
  <c r="G352" i="9"/>
  <c r="E352" i="9"/>
  <c r="D352" i="9"/>
  <c r="G351" i="9"/>
  <c r="E351" i="9"/>
  <c r="D351" i="9"/>
  <c r="G350" i="9"/>
  <c r="E350" i="9"/>
  <c r="D350" i="9"/>
  <c r="G349" i="9"/>
  <c r="E349" i="9"/>
  <c r="D349" i="9"/>
  <c r="G348" i="9"/>
  <c r="E348" i="9"/>
  <c r="D348" i="9"/>
  <c r="G347" i="9"/>
  <c r="E347" i="9"/>
  <c r="D347" i="9"/>
  <c r="G346" i="9"/>
  <c r="E346" i="9"/>
  <c r="D346" i="9"/>
  <c r="G345" i="9"/>
  <c r="E345" i="9"/>
  <c r="D345" i="9"/>
  <c r="G344" i="9"/>
  <c r="E344" i="9"/>
  <c r="D344" i="9"/>
  <c r="G343" i="9"/>
  <c r="E343" i="9"/>
  <c r="D343" i="9"/>
  <c r="G342" i="9"/>
  <c r="E342" i="9"/>
  <c r="D342" i="9"/>
  <c r="G341" i="9"/>
  <c r="E341" i="9"/>
  <c r="D341" i="9"/>
  <c r="G340" i="9"/>
  <c r="E340" i="9"/>
  <c r="D340" i="9"/>
  <c r="G339" i="9"/>
  <c r="E339" i="9"/>
  <c r="D339" i="9"/>
  <c r="G338" i="9"/>
  <c r="E338" i="9"/>
  <c r="D338" i="9"/>
  <c r="G337" i="9"/>
  <c r="E337" i="9"/>
  <c r="D337" i="9"/>
  <c r="G336" i="9"/>
  <c r="E336" i="9"/>
  <c r="D336" i="9"/>
  <c r="G335" i="9"/>
  <c r="E335" i="9"/>
  <c r="D335" i="9"/>
  <c r="G334" i="9"/>
  <c r="E334" i="9"/>
  <c r="D334" i="9"/>
  <c r="G333" i="9"/>
  <c r="E333" i="9"/>
  <c r="D333" i="9"/>
  <c r="G332" i="9"/>
  <c r="E332" i="9"/>
  <c r="D332" i="9"/>
  <c r="G331" i="9"/>
  <c r="E331" i="9"/>
  <c r="D331" i="9"/>
  <c r="G330" i="9"/>
  <c r="E330" i="9"/>
  <c r="D330" i="9"/>
  <c r="G329" i="9"/>
  <c r="E329" i="9"/>
  <c r="D329" i="9"/>
  <c r="G328" i="9"/>
  <c r="E328" i="9"/>
  <c r="D328" i="9"/>
  <c r="G327" i="9"/>
  <c r="E327" i="9"/>
  <c r="D327" i="9"/>
  <c r="G326" i="9"/>
  <c r="E326" i="9"/>
  <c r="D326" i="9"/>
  <c r="G325" i="9"/>
  <c r="E325" i="9"/>
  <c r="D325" i="9"/>
  <c r="G324" i="9"/>
  <c r="E324" i="9"/>
  <c r="D324" i="9"/>
  <c r="G323" i="9"/>
  <c r="E323" i="9"/>
  <c r="D323" i="9"/>
  <c r="G322" i="9"/>
  <c r="E322" i="9"/>
  <c r="D322" i="9"/>
  <c r="G321" i="9"/>
  <c r="E321" i="9"/>
  <c r="D321" i="9"/>
  <c r="G320" i="9"/>
  <c r="E320" i="9"/>
  <c r="D320" i="9"/>
  <c r="G319" i="9"/>
  <c r="E319" i="9"/>
  <c r="D319" i="9"/>
  <c r="G318" i="9"/>
  <c r="E318" i="9"/>
  <c r="D318" i="9"/>
  <c r="G317" i="9"/>
  <c r="E317" i="9"/>
  <c r="D317" i="9"/>
  <c r="G316" i="9"/>
  <c r="E316" i="9"/>
  <c r="D316" i="9"/>
  <c r="G315" i="9"/>
  <c r="E315" i="9"/>
  <c r="D315" i="9"/>
  <c r="G314" i="9"/>
  <c r="E314" i="9"/>
  <c r="D314" i="9"/>
  <c r="G313" i="9"/>
  <c r="E313" i="9"/>
  <c r="D313" i="9"/>
  <c r="G312" i="9"/>
  <c r="E312" i="9"/>
  <c r="D312" i="9"/>
  <c r="G311" i="9"/>
  <c r="E311" i="9"/>
  <c r="D311" i="9"/>
  <c r="G310" i="9"/>
  <c r="E310" i="9"/>
  <c r="D310" i="9"/>
  <c r="G309" i="9"/>
  <c r="E309" i="9"/>
  <c r="D309" i="9"/>
  <c r="G308" i="9"/>
  <c r="E308" i="9"/>
  <c r="D308" i="9"/>
  <c r="G307" i="9"/>
  <c r="E307" i="9"/>
  <c r="D307" i="9"/>
  <c r="G306" i="9"/>
  <c r="E306" i="9"/>
  <c r="D306" i="9"/>
  <c r="G305" i="9"/>
  <c r="E305" i="9"/>
  <c r="D305" i="9"/>
  <c r="G304" i="9"/>
  <c r="E304" i="9"/>
  <c r="D304" i="9"/>
  <c r="G303" i="9"/>
  <c r="E303" i="9"/>
  <c r="D303" i="9"/>
  <c r="G302" i="9"/>
  <c r="E302" i="9"/>
  <c r="D302" i="9"/>
  <c r="G301" i="9"/>
  <c r="E301" i="9"/>
  <c r="D301" i="9"/>
  <c r="G300" i="9"/>
  <c r="E300" i="9"/>
  <c r="D300" i="9"/>
  <c r="G299" i="9"/>
  <c r="E299" i="9"/>
  <c r="D299" i="9"/>
  <c r="G298" i="9"/>
  <c r="E298" i="9"/>
  <c r="D298" i="9"/>
  <c r="G297" i="9"/>
  <c r="E297" i="9"/>
  <c r="D297" i="9"/>
  <c r="G296" i="9"/>
  <c r="E296" i="9"/>
  <c r="D296" i="9"/>
  <c r="G295" i="9"/>
  <c r="E295" i="9"/>
  <c r="D295" i="9"/>
  <c r="G294" i="9"/>
  <c r="E294" i="9"/>
  <c r="D294" i="9"/>
  <c r="G293" i="9"/>
  <c r="E293" i="9"/>
  <c r="D293" i="9"/>
  <c r="G292" i="9"/>
  <c r="E292" i="9"/>
  <c r="D292" i="9"/>
  <c r="G291" i="9"/>
  <c r="E291" i="9"/>
  <c r="D291" i="9"/>
  <c r="G290" i="9"/>
  <c r="E290" i="9"/>
  <c r="D290" i="9"/>
  <c r="G289" i="9"/>
  <c r="E289" i="9"/>
  <c r="D289" i="9"/>
  <c r="G288" i="9"/>
  <c r="E288" i="9"/>
  <c r="D288" i="9"/>
  <c r="G287" i="9"/>
  <c r="E287" i="9"/>
  <c r="D287" i="9"/>
  <c r="G286" i="9"/>
  <c r="E286" i="9"/>
  <c r="D286" i="9"/>
  <c r="G285" i="9"/>
  <c r="E285" i="9"/>
  <c r="D285" i="9"/>
  <c r="G284" i="9"/>
  <c r="E284" i="9"/>
  <c r="D284" i="9"/>
  <c r="G283" i="9"/>
  <c r="E283" i="9"/>
  <c r="D283" i="9"/>
  <c r="G282" i="9"/>
  <c r="E282" i="9"/>
  <c r="D282" i="9"/>
  <c r="G281" i="9"/>
  <c r="E281" i="9"/>
  <c r="D281" i="9"/>
  <c r="G280" i="9"/>
  <c r="E280" i="9"/>
  <c r="D280" i="9"/>
  <c r="G279" i="9"/>
  <c r="E279" i="9"/>
  <c r="D279" i="9"/>
  <c r="G278" i="9"/>
  <c r="E278" i="9"/>
  <c r="D278" i="9"/>
  <c r="G277" i="9"/>
  <c r="E277" i="9"/>
  <c r="D277" i="9"/>
  <c r="G276" i="9"/>
  <c r="E276" i="9"/>
  <c r="D276" i="9"/>
  <c r="G275" i="9"/>
  <c r="E275" i="9"/>
  <c r="D275" i="9"/>
  <c r="G274" i="9"/>
  <c r="E274" i="9"/>
  <c r="D274" i="9"/>
  <c r="G273" i="9"/>
  <c r="E273" i="9"/>
  <c r="D273" i="9"/>
  <c r="G272" i="9"/>
  <c r="E272" i="9"/>
  <c r="D272" i="9"/>
  <c r="G271" i="9"/>
  <c r="E271" i="9"/>
  <c r="D271" i="9"/>
  <c r="G270" i="9"/>
  <c r="E270" i="9"/>
  <c r="D270" i="9"/>
  <c r="G269" i="9"/>
  <c r="E269" i="9"/>
  <c r="D269" i="9"/>
  <c r="G268" i="9"/>
  <c r="E268" i="9"/>
  <c r="D268" i="9"/>
  <c r="G267" i="9"/>
  <c r="E267" i="9"/>
  <c r="D267" i="9"/>
  <c r="G266" i="9"/>
  <c r="E266" i="9"/>
  <c r="D266" i="9"/>
  <c r="G265" i="9"/>
  <c r="E265" i="9"/>
  <c r="D265" i="9"/>
  <c r="G264" i="9"/>
  <c r="E264" i="9"/>
  <c r="D264" i="9"/>
  <c r="G263" i="9"/>
  <c r="E263" i="9"/>
  <c r="D263" i="9"/>
  <c r="G262" i="9"/>
  <c r="E262" i="9"/>
  <c r="D262" i="9"/>
  <c r="G261" i="9"/>
  <c r="E261" i="9"/>
  <c r="D261" i="9"/>
  <c r="G260" i="9"/>
  <c r="E260" i="9"/>
  <c r="D260" i="9"/>
  <c r="G259" i="9"/>
  <c r="E259" i="9"/>
  <c r="D259" i="9"/>
  <c r="G258" i="9"/>
  <c r="E258" i="9"/>
  <c r="D258" i="9"/>
  <c r="G257" i="9"/>
  <c r="E257" i="9"/>
  <c r="D257" i="9"/>
  <c r="G256" i="9"/>
  <c r="E256" i="9"/>
  <c r="D256" i="9"/>
  <c r="G255" i="9"/>
  <c r="E255" i="9"/>
  <c r="D255" i="9"/>
  <c r="G254" i="9"/>
  <c r="E254" i="9"/>
  <c r="D254" i="9"/>
  <c r="G253" i="9"/>
  <c r="E253" i="9"/>
  <c r="D253" i="9"/>
  <c r="G252" i="9"/>
  <c r="E252" i="9"/>
  <c r="D252" i="9"/>
  <c r="G251" i="9"/>
  <c r="E251" i="9"/>
  <c r="D251" i="9"/>
  <c r="G250" i="9"/>
  <c r="E250" i="9"/>
  <c r="D250" i="9"/>
  <c r="G249" i="9"/>
  <c r="E249" i="9"/>
  <c r="D249" i="9"/>
  <c r="G248" i="9"/>
  <c r="E248" i="9"/>
  <c r="D248" i="9"/>
  <c r="G247" i="9"/>
  <c r="E247" i="9"/>
  <c r="D247" i="9"/>
  <c r="G246" i="9"/>
  <c r="E246" i="9"/>
  <c r="D246" i="9"/>
  <c r="G245" i="9"/>
  <c r="E245" i="9"/>
  <c r="D245" i="9"/>
  <c r="G244" i="9"/>
  <c r="E244" i="9"/>
  <c r="D244" i="9"/>
  <c r="G243" i="9"/>
  <c r="E243" i="9"/>
  <c r="D243" i="9"/>
  <c r="G242" i="9"/>
  <c r="E242" i="9"/>
  <c r="D242" i="9"/>
  <c r="G241" i="9"/>
  <c r="E241" i="9"/>
  <c r="D241" i="9"/>
  <c r="G240" i="9"/>
  <c r="E240" i="9"/>
  <c r="D240" i="9"/>
  <c r="G239" i="9"/>
  <c r="E239" i="9"/>
  <c r="D239" i="9"/>
  <c r="G238" i="9"/>
  <c r="E238" i="9"/>
  <c r="D238" i="9"/>
  <c r="G237" i="9"/>
  <c r="E237" i="9"/>
  <c r="D237" i="9"/>
  <c r="G236" i="9"/>
  <c r="E236" i="9"/>
  <c r="D236" i="9"/>
  <c r="G235" i="9"/>
  <c r="E235" i="9"/>
  <c r="D235" i="9"/>
  <c r="G234" i="9"/>
  <c r="E234" i="9"/>
  <c r="D234" i="9"/>
  <c r="G233" i="9"/>
  <c r="E233" i="9"/>
  <c r="D233" i="9"/>
  <c r="G232" i="9"/>
  <c r="E232" i="9"/>
  <c r="D232" i="9"/>
  <c r="G231" i="9"/>
  <c r="E231" i="9"/>
  <c r="D231" i="9"/>
  <c r="G230" i="9"/>
  <c r="E230" i="9"/>
  <c r="D230" i="9"/>
  <c r="G229" i="9"/>
  <c r="E229" i="9"/>
  <c r="D229" i="9"/>
  <c r="G228" i="9"/>
  <c r="E228" i="9"/>
  <c r="D228" i="9"/>
  <c r="G227" i="9"/>
  <c r="E227" i="9"/>
  <c r="D227" i="9"/>
  <c r="G226" i="9"/>
  <c r="E226" i="9"/>
  <c r="D226" i="9"/>
  <c r="G225" i="9"/>
  <c r="E225" i="9"/>
  <c r="D225" i="9"/>
  <c r="G224" i="9"/>
  <c r="E224" i="9"/>
  <c r="D224" i="9"/>
  <c r="G223" i="9"/>
  <c r="E223" i="9"/>
  <c r="D223" i="9"/>
  <c r="G222" i="9"/>
  <c r="E222" i="9"/>
  <c r="D222" i="9"/>
  <c r="G221" i="9"/>
  <c r="E221" i="9"/>
  <c r="D221" i="9"/>
  <c r="G220" i="9"/>
  <c r="E220" i="9"/>
  <c r="D220" i="9"/>
  <c r="G219" i="9"/>
  <c r="E219" i="9"/>
  <c r="D219" i="9"/>
  <c r="G218" i="9"/>
  <c r="E218" i="9"/>
  <c r="D218" i="9"/>
  <c r="G217" i="9"/>
  <c r="E217" i="9"/>
  <c r="D217" i="9"/>
  <c r="G216" i="9"/>
  <c r="E216" i="9"/>
  <c r="D216" i="9"/>
  <c r="G215" i="9"/>
  <c r="E215" i="9"/>
  <c r="D215" i="9"/>
  <c r="G214" i="9"/>
  <c r="E214" i="9"/>
  <c r="D214" i="9"/>
  <c r="G213" i="9"/>
  <c r="E213" i="9"/>
  <c r="D213" i="9"/>
  <c r="G212" i="9"/>
  <c r="E212" i="9"/>
  <c r="D212" i="9"/>
  <c r="G211" i="9"/>
  <c r="E211" i="9"/>
  <c r="D211" i="9"/>
  <c r="G210" i="9"/>
  <c r="E210" i="9"/>
  <c r="D210" i="9"/>
  <c r="G209" i="9"/>
  <c r="E209" i="9"/>
  <c r="D209" i="9"/>
  <c r="G208" i="9"/>
  <c r="E208" i="9"/>
  <c r="D208" i="9"/>
  <c r="G207" i="9"/>
  <c r="E207" i="9"/>
  <c r="D207" i="9"/>
  <c r="G206" i="9"/>
  <c r="E206" i="9"/>
  <c r="D206" i="9"/>
  <c r="G205" i="9"/>
  <c r="E205" i="9"/>
  <c r="D205" i="9"/>
  <c r="G204" i="9"/>
  <c r="E204" i="9"/>
  <c r="D204" i="9"/>
  <c r="G203" i="9"/>
  <c r="E203" i="9"/>
  <c r="D203" i="9"/>
  <c r="G202" i="9"/>
  <c r="E202" i="9"/>
  <c r="D202" i="9"/>
  <c r="G201" i="9"/>
  <c r="E201" i="9"/>
  <c r="D201" i="9"/>
  <c r="G200" i="9"/>
  <c r="E200" i="9"/>
  <c r="D200" i="9"/>
  <c r="G199" i="9"/>
  <c r="E199" i="9"/>
  <c r="D199" i="9"/>
  <c r="G198" i="9"/>
  <c r="E198" i="9"/>
  <c r="D198" i="9"/>
  <c r="G197" i="9"/>
  <c r="E197" i="9"/>
  <c r="D197" i="9"/>
  <c r="G196" i="9"/>
  <c r="E196" i="9"/>
  <c r="D196" i="9"/>
  <c r="G195" i="9"/>
  <c r="E195" i="9"/>
  <c r="D195" i="9"/>
  <c r="G194" i="9"/>
  <c r="E194" i="9"/>
  <c r="D194" i="9"/>
  <c r="G193" i="9"/>
  <c r="E193" i="9"/>
  <c r="D193" i="9"/>
  <c r="G192" i="9"/>
  <c r="E192" i="9"/>
  <c r="D192" i="9"/>
  <c r="G191" i="9"/>
  <c r="E191" i="9"/>
  <c r="D191" i="9"/>
  <c r="G190" i="9"/>
  <c r="E190" i="9"/>
  <c r="D190" i="9"/>
  <c r="G189" i="9"/>
  <c r="E189" i="9"/>
  <c r="D189" i="9"/>
  <c r="G188" i="9"/>
  <c r="E188" i="9"/>
  <c r="D188" i="9"/>
  <c r="G187" i="9"/>
  <c r="E187" i="9"/>
  <c r="D187" i="9"/>
  <c r="G186" i="9"/>
  <c r="E186" i="9"/>
  <c r="D186" i="9"/>
  <c r="G185" i="9"/>
  <c r="E185" i="9"/>
  <c r="D185" i="9"/>
  <c r="G184" i="9"/>
  <c r="E184" i="9"/>
  <c r="D184" i="9"/>
  <c r="G183" i="9"/>
  <c r="E183" i="9"/>
  <c r="D183" i="9"/>
  <c r="G182" i="9"/>
  <c r="E182" i="9"/>
  <c r="D182" i="9"/>
  <c r="G181" i="9"/>
  <c r="E181" i="9"/>
  <c r="D181" i="9"/>
  <c r="G180" i="9"/>
  <c r="E180" i="9"/>
  <c r="D180" i="9"/>
  <c r="G179" i="9"/>
  <c r="E179" i="9"/>
  <c r="D179" i="9"/>
  <c r="G178" i="9"/>
  <c r="E178" i="9"/>
  <c r="D178" i="9"/>
  <c r="G177" i="9"/>
  <c r="E177" i="9"/>
  <c r="D177" i="9"/>
  <c r="G176" i="9"/>
  <c r="E176" i="9"/>
  <c r="D176" i="9"/>
  <c r="G175" i="9"/>
  <c r="E175" i="9"/>
  <c r="D175" i="9"/>
  <c r="G174" i="9"/>
  <c r="E174" i="9"/>
  <c r="D174" i="9"/>
  <c r="G173" i="9"/>
  <c r="E173" i="9"/>
  <c r="D173" i="9"/>
  <c r="G172" i="9"/>
  <c r="E172" i="9"/>
  <c r="D172" i="9"/>
  <c r="G171" i="9"/>
  <c r="E171" i="9"/>
  <c r="D171" i="9"/>
  <c r="G170" i="9"/>
  <c r="E170" i="9"/>
  <c r="D170" i="9"/>
  <c r="G169" i="9"/>
  <c r="E169" i="9"/>
  <c r="D169" i="9"/>
  <c r="G168" i="9"/>
  <c r="E168" i="9"/>
  <c r="D168" i="9"/>
  <c r="G167" i="9"/>
  <c r="E167" i="9"/>
  <c r="D167" i="9"/>
  <c r="G166" i="9"/>
  <c r="E166" i="9"/>
  <c r="D166" i="9"/>
  <c r="G165" i="9"/>
  <c r="E165" i="9"/>
  <c r="D165" i="9"/>
  <c r="G164" i="9"/>
  <c r="E164" i="9"/>
  <c r="D164" i="9"/>
  <c r="G163" i="9"/>
  <c r="E163" i="9"/>
  <c r="D163" i="9"/>
  <c r="G162" i="9"/>
  <c r="E162" i="9"/>
  <c r="D162" i="9"/>
  <c r="G161" i="9"/>
  <c r="E161" i="9"/>
  <c r="D161" i="9"/>
  <c r="G160" i="9"/>
  <c r="E160" i="9"/>
  <c r="D160" i="9"/>
  <c r="G159" i="9"/>
  <c r="E159" i="9"/>
  <c r="D159" i="9"/>
  <c r="G158" i="9"/>
  <c r="E158" i="9"/>
  <c r="D158" i="9"/>
  <c r="G157" i="9"/>
  <c r="E157" i="9"/>
  <c r="D157" i="9"/>
  <c r="G156" i="9"/>
  <c r="E156" i="9"/>
  <c r="D156" i="9"/>
  <c r="G155" i="9"/>
  <c r="E155" i="9"/>
  <c r="D155" i="9"/>
  <c r="G154" i="9"/>
  <c r="E154" i="9"/>
  <c r="D154" i="9"/>
  <c r="G153" i="9"/>
  <c r="E153" i="9"/>
  <c r="D153" i="9"/>
  <c r="G152" i="9"/>
  <c r="E152" i="9"/>
  <c r="D152" i="9"/>
  <c r="G151" i="9"/>
  <c r="E151" i="9"/>
  <c r="D151" i="9"/>
  <c r="G150" i="9"/>
  <c r="E150" i="9"/>
  <c r="D150" i="9"/>
  <c r="G149" i="9"/>
  <c r="E149" i="9"/>
  <c r="D149" i="9"/>
  <c r="G148" i="9"/>
  <c r="E148" i="9"/>
  <c r="D148" i="9"/>
  <c r="G147" i="9"/>
  <c r="E147" i="9"/>
  <c r="D147" i="9"/>
  <c r="G146" i="9"/>
  <c r="E146" i="9"/>
  <c r="D146" i="9"/>
  <c r="G145" i="9"/>
  <c r="E145" i="9"/>
  <c r="D145" i="9"/>
  <c r="G144" i="9"/>
  <c r="E144" i="9"/>
  <c r="D144" i="9"/>
  <c r="G143" i="9"/>
  <c r="E143" i="9"/>
  <c r="D143" i="9"/>
  <c r="G142" i="9"/>
  <c r="E142" i="9"/>
  <c r="D142" i="9"/>
  <c r="G141" i="9"/>
  <c r="E141" i="9"/>
  <c r="D141" i="9"/>
  <c r="G140" i="9"/>
  <c r="E140" i="9"/>
  <c r="D140" i="9"/>
  <c r="G139" i="9"/>
  <c r="E139" i="9"/>
  <c r="D139" i="9"/>
  <c r="G138" i="9"/>
  <c r="E138" i="9"/>
  <c r="D138" i="9"/>
  <c r="G137" i="9"/>
  <c r="E137" i="9"/>
  <c r="D137" i="9"/>
  <c r="G136" i="9"/>
  <c r="E136" i="9"/>
  <c r="D136" i="9"/>
  <c r="G135" i="9"/>
  <c r="E135" i="9"/>
  <c r="D135" i="9"/>
  <c r="G134" i="9"/>
  <c r="E134" i="9"/>
  <c r="D134" i="9"/>
  <c r="G133" i="9"/>
  <c r="E133" i="9"/>
  <c r="D133" i="9"/>
  <c r="G132" i="9"/>
  <c r="E132" i="9"/>
  <c r="D132" i="9"/>
  <c r="G131" i="9"/>
  <c r="E131" i="9"/>
  <c r="D131" i="9"/>
  <c r="G130" i="9"/>
  <c r="E130" i="9"/>
  <c r="D130" i="9"/>
  <c r="G129" i="9"/>
  <c r="E129" i="9"/>
  <c r="D129" i="9"/>
  <c r="G128" i="9"/>
  <c r="E128" i="9"/>
  <c r="D128" i="9"/>
  <c r="G127" i="9"/>
  <c r="E127" i="9"/>
  <c r="D127" i="9"/>
  <c r="G126" i="9"/>
  <c r="E126" i="9"/>
  <c r="D126" i="9"/>
  <c r="G125" i="9"/>
  <c r="E125" i="9"/>
  <c r="D125" i="9"/>
  <c r="G124" i="9"/>
  <c r="E124" i="9"/>
  <c r="D124" i="9"/>
  <c r="G123" i="9"/>
  <c r="E123" i="9"/>
  <c r="D123" i="9"/>
  <c r="G122" i="9"/>
  <c r="E122" i="9"/>
  <c r="D122" i="9"/>
  <c r="G121" i="9"/>
  <c r="E121" i="9"/>
  <c r="D121" i="9"/>
  <c r="G120" i="9"/>
  <c r="E120" i="9"/>
  <c r="D120" i="9"/>
  <c r="G119" i="9"/>
  <c r="E119" i="9"/>
  <c r="D119" i="9"/>
  <c r="G118" i="9"/>
  <c r="E118" i="9"/>
  <c r="D118" i="9"/>
  <c r="G117" i="9"/>
  <c r="E117" i="9"/>
  <c r="D117" i="9"/>
  <c r="G116" i="9"/>
  <c r="E116" i="9"/>
  <c r="D116" i="9"/>
  <c r="G115" i="9"/>
  <c r="E115" i="9"/>
  <c r="D115" i="9"/>
  <c r="G114" i="9"/>
  <c r="E114" i="9"/>
  <c r="D114" i="9"/>
  <c r="G113" i="9"/>
  <c r="E113" i="9"/>
  <c r="D113" i="9"/>
  <c r="G112" i="9"/>
  <c r="E112" i="9"/>
  <c r="D112" i="9"/>
  <c r="G111" i="9"/>
  <c r="E111" i="9"/>
  <c r="D111" i="9"/>
  <c r="G110" i="9"/>
  <c r="E110" i="9"/>
  <c r="D110" i="9"/>
  <c r="G109" i="9"/>
  <c r="E109" i="9"/>
  <c r="D109" i="9"/>
  <c r="G108" i="9"/>
  <c r="E108" i="9"/>
  <c r="D108" i="9"/>
  <c r="G107" i="9"/>
  <c r="E107" i="9"/>
  <c r="D107" i="9"/>
  <c r="G106" i="9"/>
  <c r="E106" i="9"/>
  <c r="D106" i="9"/>
  <c r="G105" i="9"/>
  <c r="E105" i="9"/>
  <c r="D105" i="9"/>
  <c r="G104" i="9"/>
  <c r="E104" i="9"/>
  <c r="D104" i="9"/>
  <c r="G103" i="9"/>
  <c r="E103" i="9"/>
  <c r="D103" i="9"/>
  <c r="G102" i="9"/>
  <c r="E102" i="9"/>
  <c r="D102" i="9"/>
  <c r="G101" i="9"/>
  <c r="E101" i="9"/>
  <c r="D101" i="9"/>
  <c r="G100" i="9"/>
  <c r="E100" i="9"/>
  <c r="D100" i="9"/>
  <c r="G99" i="9"/>
  <c r="E99" i="9"/>
  <c r="D99" i="9"/>
  <c r="G98" i="9"/>
  <c r="E98" i="9"/>
  <c r="D98" i="9"/>
  <c r="G97" i="9"/>
  <c r="E97" i="9"/>
  <c r="D97" i="9"/>
  <c r="G96" i="9"/>
  <c r="E96" i="9"/>
  <c r="D96" i="9"/>
  <c r="G95" i="9"/>
  <c r="E95" i="9"/>
  <c r="D95" i="9"/>
  <c r="G94" i="9"/>
  <c r="E94" i="9"/>
  <c r="D94" i="9"/>
  <c r="G93" i="9"/>
  <c r="E93" i="9"/>
  <c r="D93" i="9"/>
  <c r="G92" i="9"/>
  <c r="E92" i="9"/>
  <c r="D92" i="9"/>
  <c r="G91" i="9"/>
  <c r="E91" i="9"/>
  <c r="D91" i="9"/>
  <c r="G90" i="9"/>
  <c r="E90" i="9"/>
  <c r="D90" i="9"/>
  <c r="G89" i="9"/>
  <c r="E89" i="9"/>
  <c r="D89" i="9"/>
  <c r="G88" i="9"/>
  <c r="E88" i="9"/>
  <c r="D88" i="9"/>
  <c r="G87" i="9"/>
  <c r="E87" i="9"/>
  <c r="D87" i="9"/>
  <c r="G86" i="9"/>
  <c r="E86" i="9"/>
  <c r="D86" i="9"/>
  <c r="G85" i="9"/>
  <c r="E85" i="9"/>
  <c r="D85" i="9"/>
  <c r="G84" i="9"/>
  <c r="E84" i="9"/>
  <c r="D84" i="9"/>
  <c r="G83" i="9"/>
  <c r="E83" i="9"/>
  <c r="D83" i="9"/>
  <c r="G82" i="9"/>
  <c r="E82" i="9"/>
  <c r="D82" i="9"/>
  <c r="G81" i="9"/>
  <c r="E81" i="9"/>
  <c r="D81" i="9"/>
  <c r="G80" i="9"/>
  <c r="E80" i="9"/>
  <c r="D80" i="9"/>
  <c r="G79" i="9"/>
  <c r="E79" i="9"/>
  <c r="D79" i="9"/>
  <c r="G78" i="9"/>
  <c r="E78" i="9"/>
  <c r="D78" i="9"/>
  <c r="G77" i="9"/>
  <c r="E77" i="9"/>
  <c r="D77" i="9"/>
  <c r="G76" i="9"/>
  <c r="E76" i="9"/>
  <c r="D76" i="9"/>
  <c r="G75" i="9"/>
  <c r="E75" i="9"/>
  <c r="D75" i="9"/>
  <c r="G74" i="9"/>
  <c r="E74" i="9"/>
  <c r="D74" i="9"/>
  <c r="G73" i="9"/>
  <c r="E73" i="9"/>
  <c r="D73" i="9"/>
  <c r="G72" i="9"/>
  <c r="E72" i="9"/>
  <c r="D72" i="9"/>
  <c r="G71" i="9"/>
  <c r="E71" i="9"/>
  <c r="D71" i="9"/>
  <c r="G70" i="9"/>
  <c r="E70" i="9"/>
  <c r="D70" i="9"/>
  <c r="G69" i="9"/>
  <c r="E69" i="9"/>
  <c r="D69" i="9"/>
  <c r="G68" i="9"/>
  <c r="E68" i="9"/>
  <c r="D68" i="9"/>
  <c r="G67" i="9"/>
  <c r="E67" i="9"/>
  <c r="D67" i="9"/>
  <c r="G66" i="9"/>
  <c r="E66" i="9"/>
  <c r="D66" i="9"/>
  <c r="G65" i="9"/>
  <c r="E65" i="9"/>
  <c r="D65" i="9"/>
  <c r="G64" i="9"/>
  <c r="E64" i="9"/>
  <c r="D64" i="9"/>
  <c r="G63" i="9"/>
  <c r="E63" i="9"/>
  <c r="D63" i="9"/>
  <c r="G62" i="9"/>
  <c r="E62" i="9"/>
  <c r="D62" i="9"/>
  <c r="G61" i="9"/>
  <c r="E61" i="9"/>
  <c r="D61" i="9"/>
  <c r="G60" i="9"/>
  <c r="E60" i="9"/>
  <c r="D60" i="9"/>
  <c r="G59" i="9"/>
  <c r="E59" i="9"/>
  <c r="D59" i="9"/>
  <c r="G58" i="9"/>
  <c r="E58" i="9"/>
  <c r="D58" i="9"/>
  <c r="G57" i="9"/>
  <c r="E57" i="9"/>
  <c r="D57" i="9"/>
  <c r="G56" i="9"/>
  <c r="E56" i="9"/>
  <c r="D56" i="9"/>
  <c r="G55" i="9"/>
  <c r="E55" i="9"/>
  <c r="D55" i="9"/>
  <c r="G54" i="9"/>
  <c r="E54" i="9"/>
  <c r="D54" i="9"/>
  <c r="G53" i="9"/>
  <c r="E53" i="9"/>
  <c r="D53" i="9"/>
  <c r="G52" i="9"/>
  <c r="E52" i="9"/>
  <c r="D52" i="9"/>
  <c r="G51" i="9"/>
  <c r="E51" i="9"/>
  <c r="D51" i="9"/>
  <c r="G50" i="9"/>
  <c r="E50" i="9"/>
  <c r="D50" i="9"/>
  <c r="G49" i="9"/>
  <c r="E49" i="9"/>
  <c r="D49" i="9"/>
  <c r="G48" i="9"/>
  <c r="E48" i="9"/>
  <c r="D48" i="9"/>
  <c r="G47" i="9"/>
  <c r="E47" i="9"/>
  <c r="D47" i="9"/>
  <c r="G46" i="9"/>
  <c r="E46" i="9"/>
  <c r="D46" i="9"/>
  <c r="G45" i="9"/>
  <c r="E45" i="9"/>
  <c r="D45" i="9"/>
  <c r="G44" i="9"/>
  <c r="E44" i="9"/>
  <c r="D44" i="9"/>
  <c r="G43" i="9"/>
  <c r="E43" i="9"/>
  <c r="D43" i="9"/>
  <c r="G42" i="9"/>
  <c r="E42" i="9"/>
  <c r="D42" i="9"/>
  <c r="G41" i="9"/>
  <c r="E41" i="9"/>
  <c r="D41" i="9"/>
  <c r="G40" i="9"/>
  <c r="E40" i="9"/>
  <c r="D40" i="9"/>
  <c r="G39" i="9"/>
  <c r="E39" i="9"/>
  <c r="D39" i="9"/>
  <c r="G38" i="9"/>
  <c r="E38" i="9"/>
  <c r="D38" i="9"/>
  <c r="G37" i="9"/>
  <c r="E37" i="9"/>
  <c r="D37" i="9"/>
  <c r="G36" i="9"/>
  <c r="E36" i="9"/>
  <c r="D36" i="9"/>
  <c r="G35" i="9"/>
  <c r="E35" i="9"/>
  <c r="D35" i="9"/>
  <c r="G34" i="9"/>
  <c r="E34" i="9"/>
  <c r="D34" i="9"/>
  <c r="G33" i="9"/>
  <c r="E33" i="9"/>
  <c r="D33" i="9"/>
  <c r="G32" i="9"/>
  <c r="E32" i="9"/>
  <c r="D32" i="9"/>
  <c r="G31" i="9"/>
  <c r="E31" i="9"/>
  <c r="D31" i="9"/>
  <c r="G30" i="9"/>
  <c r="E30" i="9"/>
  <c r="D30" i="9"/>
  <c r="G29" i="9"/>
  <c r="E29" i="9"/>
  <c r="D29" i="9"/>
  <c r="G28" i="9"/>
  <c r="E28" i="9"/>
  <c r="D28" i="9"/>
  <c r="G27" i="9"/>
  <c r="E27" i="9"/>
  <c r="D27" i="9"/>
  <c r="G26" i="9"/>
  <c r="E26" i="9"/>
  <c r="D26" i="9"/>
  <c r="G25" i="9"/>
  <c r="E25" i="9"/>
  <c r="D25" i="9"/>
  <c r="G24" i="9"/>
  <c r="E24" i="9"/>
  <c r="D24" i="9"/>
  <c r="G23" i="9"/>
  <c r="E23" i="9"/>
  <c r="D23" i="9"/>
  <c r="G22" i="9"/>
  <c r="E22" i="9"/>
  <c r="D22" i="9"/>
  <c r="G21" i="9"/>
  <c r="E21" i="9"/>
  <c r="D21" i="9"/>
  <c r="G20" i="9"/>
  <c r="E20" i="9"/>
  <c r="D20" i="9"/>
  <c r="G19" i="9"/>
  <c r="E19" i="9"/>
  <c r="D19" i="9"/>
  <c r="G18" i="9"/>
  <c r="E18" i="9"/>
  <c r="D18" i="9"/>
  <c r="G17" i="9"/>
  <c r="E17" i="9"/>
  <c r="D17" i="9"/>
  <c r="G16" i="9"/>
  <c r="E16" i="9"/>
  <c r="D16" i="9"/>
  <c r="G15" i="9"/>
  <c r="E15" i="9"/>
  <c r="D15" i="9"/>
  <c r="G14" i="9"/>
  <c r="E14" i="9"/>
  <c r="D14" i="9"/>
  <c r="G13" i="9"/>
  <c r="E13" i="9"/>
  <c r="D13" i="9"/>
  <c r="G12" i="9"/>
  <c r="E12" i="9"/>
  <c r="D12" i="9"/>
  <c r="G11" i="9"/>
  <c r="E11" i="9"/>
  <c r="D11" i="9"/>
  <c r="G10" i="9"/>
  <c r="E10" i="9"/>
  <c r="D10" i="9"/>
  <c r="B1171" i="8"/>
  <c r="B1170" i="8"/>
  <c r="B1169" i="8"/>
  <c r="B1168" i="8"/>
  <c r="O1164" i="8"/>
  <c r="J1164" i="8"/>
  <c r="F1164" i="8"/>
  <c r="E1164" i="8"/>
  <c r="O1163" i="8"/>
  <c r="J1163" i="8"/>
  <c r="F1163" i="8"/>
  <c r="E1163" i="8"/>
  <c r="O1162" i="8"/>
  <c r="J1162" i="8"/>
  <c r="F1162" i="8"/>
  <c r="E1162" i="8"/>
  <c r="O1161" i="8"/>
  <c r="J1161" i="8"/>
  <c r="F1161" i="8"/>
  <c r="E1161" i="8"/>
  <c r="O1160" i="8"/>
  <c r="J1160" i="8"/>
  <c r="F1160" i="8"/>
  <c r="E1160" i="8"/>
  <c r="O1159" i="8"/>
  <c r="J1159" i="8"/>
  <c r="F1159" i="8"/>
  <c r="E1159" i="8"/>
  <c r="O1158" i="8"/>
  <c r="J1158" i="8"/>
  <c r="F1158" i="8"/>
  <c r="E1158" i="8"/>
  <c r="O1157" i="8"/>
  <c r="J1157" i="8"/>
  <c r="F1157" i="8"/>
  <c r="E1157" i="8"/>
  <c r="O1156" i="8"/>
  <c r="J1156" i="8"/>
  <c r="F1156" i="8"/>
  <c r="E1156" i="8"/>
  <c r="O1155" i="8"/>
  <c r="J1155" i="8"/>
  <c r="F1155" i="8"/>
  <c r="E1155" i="8"/>
  <c r="O1154" i="8"/>
  <c r="J1154" i="8"/>
  <c r="F1154" i="8"/>
  <c r="E1154" i="8"/>
  <c r="O1153" i="8"/>
  <c r="J1153" i="8"/>
  <c r="F1153" i="8"/>
  <c r="E1153" i="8"/>
  <c r="O1152" i="8"/>
  <c r="J1152" i="8"/>
  <c r="F1152" i="8"/>
  <c r="E1152" i="8"/>
  <c r="O1151" i="8"/>
  <c r="J1151" i="8"/>
  <c r="F1151" i="8"/>
  <c r="E1151" i="8"/>
  <c r="O1150" i="8"/>
  <c r="J1150" i="8"/>
  <c r="F1150" i="8"/>
  <c r="E1150" i="8"/>
  <c r="O1149" i="8"/>
  <c r="J1149" i="8"/>
  <c r="F1149" i="8"/>
  <c r="E1149" i="8"/>
  <c r="O1148" i="8"/>
  <c r="J1148" i="8"/>
  <c r="F1148" i="8"/>
  <c r="E1148" i="8"/>
  <c r="O1147" i="8"/>
  <c r="J1147" i="8"/>
  <c r="F1147" i="8"/>
  <c r="E1147" i="8"/>
  <c r="O1146" i="8"/>
  <c r="J1146" i="8"/>
  <c r="F1146" i="8"/>
  <c r="E1146" i="8"/>
  <c r="O1145" i="8"/>
  <c r="J1145" i="8"/>
  <c r="F1145" i="8"/>
  <c r="E1145" i="8"/>
  <c r="O1144" i="8"/>
  <c r="J1144" i="8"/>
  <c r="F1144" i="8"/>
  <c r="E1144" i="8"/>
  <c r="O1143" i="8"/>
  <c r="J1143" i="8"/>
  <c r="F1143" i="8"/>
  <c r="E1143" i="8"/>
  <c r="O1142" i="8"/>
  <c r="J1142" i="8"/>
  <c r="F1142" i="8"/>
  <c r="E1142" i="8"/>
  <c r="O1141" i="8"/>
  <c r="J1141" i="8"/>
  <c r="F1141" i="8"/>
  <c r="E1141" i="8"/>
  <c r="O1140" i="8"/>
  <c r="J1140" i="8"/>
  <c r="F1140" i="8"/>
  <c r="E1140" i="8"/>
  <c r="O1139" i="8"/>
  <c r="J1139" i="8"/>
  <c r="F1139" i="8"/>
  <c r="E1139" i="8"/>
  <c r="O1138" i="8"/>
  <c r="J1138" i="8"/>
  <c r="F1138" i="8"/>
  <c r="E1138" i="8"/>
  <c r="O1137" i="8"/>
  <c r="J1137" i="8"/>
  <c r="F1137" i="8"/>
  <c r="E1137" i="8"/>
  <c r="O1136" i="8"/>
  <c r="J1136" i="8"/>
  <c r="F1136" i="8"/>
  <c r="E1136" i="8"/>
  <c r="O1135" i="8"/>
  <c r="J1135" i="8"/>
  <c r="F1135" i="8"/>
  <c r="E1135" i="8"/>
  <c r="O1134" i="8"/>
  <c r="J1134" i="8"/>
  <c r="F1134" i="8"/>
  <c r="E1134" i="8"/>
  <c r="O1133" i="8"/>
  <c r="J1133" i="8"/>
  <c r="F1133" i="8"/>
  <c r="E1133" i="8"/>
  <c r="O1132" i="8"/>
  <c r="J1132" i="8"/>
  <c r="F1132" i="8"/>
  <c r="E1132" i="8"/>
  <c r="O1131" i="8"/>
  <c r="J1131" i="8"/>
  <c r="F1131" i="8"/>
  <c r="E1131" i="8"/>
  <c r="O1130" i="8"/>
  <c r="J1130" i="8"/>
  <c r="F1130" i="8"/>
  <c r="E1130" i="8"/>
  <c r="O1129" i="8"/>
  <c r="J1129" i="8"/>
  <c r="F1129" i="8"/>
  <c r="E1129" i="8"/>
  <c r="O1128" i="8"/>
  <c r="J1128" i="8"/>
  <c r="F1128" i="8"/>
  <c r="E1128" i="8"/>
  <c r="O1127" i="8"/>
  <c r="J1127" i="8"/>
  <c r="F1127" i="8"/>
  <c r="E1127" i="8"/>
  <c r="O1126" i="8"/>
  <c r="J1126" i="8"/>
  <c r="F1126" i="8"/>
  <c r="E1126" i="8"/>
  <c r="O1125" i="8"/>
  <c r="J1125" i="8"/>
  <c r="F1125" i="8"/>
  <c r="E1125" i="8"/>
  <c r="O1124" i="8"/>
  <c r="J1124" i="8"/>
  <c r="F1124" i="8"/>
  <c r="E1124" i="8"/>
  <c r="O1123" i="8"/>
  <c r="J1123" i="8"/>
  <c r="F1123" i="8"/>
  <c r="E1123" i="8"/>
  <c r="O1122" i="8"/>
  <c r="J1122" i="8"/>
  <c r="F1122" i="8"/>
  <c r="E1122" i="8"/>
  <c r="O1121" i="8"/>
  <c r="J1121" i="8"/>
  <c r="F1121" i="8"/>
  <c r="E1121" i="8"/>
  <c r="O1120" i="8"/>
  <c r="J1120" i="8"/>
  <c r="F1120" i="8"/>
  <c r="E1120" i="8"/>
  <c r="O1119" i="8"/>
  <c r="J1119" i="8"/>
  <c r="F1119" i="8"/>
  <c r="E1119" i="8"/>
  <c r="O1118" i="8"/>
  <c r="J1118" i="8"/>
  <c r="F1118" i="8"/>
  <c r="E1118" i="8"/>
  <c r="O1117" i="8"/>
  <c r="J1117" i="8"/>
  <c r="F1117" i="8"/>
  <c r="E1117" i="8"/>
  <c r="O1116" i="8"/>
  <c r="J1116" i="8"/>
  <c r="F1116" i="8"/>
  <c r="E1116" i="8"/>
  <c r="O1115" i="8"/>
  <c r="J1115" i="8"/>
  <c r="F1115" i="8"/>
  <c r="E1115" i="8"/>
  <c r="O1114" i="8"/>
  <c r="J1114" i="8"/>
  <c r="F1114" i="8"/>
  <c r="E1114" i="8"/>
  <c r="O1113" i="8"/>
  <c r="J1113" i="8"/>
  <c r="F1113" i="8"/>
  <c r="E1113" i="8"/>
  <c r="O1112" i="8"/>
  <c r="J1112" i="8"/>
  <c r="F1112" i="8"/>
  <c r="E1112" i="8"/>
  <c r="O1111" i="8"/>
  <c r="J1111" i="8"/>
  <c r="F1111" i="8"/>
  <c r="E1111" i="8"/>
  <c r="O1110" i="8"/>
  <c r="J1110" i="8"/>
  <c r="F1110" i="8"/>
  <c r="E1110" i="8"/>
  <c r="O1109" i="8"/>
  <c r="J1109" i="8"/>
  <c r="F1109" i="8"/>
  <c r="E1109" i="8"/>
  <c r="O1108" i="8"/>
  <c r="J1108" i="8"/>
  <c r="F1108" i="8"/>
  <c r="E1108" i="8"/>
  <c r="O1107" i="8"/>
  <c r="J1107" i="8"/>
  <c r="F1107" i="8"/>
  <c r="E1107" i="8"/>
  <c r="O1106" i="8"/>
  <c r="J1106" i="8"/>
  <c r="F1106" i="8"/>
  <c r="E1106" i="8"/>
  <c r="O1105" i="8"/>
  <c r="J1105" i="8"/>
  <c r="F1105" i="8"/>
  <c r="E1105" i="8"/>
  <c r="O1104" i="8"/>
  <c r="J1104" i="8"/>
  <c r="F1104" i="8"/>
  <c r="E1104" i="8"/>
  <c r="O1103" i="8"/>
  <c r="J1103" i="8"/>
  <c r="F1103" i="8"/>
  <c r="E1103" i="8"/>
  <c r="O1102" i="8"/>
  <c r="J1102" i="8"/>
  <c r="F1102" i="8"/>
  <c r="E1102" i="8"/>
  <c r="O1101" i="8"/>
  <c r="J1101" i="8"/>
  <c r="F1101" i="8"/>
  <c r="E1101" i="8"/>
  <c r="O1100" i="8"/>
  <c r="J1100" i="8"/>
  <c r="F1100" i="8"/>
  <c r="E1100" i="8"/>
  <c r="O1099" i="8"/>
  <c r="J1099" i="8"/>
  <c r="F1099" i="8"/>
  <c r="E1099" i="8"/>
  <c r="O1098" i="8"/>
  <c r="J1098" i="8"/>
  <c r="F1098" i="8"/>
  <c r="E1098" i="8"/>
  <c r="O1097" i="8"/>
  <c r="J1097" i="8"/>
  <c r="F1097" i="8"/>
  <c r="E1097" i="8"/>
  <c r="O1096" i="8"/>
  <c r="J1096" i="8"/>
  <c r="F1096" i="8"/>
  <c r="E1096" i="8"/>
  <c r="O1095" i="8"/>
  <c r="J1095" i="8"/>
  <c r="F1095" i="8"/>
  <c r="E1095" i="8"/>
  <c r="O1094" i="8"/>
  <c r="J1094" i="8"/>
  <c r="F1094" i="8"/>
  <c r="E1094" i="8"/>
  <c r="O1093" i="8"/>
  <c r="J1093" i="8"/>
  <c r="F1093" i="8"/>
  <c r="E1093" i="8"/>
  <c r="O1092" i="8"/>
  <c r="J1092" i="8"/>
  <c r="F1092" i="8"/>
  <c r="E1092" i="8"/>
  <c r="O1091" i="8"/>
  <c r="J1091" i="8"/>
  <c r="F1091" i="8"/>
  <c r="E1091" i="8"/>
  <c r="O1090" i="8"/>
  <c r="J1090" i="8"/>
  <c r="F1090" i="8"/>
  <c r="E1090" i="8"/>
  <c r="O1089" i="8"/>
  <c r="J1089" i="8"/>
  <c r="F1089" i="8"/>
  <c r="E1089" i="8"/>
  <c r="O1088" i="8"/>
  <c r="J1088" i="8"/>
  <c r="F1088" i="8"/>
  <c r="E1088" i="8"/>
  <c r="O1087" i="8"/>
  <c r="J1087" i="8"/>
  <c r="F1087" i="8"/>
  <c r="E1087" i="8"/>
  <c r="O1086" i="8"/>
  <c r="J1086" i="8"/>
  <c r="F1086" i="8"/>
  <c r="E1086" i="8"/>
  <c r="O1085" i="8"/>
  <c r="J1085" i="8"/>
  <c r="F1085" i="8"/>
  <c r="E1085" i="8"/>
  <c r="O1084" i="8"/>
  <c r="J1084" i="8"/>
  <c r="F1084" i="8"/>
  <c r="E1084" i="8"/>
  <c r="O1083" i="8"/>
  <c r="J1083" i="8"/>
  <c r="F1083" i="8"/>
  <c r="E1083" i="8"/>
  <c r="O1082" i="8"/>
  <c r="J1082" i="8"/>
  <c r="F1082" i="8"/>
  <c r="E1082" i="8"/>
  <c r="O1081" i="8"/>
  <c r="J1081" i="8"/>
  <c r="F1081" i="8"/>
  <c r="E1081" i="8"/>
  <c r="O1080" i="8"/>
  <c r="J1080" i="8"/>
  <c r="F1080" i="8"/>
  <c r="E1080" i="8"/>
  <c r="O1079" i="8"/>
  <c r="J1079" i="8"/>
  <c r="F1079" i="8"/>
  <c r="E1079" i="8"/>
  <c r="O1078" i="8"/>
  <c r="J1078" i="8"/>
  <c r="F1078" i="8"/>
  <c r="E1078" i="8"/>
  <c r="O1077" i="8"/>
  <c r="J1077" i="8"/>
  <c r="F1077" i="8"/>
  <c r="E1077" i="8"/>
  <c r="O1076" i="8"/>
  <c r="J1076" i="8"/>
  <c r="F1076" i="8"/>
  <c r="E1076" i="8"/>
  <c r="O1075" i="8"/>
  <c r="J1075" i="8"/>
  <c r="F1075" i="8"/>
  <c r="E1075" i="8"/>
  <c r="O1074" i="8"/>
  <c r="J1074" i="8"/>
  <c r="F1074" i="8"/>
  <c r="E1074" i="8"/>
  <c r="O1073" i="8"/>
  <c r="J1073" i="8"/>
  <c r="F1073" i="8"/>
  <c r="E1073" i="8"/>
  <c r="O1072" i="8"/>
  <c r="J1072" i="8"/>
  <c r="F1072" i="8"/>
  <c r="E1072" i="8"/>
  <c r="O1071" i="8"/>
  <c r="J1071" i="8"/>
  <c r="F1071" i="8"/>
  <c r="E1071" i="8"/>
  <c r="O1070" i="8"/>
  <c r="J1070" i="8"/>
  <c r="F1070" i="8"/>
  <c r="E1070" i="8"/>
  <c r="O1069" i="8"/>
  <c r="J1069" i="8"/>
  <c r="F1069" i="8"/>
  <c r="E1069" i="8"/>
  <c r="O1068" i="8"/>
  <c r="J1068" i="8"/>
  <c r="F1068" i="8"/>
  <c r="E1068" i="8"/>
  <c r="O1067" i="8"/>
  <c r="J1067" i="8"/>
  <c r="F1067" i="8"/>
  <c r="E1067" i="8"/>
  <c r="O1066" i="8"/>
  <c r="J1066" i="8"/>
  <c r="F1066" i="8"/>
  <c r="E1066" i="8"/>
  <c r="O1065" i="8"/>
  <c r="J1065" i="8"/>
  <c r="F1065" i="8"/>
  <c r="E1065" i="8"/>
  <c r="O1064" i="8"/>
  <c r="J1064" i="8"/>
  <c r="F1064" i="8"/>
  <c r="E1064" i="8"/>
  <c r="O1063" i="8"/>
  <c r="J1063" i="8"/>
  <c r="F1063" i="8"/>
  <c r="E1063" i="8"/>
  <c r="O1062" i="8"/>
  <c r="J1062" i="8"/>
  <c r="F1062" i="8"/>
  <c r="E1062" i="8"/>
  <c r="O1061" i="8"/>
  <c r="J1061" i="8"/>
  <c r="F1061" i="8"/>
  <c r="E1061" i="8"/>
  <c r="O1060" i="8"/>
  <c r="J1060" i="8"/>
  <c r="F1060" i="8"/>
  <c r="E1060" i="8"/>
  <c r="O1059" i="8"/>
  <c r="J1059" i="8"/>
  <c r="F1059" i="8"/>
  <c r="E1059" i="8"/>
  <c r="O1058" i="8"/>
  <c r="J1058" i="8"/>
  <c r="F1058" i="8"/>
  <c r="E1058" i="8"/>
  <c r="O1057" i="8"/>
  <c r="J1057" i="8"/>
  <c r="F1057" i="8"/>
  <c r="E1057" i="8"/>
  <c r="O1056" i="8"/>
  <c r="J1056" i="8"/>
  <c r="F1056" i="8"/>
  <c r="E1056" i="8"/>
  <c r="O1055" i="8"/>
  <c r="J1055" i="8"/>
  <c r="F1055" i="8"/>
  <c r="E1055" i="8"/>
  <c r="O1054" i="8"/>
  <c r="J1054" i="8"/>
  <c r="F1054" i="8"/>
  <c r="E1054" i="8"/>
  <c r="O1053" i="8"/>
  <c r="J1053" i="8"/>
  <c r="F1053" i="8"/>
  <c r="E1053" i="8"/>
  <c r="O1052" i="8"/>
  <c r="J1052" i="8"/>
  <c r="F1052" i="8"/>
  <c r="E1052" i="8"/>
  <c r="O1051" i="8"/>
  <c r="J1051" i="8"/>
  <c r="F1051" i="8"/>
  <c r="E1051" i="8"/>
  <c r="O1050" i="8"/>
  <c r="J1050" i="8"/>
  <c r="F1050" i="8"/>
  <c r="E1050" i="8"/>
  <c r="O1049" i="8"/>
  <c r="J1049" i="8"/>
  <c r="F1049" i="8"/>
  <c r="E1049" i="8"/>
  <c r="O1048" i="8"/>
  <c r="J1048" i="8"/>
  <c r="F1048" i="8"/>
  <c r="E1048" i="8"/>
  <c r="O1047" i="8"/>
  <c r="J1047" i="8"/>
  <c r="F1047" i="8"/>
  <c r="E1047" i="8"/>
  <c r="O1046" i="8"/>
  <c r="J1046" i="8"/>
  <c r="F1046" i="8"/>
  <c r="E1046" i="8"/>
  <c r="O1045" i="8"/>
  <c r="J1045" i="8"/>
  <c r="F1045" i="8"/>
  <c r="E1045" i="8"/>
  <c r="O1044" i="8"/>
  <c r="J1044" i="8"/>
  <c r="F1044" i="8"/>
  <c r="E1044" i="8"/>
  <c r="O1043" i="8"/>
  <c r="J1043" i="8"/>
  <c r="F1043" i="8"/>
  <c r="E1043" i="8"/>
  <c r="O1042" i="8"/>
  <c r="J1042" i="8"/>
  <c r="F1042" i="8"/>
  <c r="E1042" i="8"/>
  <c r="O1041" i="8"/>
  <c r="J1041" i="8"/>
  <c r="F1041" i="8"/>
  <c r="E1041" i="8"/>
  <c r="O1040" i="8"/>
  <c r="J1040" i="8"/>
  <c r="F1040" i="8"/>
  <c r="E1040" i="8"/>
  <c r="O1039" i="8"/>
  <c r="J1039" i="8"/>
  <c r="F1039" i="8"/>
  <c r="E1039" i="8"/>
  <c r="O1038" i="8"/>
  <c r="J1038" i="8"/>
  <c r="F1038" i="8"/>
  <c r="E1038" i="8"/>
  <c r="O1037" i="8"/>
  <c r="J1037" i="8"/>
  <c r="F1037" i="8"/>
  <c r="E1037" i="8"/>
  <c r="O1036" i="8"/>
  <c r="J1036" i="8"/>
  <c r="F1036" i="8"/>
  <c r="E1036" i="8"/>
  <c r="O1035" i="8"/>
  <c r="J1035" i="8"/>
  <c r="F1035" i="8"/>
  <c r="E1035" i="8"/>
  <c r="O1034" i="8"/>
  <c r="J1034" i="8"/>
  <c r="F1034" i="8"/>
  <c r="E1034" i="8"/>
  <c r="O1033" i="8"/>
  <c r="J1033" i="8"/>
  <c r="F1033" i="8"/>
  <c r="E1033" i="8"/>
  <c r="O1032" i="8"/>
  <c r="J1032" i="8"/>
  <c r="F1032" i="8"/>
  <c r="E1032" i="8"/>
  <c r="O1031" i="8"/>
  <c r="J1031" i="8"/>
  <c r="F1031" i="8"/>
  <c r="E1031" i="8"/>
  <c r="O1030" i="8"/>
  <c r="J1030" i="8"/>
  <c r="F1030" i="8"/>
  <c r="E1030" i="8"/>
  <c r="O1029" i="8"/>
  <c r="J1029" i="8"/>
  <c r="F1029" i="8"/>
  <c r="E1029" i="8"/>
  <c r="O1028" i="8"/>
  <c r="J1028" i="8"/>
  <c r="F1028" i="8"/>
  <c r="E1028" i="8"/>
  <c r="O1027" i="8"/>
  <c r="J1027" i="8"/>
  <c r="F1027" i="8"/>
  <c r="E1027" i="8"/>
  <c r="O1026" i="8"/>
  <c r="J1026" i="8"/>
  <c r="F1026" i="8"/>
  <c r="E1026" i="8"/>
  <c r="O1025" i="8"/>
  <c r="J1025" i="8"/>
  <c r="F1025" i="8"/>
  <c r="E1025" i="8"/>
  <c r="O1024" i="8"/>
  <c r="J1024" i="8"/>
  <c r="F1024" i="8"/>
  <c r="E1024" i="8"/>
  <c r="O1023" i="8"/>
  <c r="J1023" i="8"/>
  <c r="F1023" i="8"/>
  <c r="E1023" i="8"/>
  <c r="O1022" i="8"/>
  <c r="J1022" i="8"/>
  <c r="F1022" i="8"/>
  <c r="E1022" i="8"/>
  <c r="O1021" i="8"/>
  <c r="J1021" i="8"/>
  <c r="F1021" i="8"/>
  <c r="E1021" i="8"/>
  <c r="O1020" i="8"/>
  <c r="J1020" i="8"/>
  <c r="F1020" i="8"/>
  <c r="E1020" i="8"/>
  <c r="O1019" i="8"/>
  <c r="J1019" i="8"/>
  <c r="F1019" i="8"/>
  <c r="E1019" i="8"/>
  <c r="O1018" i="8"/>
  <c r="J1018" i="8"/>
  <c r="F1018" i="8"/>
  <c r="E1018" i="8"/>
  <c r="O1017" i="8"/>
  <c r="J1017" i="8"/>
  <c r="F1017" i="8"/>
  <c r="E1017" i="8"/>
  <c r="O1016" i="8"/>
  <c r="J1016" i="8"/>
  <c r="F1016" i="8"/>
  <c r="E1016" i="8"/>
  <c r="O1015" i="8"/>
  <c r="J1015" i="8"/>
  <c r="F1015" i="8"/>
  <c r="E1015" i="8"/>
  <c r="O1014" i="8"/>
  <c r="J1014" i="8"/>
  <c r="F1014" i="8"/>
  <c r="E1014" i="8"/>
  <c r="O1013" i="8"/>
  <c r="J1013" i="8"/>
  <c r="F1013" i="8"/>
  <c r="E1013" i="8"/>
  <c r="O1012" i="8"/>
  <c r="J1012" i="8"/>
  <c r="F1012" i="8"/>
  <c r="E1012" i="8"/>
  <c r="O1011" i="8"/>
  <c r="J1011" i="8"/>
  <c r="F1011" i="8"/>
  <c r="E1011" i="8"/>
  <c r="O1010" i="8"/>
  <c r="J1010" i="8"/>
  <c r="F1010" i="8"/>
  <c r="E1010" i="8"/>
  <c r="O1009" i="8"/>
  <c r="J1009" i="8"/>
  <c r="F1009" i="8"/>
  <c r="E1009" i="8"/>
  <c r="O1008" i="8"/>
  <c r="J1008" i="8"/>
  <c r="F1008" i="8"/>
  <c r="E1008" i="8"/>
  <c r="O1007" i="8"/>
  <c r="J1007" i="8"/>
  <c r="F1007" i="8"/>
  <c r="E1007" i="8"/>
  <c r="O1006" i="8"/>
  <c r="J1006" i="8"/>
  <c r="F1006" i="8"/>
  <c r="E1006" i="8"/>
  <c r="O1005" i="8"/>
  <c r="J1005" i="8"/>
  <c r="F1005" i="8"/>
  <c r="E1005" i="8"/>
  <c r="O1004" i="8"/>
  <c r="J1004" i="8"/>
  <c r="F1004" i="8"/>
  <c r="E1004" i="8"/>
  <c r="O1003" i="8"/>
  <c r="J1003" i="8"/>
  <c r="F1003" i="8"/>
  <c r="E1003" i="8"/>
  <c r="O1002" i="8"/>
  <c r="J1002" i="8"/>
  <c r="F1002" i="8"/>
  <c r="E1002" i="8"/>
  <c r="O1001" i="8"/>
  <c r="J1001" i="8"/>
  <c r="F1001" i="8"/>
  <c r="E1001" i="8"/>
  <c r="O1000" i="8"/>
  <c r="J1000" i="8"/>
  <c r="F1000" i="8"/>
  <c r="E1000" i="8"/>
  <c r="O999" i="8"/>
  <c r="J999" i="8"/>
  <c r="F999" i="8"/>
  <c r="E999" i="8"/>
  <c r="O998" i="8"/>
  <c r="J998" i="8"/>
  <c r="F998" i="8"/>
  <c r="E998" i="8"/>
  <c r="O997" i="8"/>
  <c r="J997" i="8"/>
  <c r="F997" i="8"/>
  <c r="E997" i="8"/>
  <c r="O996" i="8"/>
  <c r="J996" i="8"/>
  <c r="F996" i="8"/>
  <c r="E996" i="8"/>
  <c r="O995" i="8"/>
  <c r="J995" i="8"/>
  <c r="F995" i="8"/>
  <c r="E995" i="8"/>
  <c r="O994" i="8"/>
  <c r="J994" i="8"/>
  <c r="F994" i="8"/>
  <c r="E994" i="8"/>
  <c r="O993" i="8"/>
  <c r="J993" i="8"/>
  <c r="F993" i="8"/>
  <c r="E993" i="8"/>
  <c r="O992" i="8"/>
  <c r="J992" i="8"/>
  <c r="F992" i="8"/>
  <c r="E992" i="8"/>
  <c r="O991" i="8"/>
  <c r="J991" i="8"/>
  <c r="F991" i="8"/>
  <c r="E991" i="8"/>
  <c r="O990" i="8"/>
  <c r="J990" i="8"/>
  <c r="F990" i="8"/>
  <c r="E990" i="8"/>
  <c r="O989" i="8"/>
  <c r="J989" i="8"/>
  <c r="F989" i="8"/>
  <c r="E989" i="8"/>
  <c r="O988" i="8"/>
  <c r="J988" i="8"/>
  <c r="F988" i="8"/>
  <c r="E988" i="8"/>
  <c r="O987" i="8"/>
  <c r="J987" i="8"/>
  <c r="F987" i="8"/>
  <c r="E987" i="8"/>
  <c r="O986" i="8"/>
  <c r="J986" i="8"/>
  <c r="F986" i="8"/>
  <c r="E986" i="8"/>
  <c r="O985" i="8"/>
  <c r="J985" i="8"/>
  <c r="F985" i="8"/>
  <c r="E985" i="8"/>
  <c r="O984" i="8"/>
  <c r="J984" i="8"/>
  <c r="F984" i="8"/>
  <c r="E984" i="8"/>
  <c r="O983" i="8"/>
  <c r="J983" i="8"/>
  <c r="F983" i="8"/>
  <c r="E983" i="8"/>
  <c r="O982" i="8"/>
  <c r="J982" i="8"/>
  <c r="F982" i="8"/>
  <c r="E982" i="8"/>
  <c r="O981" i="8"/>
  <c r="J981" i="8"/>
  <c r="F981" i="8"/>
  <c r="E981" i="8"/>
  <c r="O980" i="8"/>
  <c r="J980" i="8"/>
  <c r="F980" i="8"/>
  <c r="E980" i="8"/>
  <c r="O979" i="8"/>
  <c r="J979" i="8"/>
  <c r="F979" i="8"/>
  <c r="E979" i="8"/>
  <c r="O978" i="8"/>
  <c r="J978" i="8"/>
  <c r="F978" i="8"/>
  <c r="E978" i="8"/>
  <c r="O977" i="8"/>
  <c r="J977" i="8"/>
  <c r="F977" i="8"/>
  <c r="E977" i="8"/>
  <c r="O976" i="8"/>
  <c r="J976" i="8"/>
  <c r="F976" i="8"/>
  <c r="E976" i="8"/>
  <c r="O975" i="8"/>
  <c r="J975" i="8"/>
  <c r="F975" i="8"/>
  <c r="E975" i="8"/>
  <c r="O974" i="8"/>
  <c r="J974" i="8"/>
  <c r="F974" i="8"/>
  <c r="E974" i="8"/>
  <c r="O973" i="8"/>
  <c r="J973" i="8"/>
  <c r="F973" i="8"/>
  <c r="E973" i="8"/>
  <c r="O972" i="8"/>
  <c r="J972" i="8"/>
  <c r="F972" i="8"/>
  <c r="E972" i="8"/>
  <c r="O971" i="8"/>
  <c r="J971" i="8"/>
  <c r="F971" i="8"/>
  <c r="E971" i="8"/>
  <c r="O970" i="8"/>
  <c r="J970" i="8"/>
  <c r="F970" i="8"/>
  <c r="E970" i="8"/>
  <c r="O969" i="8"/>
  <c r="J969" i="8"/>
  <c r="F969" i="8"/>
  <c r="E969" i="8"/>
  <c r="O968" i="8"/>
  <c r="J968" i="8"/>
  <c r="F968" i="8"/>
  <c r="E968" i="8"/>
  <c r="O967" i="8"/>
  <c r="J967" i="8"/>
  <c r="F967" i="8"/>
  <c r="E967" i="8"/>
  <c r="O966" i="8"/>
  <c r="J966" i="8"/>
  <c r="F966" i="8"/>
  <c r="E966" i="8"/>
  <c r="O965" i="8"/>
  <c r="J965" i="8"/>
  <c r="F965" i="8"/>
  <c r="E965" i="8"/>
  <c r="O964" i="8"/>
  <c r="J964" i="8"/>
  <c r="F964" i="8"/>
  <c r="E964" i="8"/>
  <c r="O963" i="8"/>
  <c r="J963" i="8"/>
  <c r="F963" i="8"/>
  <c r="E963" i="8"/>
  <c r="O962" i="8"/>
  <c r="J962" i="8"/>
  <c r="F962" i="8"/>
  <c r="E962" i="8"/>
  <c r="O961" i="8"/>
  <c r="J961" i="8"/>
  <c r="F961" i="8"/>
  <c r="E961" i="8"/>
  <c r="O960" i="8"/>
  <c r="J960" i="8"/>
  <c r="F960" i="8"/>
  <c r="E960" i="8"/>
  <c r="O959" i="8"/>
  <c r="J959" i="8"/>
  <c r="F959" i="8"/>
  <c r="E959" i="8"/>
  <c r="O958" i="8"/>
  <c r="J958" i="8"/>
  <c r="F958" i="8"/>
  <c r="E958" i="8"/>
  <c r="O957" i="8"/>
  <c r="J957" i="8"/>
  <c r="F957" i="8"/>
  <c r="E957" i="8"/>
  <c r="O956" i="8"/>
  <c r="J956" i="8"/>
  <c r="F956" i="8"/>
  <c r="E956" i="8"/>
  <c r="O955" i="8"/>
  <c r="J955" i="8"/>
  <c r="F955" i="8"/>
  <c r="E955" i="8"/>
  <c r="O954" i="8"/>
  <c r="J954" i="8"/>
  <c r="F954" i="8"/>
  <c r="E954" i="8"/>
  <c r="O953" i="8"/>
  <c r="J953" i="8"/>
  <c r="F953" i="8"/>
  <c r="E953" i="8"/>
  <c r="O952" i="8"/>
  <c r="J952" i="8"/>
  <c r="F952" i="8"/>
  <c r="E952" i="8"/>
  <c r="O951" i="8"/>
  <c r="J951" i="8"/>
  <c r="F951" i="8"/>
  <c r="E951" i="8"/>
  <c r="O950" i="8"/>
  <c r="J950" i="8"/>
  <c r="F950" i="8"/>
  <c r="E950" i="8"/>
  <c r="O949" i="8"/>
  <c r="J949" i="8"/>
  <c r="F949" i="8"/>
  <c r="E949" i="8"/>
  <c r="O948" i="8"/>
  <c r="J948" i="8"/>
  <c r="F948" i="8"/>
  <c r="E948" i="8"/>
  <c r="O947" i="8"/>
  <c r="J947" i="8"/>
  <c r="F947" i="8"/>
  <c r="E947" i="8"/>
  <c r="O946" i="8"/>
  <c r="J946" i="8"/>
  <c r="F946" i="8"/>
  <c r="E946" i="8"/>
  <c r="O945" i="8"/>
  <c r="J945" i="8"/>
  <c r="F945" i="8"/>
  <c r="E945" i="8"/>
  <c r="O944" i="8"/>
  <c r="J944" i="8"/>
  <c r="F944" i="8"/>
  <c r="E944" i="8"/>
  <c r="O943" i="8"/>
  <c r="J943" i="8"/>
  <c r="F943" i="8"/>
  <c r="E943" i="8"/>
  <c r="O942" i="8"/>
  <c r="J942" i="8"/>
  <c r="F942" i="8"/>
  <c r="E942" i="8"/>
  <c r="O941" i="8"/>
  <c r="J941" i="8"/>
  <c r="F941" i="8"/>
  <c r="E941" i="8"/>
  <c r="O940" i="8"/>
  <c r="J940" i="8"/>
  <c r="F940" i="8"/>
  <c r="E940" i="8"/>
  <c r="O939" i="8"/>
  <c r="J939" i="8"/>
  <c r="F939" i="8"/>
  <c r="E939" i="8"/>
  <c r="O938" i="8"/>
  <c r="J938" i="8"/>
  <c r="F938" i="8"/>
  <c r="E938" i="8"/>
  <c r="O937" i="8"/>
  <c r="J937" i="8"/>
  <c r="F937" i="8"/>
  <c r="E937" i="8"/>
  <c r="O936" i="8"/>
  <c r="J936" i="8"/>
  <c r="F936" i="8"/>
  <c r="E936" i="8"/>
  <c r="O935" i="8"/>
  <c r="J935" i="8"/>
  <c r="F935" i="8"/>
  <c r="E935" i="8"/>
  <c r="O934" i="8"/>
  <c r="J934" i="8"/>
  <c r="F934" i="8"/>
  <c r="E934" i="8"/>
  <c r="O933" i="8"/>
  <c r="J933" i="8"/>
  <c r="F933" i="8"/>
  <c r="E933" i="8"/>
  <c r="O932" i="8"/>
  <c r="J932" i="8"/>
  <c r="F932" i="8"/>
  <c r="E932" i="8"/>
  <c r="O931" i="8"/>
  <c r="J931" i="8"/>
  <c r="F931" i="8"/>
  <c r="E931" i="8"/>
  <c r="O930" i="8"/>
  <c r="J930" i="8"/>
  <c r="F930" i="8"/>
  <c r="E930" i="8"/>
  <c r="O929" i="8"/>
  <c r="J929" i="8"/>
  <c r="F929" i="8"/>
  <c r="E929" i="8"/>
  <c r="O928" i="8"/>
  <c r="J928" i="8"/>
  <c r="F928" i="8"/>
  <c r="E928" i="8"/>
  <c r="O927" i="8"/>
  <c r="J927" i="8"/>
  <c r="F927" i="8"/>
  <c r="E927" i="8"/>
  <c r="O926" i="8"/>
  <c r="J926" i="8"/>
  <c r="F926" i="8"/>
  <c r="E926" i="8"/>
  <c r="O925" i="8"/>
  <c r="J925" i="8"/>
  <c r="F925" i="8"/>
  <c r="E925" i="8"/>
  <c r="O924" i="8"/>
  <c r="J924" i="8"/>
  <c r="F924" i="8"/>
  <c r="E924" i="8"/>
  <c r="O923" i="8"/>
  <c r="J923" i="8"/>
  <c r="F923" i="8"/>
  <c r="E923" i="8"/>
  <c r="O922" i="8"/>
  <c r="J922" i="8"/>
  <c r="F922" i="8"/>
  <c r="E922" i="8"/>
  <c r="O921" i="8"/>
  <c r="J921" i="8"/>
  <c r="F921" i="8"/>
  <c r="E921" i="8"/>
  <c r="O920" i="8"/>
  <c r="J920" i="8"/>
  <c r="F920" i="8"/>
  <c r="E920" i="8"/>
  <c r="O919" i="8"/>
  <c r="J919" i="8"/>
  <c r="F919" i="8"/>
  <c r="E919" i="8"/>
  <c r="O918" i="8"/>
  <c r="J918" i="8"/>
  <c r="F918" i="8"/>
  <c r="E918" i="8"/>
  <c r="O917" i="8"/>
  <c r="J917" i="8"/>
  <c r="F917" i="8"/>
  <c r="E917" i="8"/>
  <c r="O916" i="8"/>
  <c r="J916" i="8"/>
  <c r="F916" i="8"/>
  <c r="E916" i="8"/>
  <c r="O915" i="8"/>
  <c r="J915" i="8"/>
  <c r="F915" i="8"/>
  <c r="E915" i="8"/>
  <c r="O914" i="8"/>
  <c r="J914" i="8"/>
  <c r="F914" i="8"/>
  <c r="E914" i="8"/>
  <c r="O913" i="8"/>
  <c r="J913" i="8"/>
  <c r="F913" i="8"/>
  <c r="E913" i="8"/>
  <c r="O912" i="8"/>
  <c r="J912" i="8"/>
  <c r="F912" i="8"/>
  <c r="E912" i="8"/>
  <c r="O911" i="8"/>
  <c r="J911" i="8"/>
  <c r="F911" i="8"/>
  <c r="E911" i="8"/>
  <c r="O910" i="8"/>
  <c r="J910" i="8"/>
  <c r="F910" i="8"/>
  <c r="E910" i="8"/>
  <c r="O909" i="8"/>
  <c r="J909" i="8"/>
  <c r="F909" i="8"/>
  <c r="E909" i="8"/>
  <c r="O908" i="8"/>
  <c r="J908" i="8"/>
  <c r="F908" i="8"/>
  <c r="E908" i="8"/>
  <c r="O907" i="8"/>
  <c r="J907" i="8"/>
  <c r="F907" i="8"/>
  <c r="E907" i="8"/>
  <c r="O906" i="8"/>
  <c r="J906" i="8"/>
  <c r="F906" i="8"/>
  <c r="E906" i="8"/>
  <c r="O905" i="8"/>
  <c r="J905" i="8"/>
  <c r="F905" i="8"/>
  <c r="E905" i="8"/>
  <c r="O904" i="8"/>
  <c r="J904" i="8"/>
  <c r="F904" i="8"/>
  <c r="E904" i="8"/>
  <c r="O903" i="8"/>
  <c r="J903" i="8"/>
  <c r="F903" i="8"/>
  <c r="E903" i="8"/>
  <c r="O902" i="8"/>
  <c r="J902" i="8"/>
  <c r="F902" i="8"/>
  <c r="E902" i="8"/>
  <c r="O901" i="8"/>
  <c r="J901" i="8"/>
  <c r="F901" i="8"/>
  <c r="E901" i="8"/>
  <c r="O900" i="8"/>
  <c r="J900" i="8"/>
  <c r="F900" i="8"/>
  <c r="E900" i="8"/>
  <c r="O899" i="8"/>
  <c r="J899" i="8"/>
  <c r="F899" i="8"/>
  <c r="E899" i="8"/>
  <c r="O898" i="8"/>
  <c r="J898" i="8"/>
  <c r="F898" i="8"/>
  <c r="E898" i="8"/>
  <c r="O897" i="8"/>
  <c r="J897" i="8"/>
  <c r="F897" i="8"/>
  <c r="E897" i="8"/>
  <c r="O896" i="8"/>
  <c r="J896" i="8"/>
  <c r="F896" i="8"/>
  <c r="E896" i="8"/>
  <c r="O895" i="8"/>
  <c r="J895" i="8"/>
  <c r="F895" i="8"/>
  <c r="E895" i="8"/>
  <c r="O894" i="8"/>
  <c r="J894" i="8"/>
  <c r="F894" i="8"/>
  <c r="E894" i="8"/>
  <c r="O893" i="8"/>
  <c r="J893" i="8"/>
  <c r="F893" i="8"/>
  <c r="E893" i="8"/>
  <c r="O892" i="8"/>
  <c r="J892" i="8"/>
  <c r="F892" i="8"/>
  <c r="E892" i="8"/>
  <c r="O891" i="8"/>
  <c r="J891" i="8"/>
  <c r="F891" i="8"/>
  <c r="E891" i="8"/>
  <c r="O890" i="8"/>
  <c r="J890" i="8"/>
  <c r="F890" i="8"/>
  <c r="E890" i="8"/>
  <c r="O889" i="8"/>
  <c r="J889" i="8"/>
  <c r="F889" i="8"/>
  <c r="E889" i="8"/>
  <c r="O888" i="8"/>
  <c r="J888" i="8"/>
  <c r="F888" i="8"/>
  <c r="E888" i="8"/>
  <c r="O887" i="8"/>
  <c r="J887" i="8"/>
  <c r="F887" i="8"/>
  <c r="E887" i="8"/>
  <c r="O886" i="8"/>
  <c r="J886" i="8"/>
  <c r="F886" i="8"/>
  <c r="E886" i="8"/>
  <c r="O885" i="8"/>
  <c r="J885" i="8"/>
  <c r="F885" i="8"/>
  <c r="E885" i="8"/>
  <c r="O884" i="8"/>
  <c r="J884" i="8"/>
  <c r="F884" i="8"/>
  <c r="E884" i="8"/>
  <c r="O883" i="8"/>
  <c r="J883" i="8"/>
  <c r="F883" i="8"/>
  <c r="E883" i="8"/>
  <c r="O882" i="8"/>
  <c r="J882" i="8"/>
  <c r="F882" i="8"/>
  <c r="E882" i="8"/>
  <c r="O881" i="8"/>
  <c r="J881" i="8"/>
  <c r="F881" i="8"/>
  <c r="E881" i="8"/>
  <c r="O880" i="8"/>
  <c r="J880" i="8"/>
  <c r="F880" i="8"/>
  <c r="E880" i="8"/>
  <c r="O879" i="8"/>
  <c r="J879" i="8"/>
  <c r="F879" i="8"/>
  <c r="E879" i="8"/>
  <c r="O878" i="8"/>
  <c r="J878" i="8"/>
  <c r="F878" i="8"/>
  <c r="E878" i="8"/>
  <c r="O877" i="8"/>
  <c r="J877" i="8"/>
  <c r="F877" i="8"/>
  <c r="E877" i="8"/>
  <c r="O876" i="8"/>
  <c r="J876" i="8"/>
  <c r="F876" i="8"/>
  <c r="E876" i="8"/>
  <c r="O875" i="8"/>
  <c r="J875" i="8"/>
  <c r="F875" i="8"/>
  <c r="E875" i="8"/>
  <c r="O874" i="8"/>
  <c r="J874" i="8"/>
  <c r="F874" i="8"/>
  <c r="E874" i="8"/>
  <c r="O873" i="8"/>
  <c r="J873" i="8"/>
  <c r="F873" i="8"/>
  <c r="E873" i="8"/>
  <c r="O872" i="8"/>
  <c r="J872" i="8"/>
  <c r="F872" i="8"/>
  <c r="E872" i="8"/>
  <c r="O871" i="8"/>
  <c r="J871" i="8"/>
  <c r="F871" i="8"/>
  <c r="E871" i="8"/>
  <c r="O870" i="8"/>
  <c r="J870" i="8"/>
  <c r="F870" i="8"/>
  <c r="E870" i="8"/>
  <c r="O869" i="8"/>
  <c r="J869" i="8"/>
  <c r="F869" i="8"/>
  <c r="E869" i="8"/>
  <c r="O868" i="8"/>
  <c r="J868" i="8"/>
  <c r="F868" i="8"/>
  <c r="E868" i="8"/>
  <c r="O867" i="8"/>
  <c r="J867" i="8"/>
  <c r="F867" i="8"/>
  <c r="E867" i="8"/>
  <c r="O866" i="8"/>
  <c r="J866" i="8"/>
  <c r="F866" i="8"/>
  <c r="E866" i="8"/>
  <c r="O865" i="8"/>
  <c r="J865" i="8"/>
  <c r="F865" i="8"/>
  <c r="E865" i="8"/>
  <c r="O864" i="8"/>
  <c r="J864" i="8"/>
  <c r="F864" i="8"/>
  <c r="E864" i="8"/>
  <c r="O863" i="8"/>
  <c r="J863" i="8"/>
  <c r="F863" i="8"/>
  <c r="E863" i="8"/>
  <c r="O862" i="8"/>
  <c r="J862" i="8"/>
  <c r="F862" i="8"/>
  <c r="E862" i="8"/>
  <c r="O861" i="8"/>
  <c r="J861" i="8"/>
  <c r="F861" i="8"/>
  <c r="E861" i="8"/>
  <c r="O860" i="8"/>
  <c r="J860" i="8"/>
  <c r="F860" i="8"/>
  <c r="E860" i="8"/>
  <c r="O859" i="8"/>
  <c r="J859" i="8"/>
  <c r="F859" i="8"/>
  <c r="E859" i="8"/>
  <c r="O858" i="8"/>
  <c r="J858" i="8"/>
  <c r="F858" i="8"/>
  <c r="E858" i="8"/>
  <c r="O857" i="8"/>
  <c r="J857" i="8"/>
  <c r="F857" i="8"/>
  <c r="E857" i="8"/>
  <c r="O856" i="8"/>
  <c r="J856" i="8"/>
  <c r="F856" i="8"/>
  <c r="E856" i="8"/>
  <c r="O855" i="8"/>
  <c r="J855" i="8"/>
  <c r="F855" i="8"/>
  <c r="E855" i="8"/>
  <c r="O854" i="8"/>
  <c r="J854" i="8"/>
  <c r="F854" i="8"/>
  <c r="E854" i="8"/>
  <c r="O853" i="8"/>
  <c r="J853" i="8"/>
  <c r="F853" i="8"/>
  <c r="E853" i="8"/>
  <c r="O852" i="8"/>
  <c r="J852" i="8"/>
  <c r="F852" i="8"/>
  <c r="E852" i="8"/>
  <c r="O851" i="8"/>
  <c r="J851" i="8"/>
  <c r="F851" i="8"/>
  <c r="E851" i="8"/>
  <c r="O850" i="8"/>
  <c r="J850" i="8"/>
  <c r="F850" i="8"/>
  <c r="E850" i="8"/>
  <c r="O849" i="8"/>
  <c r="J849" i="8"/>
  <c r="F849" i="8"/>
  <c r="E849" i="8"/>
  <c r="O848" i="8"/>
  <c r="J848" i="8"/>
  <c r="F848" i="8"/>
  <c r="E848" i="8"/>
  <c r="O847" i="8"/>
  <c r="J847" i="8"/>
  <c r="F847" i="8"/>
  <c r="E847" i="8"/>
  <c r="O846" i="8"/>
  <c r="J846" i="8"/>
  <c r="F846" i="8"/>
  <c r="E846" i="8"/>
  <c r="O845" i="8"/>
  <c r="J845" i="8"/>
  <c r="F845" i="8"/>
  <c r="E845" i="8"/>
  <c r="O844" i="8"/>
  <c r="J844" i="8"/>
  <c r="F844" i="8"/>
  <c r="E844" i="8"/>
  <c r="O843" i="8"/>
  <c r="J843" i="8"/>
  <c r="F843" i="8"/>
  <c r="E843" i="8"/>
  <c r="O842" i="8"/>
  <c r="J842" i="8"/>
  <c r="F842" i="8"/>
  <c r="E842" i="8"/>
  <c r="O841" i="8"/>
  <c r="J841" i="8"/>
  <c r="F841" i="8"/>
  <c r="E841" i="8"/>
  <c r="O840" i="8"/>
  <c r="J840" i="8"/>
  <c r="F840" i="8"/>
  <c r="E840" i="8"/>
  <c r="O839" i="8"/>
  <c r="J839" i="8"/>
  <c r="F839" i="8"/>
  <c r="E839" i="8"/>
  <c r="O838" i="8"/>
  <c r="J838" i="8"/>
  <c r="F838" i="8"/>
  <c r="E838" i="8"/>
  <c r="O837" i="8"/>
  <c r="J837" i="8"/>
  <c r="F837" i="8"/>
  <c r="E837" i="8"/>
  <c r="O836" i="8"/>
  <c r="J836" i="8"/>
  <c r="F836" i="8"/>
  <c r="E836" i="8"/>
  <c r="O835" i="8"/>
  <c r="J835" i="8"/>
  <c r="F835" i="8"/>
  <c r="E835" i="8"/>
  <c r="O834" i="8"/>
  <c r="J834" i="8"/>
  <c r="F834" i="8"/>
  <c r="E834" i="8"/>
  <c r="O833" i="8"/>
  <c r="J833" i="8"/>
  <c r="F833" i="8"/>
  <c r="E833" i="8"/>
  <c r="O832" i="8"/>
  <c r="J832" i="8"/>
  <c r="F832" i="8"/>
  <c r="E832" i="8"/>
  <c r="O831" i="8"/>
  <c r="J831" i="8"/>
  <c r="F831" i="8"/>
  <c r="E831" i="8"/>
  <c r="O830" i="8"/>
  <c r="J830" i="8"/>
  <c r="F830" i="8"/>
  <c r="E830" i="8"/>
  <c r="O829" i="8"/>
  <c r="J829" i="8"/>
  <c r="F829" i="8"/>
  <c r="E829" i="8"/>
  <c r="O828" i="8"/>
  <c r="J828" i="8"/>
  <c r="F828" i="8"/>
  <c r="E828" i="8"/>
  <c r="O827" i="8"/>
  <c r="J827" i="8"/>
  <c r="F827" i="8"/>
  <c r="E827" i="8"/>
  <c r="O826" i="8"/>
  <c r="J826" i="8"/>
  <c r="F826" i="8"/>
  <c r="E826" i="8"/>
  <c r="O825" i="8"/>
  <c r="J825" i="8"/>
  <c r="F825" i="8"/>
  <c r="E825" i="8"/>
  <c r="O824" i="8"/>
  <c r="J824" i="8"/>
  <c r="F824" i="8"/>
  <c r="E824" i="8"/>
  <c r="O823" i="8"/>
  <c r="J823" i="8"/>
  <c r="F823" i="8"/>
  <c r="E823" i="8"/>
  <c r="O822" i="8"/>
  <c r="J822" i="8"/>
  <c r="F822" i="8"/>
  <c r="E822" i="8"/>
  <c r="O821" i="8"/>
  <c r="J821" i="8"/>
  <c r="F821" i="8"/>
  <c r="E821" i="8"/>
  <c r="O820" i="8"/>
  <c r="J820" i="8"/>
  <c r="F820" i="8"/>
  <c r="E820" i="8"/>
  <c r="O819" i="8"/>
  <c r="J819" i="8"/>
  <c r="F819" i="8"/>
  <c r="E819" i="8"/>
  <c r="O818" i="8"/>
  <c r="J818" i="8"/>
  <c r="F818" i="8"/>
  <c r="E818" i="8"/>
  <c r="O817" i="8"/>
  <c r="J817" i="8"/>
  <c r="F817" i="8"/>
  <c r="E817" i="8"/>
  <c r="O816" i="8"/>
  <c r="J816" i="8"/>
  <c r="F816" i="8"/>
  <c r="E816" i="8"/>
  <c r="O815" i="8"/>
  <c r="J815" i="8"/>
  <c r="F815" i="8"/>
  <c r="E815" i="8"/>
  <c r="O814" i="8"/>
  <c r="J814" i="8"/>
  <c r="F814" i="8"/>
  <c r="E814" i="8"/>
  <c r="O813" i="8"/>
  <c r="J813" i="8"/>
  <c r="F813" i="8"/>
  <c r="E813" i="8"/>
  <c r="O812" i="8"/>
  <c r="J812" i="8"/>
  <c r="F812" i="8"/>
  <c r="E812" i="8"/>
  <c r="O811" i="8"/>
  <c r="J811" i="8"/>
  <c r="F811" i="8"/>
  <c r="E811" i="8"/>
  <c r="O810" i="8"/>
  <c r="J810" i="8"/>
  <c r="F810" i="8"/>
  <c r="E810" i="8"/>
  <c r="O809" i="8"/>
  <c r="J809" i="8"/>
  <c r="F809" i="8"/>
  <c r="E809" i="8"/>
  <c r="O808" i="8"/>
  <c r="J808" i="8"/>
  <c r="F808" i="8"/>
  <c r="E808" i="8"/>
  <c r="O807" i="8"/>
  <c r="J807" i="8"/>
  <c r="F807" i="8"/>
  <c r="E807" i="8"/>
  <c r="O806" i="8"/>
  <c r="J806" i="8"/>
  <c r="F806" i="8"/>
  <c r="E806" i="8"/>
  <c r="O805" i="8"/>
  <c r="J805" i="8"/>
  <c r="F805" i="8"/>
  <c r="E805" i="8"/>
  <c r="O804" i="8"/>
  <c r="J804" i="8"/>
  <c r="F804" i="8"/>
  <c r="E804" i="8"/>
  <c r="O803" i="8"/>
  <c r="J803" i="8"/>
  <c r="F803" i="8"/>
  <c r="E803" i="8"/>
  <c r="O802" i="8"/>
  <c r="J802" i="8"/>
  <c r="F802" i="8"/>
  <c r="E802" i="8"/>
  <c r="O801" i="8"/>
  <c r="J801" i="8"/>
  <c r="F801" i="8"/>
  <c r="E801" i="8"/>
  <c r="O800" i="8"/>
  <c r="J800" i="8"/>
  <c r="F800" i="8"/>
  <c r="E800" i="8"/>
  <c r="O799" i="8"/>
  <c r="J799" i="8"/>
  <c r="F799" i="8"/>
  <c r="E799" i="8"/>
  <c r="O798" i="8"/>
  <c r="J798" i="8"/>
  <c r="F798" i="8"/>
  <c r="E798" i="8"/>
  <c r="O797" i="8"/>
  <c r="J797" i="8"/>
  <c r="F797" i="8"/>
  <c r="E797" i="8"/>
  <c r="O796" i="8"/>
  <c r="J796" i="8"/>
  <c r="F796" i="8"/>
  <c r="E796" i="8"/>
  <c r="O795" i="8"/>
  <c r="J795" i="8"/>
  <c r="F795" i="8"/>
  <c r="E795" i="8"/>
  <c r="O794" i="8"/>
  <c r="J794" i="8"/>
  <c r="F794" i="8"/>
  <c r="E794" i="8"/>
  <c r="O793" i="8"/>
  <c r="J793" i="8"/>
  <c r="F793" i="8"/>
  <c r="E793" i="8"/>
  <c r="O792" i="8"/>
  <c r="J792" i="8"/>
  <c r="F792" i="8"/>
  <c r="E792" i="8"/>
  <c r="O791" i="8"/>
  <c r="J791" i="8"/>
  <c r="F791" i="8"/>
  <c r="E791" i="8"/>
  <c r="O790" i="8"/>
  <c r="J790" i="8"/>
  <c r="F790" i="8"/>
  <c r="E790" i="8"/>
  <c r="O789" i="8"/>
  <c r="J789" i="8"/>
  <c r="F789" i="8"/>
  <c r="E789" i="8"/>
  <c r="O788" i="8"/>
  <c r="J788" i="8"/>
  <c r="F788" i="8"/>
  <c r="E788" i="8"/>
  <c r="O787" i="8"/>
  <c r="J787" i="8"/>
  <c r="F787" i="8"/>
  <c r="E787" i="8"/>
  <c r="O786" i="8"/>
  <c r="J786" i="8"/>
  <c r="F786" i="8"/>
  <c r="E786" i="8"/>
  <c r="O785" i="8"/>
  <c r="J785" i="8"/>
  <c r="F785" i="8"/>
  <c r="E785" i="8"/>
  <c r="O784" i="8"/>
  <c r="J784" i="8"/>
  <c r="F784" i="8"/>
  <c r="E784" i="8"/>
  <c r="O783" i="8"/>
  <c r="J783" i="8"/>
  <c r="F783" i="8"/>
  <c r="E783" i="8"/>
  <c r="O782" i="8"/>
  <c r="J782" i="8"/>
  <c r="F782" i="8"/>
  <c r="E782" i="8"/>
  <c r="O781" i="8"/>
  <c r="J781" i="8"/>
  <c r="F781" i="8"/>
  <c r="E781" i="8"/>
  <c r="O780" i="8"/>
  <c r="J780" i="8"/>
  <c r="F780" i="8"/>
  <c r="E780" i="8"/>
  <c r="O779" i="8"/>
  <c r="J779" i="8"/>
  <c r="F779" i="8"/>
  <c r="E779" i="8"/>
  <c r="O778" i="8"/>
  <c r="J778" i="8"/>
  <c r="F778" i="8"/>
  <c r="E778" i="8"/>
  <c r="O777" i="8"/>
  <c r="J777" i="8"/>
  <c r="F777" i="8"/>
  <c r="E777" i="8"/>
  <c r="O776" i="8"/>
  <c r="J776" i="8"/>
  <c r="F776" i="8"/>
  <c r="E776" i="8"/>
  <c r="O775" i="8"/>
  <c r="J775" i="8"/>
  <c r="F775" i="8"/>
  <c r="E775" i="8"/>
  <c r="O774" i="8"/>
  <c r="J774" i="8"/>
  <c r="F774" i="8"/>
  <c r="E774" i="8"/>
  <c r="O773" i="8"/>
  <c r="J773" i="8"/>
  <c r="F773" i="8"/>
  <c r="E773" i="8"/>
  <c r="O772" i="8"/>
  <c r="J772" i="8"/>
  <c r="F772" i="8"/>
  <c r="E772" i="8"/>
  <c r="O771" i="8"/>
  <c r="J771" i="8"/>
  <c r="F771" i="8"/>
  <c r="E771" i="8"/>
  <c r="O770" i="8"/>
  <c r="J770" i="8"/>
  <c r="F770" i="8"/>
  <c r="E770" i="8"/>
  <c r="O769" i="8"/>
  <c r="J769" i="8"/>
  <c r="F769" i="8"/>
  <c r="E769" i="8"/>
  <c r="O768" i="8"/>
  <c r="J768" i="8"/>
  <c r="F768" i="8"/>
  <c r="E768" i="8"/>
  <c r="O767" i="8"/>
  <c r="J767" i="8"/>
  <c r="F767" i="8"/>
  <c r="E767" i="8"/>
  <c r="O766" i="8"/>
  <c r="J766" i="8"/>
  <c r="F766" i="8"/>
  <c r="E766" i="8"/>
  <c r="O765" i="8"/>
  <c r="J765" i="8"/>
  <c r="F765" i="8"/>
  <c r="E765" i="8"/>
  <c r="O764" i="8"/>
  <c r="J764" i="8"/>
  <c r="F764" i="8"/>
  <c r="E764" i="8"/>
  <c r="O763" i="8"/>
  <c r="J763" i="8"/>
  <c r="F763" i="8"/>
  <c r="E763" i="8"/>
  <c r="O762" i="8"/>
  <c r="J762" i="8"/>
  <c r="F762" i="8"/>
  <c r="E762" i="8"/>
  <c r="O761" i="8"/>
  <c r="J761" i="8"/>
  <c r="F761" i="8"/>
  <c r="E761" i="8"/>
  <c r="O760" i="8"/>
  <c r="J760" i="8"/>
  <c r="F760" i="8"/>
  <c r="E760" i="8"/>
  <c r="O759" i="8"/>
  <c r="J759" i="8"/>
  <c r="F759" i="8"/>
  <c r="E759" i="8"/>
  <c r="O758" i="8"/>
  <c r="J758" i="8"/>
  <c r="F758" i="8"/>
  <c r="E758" i="8"/>
  <c r="O757" i="8"/>
  <c r="J757" i="8"/>
  <c r="F757" i="8"/>
  <c r="E757" i="8"/>
  <c r="O756" i="8"/>
  <c r="J756" i="8"/>
  <c r="F756" i="8"/>
  <c r="E756" i="8"/>
  <c r="O755" i="8"/>
  <c r="J755" i="8"/>
  <c r="F755" i="8"/>
  <c r="E755" i="8"/>
  <c r="O754" i="8"/>
  <c r="J754" i="8"/>
  <c r="F754" i="8"/>
  <c r="E754" i="8"/>
  <c r="O753" i="8"/>
  <c r="J753" i="8"/>
  <c r="F753" i="8"/>
  <c r="E753" i="8"/>
  <c r="O752" i="8"/>
  <c r="J752" i="8"/>
  <c r="F752" i="8"/>
  <c r="E752" i="8"/>
  <c r="O751" i="8"/>
  <c r="J751" i="8"/>
  <c r="F751" i="8"/>
  <c r="E751" i="8"/>
  <c r="O750" i="8"/>
  <c r="J750" i="8"/>
  <c r="F750" i="8"/>
  <c r="E750" i="8"/>
  <c r="O749" i="8"/>
  <c r="J749" i="8"/>
  <c r="F749" i="8"/>
  <c r="E749" i="8"/>
  <c r="O748" i="8"/>
  <c r="J748" i="8"/>
  <c r="F748" i="8"/>
  <c r="E748" i="8"/>
  <c r="O747" i="8"/>
  <c r="J747" i="8"/>
  <c r="F747" i="8"/>
  <c r="E747" i="8"/>
  <c r="O746" i="8"/>
  <c r="J746" i="8"/>
  <c r="F746" i="8"/>
  <c r="E746" i="8"/>
  <c r="O745" i="8"/>
  <c r="J745" i="8"/>
  <c r="F745" i="8"/>
  <c r="E745" i="8"/>
  <c r="O744" i="8"/>
  <c r="J744" i="8"/>
  <c r="F744" i="8"/>
  <c r="E744" i="8"/>
  <c r="O743" i="8"/>
  <c r="J743" i="8"/>
  <c r="F743" i="8"/>
  <c r="E743" i="8"/>
  <c r="O742" i="8"/>
  <c r="J742" i="8"/>
  <c r="F742" i="8"/>
  <c r="E742" i="8"/>
  <c r="O741" i="8"/>
  <c r="J741" i="8"/>
  <c r="F741" i="8"/>
  <c r="E741" i="8"/>
  <c r="O740" i="8"/>
  <c r="J740" i="8"/>
  <c r="F740" i="8"/>
  <c r="E740" i="8"/>
  <c r="O739" i="8"/>
  <c r="J739" i="8"/>
  <c r="F739" i="8"/>
  <c r="E739" i="8"/>
  <c r="O738" i="8"/>
  <c r="J738" i="8"/>
  <c r="F738" i="8"/>
  <c r="E738" i="8"/>
  <c r="O737" i="8"/>
  <c r="J737" i="8"/>
  <c r="F737" i="8"/>
  <c r="E737" i="8"/>
  <c r="O736" i="8"/>
  <c r="J736" i="8"/>
  <c r="F736" i="8"/>
  <c r="E736" i="8"/>
  <c r="O735" i="8"/>
  <c r="J735" i="8"/>
  <c r="F735" i="8"/>
  <c r="E735" i="8"/>
  <c r="O734" i="8"/>
  <c r="J734" i="8"/>
  <c r="F734" i="8"/>
  <c r="E734" i="8"/>
  <c r="O733" i="8"/>
  <c r="J733" i="8"/>
  <c r="F733" i="8"/>
  <c r="E733" i="8"/>
  <c r="O732" i="8"/>
  <c r="J732" i="8"/>
  <c r="F732" i="8"/>
  <c r="E732" i="8"/>
  <c r="O731" i="8"/>
  <c r="J731" i="8"/>
  <c r="F731" i="8"/>
  <c r="E731" i="8"/>
  <c r="O730" i="8"/>
  <c r="J730" i="8"/>
  <c r="F730" i="8"/>
  <c r="E730" i="8"/>
  <c r="O729" i="8"/>
  <c r="J729" i="8"/>
  <c r="F729" i="8"/>
  <c r="E729" i="8"/>
  <c r="O728" i="8"/>
  <c r="J728" i="8"/>
  <c r="F728" i="8"/>
  <c r="E728" i="8"/>
  <c r="O727" i="8"/>
  <c r="J727" i="8"/>
  <c r="F727" i="8"/>
  <c r="E727" i="8"/>
  <c r="O726" i="8"/>
  <c r="J726" i="8"/>
  <c r="F726" i="8"/>
  <c r="E726" i="8"/>
  <c r="O725" i="8"/>
  <c r="J725" i="8"/>
  <c r="F725" i="8"/>
  <c r="E725" i="8"/>
  <c r="O724" i="8"/>
  <c r="J724" i="8"/>
  <c r="F724" i="8"/>
  <c r="E724" i="8"/>
  <c r="O723" i="8"/>
  <c r="J723" i="8"/>
  <c r="F723" i="8"/>
  <c r="E723" i="8"/>
  <c r="O722" i="8"/>
  <c r="J722" i="8"/>
  <c r="F722" i="8"/>
  <c r="E722" i="8"/>
  <c r="O721" i="8"/>
  <c r="J721" i="8"/>
  <c r="F721" i="8"/>
  <c r="E721" i="8"/>
  <c r="O720" i="8"/>
  <c r="J720" i="8"/>
  <c r="F720" i="8"/>
  <c r="E720" i="8"/>
  <c r="O719" i="8"/>
  <c r="J719" i="8"/>
  <c r="F719" i="8"/>
  <c r="E719" i="8"/>
  <c r="O718" i="8"/>
  <c r="J718" i="8"/>
  <c r="F718" i="8"/>
  <c r="E718" i="8"/>
  <c r="O717" i="8"/>
  <c r="J717" i="8"/>
  <c r="F717" i="8"/>
  <c r="E717" i="8"/>
  <c r="O716" i="8"/>
  <c r="J716" i="8"/>
  <c r="F716" i="8"/>
  <c r="E716" i="8"/>
  <c r="O715" i="8"/>
  <c r="J715" i="8"/>
  <c r="F715" i="8"/>
  <c r="E715" i="8"/>
  <c r="O714" i="8"/>
  <c r="J714" i="8"/>
  <c r="F714" i="8"/>
  <c r="E714" i="8"/>
  <c r="O713" i="8"/>
  <c r="J713" i="8"/>
  <c r="F713" i="8"/>
  <c r="E713" i="8"/>
  <c r="O712" i="8"/>
  <c r="J712" i="8"/>
  <c r="F712" i="8"/>
  <c r="E712" i="8"/>
  <c r="O711" i="8"/>
  <c r="J711" i="8"/>
  <c r="F711" i="8"/>
  <c r="E711" i="8"/>
  <c r="O710" i="8"/>
  <c r="J710" i="8"/>
  <c r="F710" i="8"/>
  <c r="E710" i="8"/>
  <c r="O709" i="8"/>
  <c r="J709" i="8"/>
  <c r="F709" i="8"/>
  <c r="E709" i="8"/>
  <c r="O708" i="8"/>
  <c r="J708" i="8"/>
  <c r="F708" i="8"/>
  <c r="E708" i="8"/>
  <c r="O707" i="8"/>
  <c r="J707" i="8"/>
  <c r="F707" i="8"/>
  <c r="E707" i="8"/>
  <c r="O706" i="8"/>
  <c r="J706" i="8"/>
  <c r="F706" i="8"/>
  <c r="E706" i="8"/>
  <c r="O705" i="8"/>
  <c r="J705" i="8"/>
  <c r="F705" i="8"/>
  <c r="E705" i="8"/>
  <c r="O704" i="8"/>
  <c r="J704" i="8"/>
  <c r="F704" i="8"/>
  <c r="E704" i="8"/>
  <c r="O703" i="8"/>
  <c r="J703" i="8"/>
  <c r="F703" i="8"/>
  <c r="E703" i="8"/>
  <c r="O702" i="8"/>
  <c r="J702" i="8"/>
  <c r="F702" i="8"/>
  <c r="E702" i="8"/>
  <c r="O701" i="8"/>
  <c r="J701" i="8"/>
  <c r="F701" i="8"/>
  <c r="E701" i="8"/>
  <c r="O700" i="8"/>
  <c r="J700" i="8"/>
  <c r="F700" i="8"/>
  <c r="E700" i="8"/>
  <c r="O699" i="8"/>
  <c r="J699" i="8"/>
  <c r="F699" i="8"/>
  <c r="E699" i="8"/>
  <c r="O698" i="8"/>
  <c r="J698" i="8"/>
  <c r="F698" i="8"/>
  <c r="E698" i="8"/>
  <c r="O697" i="8"/>
  <c r="J697" i="8"/>
  <c r="F697" i="8"/>
  <c r="E697" i="8"/>
  <c r="O696" i="8"/>
  <c r="J696" i="8"/>
  <c r="F696" i="8"/>
  <c r="E696" i="8"/>
  <c r="O695" i="8"/>
  <c r="J695" i="8"/>
  <c r="F695" i="8"/>
  <c r="E695" i="8"/>
  <c r="O694" i="8"/>
  <c r="J694" i="8"/>
  <c r="F694" i="8"/>
  <c r="E694" i="8"/>
  <c r="O693" i="8"/>
  <c r="J693" i="8"/>
  <c r="F693" i="8"/>
  <c r="E693" i="8"/>
  <c r="O692" i="8"/>
  <c r="J692" i="8"/>
  <c r="F692" i="8"/>
  <c r="E692" i="8"/>
  <c r="O691" i="8"/>
  <c r="J691" i="8"/>
  <c r="F691" i="8"/>
  <c r="E691" i="8"/>
  <c r="O690" i="8"/>
  <c r="J690" i="8"/>
  <c r="F690" i="8"/>
  <c r="E690" i="8"/>
  <c r="O689" i="8"/>
  <c r="J689" i="8"/>
  <c r="F689" i="8"/>
  <c r="E689" i="8"/>
  <c r="O688" i="8"/>
  <c r="J688" i="8"/>
  <c r="F688" i="8"/>
  <c r="E688" i="8"/>
  <c r="O687" i="8"/>
  <c r="J687" i="8"/>
  <c r="F687" i="8"/>
  <c r="E687" i="8"/>
  <c r="O686" i="8"/>
  <c r="J686" i="8"/>
  <c r="F686" i="8"/>
  <c r="E686" i="8"/>
  <c r="O685" i="8"/>
  <c r="J685" i="8"/>
  <c r="F685" i="8"/>
  <c r="E685" i="8"/>
  <c r="O684" i="8"/>
  <c r="J684" i="8"/>
  <c r="F684" i="8"/>
  <c r="E684" i="8"/>
  <c r="O683" i="8"/>
  <c r="J683" i="8"/>
  <c r="F683" i="8"/>
  <c r="E683" i="8"/>
  <c r="O682" i="8"/>
  <c r="J682" i="8"/>
  <c r="F682" i="8"/>
  <c r="E682" i="8"/>
  <c r="O681" i="8"/>
  <c r="J681" i="8"/>
  <c r="F681" i="8"/>
  <c r="E681" i="8"/>
  <c r="O680" i="8"/>
  <c r="J680" i="8"/>
  <c r="F680" i="8"/>
  <c r="E680" i="8"/>
  <c r="O679" i="8"/>
  <c r="J679" i="8"/>
  <c r="F679" i="8"/>
  <c r="E679" i="8"/>
  <c r="O678" i="8"/>
  <c r="J678" i="8"/>
  <c r="F678" i="8"/>
  <c r="E678" i="8"/>
  <c r="O677" i="8"/>
  <c r="J677" i="8"/>
  <c r="F677" i="8"/>
  <c r="E677" i="8"/>
  <c r="O676" i="8"/>
  <c r="J676" i="8"/>
  <c r="F676" i="8"/>
  <c r="E676" i="8"/>
  <c r="O675" i="8"/>
  <c r="J675" i="8"/>
  <c r="F675" i="8"/>
  <c r="E675" i="8"/>
  <c r="O674" i="8"/>
  <c r="J674" i="8"/>
  <c r="F674" i="8"/>
  <c r="E674" i="8"/>
  <c r="O673" i="8"/>
  <c r="J673" i="8"/>
  <c r="F673" i="8"/>
  <c r="E673" i="8"/>
  <c r="O672" i="8"/>
  <c r="J672" i="8"/>
  <c r="F672" i="8"/>
  <c r="E672" i="8"/>
  <c r="O671" i="8"/>
  <c r="J671" i="8"/>
  <c r="F671" i="8"/>
  <c r="E671" i="8"/>
  <c r="O670" i="8"/>
  <c r="J670" i="8"/>
  <c r="F670" i="8"/>
  <c r="E670" i="8"/>
  <c r="O669" i="8"/>
  <c r="J669" i="8"/>
  <c r="F669" i="8"/>
  <c r="E669" i="8"/>
  <c r="O668" i="8"/>
  <c r="J668" i="8"/>
  <c r="F668" i="8"/>
  <c r="E668" i="8"/>
  <c r="O667" i="8"/>
  <c r="J667" i="8"/>
  <c r="F667" i="8"/>
  <c r="E667" i="8"/>
  <c r="O666" i="8"/>
  <c r="J666" i="8"/>
  <c r="F666" i="8"/>
  <c r="E666" i="8"/>
  <c r="O665" i="8"/>
  <c r="J665" i="8"/>
  <c r="F665" i="8"/>
  <c r="E665" i="8"/>
  <c r="O664" i="8"/>
  <c r="J664" i="8"/>
  <c r="F664" i="8"/>
  <c r="E664" i="8"/>
  <c r="O663" i="8"/>
  <c r="J663" i="8"/>
  <c r="F663" i="8"/>
  <c r="E663" i="8"/>
  <c r="O662" i="8"/>
  <c r="J662" i="8"/>
  <c r="F662" i="8"/>
  <c r="E662" i="8"/>
  <c r="O661" i="8"/>
  <c r="J661" i="8"/>
  <c r="F661" i="8"/>
  <c r="E661" i="8"/>
  <c r="O660" i="8"/>
  <c r="J660" i="8"/>
  <c r="F660" i="8"/>
  <c r="E660" i="8"/>
  <c r="O659" i="8"/>
  <c r="J659" i="8"/>
  <c r="F659" i="8"/>
  <c r="E659" i="8"/>
  <c r="O658" i="8"/>
  <c r="J658" i="8"/>
  <c r="F658" i="8"/>
  <c r="E658" i="8"/>
  <c r="O657" i="8"/>
  <c r="J657" i="8"/>
  <c r="F657" i="8"/>
  <c r="E657" i="8"/>
  <c r="O656" i="8"/>
  <c r="J656" i="8"/>
  <c r="F656" i="8"/>
  <c r="E656" i="8"/>
  <c r="O655" i="8"/>
  <c r="J655" i="8"/>
  <c r="F655" i="8"/>
  <c r="E655" i="8"/>
  <c r="O654" i="8"/>
  <c r="J654" i="8"/>
  <c r="F654" i="8"/>
  <c r="E654" i="8"/>
  <c r="O653" i="8"/>
  <c r="J653" i="8"/>
  <c r="F653" i="8"/>
  <c r="E653" i="8"/>
  <c r="O652" i="8"/>
  <c r="J652" i="8"/>
  <c r="F652" i="8"/>
  <c r="E652" i="8"/>
  <c r="O651" i="8"/>
  <c r="J651" i="8"/>
  <c r="F651" i="8"/>
  <c r="E651" i="8"/>
  <c r="O650" i="8"/>
  <c r="J650" i="8"/>
  <c r="F650" i="8"/>
  <c r="E650" i="8"/>
  <c r="O649" i="8"/>
  <c r="J649" i="8"/>
  <c r="F649" i="8"/>
  <c r="E649" i="8"/>
  <c r="O648" i="8"/>
  <c r="J648" i="8"/>
  <c r="F648" i="8"/>
  <c r="E648" i="8"/>
  <c r="O647" i="8"/>
  <c r="J647" i="8"/>
  <c r="F647" i="8"/>
  <c r="E647" i="8"/>
  <c r="O646" i="8"/>
  <c r="J646" i="8"/>
  <c r="F646" i="8"/>
  <c r="E646" i="8"/>
  <c r="O645" i="8"/>
  <c r="J645" i="8"/>
  <c r="F645" i="8"/>
  <c r="E645" i="8"/>
  <c r="O644" i="8"/>
  <c r="J644" i="8"/>
  <c r="F644" i="8"/>
  <c r="E644" i="8"/>
  <c r="O643" i="8"/>
  <c r="J643" i="8"/>
  <c r="F643" i="8"/>
  <c r="E643" i="8"/>
  <c r="O642" i="8"/>
  <c r="J642" i="8"/>
  <c r="F642" i="8"/>
  <c r="E642" i="8"/>
  <c r="O641" i="8"/>
  <c r="J641" i="8"/>
  <c r="F641" i="8"/>
  <c r="E641" i="8"/>
  <c r="O640" i="8"/>
  <c r="J640" i="8"/>
  <c r="F640" i="8"/>
  <c r="E640" i="8"/>
  <c r="O639" i="8"/>
  <c r="J639" i="8"/>
  <c r="F639" i="8"/>
  <c r="E639" i="8"/>
  <c r="O638" i="8"/>
  <c r="J638" i="8"/>
  <c r="F638" i="8"/>
  <c r="E638" i="8"/>
  <c r="O637" i="8"/>
  <c r="J637" i="8"/>
  <c r="F637" i="8"/>
  <c r="E637" i="8"/>
  <c r="O636" i="8"/>
  <c r="J636" i="8"/>
  <c r="F636" i="8"/>
  <c r="E636" i="8"/>
  <c r="O635" i="8"/>
  <c r="J635" i="8"/>
  <c r="F635" i="8"/>
  <c r="E635" i="8"/>
  <c r="O634" i="8"/>
  <c r="J634" i="8"/>
  <c r="F634" i="8"/>
  <c r="E634" i="8"/>
  <c r="O633" i="8"/>
  <c r="J633" i="8"/>
  <c r="F633" i="8"/>
  <c r="E633" i="8"/>
  <c r="O632" i="8"/>
  <c r="J632" i="8"/>
  <c r="F632" i="8"/>
  <c r="E632" i="8"/>
  <c r="O631" i="8"/>
  <c r="J631" i="8"/>
  <c r="F631" i="8"/>
  <c r="E631" i="8"/>
  <c r="O630" i="8"/>
  <c r="J630" i="8"/>
  <c r="F630" i="8"/>
  <c r="E630" i="8"/>
  <c r="O629" i="8"/>
  <c r="J629" i="8"/>
  <c r="F629" i="8"/>
  <c r="E629" i="8"/>
  <c r="O628" i="8"/>
  <c r="J628" i="8"/>
  <c r="F628" i="8"/>
  <c r="E628" i="8"/>
  <c r="O627" i="8"/>
  <c r="J627" i="8"/>
  <c r="F627" i="8"/>
  <c r="E627" i="8"/>
  <c r="O626" i="8"/>
  <c r="J626" i="8"/>
  <c r="F626" i="8"/>
  <c r="E626" i="8"/>
  <c r="O625" i="8"/>
  <c r="J625" i="8"/>
  <c r="F625" i="8"/>
  <c r="E625" i="8"/>
  <c r="O624" i="8"/>
  <c r="J624" i="8"/>
  <c r="F624" i="8"/>
  <c r="E624" i="8"/>
  <c r="O623" i="8"/>
  <c r="J623" i="8"/>
  <c r="F623" i="8"/>
  <c r="E623" i="8"/>
  <c r="O622" i="8"/>
  <c r="J622" i="8"/>
  <c r="F622" i="8"/>
  <c r="E622" i="8"/>
  <c r="O621" i="8"/>
  <c r="J621" i="8"/>
  <c r="F621" i="8"/>
  <c r="E621" i="8"/>
  <c r="O620" i="8"/>
  <c r="J620" i="8"/>
  <c r="F620" i="8"/>
  <c r="E620" i="8"/>
  <c r="O619" i="8"/>
  <c r="J619" i="8"/>
  <c r="F619" i="8"/>
  <c r="E619" i="8"/>
  <c r="O618" i="8"/>
  <c r="J618" i="8"/>
  <c r="F618" i="8"/>
  <c r="E618" i="8"/>
  <c r="O617" i="8"/>
  <c r="J617" i="8"/>
  <c r="F617" i="8"/>
  <c r="E617" i="8"/>
  <c r="O616" i="8"/>
  <c r="J616" i="8"/>
  <c r="F616" i="8"/>
  <c r="E616" i="8"/>
  <c r="O615" i="8"/>
  <c r="J615" i="8"/>
  <c r="F615" i="8"/>
  <c r="E615" i="8"/>
  <c r="O614" i="8"/>
  <c r="J614" i="8"/>
  <c r="F614" i="8"/>
  <c r="E614" i="8"/>
  <c r="O613" i="8"/>
  <c r="J613" i="8"/>
  <c r="F613" i="8"/>
  <c r="E613" i="8"/>
  <c r="O612" i="8"/>
  <c r="J612" i="8"/>
  <c r="F612" i="8"/>
  <c r="E612" i="8"/>
  <c r="O611" i="8"/>
  <c r="J611" i="8"/>
  <c r="F611" i="8"/>
  <c r="E611" i="8"/>
  <c r="O610" i="8"/>
  <c r="J610" i="8"/>
  <c r="F610" i="8"/>
  <c r="E610" i="8"/>
  <c r="O609" i="8"/>
  <c r="J609" i="8"/>
  <c r="F609" i="8"/>
  <c r="E609" i="8"/>
  <c r="O608" i="8"/>
  <c r="J608" i="8"/>
  <c r="F608" i="8"/>
  <c r="E608" i="8"/>
  <c r="O607" i="8"/>
  <c r="J607" i="8"/>
  <c r="F607" i="8"/>
  <c r="E607" i="8"/>
  <c r="O606" i="8"/>
  <c r="J606" i="8"/>
  <c r="F606" i="8"/>
  <c r="E606" i="8"/>
  <c r="O605" i="8"/>
  <c r="J605" i="8"/>
  <c r="F605" i="8"/>
  <c r="E605" i="8"/>
  <c r="O604" i="8"/>
  <c r="J604" i="8"/>
  <c r="F604" i="8"/>
  <c r="E604" i="8"/>
  <c r="O603" i="8"/>
  <c r="J603" i="8"/>
  <c r="F603" i="8"/>
  <c r="E603" i="8"/>
  <c r="O602" i="8"/>
  <c r="J602" i="8"/>
  <c r="F602" i="8"/>
  <c r="E602" i="8"/>
  <c r="O601" i="8"/>
  <c r="J601" i="8"/>
  <c r="F601" i="8"/>
  <c r="E601" i="8"/>
  <c r="O600" i="8"/>
  <c r="J600" i="8"/>
  <c r="F600" i="8"/>
  <c r="E600" i="8"/>
  <c r="O599" i="8"/>
  <c r="J599" i="8"/>
  <c r="F599" i="8"/>
  <c r="E599" i="8"/>
  <c r="O598" i="8"/>
  <c r="J598" i="8"/>
  <c r="F598" i="8"/>
  <c r="E598" i="8"/>
  <c r="O597" i="8"/>
  <c r="J597" i="8"/>
  <c r="F597" i="8"/>
  <c r="E597" i="8"/>
  <c r="O596" i="8"/>
  <c r="J596" i="8"/>
  <c r="F596" i="8"/>
  <c r="E596" i="8"/>
  <c r="O595" i="8"/>
  <c r="J595" i="8"/>
  <c r="F595" i="8"/>
  <c r="E595" i="8"/>
  <c r="O594" i="8"/>
  <c r="J594" i="8"/>
  <c r="F594" i="8"/>
  <c r="E594" i="8"/>
  <c r="O593" i="8"/>
  <c r="J593" i="8"/>
  <c r="F593" i="8"/>
  <c r="E593" i="8"/>
  <c r="O592" i="8"/>
  <c r="J592" i="8"/>
  <c r="F592" i="8"/>
  <c r="E592" i="8"/>
  <c r="O591" i="8"/>
  <c r="J591" i="8"/>
  <c r="F591" i="8"/>
  <c r="E591" i="8"/>
  <c r="O590" i="8"/>
  <c r="J590" i="8"/>
  <c r="F590" i="8"/>
  <c r="E590" i="8"/>
  <c r="O589" i="8"/>
  <c r="J589" i="8"/>
  <c r="F589" i="8"/>
  <c r="E589" i="8"/>
  <c r="O588" i="8"/>
  <c r="J588" i="8"/>
  <c r="F588" i="8"/>
  <c r="E588" i="8"/>
  <c r="O587" i="8"/>
  <c r="J587" i="8"/>
  <c r="F587" i="8"/>
  <c r="E587" i="8"/>
  <c r="O586" i="8"/>
  <c r="J586" i="8"/>
  <c r="F586" i="8"/>
  <c r="E586" i="8"/>
  <c r="O585" i="8"/>
  <c r="J585" i="8"/>
  <c r="F585" i="8"/>
  <c r="E585" i="8"/>
  <c r="O584" i="8"/>
  <c r="J584" i="8"/>
  <c r="F584" i="8"/>
  <c r="E584" i="8"/>
  <c r="O583" i="8"/>
  <c r="J583" i="8"/>
  <c r="F583" i="8"/>
  <c r="E583" i="8"/>
  <c r="O582" i="8"/>
  <c r="J582" i="8"/>
  <c r="F582" i="8"/>
  <c r="E582" i="8"/>
  <c r="O581" i="8"/>
  <c r="J581" i="8"/>
  <c r="F581" i="8"/>
  <c r="E581" i="8"/>
  <c r="O580" i="8"/>
  <c r="J580" i="8"/>
  <c r="F580" i="8"/>
  <c r="E580" i="8"/>
  <c r="O579" i="8"/>
  <c r="J579" i="8"/>
  <c r="F579" i="8"/>
  <c r="E579" i="8"/>
  <c r="O578" i="8"/>
  <c r="J578" i="8"/>
  <c r="F578" i="8"/>
  <c r="E578" i="8"/>
  <c r="O577" i="8"/>
  <c r="J577" i="8"/>
  <c r="F577" i="8"/>
  <c r="E577" i="8"/>
  <c r="O576" i="8"/>
  <c r="J576" i="8"/>
  <c r="F576" i="8"/>
  <c r="E576" i="8"/>
  <c r="O575" i="8"/>
  <c r="J575" i="8"/>
  <c r="F575" i="8"/>
  <c r="E575" i="8"/>
  <c r="O574" i="8"/>
  <c r="J574" i="8"/>
  <c r="F574" i="8"/>
  <c r="E574" i="8"/>
  <c r="O573" i="8"/>
  <c r="J573" i="8"/>
  <c r="F573" i="8"/>
  <c r="E573" i="8"/>
  <c r="O572" i="8"/>
  <c r="J572" i="8"/>
  <c r="F572" i="8"/>
  <c r="E572" i="8"/>
  <c r="O571" i="8"/>
  <c r="J571" i="8"/>
  <c r="F571" i="8"/>
  <c r="E571" i="8"/>
  <c r="O570" i="8"/>
  <c r="J570" i="8"/>
  <c r="F570" i="8"/>
  <c r="E570" i="8"/>
  <c r="O569" i="8"/>
  <c r="J569" i="8"/>
  <c r="F569" i="8"/>
  <c r="E569" i="8"/>
  <c r="O568" i="8"/>
  <c r="J568" i="8"/>
  <c r="F568" i="8"/>
  <c r="E568" i="8"/>
  <c r="O567" i="8"/>
  <c r="J567" i="8"/>
  <c r="F567" i="8"/>
  <c r="E567" i="8"/>
  <c r="O566" i="8"/>
  <c r="J566" i="8"/>
  <c r="F566" i="8"/>
  <c r="E566" i="8"/>
  <c r="O565" i="8"/>
  <c r="J565" i="8"/>
  <c r="F565" i="8"/>
  <c r="E565" i="8"/>
  <c r="O564" i="8"/>
  <c r="J564" i="8"/>
  <c r="F564" i="8"/>
  <c r="E564" i="8"/>
  <c r="O563" i="8"/>
  <c r="J563" i="8"/>
  <c r="F563" i="8"/>
  <c r="E563" i="8"/>
  <c r="O562" i="8"/>
  <c r="J562" i="8"/>
  <c r="F562" i="8"/>
  <c r="E562" i="8"/>
  <c r="O561" i="8"/>
  <c r="J561" i="8"/>
  <c r="F561" i="8"/>
  <c r="E561" i="8"/>
  <c r="O560" i="8"/>
  <c r="J560" i="8"/>
  <c r="F560" i="8"/>
  <c r="E560" i="8"/>
  <c r="O559" i="8"/>
  <c r="J559" i="8"/>
  <c r="F559" i="8"/>
  <c r="E559" i="8"/>
  <c r="O558" i="8"/>
  <c r="J558" i="8"/>
  <c r="F558" i="8"/>
  <c r="E558" i="8"/>
  <c r="O557" i="8"/>
  <c r="J557" i="8"/>
  <c r="F557" i="8"/>
  <c r="E557" i="8"/>
  <c r="O556" i="8"/>
  <c r="J556" i="8"/>
  <c r="F556" i="8"/>
  <c r="E556" i="8"/>
  <c r="O555" i="8"/>
  <c r="J555" i="8"/>
  <c r="F555" i="8"/>
  <c r="E555" i="8"/>
  <c r="O554" i="8"/>
  <c r="J554" i="8"/>
  <c r="F554" i="8"/>
  <c r="E554" i="8"/>
  <c r="O553" i="8"/>
  <c r="J553" i="8"/>
  <c r="F553" i="8"/>
  <c r="E553" i="8"/>
  <c r="O552" i="8"/>
  <c r="J552" i="8"/>
  <c r="F552" i="8"/>
  <c r="E552" i="8"/>
  <c r="O551" i="8"/>
  <c r="J551" i="8"/>
  <c r="F551" i="8"/>
  <c r="E551" i="8"/>
  <c r="O550" i="8"/>
  <c r="J550" i="8"/>
  <c r="F550" i="8"/>
  <c r="E550" i="8"/>
  <c r="O549" i="8"/>
  <c r="J549" i="8"/>
  <c r="F549" i="8"/>
  <c r="E549" i="8"/>
  <c r="O548" i="8"/>
  <c r="J548" i="8"/>
  <c r="F548" i="8"/>
  <c r="E548" i="8"/>
  <c r="O547" i="8"/>
  <c r="J547" i="8"/>
  <c r="F547" i="8"/>
  <c r="E547" i="8"/>
  <c r="O546" i="8"/>
  <c r="J546" i="8"/>
  <c r="F546" i="8"/>
  <c r="E546" i="8"/>
  <c r="O545" i="8"/>
  <c r="J545" i="8"/>
  <c r="F545" i="8"/>
  <c r="E545" i="8"/>
  <c r="O544" i="8"/>
  <c r="J544" i="8"/>
  <c r="F544" i="8"/>
  <c r="E544" i="8"/>
  <c r="O543" i="8"/>
  <c r="J543" i="8"/>
  <c r="F543" i="8"/>
  <c r="E543" i="8"/>
  <c r="O542" i="8"/>
  <c r="J542" i="8"/>
  <c r="F542" i="8"/>
  <c r="E542" i="8"/>
  <c r="O541" i="8"/>
  <c r="J541" i="8"/>
  <c r="F541" i="8"/>
  <c r="E541" i="8"/>
  <c r="O540" i="8"/>
  <c r="J540" i="8"/>
  <c r="F540" i="8"/>
  <c r="E540" i="8"/>
  <c r="O539" i="8"/>
  <c r="J539" i="8"/>
  <c r="F539" i="8"/>
  <c r="E539" i="8"/>
  <c r="O538" i="8"/>
  <c r="J538" i="8"/>
  <c r="F538" i="8"/>
  <c r="E538" i="8"/>
  <c r="O537" i="8"/>
  <c r="J537" i="8"/>
  <c r="F537" i="8"/>
  <c r="E537" i="8"/>
  <c r="O536" i="8"/>
  <c r="J536" i="8"/>
  <c r="F536" i="8"/>
  <c r="E536" i="8"/>
  <c r="O535" i="8"/>
  <c r="J535" i="8"/>
  <c r="F535" i="8"/>
  <c r="E535" i="8"/>
  <c r="O534" i="8"/>
  <c r="J534" i="8"/>
  <c r="F534" i="8"/>
  <c r="E534" i="8"/>
  <c r="O533" i="8"/>
  <c r="J533" i="8"/>
  <c r="F533" i="8"/>
  <c r="E533" i="8"/>
  <c r="O532" i="8"/>
  <c r="J532" i="8"/>
  <c r="F532" i="8"/>
  <c r="E532" i="8"/>
  <c r="O531" i="8"/>
  <c r="J531" i="8"/>
  <c r="F531" i="8"/>
  <c r="E531" i="8"/>
  <c r="O530" i="8"/>
  <c r="J530" i="8"/>
  <c r="F530" i="8"/>
  <c r="E530" i="8"/>
  <c r="O529" i="8"/>
  <c r="J529" i="8"/>
  <c r="F529" i="8"/>
  <c r="E529" i="8"/>
  <c r="O528" i="8"/>
  <c r="J528" i="8"/>
  <c r="F528" i="8"/>
  <c r="E528" i="8"/>
  <c r="O527" i="8"/>
  <c r="J527" i="8"/>
  <c r="F527" i="8"/>
  <c r="E527" i="8"/>
  <c r="O526" i="8"/>
  <c r="J526" i="8"/>
  <c r="F526" i="8"/>
  <c r="E526" i="8"/>
  <c r="O525" i="8"/>
  <c r="J525" i="8"/>
  <c r="F525" i="8"/>
  <c r="E525" i="8"/>
  <c r="O524" i="8"/>
  <c r="J524" i="8"/>
  <c r="F524" i="8"/>
  <c r="E524" i="8"/>
  <c r="O523" i="8"/>
  <c r="J523" i="8"/>
  <c r="F523" i="8"/>
  <c r="E523" i="8"/>
  <c r="O522" i="8"/>
  <c r="J522" i="8"/>
  <c r="F522" i="8"/>
  <c r="E522" i="8"/>
  <c r="O521" i="8"/>
  <c r="J521" i="8"/>
  <c r="F521" i="8"/>
  <c r="E521" i="8"/>
  <c r="O520" i="8"/>
  <c r="J520" i="8"/>
  <c r="F520" i="8"/>
  <c r="E520" i="8"/>
  <c r="O519" i="8"/>
  <c r="J519" i="8"/>
  <c r="F519" i="8"/>
  <c r="E519" i="8"/>
  <c r="O518" i="8"/>
  <c r="J518" i="8"/>
  <c r="F518" i="8"/>
  <c r="E518" i="8"/>
  <c r="O517" i="8"/>
  <c r="J517" i="8"/>
  <c r="F517" i="8"/>
  <c r="E517" i="8"/>
  <c r="O516" i="8"/>
  <c r="J516" i="8"/>
  <c r="F516" i="8"/>
  <c r="E516" i="8"/>
  <c r="O515" i="8"/>
  <c r="J515" i="8"/>
  <c r="F515" i="8"/>
  <c r="E515" i="8"/>
  <c r="O514" i="8"/>
  <c r="J514" i="8"/>
  <c r="F514" i="8"/>
  <c r="E514" i="8"/>
  <c r="O513" i="8"/>
  <c r="J513" i="8"/>
  <c r="F513" i="8"/>
  <c r="E513" i="8"/>
  <c r="O512" i="8"/>
  <c r="J512" i="8"/>
  <c r="F512" i="8"/>
  <c r="E512" i="8"/>
  <c r="O511" i="8"/>
  <c r="J511" i="8"/>
  <c r="F511" i="8"/>
  <c r="E511" i="8"/>
  <c r="O510" i="8"/>
  <c r="J510" i="8"/>
  <c r="F510" i="8"/>
  <c r="E510" i="8"/>
  <c r="O509" i="8"/>
  <c r="J509" i="8"/>
  <c r="F509" i="8"/>
  <c r="E509" i="8"/>
  <c r="O508" i="8"/>
  <c r="J508" i="8"/>
  <c r="F508" i="8"/>
  <c r="E508" i="8"/>
  <c r="O507" i="8"/>
  <c r="J507" i="8"/>
  <c r="F507" i="8"/>
  <c r="E507" i="8"/>
  <c r="O506" i="8"/>
  <c r="J506" i="8"/>
  <c r="F506" i="8"/>
  <c r="E506" i="8"/>
  <c r="O505" i="8"/>
  <c r="J505" i="8"/>
  <c r="F505" i="8"/>
  <c r="E505" i="8"/>
  <c r="O504" i="8"/>
  <c r="J504" i="8"/>
  <c r="F504" i="8"/>
  <c r="E504" i="8"/>
  <c r="O503" i="8"/>
  <c r="J503" i="8"/>
  <c r="F503" i="8"/>
  <c r="E503" i="8"/>
  <c r="O502" i="8"/>
  <c r="J502" i="8"/>
  <c r="F502" i="8"/>
  <c r="E502" i="8"/>
  <c r="O501" i="8"/>
  <c r="J501" i="8"/>
  <c r="F501" i="8"/>
  <c r="E501" i="8"/>
  <c r="O500" i="8"/>
  <c r="J500" i="8"/>
  <c r="F500" i="8"/>
  <c r="E500" i="8"/>
  <c r="O499" i="8"/>
  <c r="J499" i="8"/>
  <c r="F499" i="8"/>
  <c r="E499" i="8"/>
  <c r="O498" i="8"/>
  <c r="J498" i="8"/>
  <c r="F498" i="8"/>
  <c r="E498" i="8"/>
  <c r="O497" i="8"/>
  <c r="J497" i="8"/>
  <c r="F497" i="8"/>
  <c r="E497" i="8"/>
  <c r="O496" i="8"/>
  <c r="J496" i="8"/>
  <c r="F496" i="8"/>
  <c r="E496" i="8"/>
  <c r="O495" i="8"/>
  <c r="J495" i="8"/>
  <c r="F495" i="8"/>
  <c r="E495" i="8"/>
  <c r="O494" i="8"/>
  <c r="J494" i="8"/>
  <c r="F494" i="8"/>
  <c r="E494" i="8"/>
  <c r="O493" i="8"/>
  <c r="J493" i="8"/>
  <c r="F493" i="8"/>
  <c r="E493" i="8"/>
  <c r="O492" i="8"/>
  <c r="J492" i="8"/>
  <c r="F492" i="8"/>
  <c r="E492" i="8"/>
  <c r="O491" i="8"/>
  <c r="J491" i="8"/>
  <c r="F491" i="8"/>
  <c r="E491" i="8"/>
  <c r="O490" i="8"/>
  <c r="J490" i="8"/>
  <c r="F490" i="8"/>
  <c r="E490" i="8"/>
  <c r="O489" i="8"/>
  <c r="J489" i="8"/>
  <c r="F489" i="8"/>
  <c r="E489" i="8"/>
  <c r="O488" i="8"/>
  <c r="J488" i="8"/>
  <c r="F488" i="8"/>
  <c r="E488" i="8"/>
  <c r="O487" i="8"/>
  <c r="J487" i="8"/>
  <c r="F487" i="8"/>
  <c r="E487" i="8"/>
  <c r="O486" i="8"/>
  <c r="J486" i="8"/>
  <c r="F486" i="8"/>
  <c r="E486" i="8"/>
  <c r="O485" i="8"/>
  <c r="J485" i="8"/>
  <c r="F485" i="8"/>
  <c r="E485" i="8"/>
  <c r="O484" i="8"/>
  <c r="J484" i="8"/>
  <c r="F484" i="8"/>
  <c r="E484" i="8"/>
  <c r="O483" i="8"/>
  <c r="J483" i="8"/>
  <c r="F483" i="8"/>
  <c r="E483" i="8"/>
  <c r="O482" i="8"/>
  <c r="J482" i="8"/>
  <c r="F482" i="8"/>
  <c r="E482" i="8"/>
  <c r="O481" i="8"/>
  <c r="J481" i="8"/>
  <c r="F481" i="8"/>
  <c r="E481" i="8"/>
  <c r="O480" i="8"/>
  <c r="J480" i="8"/>
  <c r="F480" i="8"/>
  <c r="E480" i="8"/>
  <c r="O479" i="8"/>
  <c r="J479" i="8"/>
  <c r="F479" i="8"/>
  <c r="E479" i="8"/>
  <c r="O478" i="8"/>
  <c r="J478" i="8"/>
  <c r="F478" i="8"/>
  <c r="E478" i="8"/>
  <c r="O477" i="8"/>
  <c r="J477" i="8"/>
  <c r="F477" i="8"/>
  <c r="E477" i="8"/>
  <c r="O476" i="8"/>
  <c r="J476" i="8"/>
  <c r="F476" i="8"/>
  <c r="E476" i="8"/>
  <c r="O475" i="8"/>
  <c r="J475" i="8"/>
  <c r="F475" i="8"/>
  <c r="E475" i="8"/>
  <c r="O474" i="8"/>
  <c r="J474" i="8"/>
  <c r="F474" i="8"/>
  <c r="E474" i="8"/>
  <c r="O473" i="8"/>
  <c r="J473" i="8"/>
  <c r="F473" i="8"/>
  <c r="E473" i="8"/>
  <c r="O472" i="8"/>
  <c r="J472" i="8"/>
  <c r="F472" i="8"/>
  <c r="E472" i="8"/>
  <c r="O471" i="8"/>
  <c r="J471" i="8"/>
  <c r="F471" i="8"/>
  <c r="E471" i="8"/>
  <c r="O470" i="8"/>
  <c r="J470" i="8"/>
  <c r="F470" i="8"/>
  <c r="E470" i="8"/>
  <c r="O469" i="8"/>
  <c r="J469" i="8"/>
  <c r="F469" i="8"/>
  <c r="E469" i="8"/>
  <c r="O468" i="8"/>
  <c r="J468" i="8"/>
  <c r="F468" i="8"/>
  <c r="E468" i="8"/>
  <c r="O467" i="8"/>
  <c r="J467" i="8"/>
  <c r="F467" i="8"/>
  <c r="E467" i="8"/>
  <c r="O466" i="8"/>
  <c r="J466" i="8"/>
  <c r="F466" i="8"/>
  <c r="E466" i="8"/>
  <c r="O465" i="8"/>
  <c r="J465" i="8"/>
  <c r="F465" i="8"/>
  <c r="E465" i="8"/>
  <c r="O464" i="8"/>
  <c r="J464" i="8"/>
  <c r="F464" i="8"/>
  <c r="E464" i="8"/>
  <c r="O463" i="8"/>
  <c r="J463" i="8"/>
  <c r="F463" i="8"/>
  <c r="E463" i="8"/>
  <c r="O462" i="8"/>
  <c r="J462" i="8"/>
  <c r="F462" i="8"/>
  <c r="E462" i="8"/>
  <c r="O461" i="8"/>
  <c r="J461" i="8"/>
  <c r="F461" i="8"/>
  <c r="E461" i="8"/>
  <c r="O460" i="8"/>
  <c r="J460" i="8"/>
  <c r="F460" i="8"/>
  <c r="E460" i="8"/>
  <c r="O459" i="8"/>
  <c r="J459" i="8"/>
  <c r="F459" i="8"/>
  <c r="E459" i="8"/>
  <c r="O458" i="8"/>
  <c r="J458" i="8"/>
  <c r="F458" i="8"/>
  <c r="E458" i="8"/>
  <c r="O457" i="8"/>
  <c r="J457" i="8"/>
  <c r="F457" i="8"/>
  <c r="E457" i="8"/>
  <c r="O456" i="8"/>
  <c r="J456" i="8"/>
  <c r="F456" i="8"/>
  <c r="E456" i="8"/>
  <c r="O455" i="8"/>
  <c r="J455" i="8"/>
  <c r="F455" i="8"/>
  <c r="E455" i="8"/>
  <c r="O454" i="8"/>
  <c r="J454" i="8"/>
  <c r="F454" i="8"/>
  <c r="E454" i="8"/>
  <c r="O453" i="8"/>
  <c r="J453" i="8"/>
  <c r="F453" i="8"/>
  <c r="E453" i="8"/>
  <c r="O452" i="8"/>
  <c r="J452" i="8"/>
  <c r="F452" i="8"/>
  <c r="E452" i="8"/>
  <c r="O451" i="8"/>
  <c r="J451" i="8"/>
  <c r="F451" i="8"/>
  <c r="E451" i="8"/>
  <c r="O450" i="8"/>
  <c r="J450" i="8"/>
  <c r="F450" i="8"/>
  <c r="E450" i="8"/>
  <c r="O449" i="8"/>
  <c r="J449" i="8"/>
  <c r="F449" i="8"/>
  <c r="E449" i="8"/>
  <c r="O448" i="8"/>
  <c r="J448" i="8"/>
  <c r="F448" i="8"/>
  <c r="E448" i="8"/>
  <c r="O447" i="8"/>
  <c r="J447" i="8"/>
  <c r="F447" i="8"/>
  <c r="E447" i="8"/>
  <c r="O446" i="8"/>
  <c r="J446" i="8"/>
  <c r="F446" i="8"/>
  <c r="E446" i="8"/>
  <c r="O445" i="8"/>
  <c r="J445" i="8"/>
  <c r="F445" i="8"/>
  <c r="E445" i="8"/>
  <c r="O444" i="8"/>
  <c r="J444" i="8"/>
  <c r="F444" i="8"/>
  <c r="E444" i="8"/>
  <c r="O443" i="8"/>
  <c r="J443" i="8"/>
  <c r="F443" i="8"/>
  <c r="E443" i="8"/>
  <c r="O442" i="8"/>
  <c r="J442" i="8"/>
  <c r="F442" i="8"/>
  <c r="E442" i="8"/>
  <c r="O441" i="8"/>
  <c r="J441" i="8"/>
  <c r="F441" i="8"/>
  <c r="E441" i="8"/>
  <c r="O440" i="8"/>
  <c r="J440" i="8"/>
  <c r="F440" i="8"/>
  <c r="E440" i="8"/>
  <c r="O439" i="8"/>
  <c r="J439" i="8"/>
  <c r="F439" i="8"/>
  <c r="E439" i="8"/>
  <c r="O438" i="8"/>
  <c r="J438" i="8"/>
  <c r="F438" i="8"/>
  <c r="E438" i="8"/>
  <c r="O437" i="8"/>
  <c r="J437" i="8"/>
  <c r="F437" i="8"/>
  <c r="E437" i="8"/>
  <c r="O436" i="8"/>
  <c r="J436" i="8"/>
  <c r="F436" i="8"/>
  <c r="E436" i="8"/>
  <c r="O435" i="8"/>
  <c r="J435" i="8"/>
  <c r="F435" i="8"/>
  <c r="E435" i="8"/>
  <c r="O434" i="8"/>
  <c r="J434" i="8"/>
  <c r="F434" i="8"/>
  <c r="E434" i="8"/>
  <c r="O433" i="8"/>
  <c r="J433" i="8"/>
  <c r="F433" i="8"/>
  <c r="E433" i="8"/>
  <c r="O432" i="8"/>
  <c r="J432" i="8"/>
  <c r="F432" i="8"/>
  <c r="E432" i="8"/>
  <c r="O431" i="8"/>
  <c r="J431" i="8"/>
  <c r="F431" i="8"/>
  <c r="E431" i="8"/>
  <c r="O430" i="8"/>
  <c r="J430" i="8"/>
  <c r="F430" i="8"/>
  <c r="E430" i="8"/>
  <c r="O429" i="8"/>
  <c r="J429" i="8"/>
  <c r="F429" i="8"/>
  <c r="E429" i="8"/>
  <c r="O428" i="8"/>
  <c r="J428" i="8"/>
  <c r="F428" i="8"/>
  <c r="E428" i="8"/>
  <c r="O427" i="8"/>
  <c r="J427" i="8"/>
  <c r="F427" i="8"/>
  <c r="E427" i="8"/>
  <c r="O426" i="8"/>
  <c r="J426" i="8"/>
  <c r="F426" i="8"/>
  <c r="E426" i="8"/>
  <c r="O425" i="8"/>
  <c r="J425" i="8"/>
  <c r="F425" i="8"/>
  <c r="E425" i="8"/>
  <c r="O424" i="8"/>
  <c r="J424" i="8"/>
  <c r="F424" i="8"/>
  <c r="E424" i="8"/>
  <c r="O423" i="8"/>
  <c r="J423" i="8"/>
  <c r="F423" i="8"/>
  <c r="E423" i="8"/>
  <c r="O422" i="8"/>
  <c r="J422" i="8"/>
  <c r="F422" i="8"/>
  <c r="E422" i="8"/>
  <c r="O421" i="8"/>
  <c r="J421" i="8"/>
  <c r="F421" i="8"/>
  <c r="E421" i="8"/>
  <c r="O420" i="8"/>
  <c r="J420" i="8"/>
  <c r="F420" i="8"/>
  <c r="E420" i="8"/>
  <c r="O419" i="8"/>
  <c r="J419" i="8"/>
  <c r="F419" i="8"/>
  <c r="E419" i="8"/>
  <c r="O418" i="8"/>
  <c r="J418" i="8"/>
  <c r="F418" i="8"/>
  <c r="E418" i="8"/>
  <c r="O417" i="8"/>
  <c r="J417" i="8"/>
  <c r="F417" i="8"/>
  <c r="E417" i="8"/>
  <c r="O416" i="8"/>
  <c r="J416" i="8"/>
  <c r="F416" i="8"/>
  <c r="E416" i="8"/>
  <c r="O415" i="8"/>
  <c r="J415" i="8"/>
  <c r="F415" i="8"/>
  <c r="E415" i="8"/>
  <c r="O414" i="8"/>
  <c r="J414" i="8"/>
  <c r="F414" i="8"/>
  <c r="E414" i="8"/>
  <c r="O413" i="8"/>
  <c r="J413" i="8"/>
  <c r="F413" i="8"/>
  <c r="E413" i="8"/>
  <c r="O412" i="8"/>
  <c r="J412" i="8"/>
  <c r="F412" i="8"/>
  <c r="E412" i="8"/>
  <c r="O411" i="8"/>
  <c r="J411" i="8"/>
  <c r="F411" i="8"/>
  <c r="E411" i="8"/>
  <c r="O410" i="8"/>
  <c r="J410" i="8"/>
  <c r="F410" i="8"/>
  <c r="E410" i="8"/>
  <c r="O409" i="8"/>
  <c r="J409" i="8"/>
  <c r="F409" i="8"/>
  <c r="E409" i="8"/>
  <c r="O408" i="8"/>
  <c r="J408" i="8"/>
  <c r="F408" i="8"/>
  <c r="E408" i="8"/>
  <c r="O407" i="8"/>
  <c r="J407" i="8"/>
  <c r="F407" i="8"/>
  <c r="E407" i="8"/>
  <c r="O406" i="8"/>
  <c r="J406" i="8"/>
  <c r="F406" i="8"/>
  <c r="E406" i="8"/>
  <c r="O405" i="8"/>
  <c r="J405" i="8"/>
  <c r="F405" i="8"/>
  <c r="E405" i="8"/>
  <c r="O404" i="8"/>
  <c r="J404" i="8"/>
  <c r="F404" i="8"/>
  <c r="E404" i="8"/>
  <c r="O403" i="8"/>
  <c r="J403" i="8"/>
  <c r="F403" i="8"/>
  <c r="E403" i="8"/>
  <c r="O402" i="8"/>
  <c r="J402" i="8"/>
  <c r="F402" i="8"/>
  <c r="E402" i="8"/>
  <c r="O401" i="8"/>
  <c r="J401" i="8"/>
  <c r="F401" i="8"/>
  <c r="E401" i="8"/>
  <c r="O400" i="8"/>
  <c r="J400" i="8"/>
  <c r="F400" i="8"/>
  <c r="E400" i="8"/>
  <c r="O399" i="8"/>
  <c r="J399" i="8"/>
  <c r="F399" i="8"/>
  <c r="E399" i="8"/>
  <c r="O398" i="8"/>
  <c r="J398" i="8"/>
  <c r="F398" i="8"/>
  <c r="E398" i="8"/>
  <c r="O397" i="8"/>
  <c r="J397" i="8"/>
  <c r="F397" i="8"/>
  <c r="E397" i="8"/>
  <c r="O396" i="8"/>
  <c r="J396" i="8"/>
  <c r="F396" i="8"/>
  <c r="E396" i="8"/>
  <c r="O395" i="8"/>
  <c r="J395" i="8"/>
  <c r="F395" i="8"/>
  <c r="E395" i="8"/>
  <c r="O394" i="8"/>
  <c r="J394" i="8"/>
  <c r="F394" i="8"/>
  <c r="E394" i="8"/>
  <c r="O393" i="8"/>
  <c r="J393" i="8"/>
  <c r="F393" i="8"/>
  <c r="E393" i="8"/>
  <c r="O392" i="8"/>
  <c r="J392" i="8"/>
  <c r="F392" i="8"/>
  <c r="E392" i="8"/>
  <c r="O391" i="8"/>
  <c r="J391" i="8"/>
  <c r="F391" i="8"/>
  <c r="E391" i="8"/>
  <c r="O390" i="8"/>
  <c r="J390" i="8"/>
  <c r="F390" i="8"/>
  <c r="E390" i="8"/>
  <c r="O389" i="8"/>
  <c r="J389" i="8"/>
  <c r="F389" i="8"/>
  <c r="E389" i="8"/>
  <c r="O388" i="8"/>
  <c r="J388" i="8"/>
  <c r="F388" i="8"/>
  <c r="E388" i="8"/>
  <c r="O387" i="8"/>
  <c r="J387" i="8"/>
  <c r="F387" i="8"/>
  <c r="E387" i="8"/>
  <c r="O386" i="8"/>
  <c r="J386" i="8"/>
  <c r="F386" i="8"/>
  <c r="E386" i="8"/>
  <c r="O385" i="8"/>
  <c r="J385" i="8"/>
  <c r="F385" i="8"/>
  <c r="E385" i="8"/>
  <c r="O384" i="8"/>
  <c r="J384" i="8"/>
  <c r="F384" i="8"/>
  <c r="E384" i="8"/>
  <c r="O383" i="8"/>
  <c r="J383" i="8"/>
  <c r="F383" i="8"/>
  <c r="E383" i="8"/>
  <c r="O382" i="8"/>
  <c r="J382" i="8"/>
  <c r="F382" i="8"/>
  <c r="E382" i="8"/>
  <c r="O381" i="8"/>
  <c r="J381" i="8"/>
  <c r="F381" i="8"/>
  <c r="E381" i="8"/>
  <c r="O380" i="8"/>
  <c r="J380" i="8"/>
  <c r="F380" i="8"/>
  <c r="E380" i="8"/>
  <c r="O379" i="8"/>
  <c r="J379" i="8"/>
  <c r="F379" i="8"/>
  <c r="E379" i="8"/>
  <c r="O378" i="8"/>
  <c r="J378" i="8"/>
  <c r="F378" i="8"/>
  <c r="E378" i="8"/>
  <c r="O377" i="8"/>
  <c r="J377" i="8"/>
  <c r="F377" i="8"/>
  <c r="E377" i="8"/>
  <c r="O376" i="8"/>
  <c r="J376" i="8"/>
  <c r="F376" i="8"/>
  <c r="E376" i="8"/>
  <c r="O375" i="8"/>
  <c r="J375" i="8"/>
  <c r="F375" i="8"/>
  <c r="E375" i="8"/>
  <c r="O374" i="8"/>
  <c r="J374" i="8"/>
  <c r="F374" i="8"/>
  <c r="E374" i="8"/>
  <c r="O373" i="8"/>
  <c r="J373" i="8"/>
  <c r="F373" i="8"/>
  <c r="E373" i="8"/>
  <c r="O372" i="8"/>
  <c r="J372" i="8"/>
  <c r="F372" i="8"/>
  <c r="E372" i="8"/>
  <c r="O371" i="8"/>
  <c r="J371" i="8"/>
  <c r="F371" i="8"/>
  <c r="E371" i="8"/>
  <c r="O370" i="8"/>
  <c r="J370" i="8"/>
  <c r="F370" i="8"/>
  <c r="E370" i="8"/>
  <c r="O369" i="8"/>
  <c r="J369" i="8"/>
  <c r="F369" i="8"/>
  <c r="E369" i="8"/>
  <c r="O368" i="8"/>
  <c r="J368" i="8"/>
  <c r="F368" i="8"/>
  <c r="E368" i="8"/>
  <c r="O367" i="8"/>
  <c r="J367" i="8"/>
  <c r="F367" i="8"/>
  <c r="E367" i="8"/>
  <c r="O366" i="8"/>
  <c r="J366" i="8"/>
  <c r="F366" i="8"/>
  <c r="E366" i="8"/>
  <c r="O365" i="8"/>
  <c r="J365" i="8"/>
  <c r="F365" i="8"/>
  <c r="E365" i="8"/>
  <c r="O364" i="8"/>
  <c r="J364" i="8"/>
  <c r="F364" i="8"/>
  <c r="E364" i="8"/>
  <c r="O363" i="8"/>
  <c r="J363" i="8"/>
  <c r="F363" i="8"/>
  <c r="E363" i="8"/>
  <c r="O362" i="8"/>
  <c r="J362" i="8"/>
  <c r="F362" i="8"/>
  <c r="E362" i="8"/>
  <c r="O361" i="8"/>
  <c r="J361" i="8"/>
  <c r="F361" i="8"/>
  <c r="E361" i="8"/>
  <c r="O360" i="8"/>
  <c r="J360" i="8"/>
  <c r="F360" i="8"/>
  <c r="E360" i="8"/>
  <c r="O359" i="8"/>
  <c r="J359" i="8"/>
  <c r="F359" i="8"/>
  <c r="E359" i="8"/>
  <c r="O358" i="8"/>
  <c r="J358" i="8"/>
  <c r="F358" i="8"/>
  <c r="E358" i="8"/>
  <c r="O357" i="8"/>
  <c r="J357" i="8"/>
  <c r="F357" i="8"/>
  <c r="E357" i="8"/>
  <c r="O356" i="8"/>
  <c r="J356" i="8"/>
  <c r="F356" i="8"/>
  <c r="E356" i="8"/>
  <c r="O355" i="8"/>
  <c r="J355" i="8"/>
  <c r="F355" i="8"/>
  <c r="E355" i="8"/>
  <c r="O354" i="8"/>
  <c r="J354" i="8"/>
  <c r="F354" i="8"/>
  <c r="E354" i="8"/>
  <c r="O353" i="8"/>
  <c r="J353" i="8"/>
  <c r="F353" i="8"/>
  <c r="E353" i="8"/>
  <c r="O352" i="8"/>
  <c r="J352" i="8"/>
  <c r="F352" i="8"/>
  <c r="E352" i="8"/>
  <c r="O351" i="8"/>
  <c r="J351" i="8"/>
  <c r="F351" i="8"/>
  <c r="E351" i="8"/>
  <c r="O350" i="8"/>
  <c r="J350" i="8"/>
  <c r="F350" i="8"/>
  <c r="E350" i="8"/>
  <c r="O349" i="8"/>
  <c r="J349" i="8"/>
  <c r="F349" i="8"/>
  <c r="E349" i="8"/>
  <c r="O348" i="8"/>
  <c r="J348" i="8"/>
  <c r="F348" i="8"/>
  <c r="E348" i="8"/>
  <c r="O347" i="8"/>
  <c r="J347" i="8"/>
  <c r="F347" i="8"/>
  <c r="E347" i="8"/>
  <c r="O346" i="8"/>
  <c r="J346" i="8"/>
  <c r="F346" i="8"/>
  <c r="E346" i="8"/>
  <c r="O345" i="8"/>
  <c r="J345" i="8"/>
  <c r="F345" i="8"/>
  <c r="E345" i="8"/>
  <c r="O344" i="8"/>
  <c r="J344" i="8"/>
  <c r="F344" i="8"/>
  <c r="E344" i="8"/>
  <c r="O343" i="8"/>
  <c r="J343" i="8"/>
  <c r="F343" i="8"/>
  <c r="E343" i="8"/>
  <c r="O342" i="8"/>
  <c r="J342" i="8"/>
  <c r="F342" i="8"/>
  <c r="E342" i="8"/>
  <c r="O341" i="8"/>
  <c r="J341" i="8"/>
  <c r="F341" i="8"/>
  <c r="E341" i="8"/>
  <c r="O340" i="8"/>
  <c r="J340" i="8"/>
  <c r="F340" i="8"/>
  <c r="E340" i="8"/>
  <c r="O339" i="8"/>
  <c r="J339" i="8"/>
  <c r="F339" i="8"/>
  <c r="E339" i="8"/>
  <c r="O338" i="8"/>
  <c r="J338" i="8"/>
  <c r="F338" i="8"/>
  <c r="E338" i="8"/>
  <c r="O337" i="8"/>
  <c r="J337" i="8"/>
  <c r="F337" i="8"/>
  <c r="E337" i="8"/>
  <c r="O336" i="8"/>
  <c r="J336" i="8"/>
  <c r="F336" i="8"/>
  <c r="E336" i="8"/>
  <c r="O335" i="8"/>
  <c r="J335" i="8"/>
  <c r="F335" i="8"/>
  <c r="E335" i="8"/>
  <c r="O334" i="8"/>
  <c r="J334" i="8"/>
  <c r="F334" i="8"/>
  <c r="E334" i="8"/>
  <c r="O333" i="8"/>
  <c r="J333" i="8"/>
  <c r="F333" i="8"/>
  <c r="E333" i="8"/>
  <c r="O332" i="8"/>
  <c r="J332" i="8"/>
  <c r="F332" i="8"/>
  <c r="E332" i="8"/>
  <c r="O331" i="8"/>
  <c r="J331" i="8"/>
  <c r="F331" i="8"/>
  <c r="E331" i="8"/>
  <c r="O330" i="8"/>
  <c r="J330" i="8"/>
  <c r="F330" i="8"/>
  <c r="E330" i="8"/>
  <c r="O329" i="8"/>
  <c r="J329" i="8"/>
  <c r="F329" i="8"/>
  <c r="E329" i="8"/>
  <c r="O328" i="8"/>
  <c r="J328" i="8"/>
  <c r="F328" i="8"/>
  <c r="E328" i="8"/>
  <c r="O327" i="8"/>
  <c r="J327" i="8"/>
  <c r="F327" i="8"/>
  <c r="E327" i="8"/>
  <c r="O326" i="8"/>
  <c r="J326" i="8"/>
  <c r="F326" i="8"/>
  <c r="E326" i="8"/>
  <c r="O325" i="8"/>
  <c r="J325" i="8"/>
  <c r="F325" i="8"/>
  <c r="E325" i="8"/>
  <c r="O324" i="8"/>
  <c r="J324" i="8"/>
  <c r="F324" i="8"/>
  <c r="E324" i="8"/>
  <c r="O323" i="8"/>
  <c r="J323" i="8"/>
  <c r="F323" i="8"/>
  <c r="E323" i="8"/>
  <c r="O322" i="8"/>
  <c r="J322" i="8"/>
  <c r="F322" i="8"/>
  <c r="E322" i="8"/>
  <c r="O321" i="8"/>
  <c r="J321" i="8"/>
  <c r="F321" i="8"/>
  <c r="E321" i="8"/>
  <c r="O320" i="8"/>
  <c r="J320" i="8"/>
  <c r="F320" i="8"/>
  <c r="E320" i="8"/>
  <c r="O319" i="8"/>
  <c r="J319" i="8"/>
  <c r="F319" i="8"/>
  <c r="E319" i="8"/>
  <c r="O318" i="8"/>
  <c r="J318" i="8"/>
  <c r="F318" i="8"/>
  <c r="E318" i="8"/>
  <c r="O317" i="8"/>
  <c r="J317" i="8"/>
  <c r="F317" i="8"/>
  <c r="E317" i="8"/>
  <c r="O316" i="8"/>
  <c r="J316" i="8"/>
  <c r="F316" i="8"/>
  <c r="E316" i="8"/>
  <c r="O315" i="8"/>
  <c r="J315" i="8"/>
  <c r="F315" i="8"/>
  <c r="E315" i="8"/>
  <c r="O314" i="8"/>
  <c r="J314" i="8"/>
  <c r="F314" i="8"/>
  <c r="E314" i="8"/>
  <c r="O313" i="8"/>
  <c r="J313" i="8"/>
  <c r="F313" i="8"/>
  <c r="E313" i="8"/>
  <c r="O312" i="8"/>
  <c r="J312" i="8"/>
  <c r="F312" i="8"/>
  <c r="E312" i="8"/>
  <c r="O311" i="8"/>
  <c r="J311" i="8"/>
  <c r="F311" i="8"/>
  <c r="E311" i="8"/>
  <c r="O310" i="8"/>
  <c r="J310" i="8"/>
  <c r="F310" i="8"/>
  <c r="E310" i="8"/>
  <c r="O309" i="8"/>
  <c r="J309" i="8"/>
  <c r="F309" i="8"/>
  <c r="E309" i="8"/>
  <c r="O308" i="8"/>
  <c r="J308" i="8"/>
  <c r="F308" i="8"/>
  <c r="E308" i="8"/>
  <c r="O307" i="8"/>
  <c r="J307" i="8"/>
  <c r="F307" i="8"/>
  <c r="E307" i="8"/>
  <c r="O306" i="8"/>
  <c r="J306" i="8"/>
  <c r="F306" i="8"/>
  <c r="E306" i="8"/>
  <c r="O305" i="8"/>
  <c r="J305" i="8"/>
  <c r="F305" i="8"/>
  <c r="E305" i="8"/>
  <c r="O304" i="8"/>
  <c r="J304" i="8"/>
  <c r="F304" i="8"/>
  <c r="E304" i="8"/>
  <c r="O303" i="8"/>
  <c r="J303" i="8"/>
  <c r="F303" i="8"/>
  <c r="E303" i="8"/>
  <c r="O302" i="8"/>
  <c r="J302" i="8"/>
  <c r="F302" i="8"/>
  <c r="E302" i="8"/>
  <c r="O301" i="8"/>
  <c r="J301" i="8"/>
  <c r="F301" i="8"/>
  <c r="E301" i="8"/>
  <c r="O300" i="8"/>
  <c r="J300" i="8"/>
  <c r="F300" i="8"/>
  <c r="E300" i="8"/>
  <c r="O299" i="8"/>
  <c r="J299" i="8"/>
  <c r="F299" i="8"/>
  <c r="E299" i="8"/>
  <c r="O298" i="8"/>
  <c r="J298" i="8"/>
  <c r="F298" i="8"/>
  <c r="E298" i="8"/>
  <c r="O297" i="8"/>
  <c r="J297" i="8"/>
  <c r="F297" i="8"/>
  <c r="E297" i="8"/>
  <c r="O296" i="8"/>
  <c r="J296" i="8"/>
  <c r="F296" i="8"/>
  <c r="E296" i="8"/>
  <c r="O295" i="8"/>
  <c r="J295" i="8"/>
  <c r="F295" i="8"/>
  <c r="E295" i="8"/>
  <c r="O294" i="8"/>
  <c r="J294" i="8"/>
  <c r="F294" i="8"/>
  <c r="E294" i="8"/>
  <c r="O293" i="8"/>
  <c r="J293" i="8"/>
  <c r="F293" i="8"/>
  <c r="E293" i="8"/>
  <c r="O292" i="8"/>
  <c r="J292" i="8"/>
  <c r="F292" i="8"/>
  <c r="E292" i="8"/>
  <c r="O291" i="8"/>
  <c r="J291" i="8"/>
  <c r="F291" i="8"/>
  <c r="E291" i="8"/>
  <c r="O290" i="8"/>
  <c r="J290" i="8"/>
  <c r="F290" i="8"/>
  <c r="E290" i="8"/>
  <c r="O289" i="8"/>
  <c r="J289" i="8"/>
  <c r="F289" i="8"/>
  <c r="E289" i="8"/>
  <c r="O288" i="8"/>
  <c r="J288" i="8"/>
  <c r="F288" i="8"/>
  <c r="E288" i="8"/>
  <c r="O287" i="8"/>
  <c r="J287" i="8"/>
  <c r="F287" i="8"/>
  <c r="E287" i="8"/>
  <c r="O286" i="8"/>
  <c r="J286" i="8"/>
  <c r="F286" i="8"/>
  <c r="E286" i="8"/>
  <c r="O285" i="8"/>
  <c r="J285" i="8"/>
  <c r="F285" i="8"/>
  <c r="E285" i="8"/>
  <c r="O284" i="8"/>
  <c r="J284" i="8"/>
  <c r="F284" i="8"/>
  <c r="E284" i="8"/>
  <c r="O283" i="8"/>
  <c r="J283" i="8"/>
  <c r="F283" i="8"/>
  <c r="E283" i="8"/>
  <c r="O282" i="8"/>
  <c r="J282" i="8"/>
  <c r="F282" i="8"/>
  <c r="E282" i="8"/>
  <c r="O281" i="8"/>
  <c r="J281" i="8"/>
  <c r="F281" i="8"/>
  <c r="E281" i="8"/>
  <c r="O280" i="8"/>
  <c r="J280" i="8"/>
  <c r="F280" i="8"/>
  <c r="E280" i="8"/>
  <c r="O279" i="8"/>
  <c r="J279" i="8"/>
  <c r="F279" i="8"/>
  <c r="E279" i="8"/>
  <c r="O278" i="8"/>
  <c r="J278" i="8"/>
  <c r="F278" i="8"/>
  <c r="E278" i="8"/>
  <c r="O277" i="8"/>
  <c r="J277" i="8"/>
  <c r="F277" i="8"/>
  <c r="E277" i="8"/>
  <c r="O276" i="8"/>
  <c r="J276" i="8"/>
  <c r="F276" i="8"/>
  <c r="E276" i="8"/>
  <c r="O275" i="8"/>
  <c r="J275" i="8"/>
  <c r="F275" i="8"/>
  <c r="E275" i="8"/>
  <c r="O274" i="8"/>
  <c r="J274" i="8"/>
  <c r="F274" i="8"/>
  <c r="E274" i="8"/>
  <c r="O273" i="8"/>
  <c r="J273" i="8"/>
  <c r="F273" i="8"/>
  <c r="E273" i="8"/>
  <c r="O272" i="8"/>
  <c r="J272" i="8"/>
  <c r="F272" i="8"/>
  <c r="E272" i="8"/>
  <c r="O271" i="8"/>
  <c r="J271" i="8"/>
  <c r="F271" i="8"/>
  <c r="E271" i="8"/>
  <c r="O270" i="8"/>
  <c r="J270" i="8"/>
  <c r="F270" i="8"/>
  <c r="E270" i="8"/>
  <c r="O269" i="8"/>
  <c r="J269" i="8"/>
  <c r="F269" i="8"/>
  <c r="E269" i="8"/>
  <c r="O268" i="8"/>
  <c r="J268" i="8"/>
  <c r="F268" i="8"/>
  <c r="E268" i="8"/>
  <c r="O267" i="8"/>
  <c r="J267" i="8"/>
  <c r="F267" i="8"/>
  <c r="E267" i="8"/>
  <c r="O266" i="8"/>
  <c r="J266" i="8"/>
  <c r="F266" i="8"/>
  <c r="E266" i="8"/>
  <c r="O265" i="8"/>
  <c r="J265" i="8"/>
  <c r="F265" i="8"/>
  <c r="E265" i="8"/>
  <c r="O264" i="8"/>
  <c r="J264" i="8"/>
  <c r="F264" i="8"/>
  <c r="E264" i="8"/>
  <c r="O263" i="8"/>
  <c r="J263" i="8"/>
  <c r="F263" i="8"/>
  <c r="E263" i="8"/>
  <c r="O262" i="8"/>
  <c r="J262" i="8"/>
  <c r="F262" i="8"/>
  <c r="E262" i="8"/>
  <c r="O261" i="8"/>
  <c r="J261" i="8"/>
  <c r="F261" i="8"/>
  <c r="E261" i="8"/>
  <c r="O260" i="8"/>
  <c r="J260" i="8"/>
  <c r="F260" i="8"/>
  <c r="E260" i="8"/>
  <c r="O259" i="8"/>
  <c r="J259" i="8"/>
  <c r="F259" i="8"/>
  <c r="E259" i="8"/>
  <c r="O258" i="8"/>
  <c r="J258" i="8"/>
  <c r="F258" i="8"/>
  <c r="E258" i="8"/>
  <c r="O257" i="8"/>
  <c r="J257" i="8"/>
  <c r="F257" i="8"/>
  <c r="E257" i="8"/>
  <c r="O256" i="8"/>
  <c r="J256" i="8"/>
  <c r="F256" i="8"/>
  <c r="E256" i="8"/>
  <c r="O255" i="8"/>
  <c r="J255" i="8"/>
  <c r="F255" i="8"/>
  <c r="E255" i="8"/>
  <c r="O254" i="8"/>
  <c r="J254" i="8"/>
  <c r="F254" i="8"/>
  <c r="E254" i="8"/>
  <c r="O253" i="8"/>
  <c r="J253" i="8"/>
  <c r="F253" i="8"/>
  <c r="E253" i="8"/>
  <c r="O252" i="8"/>
  <c r="J252" i="8"/>
  <c r="F252" i="8"/>
  <c r="E252" i="8"/>
  <c r="O251" i="8"/>
  <c r="J251" i="8"/>
  <c r="F251" i="8"/>
  <c r="E251" i="8"/>
  <c r="O250" i="8"/>
  <c r="J250" i="8"/>
  <c r="F250" i="8"/>
  <c r="E250" i="8"/>
  <c r="O249" i="8"/>
  <c r="J249" i="8"/>
  <c r="F249" i="8"/>
  <c r="E249" i="8"/>
  <c r="O248" i="8"/>
  <c r="J248" i="8"/>
  <c r="F248" i="8"/>
  <c r="E248" i="8"/>
  <c r="O247" i="8"/>
  <c r="J247" i="8"/>
  <c r="F247" i="8"/>
  <c r="E247" i="8"/>
  <c r="O246" i="8"/>
  <c r="J246" i="8"/>
  <c r="F246" i="8"/>
  <c r="E246" i="8"/>
  <c r="O245" i="8"/>
  <c r="J245" i="8"/>
  <c r="F245" i="8"/>
  <c r="E245" i="8"/>
  <c r="O244" i="8"/>
  <c r="J244" i="8"/>
  <c r="F244" i="8"/>
  <c r="E244" i="8"/>
  <c r="O243" i="8"/>
  <c r="J243" i="8"/>
  <c r="F243" i="8"/>
  <c r="E243" i="8"/>
  <c r="O242" i="8"/>
  <c r="J242" i="8"/>
  <c r="F242" i="8"/>
  <c r="E242" i="8"/>
  <c r="O241" i="8"/>
  <c r="J241" i="8"/>
  <c r="F241" i="8"/>
  <c r="E241" i="8"/>
  <c r="O240" i="8"/>
  <c r="J240" i="8"/>
  <c r="F240" i="8"/>
  <c r="E240" i="8"/>
  <c r="O239" i="8"/>
  <c r="J239" i="8"/>
  <c r="F239" i="8"/>
  <c r="E239" i="8"/>
  <c r="O238" i="8"/>
  <c r="J238" i="8"/>
  <c r="F238" i="8"/>
  <c r="E238" i="8"/>
  <c r="O237" i="8"/>
  <c r="J237" i="8"/>
  <c r="F237" i="8"/>
  <c r="E237" i="8"/>
  <c r="O236" i="8"/>
  <c r="J236" i="8"/>
  <c r="F236" i="8"/>
  <c r="E236" i="8"/>
  <c r="O235" i="8"/>
  <c r="J235" i="8"/>
  <c r="F235" i="8"/>
  <c r="E235" i="8"/>
  <c r="O234" i="8"/>
  <c r="J234" i="8"/>
  <c r="F234" i="8"/>
  <c r="E234" i="8"/>
  <c r="O233" i="8"/>
  <c r="J233" i="8"/>
  <c r="F233" i="8"/>
  <c r="E233" i="8"/>
  <c r="O232" i="8"/>
  <c r="J232" i="8"/>
  <c r="F232" i="8"/>
  <c r="E232" i="8"/>
  <c r="O231" i="8"/>
  <c r="J231" i="8"/>
  <c r="F231" i="8"/>
  <c r="E231" i="8"/>
  <c r="O230" i="8"/>
  <c r="J230" i="8"/>
  <c r="F230" i="8"/>
  <c r="E230" i="8"/>
  <c r="O229" i="8"/>
  <c r="J229" i="8"/>
  <c r="F229" i="8"/>
  <c r="E229" i="8"/>
  <c r="O228" i="8"/>
  <c r="J228" i="8"/>
  <c r="F228" i="8"/>
  <c r="E228" i="8"/>
  <c r="O227" i="8"/>
  <c r="J227" i="8"/>
  <c r="F227" i="8"/>
  <c r="E227" i="8"/>
  <c r="O226" i="8"/>
  <c r="J226" i="8"/>
  <c r="F226" i="8"/>
  <c r="E226" i="8"/>
  <c r="O225" i="8"/>
  <c r="J225" i="8"/>
  <c r="F225" i="8"/>
  <c r="E225" i="8"/>
  <c r="O224" i="8"/>
  <c r="J224" i="8"/>
  <c r="F224" i="8"/>
  <c r="E224" i="8"/>
  <c r="O223" i="8"/>
  <c r="J223" i="8"/>
  <c r="F223" i="8"/>
  <c r="E223" i="8"/>
  <c r="O222" i="8"/>
  <c r="J222" i="8"/>
  <c r="F222" i="8"/>
  <c r="E222" i="8"/>
  <c r="O221" i="8"/>
  <c r="J221" i="8"/>
  <c r="F221" i="8"/>
  <c r="E221" i="8"/>
  <c r="O220" i="8"/>
  <c r="J220" i="8"/>
  <c r="F220" i="8"/>
  <c r="E220" i="8"/>
  <c r="O219" i="8"/>
  <c r="J219" i="8"/>
  <c r="F219" i="8"/>
  <c r="E219" i="8"/>
  <c r="O218" i="8"/>
  <c r="J218" i="8"/>
  <c r="F218" i="8"/>
  <c r="E218" i="8"/>
  <c r="O217" i="8"/>
  <c r="J217" i="8"/>
  <c r="F217" i="8"/>
  <c r="E217" i="8"/>
  <c r="O216" i="8"/>
  <c r="J216" i="8"/>
  <c r="F216" i="8"/>
  <c r="E216" i="8"/>
  <c r="O215" i="8"/>
  <c r="J215" i="8"/>
  <c r="F215" i="8"/>
  <c r="E215" i="8"/>
  <c r="O214" i="8"/>
  <c r="J214" i="8"/>
  <c r="F214" i="8"/>
  <c r="E214" i="8"/>
  <c r="O213" i="8"/>
  <c r="J213" i="8"/>
  <c r="F213" i="8"/>
  <c r="E213" i="8"/>
  <c r="O212" i="8"/>
  <c r="J212" i="8"/>
  <c r="F212" i="8"/>
  <c r="E212" i="8"/>
  <c r="O211" i="8"/>
  <c r="J211" i="8"/>
  <c r="F211" i="8"/>
  <c r="E211" i="8"/>
  <c r="O210" i="8"/>
  <c r="J210" i="8"/>
  <c r="F210" i="8"/>
  <c r="E210" i="8"/>
  <c r="O209" i="8"/>
  <c r="J209" i="8"/>
  <c r="F209" i="8"/>
  <c r="E209" i="8"/>
  <c r="O208" i="8"/>
  <c r="J208" i="8"/>
  <c r="F208" i="8"/>
  <c r="E208" i="8"/>
  <c r="O207" i="8"/>
  <c r="J207" i="8"/>
  <c r="F207" i="8"/>
  <c r="E207" i="8"/>
  <c r="O206" i="8"/>
  <c r="J206" i="8"/>
  <c r="F206" i="8"/>
  <c r="E206" i="8"/>
  <c r="O205" i="8"/>
  <c r="J205" i="8"/>
  <c r="F205" i="8"/>
  <c r="E205" i="8"/>
  <c r="O204" i="8"/>
  <c r="J204" i="8"/>
  <c r="F204" i="8"/>
  <c r="E204" i="8"/>
  <c r="O203" i="8"/>
  <c r="J203" i="8"/>
  <c r="F203" i="8"/>
  <c r="E203" i="8"/>
  <c r="O202" i="8"/>
  <c r="J202" i="8"/>
  <c r="F202" i="8"/>
  <c r="E202" i="8"/>
  <c r="O201" i="8"/>
  <c r="J201" i="8"/>
  <c r="F201" i="8"/>
  <c r="E201" i="8"/>
  <c r="O200" i="8"/>
  <c r="J200" i="8"/>
  <c r="F200" i="8"/>
  <c r="E200" i="8"/>
  <c r="O199" i="8"/>
  <c r="J199" i="8"/>
  <c r="F199" i="8"/>
  <c r="E199" i="8"/>
  <c r="O198" i="8"/>
  <c r="J198" i="8"/>
  <c r="F198" i="8"/>
  <c r="E198" i="8"/>
  <c r="O197" i="8"/>
  <c r="J197" i="8"/>
  <c r="F197" i="8"/>
  <c r="E197" i="8"/>
  <c r="O196" i="8"/>
  <c r="J196" i="8"/>
  <c r="F196" i="8"/>
  <c r="E196" i="8"/>
  <c r="O195" i="8"/>
  <c r="J195" i="8"/>
  <c r="F195" i="8"/>
  <c r="E195" i="8"/>
  <c r="O194" i="8"/>
  <c r="J194" i="8"/>
  <c r="F194" i="8"/>
  <c r="E194" i="8"/>
  <c r="O193" i="8"/>
  <c r="J193" i="8"/>
  <c r="F193" i="8"/>
  <c r="E193" i="8"/>
  <c r="O192" i="8"/>
  <c r="J192" i="8"/>
  <c r="F192" i="8"/>
  <c r="E192" i="8"/>
  <c r="O191" i="8"/>
  <c r="J191" i="8"/>
  <c r="F191" i="8"/>
  <c r="E191" i="8"/>
  <c r="O190" i="8"/>
  <c r="J190" i="8"/>
  <c r="F190" i="8"/>
  <c r="E190" i="8"/>
  <c r="O189" i="8"/>
  <c r="J189" i="8"/>
  <c r="F189" i="8"/>
  <c r="E189" i="8"/>
  <c r="O188" i="8"/>
  <c r="J188" i="8"/>
  <c r="F188" i="8"/>
  <c r="E188" i="8"/>
  <c r="O187" i="8"/>
  <c r="J187" i="8"/>
  <c r="F187" i="8"/>
  <c r="E187" i="8"/>
  <c r="O186" i="8"/>
  <c r="J186" i="8"/>
  <c r="F186" i="8"/>
  <c r="E186" i="8"/>
  <c r="O185" i="8"/>
  <c r="J185" i="8"/>
  <c r="F185" i="8"/>
  <c r="E185" i="8"/>
  <c r="O184" i="8"/>
  <c r="J184" i="8"/>
  <c r="F184" i="8"/>
  <c r="E184" i="8"/>
  <c r="O183" i="8"/>
  <c r="J183" i="8"/>
  <c r="F183" i="8"/>
  <c r="E183" i="8"/>
  <c r="O182" i="8"/>
  <c r="J182" i="8"/>
  <c r="F182" i="8"/>
  <c r="E182" i="8"/>
  <c r="O181" i="8"/>
  <c r="J181" i="8"/>
  <c r="F181" i="8"/>
  <c r="E181" i="8"/>
  <c r="O180" i="8"/>
  <c r="J180" i="8"/>
  <c r="F180" i="8"/>
  <c r="E180" i="8"/>
  <c r="O179" i="8"/>
  <c r="J179" i="8"/>
  <c r="F179" i="8"/>
  <c r="E179" i="8"/>
  <c r="O178" i="8"/>
  <c r="J178" i="8"/>
  <c r="F178" i="8"/>
  <c r="E178" i="8"/>
  <c r="O177" i="8"/>
  <c r="J177" i="8"/>
  <c r="F177" i="8"/>
  <c r="E177" i="8"/>
  <c r="O176" i="8"/>
  <c r="J176" i="8"/>
  <c r="F176" i="8"/>
  <c r="E176" i="8"/>
  <c r="O175" i="8"/>
  <c r="J175" i="8"/>
  <c r="F175" i="8"/>
  <c r="E175" i="8"/>
  <c r="O174" i="8"/>
  <c r="J174" i="8"/>
  <c r="F174" i="8"/>
  <c r="E174" i="8"/>
  <c r="O173" i="8"/>
  <c r="J173" i="8"/>
  <c r="F173" i="8"/>
  <c r="E173" i="8"/>
  <c r="O172" i="8"/>
  <c r="J172" i="8"/>
  <c r="F172" i="8"/>
  <c r="E172" i="8"/>
  <c r="O171" i="8"/>
  <c r="J171" i="8"/>
  <c r="F171" i="8"/>
  <c r="E171" i="8"/>
  <c r="O170" i="8"/>
  <c r="J170" i="8"/>
  <c r="F170" i="8"/>
  <c r="E170" i="8"/>
  <c r="O169" i="8"/>
  <c r="J169" i="8"/>
  <c r="F169" i="8"/>
  <c r="E169" i="8"/>
  <c r="O168" i="8"/>
  <c r="J168" i="8"/>
  <c r="F168" i="8"/>
  <c r="E168" i="8"/>
  <c r="O167" i="8"/>
  <c r="J167" i="8"/>
  <c r="F167" i="8"/>
  <c r="E167" i="8"/>
  <c r="O166" i="8"/>
  <c r="J166" i="8"/>
  <c r="F166" i="8"/>
  <c r="E166" i="8"/>
  <c r="O165" i="8"/>
  <c r="J165" i="8"/>
  <c r="F165" i="8"/>
  <c r="E165" i="8"/>
  <c r="O164" i="8"/>
  <c r="J164" i="8"/>
  <c r="F164" i="8"/>
  <c r="E164" i="8"/>
  <c r="O163" i="8"/>
  <c r="J163" i="8"/>
  <c r="F163" i="8"/>
  <c r="E163" i="8"/>
  <c r="O162" i="8"/>
  <c r="J162" i="8"/>
  <c r="F162" i="8"/>
  <c r="E162" i="8"/>
  <c r="O161" i="8"/>
  <c r="J161" i="8"/>
  <c r="F161" i="8"/>
  <c r="E161" i="8"/>
  <c r="O160" i="8"/>
  <c r="J160" i="8"/>
  <c r="F160" i="8"/>
  <c r="E160" i="8"/>
  <c r="O159" i="8"/>
  <c r="J159" i="8"/>
  <c r="F159" i="8"/>
  <c r="E159" i="8"/>
  <c r="O158" i="8"/>
  <c r="J158" i="8"/>
  <c r="F158" i="8"/>
  <c r="E158" i="8"/>
  <c r="O157" i="8"/>
  <c r="J157" i="8"/>
  <c r="F157" i="8"/>
  <c r="E157" i="8"/>
  <c r="O156" i="8"/>
  <c r="J156" i="8"/>
  <c r="F156" i="8"/>
  <c r="E156" i="8"/>
  <c r="O155" i="8"/>
  <c r="J155" i="8"/>
  <c r="F155" i="8"/>
  <c r="E155" i="8"/>
  <c r="O154" i="8"/>
  <c r="J154" i="8"/>
  <c r="F154" i="8"/>
  <c r="E154" i="8"/>
  <c r="O153" i="8"/>
  <c r="J153" i="8"/>
  <c r="F153" i="8"/>
  <c r="E153" i="8"/>
  <c r="O152" i="8"/>
  <c r="J152" i="8"/>
  <c r="F152" i="8"/>
  <c r="E152" i="8"/>
  <c r="O151" i="8"/>
  <c r="J151" i="8"/>
  <c r="F151" i="8"/>
  <c r="E151" i="8"/>
  <c r="O150" i="8"/>
  <c r="J150" i="8"/>
  <c r="F150" i="8"/>
  <c r="E150" i="8"/>
  <c r="O149" i="8"/>
  <c r="J149" i="8"/>
  <c r="F149" i="8"/>
  <c r="E149" i="8"/>
  <c r="O148" i="8"/>
  <c r="J148" i="8"/>
  <c r="F148" i="8"/>
  <c r="E148" i="8"/>
  <c r="O147" i="8"/>
  <c r="J147" i="8"/>
  <c r="F147" i="8"/>
  <c r="E147" i="8"/>
  <c r="O146" i="8"/>
  <c r="J146" i="8"/>
  <c r="F146" i="8"/>
  <c r="E146" i="8"/>
  <c r="O145" i="8"/>
  <c r="J145" i="8"/>
  <c r="F145" i="8"/>
  <c r="E145" i="8"/>
  <c r="O144" i="8"/>
  <c r="J144" i="8"/>
  <c r="F144" i="8"/>
  <c r="E144" i="8"/>
  <c r="O143" i="8"/>
  <c r="J143" i="8"/>
  <c r="F143" i="8"/>
  <c r="E143" i="8"/>
  <c r="O142" i="8"/>
  <c r="J142" i="8"/>
  <c r="F142" i="8"/>
  <c r="E142" i="8"/>
  <c r="O141" i="8"/>
  <c r="J141" i="8"/>
  <c r="F141" i="8"/>
  <c r="E141" i="8"/>
  <c r="O140" i="8"/>
  <c r="J140" i="8"/>
  <c r="F140" i="8"/>
  <c r="E140" i="8"/>
  <c r="O139" i="8"/>
  <c r="J139" i="8"/>
  <c r="F139" i="8"/>
  <c r="E139" i="8"/>
  <c r="O138" i="8"/>
  <c r="J138" i="8"/>
  <c r="F138" i="8"/>
  <c r="E138" i="8"/>
  <c r="O137" i="8"/>
  <c r="J137" i="8"/>
  <c r="F137" i="8"/>
  <c r="E137" i="8"/>
  <c r="O136" i="8"/>
  <c r="J136" i="8"/>
  <c r="F136" i="8"/>
  <c r="E136" i="8"/>
  <c r="O135" i="8"/>
  <c r="J135" i="8"/>
  <c r="F135" i="8"/>
  <c r="E135" i="8"/>
  <c r="O134" i="8"/>
  <c r="J134" i="8"/>
  <c r="F134" i="8"/>
  <c r="E134" i="8"/>
  <c r="O133" i="8"/>
  <c r="J133" i="8"/>
  <c r="F133" i="8"/>
  <c r="E133" i="8"/>
  <c r="O132" i="8"/>
  <c r="J132" i="8"/>
  <c r="F132" i="8"/>
  <c r="E132" i="8"/>
  <c r="O131" i="8"/>
  <c r="J131" i="8"/>
  <c r="F131" i="8"/>
  <c r="E131" i="8"/>
  <c r="O130" i="8"/>
  <c r="J130" i="8"/>
  <c r="F130" i="8"/>
  <c r="E130" i="8"/>
  <c r="O129" i="8"/>
  <c r="J129" i="8"/>
  <c r="F129" i="8"/>
  <c r="E129" i="8"/>
  <c r="O128" i="8"/>
  <c r="J128" i="8"/>
  <c r="F128" i="8"/>
  <c r="E128" i="8"/>
  <c r="O127" i="8"/>
  <c r="J127" i="8"/>
  <c r="F127" i="8"/>
  <c r="E127" i="8"/>
  <c r="O126" i="8"/>
  <c r="J126" i="8"/>
  <c r="F126" i="8"/>
  <c r="E126" i="8"/>
  <c r="O125" i="8"/>
  <c r="J125" i="8"/>
  <c r="F125" i="8"/>
  <c r="E125" i="8"/>
  <c r="O124" i="8"/>
  <c r="J124" i="8"/>
  <c r="F124" i="8"/>
  <c r="E124" i="8"/>
  <c r="O123" i="8"/>
  <c r="J123" i="8"/>
  <c r="F123" i="8"/>
  <c r="E123" i="8"/>
  <c r="O122" i="8"/>
  <c r="J122" i="8"/>
  <c r="F122" i="8"/>
  <c r="E122" i="8"/>
  <c r="O121" i="8"/>
  <c r="J121" i="8"/>
  <c r="F121" i="8"/>
  <c r="E121" i="8"/>
  <c r="O120" i="8"/>
  <c r="J120" i="8"/>
  <c r="F120" i="8"/>
  <c r="E120" i="8"/>
  <c r="O119" i="8"/>
  <c r="J119" i="8"/>
  <c r="F119" i="8"/>
  <c r="E119" i="8"/>
  <c r="O118" i="8"/>
  <c r="J118" i="8"/>
  <c r="F118" i="8"/>
  <c r="E118" i="8"/>
  <c r="O117" i="8"/>
  <c r="J117" i="8"/>
  <c r="F117" i="8"/>
  <c r="E117" i="8"/>
  <c r="O116" i="8"/>
  <c r="J116" i="8"/>
  <c r="F116" i="8"/>
  <c r="E116" i="8"/>
  <c r="O115" i="8"/>
  <c r="J115" i="8"/>
  <c r="F115" i="8"/>
  <c r="E115" i="8"/>
  <c r="O114" i="8"/>
  <c r="J114" i="8"/>
  <c r="F114" i="8"/>
  <c r="E114" i="8"/>
  <c r="O113" i="8"/>
  <c r="J113" i="8"/>
  <c r="F113" i="8"/>
  <c r="E113" i="8"/>
  <c r="O112" i="8"/>
  <c r="J112" i="8"/>
  <c r="F112" i="8"/>
  <c r="E112" i="8"/>
  <c r="O111" i="8"/>
  <c r="J111" i="8"/>
  <c r="F111" i="8"/>
  <c r="E111" i="8"/>
  <c r="O110" i="8"/>
  <c r="J110" i="8"/>
  <c r="F110" i="8"/>
  <c r="E110" i="8"/>
  <c r="O109" i="8"/>
  <c r="J109" i="8"/>
  <c r="F109" i="8"/>
  <c r="E109" i="8"/>
  <c r="O108" i="8"/>
  <c r="J108" i="8"/>
  <c r="F108" i="8"/>
  <c r="E108" i="8"/>
  <c r="O107" i="8"/>
  <c r="J107" i="8"/>
  <c r="F107" i="8"/>
  <c r="E107" i="8"/>
  <c r="O106" i="8"/>
  <c r="J106" i="8"/>
  <c r="F106" i="8"/>
  <c r="E106" i="8"/>
  <c r="O105" i="8"/>
  <c r="J105" i="8"/>
  <c r="F105" i="8"/>
  <c r="E105" i="8"/>
  <c r="O104" i="8"/>
  <c r="J104" i="8"/>
  <c r="F104" i="8"/>
  <c r="E104" i="8"/>
  <c r="O103" i="8"/>
  <c r="J103" i="8"/>
  <c r="F103" i="8"/>
  <c r="E103" i="8"/>
  <c r="O102" i="8"/>
  <c r="J102" i="8"/>
  <c r="F102" i="8"/>
  <c r="E102" i="8"/>
  <c r="O101" i="8"/>
  <c r="J101" i="8"/>
  <c r="F101" i="8"/>
  <c r="E101" i="8"/>
  <c r="O100" i="8"/>
  <c r="J100" i="8"/>
  <c r="F100" i="8"/>
  <c r="E100" i="8"/>
  <c r="O99" i="8"/>
  <c r="J99" i="8"/>
  <c r="F99" i="8"/>
  <c r="E99" i="8"/>
  <c r="O98" i="8"/>
  <c r="J98" i="8"/>
  <c r="F98" i="8"/>
  <c r="E98" i="8"/>
  <c r="O97" i="8"/>
  <c r="J97" i="8"/>
  <c r="F97" i="8"/>
  <c r="E97" i="8"/>
  <c r="O96" i="8"/>
  <c r="J96" i="8"/>
  <c r="F96" i="8"/>
  <c r="E96" i="8"/>
  <c r="O95" i="8"/>
  <c r="J95" i="8"/>
  <c r="F95" i="8"/>
  <c r="E95" i="8"/>
  <c r="O94" i="8"/>
  <c r="J94" i="8"/>
  <c r="F94" i="8"/>
  <c r="E94" i="8"/>
  <c r="O93" i="8"/>
  <c r="J93" i="8"/>
  <c r="F93" i="8"/>
  <c r="E93" i="8"/>
  <c r="O92" i="8"/>
  <c r="J92" i="8"/>
  <c r="F92" i="8"/>
  <c r="E92" i="8"/>
  <c r="O91" i="8"/>
  <c r="J91" i="8"/>
  <c r="F91" i="8"/>
  <c r="E91" i="8"/>
  <c r="O90" i="8"/>
  <c r="J90" i="8"/>
  <c r="F90" i="8"/>
  <c r="E90" i="8"/>
  <c r="O89" i="8"/>
  <c r="J89" i="8"/>
  <c r="F89" i="8"/>
  <c r="E89" i="8"/>
  <c r="O88" i="8"/>
  <c r="J88" i="8"/>
  <c r="F88" i="8"/>
  <c r="E88" i="8"/>
  <c r="O87" i="8"/>
  <c r="J87" i="8"/>
  <c r="F87" i="8"/>
  <c r="E87" i="8"/>
  <c r="O86" i="8"/>
  <c r="J86" i="8"/>
  <c r="F86" i="8"/>
  <c r="E86" i="8"/>
  <c r="O85" i="8"/>
  <c r="J85" i="8"/>
  <c r="F85" i="8"/>
  <c r="E85" i="8"/>
  <c r="O84" i="8"/>
  <c r="J84" i="8"/>
  <c r="F84" i="8"/>
  <c r="E84" i="8"/>
  <c r="O83" i="8"/>
  <c r="J83" i="8"/>
  <c r="F83" i="8"/>
  <c r="E83" i="8"/>
  <c r="O82" i="8"/>
  <c r="J82" i="8"/>
  <c r="F82" i="8"/>
  <c r="E82" i="8"/>
  <c r="O81" i="8"/>
  <c r="J81" i="8"/>
  <c r="F81" i="8"/>
  <c r="E81" i="8"/>
  <c r="O80" i="8"/>
  <c r="J80" i="8"/>
  <c r="F80" i="8"/>
  <c r="E80" i="8"/>
  <c r="O79" i="8"/>
  <c r="J79" i="8"/>
  <c r="F79" i="8"/>
  <c r="E79" i="8"/>
  <c r="O78" i="8"/>
  <c r="J78" i="8"/>
  <c r="F78" i="8"/>
  <c r="E78" i="8"/>
  <c r="O77" i="8"/>
  <c r="J77" i="8"/>
  <c r="F77" i="8"/>
  <c r="E77" i="8"/>
  <c r="O76" i="8"/>
  <c r="J76" i="8"/>
  <c r="F76" i="8"/>
  <c r="E76" i="8"/>
  <c r="O75" i="8"/>
  <c r="J75" i="8"/>
  <c r="F75" i="8"/>
  <c r="E75" i="8"/>
  <c r="O74" i="8"/>
  <c r="J74" i="8"/>
  <c r="F74" i="8"/>
  <c r="E74" i="8"/>
  <c r="O73" i="8"/>
  <c r="J73" i="8"/>
  <c r="F73" i="8"/>
  <c r="E73" i="8"/>
  <c r="O72" i="8"/>
  <c r="J72" i="8"/>
  <c r="F72" i="8"/>
  <c r="E72" i="8"/>
  <c r="O71" i="8"/>
  <c r="J71" i="8"/>
  <c r="F71" i="8"/>
  <c r="E71" i="8"/>
  <c r="O70" i="8"/>
  <c r="J70" i="8"/>
  <c r="F70" i="8"/>
  <c r="E70" i="8"/>
  <c r="O69" i="8"/>
  <c r="J69" i="8"/>
  <c r="F69" i="8"/>
  <c r="E69" i="8"/>
  <c r="O68" i="8"/>
  <c r="J68" i="8"/>
  <c r="F68" i="8"/>
  <c r="E68" i="8"/>
  <c r="O67" i="8"/>
  <c r="J67" i="8"/>
  <c r="F67" i="8"/>
  <c r="E67" i="8"/>
  <c r="O66" i="8"/>
  <c r="J66" i="8"/>
  <c r="F66" i="8"/>
  <c r="E66" i="8"/>
  <c r="O65" i="8"/>
  <c r="J65" i="8"/>
  <c r="F65" i="8"/>
  <c r="E65" i="8"/>
  <c r="O64" i="8"/>
  <c r="J64" i="8"/>
  <c r="F64" i="8"/>
  <c r="E64" i="8"/>
  <c r="O63" i="8"/>
  <c r="J63" i="8"/>
  <c r="F63" i="8"/>
  <c r="E63" i="8"/>
  <c r="O62" i="8"/>
  <c r="J62" i="8"/>
  <c r="F62" i="8"/>
  <c r="E62" i="8"/>
  <c r="O61" i="8"/>
  <c r="J61" i="8"/>
  <c r="F61" i="8"/>
  <c r="E61" i="8"/>
  <c r="O60" i="8"/>
  <c r="J60" i="8"/>
  <c r="F60" i="8"/>
  <c r="E60" i="8"/>
  <c r="O59" i="8"/>
  <c r="J59" i="8"/>
  <c r="F59" i="8"/>
  <c r="E59" i="8"/>
  <c r="O58" i="8"/>
  <c r="J58" i="8"/>
  <c r="F58" i="8"/>
  <c r="E58" i="8"/>
  <c r="O57" i="8"/>
  <c r="J57" i="8"/>
  <c r="F57" i="8"/>
  <c r="E57" i="8"/>
  <c r="O56" i="8"/>
  <c r="J56" i="8"/>
  <c r="F56" i="8"/>
  <c r="E56" i="8"/>
  <c r="O55" i="8"/>
  <c r="J55" i="8"/>
  <c r="F55" i="8"/>
  <c r="E55" i="8"/>
  <c r="O54" i="8"/>
  <c r="J54" i="8"/>
  <c r="F54" i="8"/>
  <c r="E54" i="8"/>
  <c r="O53" i="8"/>
  <c r="J53" i="8"/>
  <c r="F53" i="8"/>
  <c r="E53" i="8"/>
  <c r="O52" i="8"/>
  <c r="J52" i="8"/>
  <c r="F52" i="8"/>
  <c r="E52" i="8"/>
  <c r="O51" i="8"/>
  <c r="J51" i="8"/>
  <c r="F51" i="8"/>
  <c r="E51" i="8"/>
  <c r="O50" i="8"/>
  <c r="J50" i="8"/>
  <c r="F50" i="8"/>
  <c r="E50" i="8"/>
  <c r="O49" i="8"/>
  <c r="J49" i="8"/>
  <c r="F49" i="8"/>
  <c r="E49" i="8"/>
  <c r="O48" i="8"/>
  <c r="J48" i="8"/>
  <c r="F48" i="8"/>
  <c r="E48" i="8"/>
  <c r="O47" i="8"/>
  <c r="J47" i="8"/>
  <c r="F47" i="8"/>
  <c r="E47" i="8"/>
  <c r="O46" i="8"/>
  <c r="J46" i="8"/>
  <c r="F46" i="8"/>
  <c r="E46" i="8"/>
  <c r="O45" i="8"/>
  <c r="J45" i="8"/>
  <c r="F45" i="8"/>
  <c r="E45" i="8"/>
  <c r="O44" i="8"/>
  <c r="J44" i="8"/>
  <c r="F44" i="8"/>
  <c r="E44" i="8"/>
  <c r="O43" i="8"/>
  <c r="J43" i="8"/>
  <c r="F43" i="8"/>
  <c r="E43" i="8"/>
  <c r="O42" i="8"/>
  <c r="J42" i="8"/>
  <c r="F42" i="8"/>
  <c r="E42" i="8"/>
  <c r="O41" i="8"/>
  <c r="J41" i="8"/>
  <c r="F41" i="8"/>
  <c r="E41" i="8"/>
  <c r="O40" i="8"/>
  <c r="J40" i="8"/>
  <c r="F40" i="8"/>
  <c r="E40" i="8"/>
  <c r="O39" i="8"/>
  <c r="J39" i="8"/>
  <c r="F39" i="8"/>
  <c r="E39" i="8"/>
  <c r="O38" i="8"/>
  <c r="J38" i="8"/>
  <c r="F38" i="8"/>
  <c r="E38" i="8"/>
  <c r="O37" i="8"/>
  <c r="J37" i="8"/>
  <c r="F37" i="8"/>
  <c r="E37" i="8"/>
  <c r="O36" i="8"/>
  <c r="J36" i="8"/>
  <c r="F36" i="8"/>
  <c r="E36" i="8"/>
  <c r="O35" i="8"/>
  <c r="J35" i="8"/>
  <c r="F35" i="8"/>
  <c r="E35" i="8"/>
  <c r="O34" i="8"/>
  <c r="J34" i="8"/>
  <c r="F34" i="8"/>
  <c r="E34" i="8"/>
  <c r="O33" i="8"/>
  <c r="J33" i="8"/>
  <c r="F33" i="8"/>
  <c r="E33" i="8"/>
  <c r="O32" i="8"/>
  <c r="J32" i="8"/>
  <c r="F32" i="8"/>
  <c r="E32" i="8"/>
  <c r="O31" i="8"/>
  <c r="J31" i="8"/>
  <c r="F31" i="8"/>
  <c r="E31" i="8"/>
  <c r="O30" i="8"/>
  <c r="J30" i="8"/>
  <c r="F30" i="8"/>
  <c r="E30" i="8"/>
  <c r="O29" i="8"/>
  <c r="J29" i="8"/>
  <c r="F29" i="8"/>
  <c r="E29" i="8"/>
  <c r="O28" i="8"/>
  <c r="J28" i="8"/>
  <c r="F28" i="8"/>
  <c r="E28" i="8"/>
  <c r="O27" i="8"/>
  <c r="J27" i="8"/>
  <c r="F27" i="8"/>
  <c r="E27" i="8"/>
  <c r="O26" i="8"/>
  <c r="J26" i="8"/>
  <c r="F26" i="8"/>
  <c r="E26" i="8"/>
  <c r="O25" i="8"/>
  <c r="J25" i="8"/>
  <c r="F25" i="8"/>
  <c r="E25" i="8"/>
  <c r="O24" i="8"/>
  <c r="J24" i="8"/>
  <c r="F24" i="8"/>
  <c r="E24" i="8"/>
  <c r="O23" i="8"/>
  <c r="J23" i="8"/>
  <c r="F23" i="8"/>
  <c r="E23" i="8"/>
  <c r="O22" i="8"/>
  <c r="J22" i="8"/>
  <c r="F22" i="8"/>
  <c r="E22" i="8"/>
  <c r="O21" i="8"/>
  <c r="J21" i="8"/>
  <c r="F21" i="8"/>
  <c r="E21" i="8"/>
  <c r="O20" i="8"/>
  <c r="J20" i="8"/>
  <c r="F20" i="8"/>
  <c r="E20" i="8"/>
  <c r="O19" i="8"/>
  <c r="J19" i="8"/>
  <c r="F19" i="8"/>
  <c r="E19" i="8"/>
  <c r="O18" i="8"/>
  <c r="J18" i="8"/>
  <c r="F18" i="8"/>
  <c r="E18" i="8"/>
  <c r="O17" i="8"/>
  <c r="J17" i="8"/>
  <c r="F17" i="8"/>
  <c r="E17" i="8"/>
  <c r="O16" i="8"/>
  <c r="J16" i="8"/>
  <c r="F16" i="8"/>
  <c r="E16" i="8"/>
  <c r="O15" i="8"/>
  <c r="J15" i="8"/>
  <c r="F15" i="8"/>
  <c r="E15" i="8"/>
  <c r="O14" i="8"/>
  <c r="J14" i="8"/>
  <c r="F14" i="8"/>
  <c r="E14" i="8"/>
  <c r="O13" i="8"/>
  <c r="J13" i="8"/>
  <c r="F13" i="8"/>
  <c r="E13" i="8"/>
  <c r="O12" i="8"/>
  <c r="J12" i="8"/>
  <c r="F12" i="8"/>
  <c r="E12" i="8"/>
  <c r="O11" i="8"/>
  <c r="J11" i="8"/>
  <c r="F11" i="8"/>
  <c r="E11" i="8"/>
  <c r="O10" i="8"/>
  <c r="J10" i="8"/>
  <c r="F10" i="8"/>
  <c r="E10" i="8"/>
  <c r="O9" i="8"/>
  <c r="J9" i="8"/>
  <c r="F9" i="8"/>
  <c r="E9" i="8"/>
  <c r="B457" i="7"/>
  <c r="B452" i="7"/>
  <c r="B451" i="7"/>
  <c r="B450" i="7"/>
  <c r="B449" i="7"/>
  <c r="B445" i="7"/>
  <c r="B444" i="7"/>
  <c r="B443" i="7"/>
  <c r="U439" i="7"/>
  <c r="K439" i="7"/>
  <c r="H439" i="7"/>
  <c r="G439" i="7"/>
  <c r="F439" i="7"/>
  <c r="U438" i="7"/>
  <c r="K438" i="7"/>
  <c r="H438" i="7"/>
  <c r="G438" i="7"/>
  <c r="F438" i="7"/>
  <c r="U437" i="7"/>
  <c r="K437" i="7"/>
  <c r="H437" i="7"/>
  <c r="G437" i="7"/>
  <c r="F437" i="7"/>
  <c r="U436" i="7"/>
  <c r="K436" i="7"/>
  <c r="H436" i="7"/>
  <c r="G436" i="7"/>
  <c r="F436" i="7"/>
  <c r="U435" i="7"/>
  <c r="K435" i="7"/>
  <c r="H435" i="7"/>
  <c r="G435" i="7"/>
  <c r="F435" i="7"/>
  <c r="U434" i="7"/>
  <c r="K434" i="7"/>
  <c r="H434" i="7"/>
  <c r="G434" i="7"/>
  <c r="F434" i="7"/>
  <c r="U433" i="7"/>
  <c r="K433" i="7"/>
  <c r="H433" i="7"/>
  <c r="G433" i="7"/>
  <c r="F433" i="7"/>
  <c r="U432" i="7"/>
  <c r="K432" i="7"/>
  <c r="H432" i="7"/>
  <c r="G432" i="7"/>
  <c r="F432" i="7"/>
  <c r="U431" i="7"/>
  <c r="K431" i="7"/>
  <c r="H431" i="7"/>
  <c r="G431" i="7"/>
  <c r="F431" i="7"/>
  <c r="U430" i="7"/>
  <c r="K430" i="7"/>
  <c r="H430" i="7"/>
  <c r="G430" i="7"/>
  <c r="F430" i="7"/>
  <c r="U429" i="7"/>
  <c r="K429" i="7"/>
  <c r="H429" i="7"/>
  <c r="G429" i="7"/>
  <c r="F429" i="7"/>
  <c r="U428" i="7"/>
  <c r="K428" i="7"/>
  <c r="H428" i="7"/>
  <c r="G428" i="7"/>
  <c r="F428" i="7"/>
  <c r="U427" i="7"/>
  <c r="K427" i="7"/>
  <c r="H427" i="7"/>
  <c r="G427" i="7"/>
  <c r="F427" i="7"/>
  <c r="U426" i="7"/>
  <c r="K426" i="7"/>
  <c r="H426" i="7"/>
  <c r="G426" i="7"/>
  <c r="F426" i="7"/>
  <c r="U425" i="7"/>
  <c r="K425" i="7"/>
  <c r="H425" i="7"/>
  <c r="G425" i="7"/>
  <c r="F425" i="7"/>
  <c r="U424" i="7"/>
  <c r="K424" i="7"/>
  <c r="H424" i="7"/>
  <c r="G424" i="7"/>
  <c r="F424" i="7"/>
  <c r="U423" i="7"/>
  <c r="K423" i="7"/>
  <c r="H423" i="7"/>
  <c r="G423" i="7"/>
  <c r="F423" i="7"/>
  <c r="U422" i="7"/>
  <c r="K422" i="7"/>
  <c r="H422" i="7"/>
  <c r="G422" i="7"/>
  <c r="F422" i="7"/>
  <c r="U421" i="7"/>
  <c r="K421" i="7"/>
  <c r="H421" i="7"/>
  <c r="G421" i="7"/>
  <c r="F421" i="7"/>
  <c r="U420" i="7"/>
  <c r="K420" i="7"/>
  <c r="H420" i="7"/>
  <c r="G420" i="7"/>
  <c r="F420" i="7"/>
  <c r="U419" i="7"/>
  <c r="K419" i="7"/>
  <c r="H419" i="7"/>
  <c r="G419" i="7"/>
  <c r="F419" i="7"/>
  <c r="U418" i="7"/>
  <c r="K418" i="7"/>
  <c r="H418" i="7"/>
  <c r="G418" i="7"/>
  <c r="F418" i="7"/>
  <c r="U417" i="7"/>
  <c r="K417" i="7"/>
  <c r="H417" i="7"/>
  <c r="G417" i="7"/>
  <c r="F417" i="7"/>
  <c r="U416" i="7"/>
  <c r="K416" i="7"/>
  <c r="H416" i="7"/>
  <c r="G416" i="7"/>
  <c r="F416" i="7"/>
  <c r="U415" i="7"/>
  <c r="K415" i="7"/>
  <c r="H415" i="7"/>
  <c r="G415" i="7"/>
  <c r="F415" i="7"/>
  <c r="U414" i="7"/>
  <c r="K414" i="7"/>
  <c r="H414" i="7"/>
  <c r="G414" i="7"/>
  <c r="F414" i="7"/>
  <c r="U413" i="7"/>
  <c r="K413" i="7"/>
  <c r="H413" i="7"/>
  <c r="G413" i="7"/>
  <c r="F413" i="7"/>
  <c r="U412" i="7"/>
  <c r="K412" i="7"/>
  <c r="H412" i="7"/>
  <c r="G412" i="7"/>
  <c r="F412" i="7"/>
  <c r="U411" i="7"/>
  <c r="K411" i="7"/>
  <c r="H411" i="7"/>
  <c r="G411" i="7"/>
  <c r="F411" i="7"/>
  <c r="U410" i="7"/>
  <c r="K410" i="7"/>
  <c r="H410" i="7"/>
  <c r="G410" i="7"/>
  <c r="F410" i="7"/>
  <c r="U409" i="7"/>
  <c r="K409" i="7"/>
  <c r="H409" i="7"/>
  <c r="G409" i="7"/>
  <c r="F409" i="7"/>
  <c r="U408" i="7"/>
  <c r="K408" i="7"/>
  <c r="H408" i="7"/>
  <c r="G408" i="7"/>
  <c r="F408" i="7"/>
  <c r="U407" i="7"/>
  <c r="K407" i="7"/>
  <c r="H407" i="7"/>
  <c r="G407" i="7"/>
  <c r="F407" i="7"/>
  <c r="U406" i="7"/>
  <c r="K406" i="7"/>
  <c r="H406" i="7"/>
  <c r="G406" i="7"/>
  <c r="F406" i="7"/>
  <c r="U405" i="7"/>
  <c r="K405" i="7"/>
  <c r="H405" i="7"/>
  <c r="G405" i="7"/>
  <c r="F405" i="7"/>
  <c r="U404" i="7"/>
  <c r="K404" i="7"/>
  <c r="H404" i="7"/>
  <c r="G404" i="7"/>
  <c r="F404" i="7"/>
  <c r="U403" i="7"/>
  <c r="K403" i="7"/>
  <c r="H403" i="7"/>
  <c r="G403" i="7"/>
  <c r="F403" i="7"/>
  <c r="U402" i="7"/>
  <c r="K402" i="7"/>
  <c r="H402" i="7"/>
  <c r="G402" i="7"/>
  <c r="F402" i="7"/>
  <c r="U401" i="7"/>
  <c r="K401" i="7"/>
  <c r="H401" i="7"/>
  <c r="G401" i="7"/>
  <c r="F401" i="7"/>
  <c r="U400" i="7"/>
  <c r="K400" i="7"/>
  <c r="H400" i="7"/>
  <c r="G400" i="7"/>
  <c r="F400" i="7"/>
  <c r="U399" i="7"/>
  <c r="K399" i="7"/>
  <c r="H399" i="7"/>
  <c r="G399" i="7"/>
  <c r="F399" i="7"/>
  <c r="U398" i="7"/>
  <c r="K398" i="7"/>
  <c r="H398" i="7"/>
  <c r="G398" i="7"/>
  <c r="F398" i="7"/>
  <c r="U397" i="7"/>
  <c r="K397" i="7"/>
  <c r="H397" i="7"/>
  <c r="G397" i="7"/>
  <c r="F397" i="7"/>
  <c r="U396" i="7"/>
  <c r="K396" i="7"/>
  <c r="H396" i="7"/>
  <c r="G396" i="7"/>
  <c r="F396" i="7"/>
  <c r="U395" i="7"/>
  <c r="K395" i="7"/>
  <c r="H395" i="7"/>
  <c r="G395" i="7"/>
  <c r="F395" i="7"/>
  <c r="U394" i="7"/>
  <c r="K394" i="7"/>
  <c r="H394" i="7"/>
  <c r="G394" i="7"/>
  <c r="F394" i="7"/>
  <c r="U393" i="7"/>
  <c r="K393" i="7"/>
  <c r="H393" i="7"/>
  <c r="G393" i="7"/>
  <c r="F393" i="7"/>
  <c r="U392" i="7"/>
  <c r="K392" i="7"/>
  <c r="H392" i="7"/>
  <c r="G392" i="7"/>
  <c r="F392" i="7"/>
  <c r="U391" i="7"/>
  <c r="K391" i="7"/>
  <c r="H391" i="7"/>
  <c r="G391" i="7"/>
  <c r="F391" i="7"/>
  <c r="U390" i="7"/>
  <c r="K390" i="7"/>
  <c r="H390" i="7"/>
  <c r="G390" i="7"/>
  <c r="F390" i="7"/>
  <c r="U389" i="7"/>
  <c r="K389" i="7"/>
  <c r="H389" i="7"/>
  <c r="G389" i="7"/>
  <c r="F389" i="7"/>
  <c r="U388" i="7"/>
  <c r="K388" i="7"/>
  <c r="H388" i="7"/>
  <c r="G388" i="7"/>
  <c r="F388" i="7"/>
  <c r="U387" i="7"/>
  <c r="K387" i="7"/>
  <c r="H387" i="7"/>
  <c r="G387" i="7"/>
  <c r="F387" i="7"/>
  <c r="U386" i="7"/>
  <c r="K386" i="7"/>
  <c r="H386" i="7"/>
  <c r="G386" i="7"/>
  <c r="F386" i="7"/>
  <c r="U385" i="7"/>
  <c r="K385" i="7"/>
  <c r="H385" i="7"/>
  <c r="G385" i="7"/>
  <c r="F385" i="7"/>
  <c r="U384" i="7"/>
  <c r="K384" i="7"/>
  <c r="H384" i="7"/>
  <c r="G384" i="7"/>
  <c r="F384" i="7"/>
  <c r="U383" i="7"/>
  <c r="K383" i="7"/>
  <c r="H383" i="7"/>
  <c r="G383" i="7"/>
  <c r="F383" i="7"/>
  <c r="U382" i="7"/>
  <c r="K382" i="7"/>
  <c r="H382" i="7"/>
  <c r="G382" i="7"/>
  <c r="F382" i="7"/>
  <c r="U381" i="7"/>
  <c r="K381" i="7"/>
  <c r="H381" i="7"/>
  <c r="G381" i="7"/>
  <c r="F381" i="7"/>
  <c r="U380" i="7"/>
  <c r="K380" i="7"/>
  <c r="H380" i="7"/>
  <c r="G380" i="7"/>
  <c r="F380" i="7"/>
  <c r="U379" i="7"/>
  <c r="K379" i="7"/>
  <c r="H379" i="7"/>
  <c r="G379" i="7"/>
  <c r="F379" i="7"/>
  <c r="U378" i="7"/>
  <c r="K378" i="7"/>
  <c r="H378" i="7"/>
  <c r="G378" i="7"/>
  <c r="F378" i="7"/>
  <c r="U377" i="7"/>
  <c r="K377" i="7"/>
  <c r="H377" i="7"/>
  <c r="G377" i="7"/>
  <c r="F377" i="7"/>
  <c r="U376" i="7"/>
  <c r="K376" i="7"/>
  <c r="H376" i="7"/>
  <c r="G376" i="7"/>
  <c r="F376" i="7"/>
  <c r="U375" i="7"/>
  <c r="K375" i="7"/>
  <c r="H375" i="7"/>
  <c r="G375" i="7"/>
  <c r="F375" i="7"/>
  <c r="U374" i="7"/>
  <c r="K374" i="7"/>
  <c r="H374" i="7"/>
  <c r="G374" i="7"/>
  <c r="F374" i="7"/>
  <c r="U373" i="7"/>
  <c r="K373" i="7"/>
  <c r="H373" i="7"/>
  <c r="G373" i="7"/>
  <c r="F373" i="7"/>
  <c r="U372" i="7"/>
  <c r="K372" i="7"/>
  <c r="H372" i="7"/>
  <c r="G372" i="7"/>
  <c r="F372" i="7"/>
  <c r="U371" i="7"/>
  <c r="K371" i="7"/>
  <c r="H371" i="7"/>
  <c r="G371" i="7"/>
  <c r="F371" i="7"/>
  <c r="U370" i="7"/>
  <c r="K370" i="7"/>
  <c r="H370" i="7"/>
  <c r="G370" i="7"/>
  <c r="F370" i="7"/>
  <c r="U369" i="7"/>
  <c r="K369" i="7"/>
  <c r="H369" i="7"/>
  <c r="G369" i="7"/>
  <c r="F369" i="7"/>
  <c r="U368" i="7"/>
  <c r="K368" i="7"/>
  <c r="H368" i="7"/>
  <c r="G368" i="7"/>
  <c r="F368" i="7"/>
  <c r="U367" i="7"/>
  <c r="K367" i="7"/>
  <c r="H367" i="7"/>
  <c r="G367" i="7"/>
  <c r="F367" i="7"/>
  <c r="U366" i="7"/>
  <c r="K366" i="7"/>
  <c r="H366" i="7"/>
  <c r="G366" i="7"/>
  <c r="F366" i="7"/>
  <c r="U365" i="7"/>
  <c r="K365" i="7"/>
  <c r="H365" i="7"/>
  <c r="G365" i="7"/>
  <c r="F365" i="7"/>
  <c r="U364" i="7"/>
  <c r="K364" i="7"/>
  <c r="H364" i="7"/>
  <c r="G364" i="7"/>
  <c r="F364" i="7"/>
  <c r="U363" i="7"/>
  <c r="K363" i="7"/>
  <c r="H363" i="7"/>
  <c r="G363" i="7"/>
  <c r="F363" i="7"/>
  <c r="U362" i="7"/>
  <c r="K362" i="7"/>
  <c r="H362" i="7"/>
  <c r="G362" i="7"/>
  <c r="F362" i="7"/>
  <c r="U361" i="7"/>
  <c r="K361" i="7"/>
  <c r="H361" i="7"/>
  <c r="G361" i="7"/>
  <c r="F361" i="7"/>
  <c r="U360" i="7"/>
  <c r="K360" i="7"/>
  <c r="H360" i="7"/>
  <c r="G360" i="7"/>
  <c r="F360" i="7"/>
  <c r="U359" i="7"/>
  <c r="K359" i="7"/>
  <c r="H359" i="7"/>
  <c r="G359" i="7"/>
  <c r="F359" i="7"/>
  <c r="U358" i="7"/>
  <c r="K358" i="7"/>
  <c r="H358" i="7"/>
  <c r="G358" i="7"/>
  <c r="F358" i="7"/>
  <c r="U357" i="7"/>
  <c r="K357" i="7"/>
  <c r="H357" i="7"/>
  <c r="G357" i="7"/>
  <c r="F357" i="7"/>
  <c r="U356" i="7"/>
  <c r="K356" i="7"/>
  <c r="H356" i="7"/>
  <c r="G356" i="7"/>
  <c r="F356" i="7"/>
  <c r="U355" i="7"/>
  <c r="K355" i="7"/>
  <c r="H355" i="7"/>
  <c r="G355" i="7"/>
  <c r="F355" i="7"/>
  <c r="U354" i="7"/>
  <c r="K354" i="7"/>
  <c r="H354" i="7"/>
  <c r="G354" i="7"/>
  <c r="F354" i="7"/>
  <c r="U353" i="7"/>
  <c r="K353" i="7"/>
  <c r="H353" i="7"/>
  <c r="G353" i="7"/>
  <c r="F353" i="7"/>
  <c r="U352" i="7"/>
  <c r="K352" i="7"/>
  <c r="H352" i="7"/>
  <c r="G352" i="7"/>
  <c r="F352" i="7"/>
  <c r="U351" i="7"/>
  <c r="K351" i="7"/>
  <c r="H351" i="7"/>
  <c r="G351" i="7"/>
  <c r="F351" i="7"/>
  <c r="U350" i="7"/>
  <c r="K350" i="7"/>
  <c r="H350" i="7"/>
  <c r="G350" i="7"/>
  <c r="F350" i="7"/>
  <c r="U349" i="7"/>
  <c r="K349" i="7"/>
  <c r="H349" i="7"/>
  <c r="G349" i="7"/>
  <c r="F349" i="7"/>
  <c r="U348" i="7"/>
  <c r="K348" i="7"/>
  <c r="H348" i="7"/>
  <c r="G348" i="7"/>
  <c r="F348" i="7"/>
  <c r="U347" i="7"/>
  <c r="K347" i="7"/>
  <c r="H347" i="7"/>
  <c r="G347" i="7"/>
  <c r="F347" i="7"/>
  <c r="U346" i="7"/>
  <c r="K346" i="7"/>
  <c r="H346" i="7"/>
  <c r="G346" i="7"/>
  <c r="F346" i="7"/>
  <c r="U345" i="7"/>
  <c r="K345" i="7"/>
  <c r="H345" i="7"/>
  <c r="G345" i="7"/>
  <c r="F345" i="7"/>
  <c r="U344" i="7"/>
  <c r="K344" i="7"/>
  <c r="H344" i="7"/>
  <c r="G344" i="7"/>
  <c r="F344" i="7"/>
  <c r="U343" i="7"/>
  <c r="K343" i="7"/>
  <c r="H343" i="7"/>
  <c r="G343" i="7"/>
  <c r="F343" i="7"/>
  <c r="U342" i="7"/>
  <c r="K342" i="7"/>
  <c r="H342" i="7"/>
  <c r="G342" i="7"/>
  <c r="F342" i="7"/>
  <c r="U341" i="7"/>
  <c r="K341" i="7"/>
  <c r="H341" i="7"/>
  <c r="G341" i="7"/>
  <c r="F341" i="7"/>
  <c r="U340" i="7"/>
  <c r="K340" i="7"/>
  <c r="H340" i="7"/>
  <c r="G340" i="7"/>
  <c r="F340" i="7"/>
  <c r="U339" i="7"/>
  <c r="K339" i="7"/>
  <c r="H339" i="7"/>
  <c r="G339" i="7"/>
  <c r="F339" i="7"/>
  <c r="U338" i="7"/>
  <c r="K338" i="7"/>
  <c r="H338" i="7"/>
  <c r="G338" i="7"/>
  <c r="F338" i="7"/>
  <c r="U337" i="7"/>
  <c r="K337" i="7"/>
  <c r="H337" i="7"/>
  <c r="G337" i="7"/>
  <c r="F337" i="7"/>
  <c r="U336" i="7"/>
  <c r="K336" i="7"/>
  <c r="H336" i="7"/>
  <c r="G336" i="7"/>
  <c r="F336" i="7"/>
  <c r="U335" i="7"/>
  <c r="K335" i="7"/>
  <c r="H335" i="7"/>
  <c r="G335" i="7"/>
  <c r="F335" i="7"/>
  <c r="U334" i="7"/>
  <c r="K334" i="7"/>
  <c r="H334" i="7"/>
  <c r="G334" i="7"/>
  <c r="F334" i="7"/>
  <c r="U333" i="7"/>
  <c r="K333" i="7"/>
  <c r="H333" i="7"/>
  <c r="G333" i="7"/>
  <c r="F333" i="7"/>
  <c r="U332" i="7"/>
  <c r="K332" i="7"/>
  <c r="H332" i="7"/>
  <c r="G332" i="7"/>
  <c r="F332" i="7"/>
  <c r="U331" i="7"/>
  <c r="K331" i="7"/>
  <c r="H331" i="7"/>
  <c r="G331" i="7"/>
  <c r="F331" i="7"/>
  <c r="U330" i="7"/>
  <c r="K330" i="7"/>
  <c r="H330" i="7"/>
  <c r="G330" i="7"/>
  <c r="F330" i="7"/>
  <c r="U329" i="7"/>
  <c r="K329" i="7"/>
  <c r="H329" i="7"/>
  <c r="G329" i="7"/>
  <c r="F329" i="7"/>
  <c r="U328" i="7"/>
  <c r="K328" i="7"/>
  <c r="H328" i="7"/>
  <c r="G328" i="7"/>
  <c r="F328" i="7"/>
  <c r="U327" i="7"/>
  <c r="K327" i="7"/>
  <c r="H327" i="7"/>
  <c r="G327" i="7"/>
  <c r="F327" i="7"/>
  <c r="U326" i="7"/>
  <c r="K326" i="7"/>
  <c r="H326" i="7"/>
  <c r="G326" i="7"/>
  <c r="F326" i="7"/>
  <c r="U325" i="7"/>
  <c r="K325" i="7"/>
  <c r="H325" i="7"/>
  <c r="G325" i="7"/>
  <c r="F325" i="7"/>
  <c r="U324" i="7"/>
  <c r="K324" i="7"/>
  <c r="H324" i="7"/>
  <c r="G324" i="7"/>
  <c r="F324" i="7"/>
  <c r="U323" i="7"/>
  <c r="K323" i="7"/>
  <c r="H323" i="7"/>
  <c r="G323" i="7"/>
  <c r="F323" i="7"/>
  <c r="U322" i="7"/>
  <c r="K322" i="7"/>
  <c r="H322" i="7"/>
  <c r="G322" i="7"/>
  <c r="F322" i="7"/>
  <c r="U321" i="7"/>
  <c r="K321" i="7"/>
  <c r="H321" i="7"/>
  <c r="G321" i="7"/>
  <c r="F321" i="7"/>
  <c r="U320" i="7"/>
  <c r="K320" i="7"/>
  <c r="H320" i="7"/>
  <c r="G320" i="7"/>
  <c r="F320" i="7"/>
  <c r="U319" i="7"/>
  <c r="K319" i="7"/>
  <c r="H319" i="7"/>
  <c r="G319" i="7"/>
  <c r="F319" i="7"/>
  <c r="U318" i="7"/>
  <c r="K318" i="7"/>
  <c r="H318" i="7"/>
  <c r="G318" i="7"/>
  <c r="F318" i="7"/>
  <c r="U317" i="7"/>
  <c r="K317" i="7"/>
  <c r="H317" i="7"/>
  <c r="G317" i="7"/>
  <c r="F317" i="7"/>
  <c r="U316" i="7"/>
  <c r="K316" i="7"/>
  <c r="H316" i="7"/>
  <c r="G316" i="7"/>
  <c r="F316" i="7"/>
  <c r="U315" i="7"/>
  <c r="K315" i="7"/>
  <c r="H315" i="7"/>
  <c r="G315" i="7"/>
  <c r="F315" i="7"/>
  <c r="U314" i="7"/>
  <c r="K314" i="7"/>
  <c r="H314" i="7"/>
  <c r="G314" i="7"/>
  <c r="F314" i="7"/>
  <c r="U313" i="7"/>
  <c r="K313" i="7"/>
  <c r="H313" i="7"/>
  <c r="G313" i="7"/>
  <c r="F313" i="7"/>
  <c r="U312" i="7"/>
  <c r="K312" i="7"/>
  <c r="H312" i="7"/>
  <c r="G312" i="7"/>
  <c r="F312" i="7"/>
  <c r="U311" i="7"/>
  <c r="K311" i="7"/>
  <c r="H311" i="7"/>
  <c r="G311" i="7"/>
  <c r="F311" i="7"/>
  <c r="U310" i="7"/>
  <c r="K310" i="7"/>
  <c r="H310" i="7"/>
  <c r="G310" i="7"/>
  <c r="F310" i="7"/>
  <c r="U309" i="7"/>
  <c r="K309" i="7"/>
  <c r="H309" i="7"/>
  <c r="G309" i="7"/>
  <c r="F309" i="7"/>
  <c r="U308" i="7"/>
  <c r="K308" i="7"/>
  <c r="H308" i="7"/>
  <c r="G308" i="7"/>
  <c r="F308" i="7"/>
  <c r="U307" i="7"/>
  <c r="K307" i="7"/>
  <c r="H307" i="7"/>
  <c r="G307" i="7"/>
  <c r="F307" i="7"/>
  <c r="U306" i="7"/>
  <c r="K306" i="7"/>
  <c r="H306" i="7"/>
  <c r="G306" i="7"/>
  <c r="F306" i="7"/>
  <c r="U305" i="7"/>
  <c r="K305" i="7"/>
  <c r="H305" i="7"/>
  <c r="G305" i="7"/>
  <c r="F305" i="7"/>
  <c r="U304" i="7"/>
  <c r="K304" i="7"/>
  <c r="H304" i="7"/>
  <c r="G304" i="7"/>
  <c r="F304" i="7"/>
  <c r="U303" i="7"/>
  <c r="K303" i="7"/>
  <c r="H303" i="7"/>
  <c r="G303" i="7"/>
  <c r="F303" i="7"/>
  <c r="U302" i="7"/>
  <c r="K302" i="7"/>
  <c r="H302" i="7"/>
  <c r="G302" i="7"/>
  <c r="F302" i="7"/>
  <c r="U301" i="7"/>
  <c r="K301" i="7"/>
  <c r="H301" i="7"/>
  <c r="G301" i="7"/>
  <c r="F301" i="7"/>
  <c r="U300" i="7"/>
  <c r="K300" i="7"/>
  <c r="H300" i="7"/>
  <c r="G300" i="7"/>
  <c r="F300" i="7"/>
  <c r="U299" i="7"/>
  <c r="K299" i="7"/>
  <c r="H299" i="7"/>
  <c r="G299" i="7"/>
  <c r="F299" i="7"/>
  <c r="U298" i="7"/>
  <c r="K298" i="7"/>
  <c r="H298" i="7"/>
  <c r="G298" i="7"/>
  <c r="F298" i="7"/>
  <c r="U297" i="7"/>
  <c r="K297" i="7"/>
  <c r="H297" i="7"/>
  <c r="G297" i="7"/>
  <c r="F297" i="7"/>
  <c r="U296" i="7"/>
  <c r="K296" i="7"/>
  <c r="H296" i="7"/>
  <c r="G296" i="7"/>
  <c r="F296" i="7"/>
  <c r="U295" i="7"/>
  <c r="K295" i="7"/>
  <c r="H295" i="7"/>
  <c r="G295" i="7"/>
  <c r="F295" i="7"/>
  <c r="U294" i="7"/>
  <c r="K294" i="7"/>
  <c r="H294" i="7"/>
  <c r="G294" i="7"/>
  <c r="F294" i="7"/>
  <c r="U293" i="7"/>
  <c r="K293" i="7"/>
  <c r="H293" i="7"/>
  <c r="G293" i="7"/>
  <c r="F293" i="7"/>
  <c r="U292" i="7"/>
  <c r="K292" i="7"/>
  <c r="H292" i="7"/>
  <c r="G292" i="7"/>
  <c r="F292" i="7"/>
  <c r="U291" i="7"/>
  <c r="K291" i="7"/>
  <c r="H291" i="7"/>
  <c r="G291" i="7"/>
  <c r="F291" i="7"/>
  <c r="U290" i="7"/>
  <c r="K290" i="7"/>
  <c r="H290" i="7"/>
  <c r="G290" i="7"/>
  <c r="F290" i="7"/>
  <c r="U289" i="7"/>
  <c r="K289" i="7"/>
  <c r="H289" i="7"/>
  <c r="G289" i="7"/>
  <c r="F289" i="7"/>
  <c r="U288" i="7"/>
  <c r="K288" i="7"/>
  <c r="H288" i="7"/>
  <c r="G288" i="7"/>
  <c r="F288" i="7"/>
  <c r="U287" i="7"/>
  <c r="K287" i="7"/>
  <c r="H287" i="7"/>
  <c r="G287" i="7"/>
  <c r="F287" i="7"/>
  <c r="U286" i="7"/>
  <c r="K286" i="7"/>
  <c r="H286" i="7"/>
  <c r="G286" i="7"/>
  <c r="F286" i="7"/>
  <c r="U285" i="7"/>
  <c r="K285" i="7"/>
  <c r="H285" i="7"/>
  <c r="G285" i="7"/>
  <c r="F285" i="7"/>
  <c r="U284" i="7"/>
  <c r="K284" i="7"/>
  <c r="H284" i="7"/>
  <c r="G284" i="7"/>
  <c r="F284" i="7"/>
  <c r="U283" i="7"/>
  <c r="K283" i="7"/>
  <c r="H283" i="7"/>
  <c r="G283" i="7"/>
  <c r="F283" i="7"/>
  <c r="U282" i="7"/>
  <c r="K282" i="7"/>
  <c r="H282" i="7"/>
  <c r="G282" i="7"/>
  <c r="F282" i="7"/>
  <c r="U281" i="7"/>
  <c r="K281" i="7"/>
  <c r="H281" i="7"/>
  <c r="G281" i="7"/>
  <c r="F281" i="7"/>
  <c r="U280" i="7"/>
  <c r="K280" i="7"/>
  <c r="H280" i="7"/>
  <c r="G280" i="7"/>
  <c r="F280" i="7"/>
  <c r="U279" i="7"/>
  <c r="K279" i="7"/>
  <c r="H279" i="7"/>
  <c r="G279" i="7"/>
  <c r="F279" i="7"/>
  <c r="U278" i="7"/>
  <c r="K278" i="7"/>
  <c r="H278" i="7"/>
  <c r="G278" i="7"/>
  <c r="F278" i="7"/>
  <c r="U277" i="7"/>
  <c r="K277" i="7"/>
  <c r="H277" i="7"/>
  <c r="G277" i="7"/>
  <c r="F277" i="7"/>
  <c r="U276" i="7"/>
  <c r="K276" i="7"/>
  <c r="H276" i="7"/>
  <c r="G276" i="7"/>
  <c r="F276" i="7"/>
  <c r="U275" i="7"/>
  <c r="K275" i="7"/>
  <c r="H275" i="7"/>
  <c r="G275" i="7"/>
  <c r="F275" i="7"/>
  <c r="U274" i="7"/>
  <c r="K274" i="7"/>
  <c r="H274" i="7"/>
  <c r="G274" i="7"/>
  <c r="F274" i="7"/>
  <c r="U273" i="7"/>
  <c r="K273" i="7"/>
  <c r="H273" i="7"/>
  <c r="G273" i="7"/>
  <c r="F273" i="7"/>
  <c r="U272" i="7"/>
  <c r="K272" i="7"/>
  <c r="H272" i="7"/>
  <c r="G272" i="7"/>
  <c r="F272" i="7"/>
  <c r="U271" i="7"/>
  <c r="K271" i="7"/>
  <c r="H271" i="7"/>
  <c r="G271" i="7"/>
  <c r="F271" i="7"/>
  <c r="U270" i="7"/>
  <c r="K270" i="7"/>
  <c r="H270" i="7"/>
  <c r="G270" i="7"/>
  <c r="F270" i="7"/>
  <c r="U269" i="7"/>
  <c r="K269" i="7"/>
  <c r="H269" i="7"/>
  <c r="G269" i="7"/>
  <c r="F269" i="7"/>
  <c r="U268" i="7"/>
  <c r="K268" i="7"/>
  <c r="H268" i="7"/>
  <c r="G268" i="7"/>
  <c r="F268" i="7"/>
  <c r="U267" i="7"/>
  <c r="K267" i="7"/>
  <c r="H267" i="7"/>
  <c r="G267" i="7"/>
  <c r="F267" i="7"/>
  <c r="U266" i="7"/>
  <c r="K266" i="7"/>
  <c r="H266" i="7"/>
  <c r="G266" i="7"/>
  <c r="F266" i="7"/>
  <c r="U265" i="7"/>
  <c r="K265" i="7"/>
  <c r="H265" i="7"/>
  <c r="G265" i="7"/>
  <c r="F265" i="7"/>
  <c r="U264" i="7"/>
  <c r="K264" i="7"/>
  <c r="H264" i="7"/>
  <c r="G264" i="7"/>
  <c r="F264" i="7"/>
  <c r="U263" i="7"/>
  <c r="K263" i="7"/>
  <c r="H263" i="7"/>
  <c r="G263" i="7"/>
  <c r="F263" i="7"/>
  <c r="U262" i="7"/>
  <c r="K262" i="7"/>
  <c r="H262" i="7"/>
  <c r="G262" i="7"/>
  <c r="F262" i="7"/>
  <c r="U261" i="7"/>
  <c r="K261" i="7"/>
  <c r="H261" i="7"/>
  <c r="G261" i="7"/>
  <c r="F261" i="7"/>
  <c r="U260" i="7"/>
  <c r="K260" i="7"/>
  <c r="H260" i="7"/>
  <c r="G260" i="7"/>
  <c r="F260" i="7"/>
  <c r="U259" i="7"/>
  <c r="K259" i="7"/>
  <c r="H259" i="7"/>
  <c r="G259" i="7"/>
  <c r="F259" i="7"/>
  <c r="U258" i="7"/>
  <c r="K258" i="7"/>
  <c r="H258" i="7"/>
  <c r="G258" i="7"/>
  <c r="F258" i="7"/>
  <c r="U257" i="7"/>
  <c r="K257" i="7"/>
  <c r="H257" i="7"/>
  <c r="G257" i="7"/>
  <c r="F257" i="7"/>
  <c r="U256" i="7"/>
  <c r="K256" i="7"/>
  <c r="H256" i="7"/>
  <c r="G256" i="7"/>
  <c r="F256" i="7"/>
  <c r="U255" i="7"/>
  <c r="K255" i="7"/>
  <c r="H255" i="7"/>
  <c r="G255" i="7"/>
  <c r="F255" i="7"/>
  <c r="U254" i="7"/>
  <c r="K254" i="7"/>
  <c r="H254" i="7"/>
  <c r="G254" i="7"/>
  <c r="F254" i="7"/>
  <c r="U253" i="7"/>
  <c r="K253" i="7"/>
  <c r="H253" i="7"/>
  <c r="G253" i="7"/>
  <c r="F253" i="7"/>
  <c r="U252" i="7"/>
  <c r="K252" i="7"/>
  <c r="H252" i="7"/>
  <c r="G252" i="7"/>
  <c r="F252" i="7"/>
  <c r="U251" i="7"/>
  <c r="K251" i="7"/>
  <c r="H251" i="7"/>
  <c r="G251" i="7"/>
  <c r="F251" i="7"/>
  <c r="U250" i="7"/>
  <c r="K250" i="7"/>
  <c r="H250" i="7"/>
  <c r="G250" i="7"/>
  <c r="F250" i="7"/>
  <c r="U249" i="7"/>
  <c r="K249" i="7"/>
  <c r="H249" i="7"/>
  <c r="G249" i="7"/>
  <c r="F249" i="7"/>
  <c r="U248" i="7"/>
  <c r="K248" i="7"/>
  <c r="H248" i="7"/>
  <c r="G248" i="7"/>
  <c r="F248" i="7"/>
  <c r="U247" i="7"/>
  <c r="K247" i="7"/>
  <c r="H247" i="7"/>
  <c r="G247" i="7"/>
  <c r="F247" i="7"/>
  <c r="U246" i="7"/>
  <c r="K246" i="7"/>
  <c r="H246" i="7"/>
  <c r="G246" i="7"/>
  <c r="F246" i="7"/>
  <c r="U245" i="7"/>
  <c r="K245" i="7"/>
  <c r="H245" i="7"/>
  <c r="G245" i="7"/>
  <c r="F245" i="7"/>
  <c r="U244" i="7"/>
  <c r="K244" i="7"/>
  <c r="H244" i="7"/>
  <c r="G244" i="7"/>
  <c r="F244" i="7"/>
  <c r="U243" i="7"/>
  <c r="K243" i="7"/>
  <c r="H243" i="7"/>
  <c r="G243" i="7"/>
  <c r="F243" i="7"/>
  <c r="U242" i="7"/>
  <c r="K242" i="7"/>
  <c r="H242" i="7"/>
  <c r="G242" i="7"/>
  <c r="F242" i="7"/>
  <c r="U241" i="7"/>
  <c r="K241" i="7"/>
  <c r="H241" i="7"/>
  <c r="G241" i="7"/>
  <c r="F241" i="7"/>
  <c r="U240" i="7"/>
  <c r="K240" i="7"/>
  <c r="H240" i="7"/>
  <c r="G240" i="7"/>
  <c r="F240" i="7"/>
  <c r="U239" i="7"/>
  <c r="K239" i="7"/>
  <c r="H239" i="7"/>
  <c r="G239" i="7"/>
  <c r="F239" i="7"/>
  <c r="U238" i="7"/>
  <c r="K238" i="7"/>
  <c r="H238" i="7"/>
  <c r="G238" i="7"/>
  <c r="F238" i="7"/>
  <c r="U237" i="7"/>
  <c r="K237" i="7"/>
  <c r="H237" i="7"/>
  <c r="G237" i="7"/>
  <c r="F237" i="7"/>
  <c r="U236" i="7"/>
  <c r="K236" i="7"/>
  <c r="H236" i="7"/>
  <c r="G236" i="7"/>
  <c r="F236" i="7"/>
  <c r="U235" i="7"/>
  <c r="K235" i="7"/>
  <c r="H235" i="7"/>
  <c r="G235" i="7"/>
  <c r="F235" i="7"/>
  <c r="U234" i="7"/>
  <c r="K234" i="7"/>
  <c r="H234" i="7"/>
  <c r="G234" i="7"/>
  <c r="F234" i="7"/>
  <c r="U233" i="7"/>
  <c r="K233" i="7"/>
  <c r="H233" i="7"/>
  <c r="G233" i="7"/>
  <c r="F233" i="7"/>
  <c r="U232" i="7"/>
  <c r="K232" i="7"/>
  <c r="H232" i="7"/>
  <c r="G232" i="7"/>
  <c r="F232" i="7"/>
  <c r="U231" i="7"/>
  <c r="K231" i="7"/>
  <c r="H231" i="7"/>
  <c r="G231" i="7"/>
  <c r="F231" i="7"/>
  <c r="U230" i="7"/>
  <c r="K230" i="7"/>
  <c r="H230" i="7"/>
  <c r="G230" i="7"/>
  <c r="F230" i="7"/>
  <c r="U229" i="7"/>
  <c r="K229" i="7"/>
  <c r="H229" i="7"/>
  <c r="G229" i="7"/>
  <c r="F229" i="7"/>
  <c r="U228" i="7"/>
  <c r="K228" i="7"/>
  <c r="H228" i="7"/>
  <c r="G228" i="7"/>
  <c r="F228" i="7"/>
  <c r="U227" i="7"/>
  <c r="K227" i="7"/>
  <c r="H227" i="7"/>
  <c r="G227" i="7"/>
  <c r="F227" i="7"/>
  <c r="U226" i="7"/>
  <c r="K226" i="7"/>
  <c r="H226" i="7"/>
  <c r="G226" i="7"/>
  <c r="F226" i="7"/>
  <c r="U225" i="7"/>
  <c r="K225" i="7"/>
  <c r="H225" i="7"/>
  <c r="G225" i="7"/>
  <c r="F225" i="7"/>
  <c r="U224" i="7"/>
  <c r="K224" i="7"/>
  <c r="H224" i="7"/>
  <c r="G224" i="7"/>
  <c r="F224" i="7"/>
  <c r="U223" i="7"/>
  <c r="K223" i="7"/>
  <c r="H223" i="7"/>
  <c r="G223" i="7"/>
  <c r="F223" i="7"/>
  <c r="U222" i="7"/>
  <c r="K222" i="7"/>
  <c r="H222" i="7"/>
  <c r="G222" i="7"/>
  <c r="F222" i="7"/>
  <c r="U221" i="7"/>
  <c r="K221" i="7"/>
  <c r="H221" i="7"/>
  <c r="G221" i="7"/>
  <c r="F221" i="7"/>
  <c r="U220" i="7"/>
  <c r="K220" i="7"/>
  <c r="H220" i="7"/>
  <c r="G220" i="7"/>
  <c r="F220" i="7"/>
  <c r="U219" i="7"/>
  <c r="K219" i="7"/>
  <c r="H219" i="7"/>
  <c r="G219" i="7"/>
  <c r="F219" i="7"/>
  <c r="U218" i="7"/>
  <c r="K218" i="7"/>
  <c r="H218" i="7"/>
  <c r="G218" i="7"/>
  <c r="F218" i="7"/>
  <c r="U217" i="7"/>
  <c r="K217" i="7"/>
  <c r="H217" i="7"/>
  <c r="G217" i="7"/>
  <c r="F217" i="7"/>
  <c r="U216" i="7"/>
  <c r="K216" i="7"/>
  <c r="H216" i="7"/>
  <c r="G216" i="7"/>
  <c r="F216" i="7"/>
  <c r="U215" i="7"/>
  <c r="K215" i="7"/>
  <c r="H215" i="7"/>
  <c r="G215" i="7"/>
  <c r="F215" i="7"/>
  <c r="U214" i="7"/>
  <c r="K214" i="7"/>
  <c r="H214" i="7"/>
  <c r="G214" i="7"/>
  <c r="F214" i="7"/>
  <c r="U213" i="7"/>
  <c r="K213" i="7"/>
  <c r="H213" i="7"/>
  <c r="G213" i="7"/>
  <c r="F213" i="7"/>
  <c r="U212" i="7"/>
  <c r="K212" i="7"/>
  <c r="H212" i="7"/>
  <c r="G212" i="7"/>
  <c r="F212" i="7"/>
  <c r="U211" i="7"/>
  <c r="K211" i="7"/>
  <c r="H211" i="7"/>
  <c r="G211" i="7"/>
  <c r="F211" i="7"/>
  <c r="U210" i="7"/>
  <c r="K210" i="7"/>
  <c r="H210" i="7"/>
  <c r="G210" i="7"/>
  <c r="F210" i="7"/>
  <c r="U209" i="7"/>
  <c r="K209" i="7"/>
  <c r="H209" i="7"/>
  <c r="G209" i="7"/>
  <c r="F209" i="7"/>
  <c r="U208" i="7"/>
  <c r="K208" i="7"/>
  <c r="H208" i="7"/>
  <c r="G208" i="7"/>
  <c r="F208" i="7"/>
  <c r="U207" i="7"/>
  <c r="K207" i="7"/>
  <c r="H207" i="7"/>
  <c r="G207" i="7"/>
  <c r="F207" i="7"/>
  <c r="U206" i="7"/>
  <c r="K206" i="7"/>
  <c r="H206" i="7"/>
  <c r="G206" i="7"/>
  <c r="F206" i="7"/>
  <c r="U205" i="7"/>
  <c r="K205" i="7"/>
  <c r="H205" i="7"/>
  <c r="G205" i="7"/>
  <c r="F205" i="7"/>
  <c r="U204" i="7"/>
  <c r="K204" i="7"/>
  <c r="H204" i="7"/>
  <c r="G204" i="7"/>
  <c r="F204" i="7"/>
  <c r="U203" i="7"/>
  <c r="K203" i="7"/>
  <c r="H203" i="7"/>
  <c r="G203" i="7"/>
  <c r="F203" i="7"/>
  <c r="U202" i="7"/>
  <c r="K202" i="7"/>
  <c r="H202" i="7"/>
  <c r="G202" i="7"/>
  <c r="F202" i="7"/>
  <c r="U201" i="7"/>
  <c r="K201" i="7"/>
  <c r="H201" i="7"/>
  <c r="G201" i="7"/>
  <c r="F201" i="7"/>
  <c r="U200" i="7"/>
  <c r="K200" i="7"/>
  <c r="H200" i="7"/>
  <c r="G200" i="7"/>
  <c r="F200" i="7"/>
  <c r="U199" i="7"/>
  <c r="K199" i="7"/>
  <c r="H199" i="7"/>
  <c r="G199" i="7"/>
  <c r="F199" i="7"/>
  <c r="U198" i="7"/>
  <c r="K198" i="7"/>
  <c r="H198" i="7"/>
  <c r="G198" i="7"/>
  <c r="F198" i="7"/>
  <c r="U197" i="7"/>
  <c r="K197" i="7"/>
  <c r="H197" i="7"/>
  <c r="G197" i="7"/>
  <c r="F197" i="7"/>
  <c r="U196" i="7"/>
  <c r="K196" i="7"/>
  <c r="H196" i="7"/>
  <c r="G196" i="7"/>
  <c r="F196" i="7"/>
  <c r="U195" i="7"/>
  <c r="K195" i="7"/>
  <c r="H195" i="7"/>
  <c r="G195" i="7"/>
  <c r="F195" i="7"/>
  <c r="U194" i="7"/>
  <c r="K194" i="7"/>
  <c r="H194" i="7"/>
  <c r="G194" i="7"/>
  <c r="F194" i="7"/>
  <c r="U193" i="7"/>
  <c r="K193" i="7"/>
  <c r="H193" i="7"/>
  <c r="G193" i="7"/>
  <c r="F193" i="7"/>
  <c r="U192" i="7"/>
  <c r="K192" i="7"/>
  <c r="H192" i="7"/>
  <c r="G192" i="7"/>
  <c r="F192" i="7"/>
  <c r="U191" i="7"/>
  <c r="K191" i="7"/>
  <c r="H191" i="7"/>
  <c r="G191" i="7"/>
  <c r="F191" i="7"/>
  <c r="U190" i="7"/>
  <c r="K190" i="7"/>
  <c r="H190" i="7"/>
  <c r="G190" i="7"/>
  <c r="F190" i="7"/>
  <c r="U189" i="7"/>
  <c r="K189" i="7"/>
  <c r="H189" i="7"/>
  <c r="G189" i="7"/>
  <c r="F189" i="7"/>
  <c r="U188" i="7"/>
  <c r="K188" i="7"/>
  <c r="H188" i="7"/>
  <c r="G188" i="7"/>
  <c r="F188" i="7"/>
  <c r="U187" i="7"/>
  <c r="K187" i="7"/>
  <c r="H187" i="7"/>
  <c r="G187" i="7"/>
  <c r="F187" i="7"/>
  <c r="U186" i="7"/>
  <c r="K186" i="7"/>
  <c r="H186" i="7"/>
  <c r="G186" i="7"/>
  <c r="F186" i="7"/>
  <c r="U185" i="7"/>
  <c r="K185" i="7"/>
  <c r="H185" i="7"/>
  <c r="G185" i="7"/>
  <c r="F185" i="7"/>
  <c r="U184" i="7"/>
  <c r="K184" i="7"/>
  <c r="H184" i="7"/>
  <c r="G184" i="7"/>
  <c r="F184" i="7"/>
  <c r="U183" i="7"/>
  <c r="K183" i="7"/>
  <c r="H183" i="7"/>
  <c r="G183" i="7"/>
  <c r="F183" i="7"/>
  <c r="U182" i="7"/>
  <c r="K182" i="7"/>
  <c r="H182" i="7"/>
  <c r="G182" i="7"/>
  <c r="F182" i="7"/>
  <c r="U181" i="7"/>
  <c r="K181" i="7"/>
  <c r="H181" i="7"/>
  <c r="G181" i="7"/>
  <c r="F181" i="7"/>
  <c r="U180" i="7"/>
  <c r="K180" i="7"/>
  <c r="H180" i="7"/>
  <c r="G180" i="7"/>
  <c r="F180" i="7"/>
  <c r="U179" i="7"/>
  <c r="K179" i="7"/>
  <c r="H179" i="7"/>
  <c r="G179" i="7"/>
  <c r="F179" i="7"/>
  <c r="U178" i="7"/>
  <c r="K178" i="7"/>
  <c r="H178" i="7"/>
  <c r="G178" i="7"/>
  <c r="F178" i="7"/>
  <c r="U177" i="7"/>
  <c r="K177" i="7"/>
  <c r="H177" i="7"/>
  <c r="G177" i="7"/>
  <c r="F177" i="7"/>
  <c r="U176" i="7"/>
  <c r="K176" i="7"/>
  <c r="H176" i="7"/>
  <c r="G176" i="7"/>
  <c r="F176" i="7"/>
  <c r="U175" i="7"/>
  <c r="K175" i="7"/>
  <c r="H175" i="7"/>
  <c r="G175" i="7"/>
  <c r="F175" i="7"/>
  <c r="U174" i="7"/>
  <c r="K174" i="7"/>
  <c r="H174" i="7"/>
  <c r="G174" i="7"/>
  <c r="F174" i="7"/>
  <c r="U173" i="7"/>
  <c r="K173" i="7"/>
  <c r="H173" i="7"/>
  <c r="G173" i="7"/>
  <c r="F173" i="7"/>
  <c r="U172" i="7"/>
  <c r="K172" i="7"/>
  <c r="H172" i="7"/>
  <c r="G172" i="7"/>
  <c r="F172" i="7"/>
  <c r="U171" i="7"/>
  <c r="K171" i="7"/>
  <c r="H171" i="7"/>
  <c r="G171" i="7"/>
  <c r="F171" i="7"/>
  <c r="U170" i="7"/>
  <c r="K170" i="7"/>
  <c r="H170" i="7"/>
  <c r="G170" i="7"/>
  <c r="F170" i="7"/>
  <c r="U169" i="7"/>
  <c r="K169" i="7"/>
  <c r="H169" i="7"/>
  <c r="G169" i="7"/>
  <c r="F169" i="7"/>
  <c r="U168" i="7"/>
  <c r="K168" i="7"/>
  <c r="H168" i="7"/>
  <c r="G168" i="7"/>
  <c r="F168" i="7"/>
  <c r="U167" i="7"/>
  <c r="K167" i="7"/>
  <c r="H167" i="7"/>
  <c r="G167" i="7"/>
  <c r="F167" i="7"/>
  <c r="U166" i="7"/>
  <c r="K166" i="7"/>
  <c r="H166" i="7"/>
  <c r="G166" i="7"/>
  <c r="F166" i="7"/>
  <c r="U165" i="7"/>
  <c r="K165" i="7"/>
  <c r="H165" i="7"/>
  <c r="G165" i="7"/>
  <c r="F165" i="7"/>
  <c r="U164" i="7"/>
  <c r="K164" i="7"/>
  <c r="H164" i="7"/>
  <c r="G164" i="7"/>
  <c r="F164" i="7"/>
  <c r="U163" i="7"/>
  <c r="K163" i="7"/>
  <c r="H163" i="7"/>
  <c r="G163" i="7"/>
  <c r="F163" i="7"/>
  <c r="U162" i="7"/>
  <c r="K162" i="7"/>
  <c r="H162" i="7"/>
  <c r="G162" i="7"/>
  <c r="F162" i="7"/>
  <c r="U161" i="7"/>
  <c r="K161" i="7"/>
  <c r="H161" i="7"/>
  <c r="G161" i="7"/>
  <c r="F161" i="7"/>
  <c r="U160" i="7"/>
  <c r="K160" i="7"/>
  <c r="H160" i="7"/>
  <c r="G160" i="7"/>
  <c r="F160" i="7"/>
  <c r="U159" i="7"/>
  <c r="K159" i="7"/>
  <c r="H159" i="7"/>
  <c r="G159" i="7"/>
  <c r="F159" i="7"/>
  <c r="U158" i="7"/>
  <c r="K158" i="7"/>
  <c r="H158" i="7"/>
  <c r="G158" i="7"/>
  <c r="F158" i="7"/>
  <c r="U157" i="7"/>
  <c r="K157" i="7"/>
  <c r="H157" i="7"/>
  <c r="G157" i="7"/>
  <c r="F157" i="7"/>
  <c r="U156" i="7"/>
  <c r="K156" i="7"/>
  <c r="H156" i="7"/>
  <c r="G156" i="7"/>
  <c r="F156" i="7"/>
  <c r="U155" i="7"/>
  <c r="K155" i="7"/>
  <c r="H155" i="7"/>
  <c r="G155" i="7"/>
  <c r="F155" i="7"/>
  <c r="U154" i="7"/>
  <c r="K154" i="7"/>
  <c r="H154" i="7"/>
  <c r="G154" i="7"/>
  <c r="F154" i="7"/>
  <c r="U153" i="7"/>
  <c r="K153" i="7"/>
  <c r="H153" i="7"/>
  <c r="G153" i="7"/>
  <c r="F153" i="7"/>
  <c r="U152" i="7"/>
  <c r="K152" i="7"/>
  <c r="H152" i="7"/>
  <c r="G152" i="7"/>
  <c r="F152" i="7"/>
  <c r="U151" i="7"/>
  <c r="K151" i="7"/>
  <c r="H151" i="7"/>
  <c r="G151" i="7"/>
  <c r="F151" i="7"/>
  <c r="U150" i="7"/>
  <c r="K150" i="7"/>
  <c r="H150" i="7"/>
  <c r="G150" i="7"/>
  <c r="F150" i="7"/>
  <c r="U149" i="7"/>
  <c r="K149" i="7"/>
  <c r="H149" i="7"/>
  <c r="G149" i="7"/>
  <c r="F149" i="7"/>
  <c r="U148" i="7"/>
  <c r="K148" i="7"/>
  <c r="H148" i="7"/>
  <c r="G148" i="7"/>
  <c r="F148" i="7"/>
  <c r="U147" i="7"/>
  <c r="K147" i="7"/>
  <c r="H147" i="7"/>
  <c r="G147" i="7"/>
  <c r="F147" i="7"/>
  <c r="U146" i="7"/>
  <c r="K146" i="7"/>
  <c r="H146" i="7"/>
  <c r="G146" i="7"/>
  <c r="F146" i="7"/>
  <c r="U145" i="7"/>
  <c r="K145" i="7"/>
  <c r="H145" i="7"/>
  <c r="G145" i="7"/>
  <c r="F145" i="7"/>
  <c r="U144" i="7"/>
  <c r="K144" i="7"/>
  <c r="H144" i="7"/>
  <c r="G144" i="7"/>
  <c r="F144" i="7"/>
  <c r="U143" i="7"/>
  <c r="K143" i="7"/>
  <c r="H143" i="7"/>
  <c r="G143" i="7"/>
  <c r="F143" i="7"/>
  <c r="U142" i="7"/>
  <c r="K142" i="7"/>
  <c r="H142" i="7"/>
  <c r="G142" i="7"/>
  <c r="F142" i="7"/>
  <c r="U141" i="7"/>
  <c r="K141" i="7"/>
  <c r="H141" i="7"/>
  <c r="G141" i="7"/>
  <c r="F141" i="7"/>
  <c r="U140" i="7"/>
  <c r="K140" i="7"/>
  <c r="H140" i="7"/>
  <c r="G140" i="7"/>
  <c r="F140" i="7"/>
  <c r="U139" i="7"/>
  <c r="K139" i="7"/>
  <c r="E39" i="13" s="1"/>
  <c r="H139" i="7"/>
  <c r="G139" i="7"/>
  <c r="F139" i="7"/>
  <c r="U138" i="7"/>
  <c r="K138" i="7"/>
  <c r="E38" i="13" s="1"/>
  <c r="H138" i="7"/>
  <c r="G138" i="7"/>
  <c r="F138" i="7"/>
  <c r="U137" i="7"/>
  <c r="K137" i="7"/>
  <c r="E37" i="13" s="1"/>
  <c r="H137" i="7"/>
  <c r="G137" i="7"/>
  <c r="F137" i="7"/>
  <c r="U136" i="7"/>
  <c r="K136" i="7"/>
  <c r="E36" i="13" s="1"/>
  <c r="H136" i="7"/>
  <c r="G136" i="7"/>
  <c r="F136" i="7"/>
  <c r="U135" i="7"/>
  <c r="K135" i="7"/>
  <c r="E35" i="13" s="1"/>
  <c r="H135" i="7"/>
  <c r="G135" i="7"/>
  <c r="F135" i="7"/>
  <c r="U134" i="7"/>
  <c r="K134" i="7"/>
  <c r="E34" i="13" s="1"/>
  <c r="H134" i="7"/>
  <c r="G134" i="7"/>
  <c r="F134" i="7"/>
  <c r="U133" i="7"/>
  <c r="K133" i="7"/>
  <c r="E33" i="13" s="1"/>
  <c r="H133" i="7"/>
  <c r="G133" i="7"/>
  <c r="F133" i="7"/>
  <c r="U132" i="7"/>
  <c r="K132" i="7"/>
  <c r="E32" i="13" s="1"/>
  <c r="H132" i="7"/>
  <c r="G132" i="7"/>
  <c r="F132" i="7"/>
  <c r="U131" i="7"/>
  <c r="K131" i="7"/>
  <c r="E31" i="13" s="1"/>
  <c r="H131" i="7"/>
  <c r="G131" i="7"/>
  <c r="F131" i="7"/>
  <c r="U130" i="7"/>
  <c r="K130" i="7"/>
  <c r="E30" i="13" s="1"/>
  <c r="H130" i="7"/>
  <c r="G130" i="7"/>
  <c r="F130" i="7"/>
  <c r="U129" i="7"/>
  <c r="K129" i="7"/>
  <c r="E29" i="13" s="1"/>
  <c r="H129" i="7"/>
  <c r="G129" i="7"/>
  <c r="F129" i="7"/>
  <c r="U128" i="7"/>
  <c r="K128" i="7"/>
  <c r="E28" i="13" s="1"/>
  <c r="H128" i="7"/>
  <c r="G128" i="7"/>
  <c r="F128" i="7"/>
  <c r="U127" i="7"/>
  <c r="K127" i="7"/>
  <c r="E27" i="13" s="1"/>
  <c r="H127" i="7"/>
  <c r="G127" i="7"/>
  <c r="F127" i="7"/>
  <c r="U126" i="7"/>
  <c r="K126" i="7"/>
  <c r="E26" i="13" s="1"/>
  <c r="H126" i="7"/>
  <c r="G126" i="7"/>
  <c r="F126" i="7"/>
  <c r="U125" i="7"/>
  <c r="K125" i="7"/>
  <c r="E25" i="13" s="1"/>
  <c r="H125" i="7"/>
  <c r="G125" i="7"/>
  <c r="F125" i="7"/>
  <c r="U124" i="7"/>
  <c r="K124" i="7"/>
  <c r="E24" i="13" s="1"/>
  <c r="H124" i="7"/>
  <c r="G124" i="7"/>
  <c r="F124" i="7"/>
  <c r="U123" i="7"/>
  <c r="K123" i="7"/>
  <c r="E23" i="13" s="1"/>
  <c r="H123" i="7"/>
  <c r="G123" i="7"/>
  <c r="F123" i="7"/>
  <c r="U122" i="7"/>
  <c r="K122" i="7"/>
  <c r="E22" i="13" s="1"/>
  <c r="H122" i="7"/>
  <c r="G122" i="7"/>
  <c r="F122" i="7"/>
  <c r="U121" i="7"/>
  <c r="K121" i="7"/>
  <c r="E21" i="13" s="1"/>
  <c r="H121" i="7"/>
  <c r="G121" i="7"/>
  <c r="F121" i="7"/>
  <c r="U120" i="7"/>
  <c r="K120" i="7"/>
  <c r="E20" i="13" s="1"/>
  <c r="H120" i="7"/>
  <c r="G120" i="7"/>
  <c r="F120" i="7"/>
  <c r="U119" i="7"/>
  <c r="K119" i="7"/>
  <c r="E19" i="13" s="1"/>
  <c r="H119" i="7"/>
  <c r="G119" i="7"/>
  <c r="F119" i="7"/>
  <c r="U118" i="7"/>
  <c r="K118" i="7"/>
  <c r="E18" i="13" s="1"/>
  <c r="H118" i="7"/>
  <c r="G118" i="7"/>
  <c r="F118" i="7"/>
  <c r="U117" i="7"/>
  <c r="K117" i="7"/>
  <c r="E17" i="13" s="1"/>
  <c r="H117" i="7"/>
  <c r="G117" i="7"/>
  <c r="F117" i="7"/>
  <c r="U116" i="7"/>
  <c r="K116" i="7"/>
  <c r="E16" i="13" s="1"/>
  <c r="H116" i="7"/>
  <c r="G116" i="7"/>
  <c r="F116" i="7"/>
  <c r="U115" i="7"/>
  <c r="K115" i="7"/>
  <c r="H115" i="7"/>
  <c r="G115" i="7"/>
  <c r="F115" i="7"/>
  <c r="U114" i="7"/>
  <c r="K114" i="7"/>
  <c r="H114" i="7"/>
  <c r="G114" i="7"/>
  <c r="F114" i="7"/>
  <c r="U113" i="7"/>
  <c r="K113" i="7"/>
  <c r="H113" i="7"/>
  <c r="G113" i="7"/>
  <c r="F113" i="7"/>
  <c r="U112" i="7"/>
  <c r="K112" i="7"/>
  <c r="H112" i="7"/>
  <c r="G112" i="7"/>
  <c r="F112" i="7"/>
  <c r="U111" i="7"/>
  <c r="K111" i="7"/>
  <c r="H111" i="7"/>
  <c r="G111" i="7"/>
  <c r="F111" i="7"/>
  <c r="U110" i="7"/>
  <c r="K110" i="7"/>
  <c r="H110" i="7"/>
  <c r="G110" i="7"/>
  <c r="F110" i="7"/>
  <c r="U109" i="7"/>
  <c r="K109" i="7"/>
  <c r="H109" i="7"/>
  <c r="G109" i="7"/>
  <c r="F109" i="7"/>
  <c r="U108" i="7"/>
  <c r="K108" i="7"/>
  <c r="H108" i="7"/>
  <c r="G108" i="7"/>
  <c r="F108" i="7"/>
  <c r="U107" i="7"/>
  <c r="K107" i="7"/>
  <c r="H107" i="7"/>
  <c r="G107" i="7"/>
  <c r="F107" i="7"/>
  <c r="U106" i="7"/>
  <c r="K106" i="7"/>
  <c r="H106" i="7"/>
  <c r="G106" i="7"/>
  <c r="F106" i="7"/>
  <c r="U105" i="7"/>
  <c r="K105" i="7"/>
  <c r="H105" i="7"/>
  <c r="G105" i="7"/>
  <c r="F105" i="7"/>
  <c r="U104" i="7"/>
  <c r="K104" i="7"/>
  <c r="H104" i="7"/>
  <c r="G104" i="7"/>
  <c r="F104" i="7"/>
  <c r="U103" i="7"/>
  <c r="K103" i="7"/>
  <c r="H103" i="7"/>
  <c r="G103" i="7"/>
  <c r="F103" i="7"/>
  <c r="U102" i="7"/>
  <c r="K102" i="7"/>
  <c r="H102" i="7"/>
  <c r="G102" i="7"/>
  <c r="F102" i="7"/>
  <c r="U101" i="7"/>
  <c r="K101" i="7"/>
  <c r="H101" i="7"/>
  <c r="G101" i="7"/>
  <c r="F101" i="7"/>
  <c r="U100" i="7"/>
  <c r="K100" i="7"/>
  <c r="H100" i="7"/>
  <c r="G100" i="7"/>
  <c r="F100" i="7"/>
  <c r="U99" i="7"/>
  <c r="K99" i="7"/>
  <c r="H99" i="7"/>
  <c r="G99" i="7"/>
  <c r="F99" i="7"/>
  <c r="U98" i="7"/>
  <c r="K98" i="7"/>
  <c r="H98" i="7"/>
  <c r="G98" i="7"/>
  <c r="F98" i="7"/>
  <c r="U97" i="7"/>
  <c r="K97" i="7"/>
  <c r="H97" i="7"/>
  <c r="G97" i="7"/>
  <c r="F97" i="7"/>
  <c r="U96" i="7"/>
  <c r="K96" i="7"/>
  <c r="H96" i="7"/>
  <c r="G96" i="7"/>
  <c r="F96" i="7"/>
  <c r="U95" i="7"/>
  <c r="K95" i="7"/>
  <c r="H95" i="7"/>
  <c r="G95" i="7"/>
  <c r="F95" i="7"/>
  <c r="U94" i="7"/>
  <c r="K94" i="7"/>
  <c r="H94" i="7"/>
  <c r="G94" i="7"/>
  <c r="F94" i="7"/>
  <c r="U93" i="7"/>
  <c r="K93" i="7"/>
  <c r="H93" i="7"/>
  <c r="G93" i="7"/>
  <c r="F93" i="7"/>
  <c r="U92" i="7"/>
  <c r="K92" i="7"/>
  <c r="H92" i="7"/>
  <c r="G92" i="7"/>
  <c r="F92" i="7"/>
  <c r="U91" i="7"/>
  <c r="K91" i="7"/>
  <c r="H91" i="7"/>
  <c r="G91" i="7"/>
  <c r="F91" i="7"/>
  <c r="U90" i="7"/>
  <c r="K90" i="7"/>
  <c r="H90" i="7"/>
  <c r="G90" i="7"/>
  <c r="F90" i="7"/>
  <c r="U89" i="7"/>
  <c r="K89" i="7"/>
  <c r="H89" i="7"/>
  <c r="G89" i="7"/>
  <c r="F89" i="7"/>
  <c r="U88" i="7"/>
  <c r="K88" i="7"/>
  <c r="H88" i="7"/>
  <c r="G88" i="7"/>
  <c r="F88" i="7"/>
  <c r="U87" i="7"/>
  <c r="K87" i="7"/>
  <c r="H87" i="7"/>
  <c r="G87" i="7"/>
  <c r="F87" i="7"/>
  <c r="U86" i="7"/>
  <c r="K86" i="7"/>
  <c r="H86" i="7"/>
  <c r="G86" i="7"/>
  <c r="F86" i="7"/>
  <c r="U85" i="7"/>
  <c r="K85" i="7"/>
  <c r="H85" i="7"/>
  <c r="G85" i="7"/>
  <c r="F85" i="7"/>
  <c r="U84" i="7"/>
  <c r="K84" i="7"/>
  <c r="H84" i="7"/>
  <c r="G84" i="7"/>
  <c r="F84" i="7"/>
  <c r="U83" i="7"/>
  <c r="K83" i="7"/>
  <c r="H83" i="7"/>
  <c r="G83" i="7"/>
  <c r="F83" i="7"/>
  <c r="U82" i="7"/>
  <c r="K82" i="7"/>
  <c r="H82" i="7"/>
  <c r="G82" i="7"/>
  <c r="F82" i="7"/>
  <c r="U81" i="7"/>
  <c r="K81" i="7"/>
  <c r="H81" i="7"/>
  <c r="G81" i="7"/>
  <c r="F81" i="7"/>
  <c r="U80" i="7"/>
  <c r="K80" i="7"/>
  <c r="H80" i="7"/>
  <c r="G80" i="7"/>
  <c r="F80" i="7"/>
  <c r="U79" i="7"/>
  <c r="K79" i="7"/>
  <c r="H79" i="7"/>
  <c r="G79" i="7"/>
  <c r="F79" i="7"/>
  <c r="U78" i="7"/>
  <c r="K78" i="7"/>
  <c r="H78" i="7"/>
  <c r="G78" i="7"/>
  <c r="F78" i="7"/>
  <c r="U77" i="7"/>
  <c r="K77" i="7"/>
  <c r="H77" i="7"/>
  <c r="G77" i="7"/>
  <c r="F77" i="7"/>
  <c r="U76" i="7"/>
  <c r="K76" i="7"/>
  <c r="H76" i="7"/>
  <c r="G76" i="7"/>
  <c r="F76" i="7"/>
  <c r="U75" i="7"/>
  <c r="K75" i="7"/>
  <c r="H75" i="7"/>
  <c r="G75" i="7"/>
  <c r="F75" i="7"/>
  <c r="U74" i="7"/>
  <c r="K74" i="7"/>
  <c r="H74" i="7"/>
  <c r="G74" i="7"/>
  <c r="F74" i="7"/>
  <c r="U73" i="7"/>
  <c r="K73" i="7"/>
  <c r="H73" i="7"/>
  <c r="G73" i="7"/>
  <c r="F73" i="7"/>
  <c r="U72" i="7"/>
  <c r="K72" i="7"/>
  <c r="H72" i="7"/>
  <c r="G72" i="7"/>
  <c r="F72" i="7"/>
  <c r="U71" i="7"/>
  <c r="K71" i="7"/>
  <c r="H71" i="7"/>
  <c r="G71" i="7"/>
  <c r="F71" i="7"/>
  <c r="U70" i="7"/>
  <c r="K70" i="7"/>
  <c r="H70" i="7"/>
  <c r="G70" i="7"/>
  <c r="F70" i="7"/>
  <c r="U69" i="7"/>
  <c r="K69" i="7"/>
  <c r="H69" i="7"/>
  <c r="G69" i="7"/>
  <c r="F69" i="7"/>
  <c r="U68" i="7"/>
  <c r="K68" i="7"/>
  <c r="H68" i="7"/>
  <c r="G68" i="7"/>
  <c r="F68" i="7"/>
  <c r="U67" i="7"/>
  <c r="K67" i="7"/>
  <c r="H67" i="7"/>
  <c r="G67" i="7"/>
  <c r="F67" i="7"/>
  <c r="U66" i="7"/>
  <c r="K66" i="7"/>
  <c r="H66" i="7"/>
  <c r="G66" i="7"/>
  <c r="F66" i="7"/>
  <c r="U65" i="7"/>
  <c r="K65" i="7"/>
  <c r="H65" i="7"/>
  <c r="G65" i="7"/>
  <c r="F65" i="7"/>
  <c r="U64" i="7"/>
  <c r="K64" i="7"/>
  <c r="H64" i="7"/>
  <c r="G64" i="7"/>
  <c r="F64" i="7"/>
  <c r="U63" i="7"/>
  <c r="K63" i="7"/>
  <c r="H63" i="7"/>
  <c r="G63" i="7"/>
  <c r="F63" i="7"/>
  <c r="U62" i="7"/>
  <c r="K62" i="7"/>
  <c r="H62" i="7"/>
  <c r="G62" i="7"/>
  <c r="F62" i="7"/>
  <c r="U61" i="7"/>
  <c r="K61" i="7"/>
  <c r="H61" i="7"/>
  <c r="G61" i="7"/>
  <c r="F61" i="7"/>
  <c r="U60" i="7"/>
  <c r="K60" i="7"/>
  <c r="H60" i="7"/>
  <c r="G60" i="7"/>
  <c r="F60" i="7"/>
  <c r="U59" i="7"/>
  <c r="K59" i="7"/>
  <c r="H59" i="7"/>
  <c r="G59" i="7"/>
  <c r="F59" i="7"/>
  <c r="U58" i="7"/>
  <c r="K58" i="7"/>
  <c r="H58" i="7"/>
  <c r="G58" i="7"/>
  <c r="F58" i="7"/>
  <c r="U57" i="7"/>
  <c r="K57" i="7"/>
  <c r="H57" i="7"/>
  <c r="G57" i="7"/>
  <c r="F57" i="7"/>
  <c r="U56" i="7"/>
  <c r="K56" i="7"/>
  <c r="H56" i="7"/>
  <c r="G56" i="7"/>
  <c r="F56" i="7"/>
  <c r="U55" i="7"/>
  <c r="K55" i="7"/>
  <c r="H55" i="7"/>
  <c r="G55" i="7"/>
  <c r="F55" i="7"/>
  <c r="U54" i="7"/>
  <c r="K54" i="7"/>
  <c r="H54" i="7"/>
  <c r="G54" i="7"/>
  <c r="F54" i="7"/>
  <c r="U53" i="7"/>
  <c r="K53" i="7"/>
  <c r="H53" i="7"/>
  <c r="G53" i="7"/>
  <c r="F53" i="7"/>
  <c r="U52" i="7"/>
  <c r="K52" i="7"/>
  <c r="H52" i="7"/>
  <c r="G52" i="7"/>
  <c r="F52" i="7"/>
  <c r="U51" i="7"/>
  <c r="K51" i="7"/>
  <c r="H51" i="7"/>
  <c r="G51" i="7"/>
  <c r="F51" i="7"/>
  <c r="U50" i="7"/>
  <c r="K50" i="7"/>
  <c r="H50" i="7"/>
  <c r="G50" i="7"/>
  <c r="F50" i="7"/>
  <c r="U49" i="7"/>
  <c r="K49" i="7"/>
  <c r="H49" i="7"/>
  <c r="G49" i="7"/>
  <c r="F49" i="7"/>
  <c r="U48" i="7"/>
  <c r="K48" i="7"/>
  <c r="H48" i="7"/>
  <c r="G48" i="7"/>
  <c r="F48" i="7"/>
  <c r="U47" i="7"/>
  <c r="K47" i="7"/>
  <c r="H47" i="7"/>
  <c r="G47" i="7"/>
  <c r="F47" i="7"/>
  <c r="U46" i="7"/>
  <c r="K46" i="7"/>
  <c r="H46" i="7"/>
  <c r="G46" i="7"/>
  <c r="F46" i="7"/>
  <c r="U45" i="7"/>
  <c r="K45" i="7"/>
  <c r="H45" i="7"/>
  <c r="G45" i="7"/>
  <c r="F45" i="7"/>
  <c r="U44" i="7"/>
  <c r="K44" i="7"/>
  <c r="H44" i="7"/>
  <c r="G44" i="7"/>
  <c r="F44" i="7"/>
  <c r="U43" i="7"/>
  <c r="K43" i="7"/>
  <c r="H43" i="7"/>
  <c r="G43" i="7"/>
  <c r="F43" i="7"/>
  <c r="U42" i="7"/>
  <c r="K42" i="7"/>
  <c r="H42" i="7"/>
  <c r="G42" i="7"/>
  <c r="F42" i="7"/>
  <c r="U41" i="7"/>
  <c r="K41" i="7"/>
  <c r="H41" i="7"/>
  <c r="G41" i="7"/>
  <c r="F41" i="7"/>
  <c r="U40" i="7"/>
  <c r="K40" i="7"/>
  <c r="H40" i="7"/>
  <c r="G40" i="7"/>
  <c r="F40" i="7"/>
  <c r="U39" i="7"/>
  <c r="K39" i="7"/>
  <c r="H39" i="7"/>
  <c r="G39" i="7"/>
  <c r="F39" i="7"/>
  <c r="U38" i="7"/>
  <c r="K38" i="7"/>
  <c r="H38" i="7"/>
  <c r="G38" i="7"/>
  <c r="F38" i="7"/>
  <c r="U37" i="7"/>
  <c r="K37" i="7"/>
  <c r="H37" i="7"/>
  <c r="G37" i="7"/>
  <c r="F37" i="7"/>
  <c r="U36" i="7"/>
  <c r="K36" i="7"/>
  <c r="H36" i="7"/>
  <c r="G36" i="7"/>
  <c r="F36" i="7"/>
  <c r="U35" i="7"/>
  <c r="K35" i="7"/>
  <c r="H35" i="7"/>
  <c r="G35" i="7"/>
  <c r="F35" i="7"/>
  <c r="U34" i="7"/>
  <c r="K34" i="7"/>
  <c r="H34" i="7"/>
  <c r="G34" i="7"/>
  <c r="F34" i="7"/>
  <c r="U33" i="7"/>
  <c r="K33" i="7"/>
  <c r="H33" i="7"/>
  <c r="G33" i="7"/>
  <c r="F33" i="7"/>
  <c r="U32" i="7"/>
  <c r="K32" i="7"/>
  <c r="H32" i="7"/>
  <c r="G32" i="7"/>
  <c r="F32" i="7"/>
  <c r="U31" i="7"/>
  <c r="K31" i="7"/>
  <c r="H31" i="7"/>
  <c r="G31" i="7"/>
  <c r="F31" i="7"/>
  <c r="U30" i="7"/>
  <c r="K30" i="7"/>
  <c r="H30" i="7"/>
  <c r="G30" i="7"/>
  <c r="F30" i="7"/>
  <c r="U29" i="7"/>
  <c r="K29" i="7"/>
  <c r="H29" i="7"/>
  <c r="G29" i="7"/>
  <c r="F29" i="7"/>
  <c r="U28" i="7"/>
  <c r="K28" i="7"/>
  <c r="H28" i="7"/>
  <c r="G28" i="7"/>
  <c r="F28" i="7"/>
  <c r="U27" i="7"/>
  <c r="K27" i="7"/>
  <c r="H27" i="7"/>
  <c r="G27" i="7"/>
  <c r="F27" i="7"/>
  <c r="U26" i="7"/>
  <c r="K26" i="7"/>
  <c r="H26" i="7"/>
  <c r="G26" i="7"/>
  <c r="F26" i="7"/>
  <c r="U25" i="7"/>
  <c r="K25" i="7"/>
  <c r="H25" i="7"/>
  <c r="G25" i="7"/>
  <c r="F25" i="7"/>
  <c r="U24" i="7"/>
  <c r="K24" i="7"/>
  <c r="H24" i="7"/>
  <c r="G24" i="7"/>
  <c r="F24" i="7"/>
  <c r="U23" i="7"/>
  <c r="K23" i="7"/>
  <c r="H23" i="7"/>
  <c r="G23" i="7"/>
  <c r="F23" i="7"/>
  <c r="U22" i="7"/>
  <c r="K22" i="7"/>
  <c r="H22" i="7"/>
  <c r="G22" i="7"/>
  <c r="F22" i="7"/>
  <c r="U21" i="7"/>
  <c r="K21" i="7"/>
  <c r="H21" i="7"/>
  <c r="G21" i="7"/>
  <c r="F21" i="7"/>
  <c r="U20" i="7"/>
  <c r="K20" i="7"/>
  <c r="H20" i="7"/>
  <c r="G20" i="7"/>
  <c r="F20" i="7"/>
  <c r="U19" i="7"/>
  <c r="K19" i="7"/>
  <c r="H19" i="7"/>
  <c r="G19" i="7"/>
  <c r="F19" i="7"/>
  <c r="U18" i="7"/>
  <c r="K18" i="7"/>
  <c r="H18" i="7"/>
  <c r="G18" i="7"/>
  <c r="F18" i="7"/>
  <c r="U17" i="7"/>
  <c r="K17" i="7"/>
  <c r="H17" i="7"/>
  <c r="G17" i="7"/>
  <c r="F17" i="7"/>
  <c r="U16" i="7"/>
  <c r="K16" i="7"/>
  <c r="H16" i="7"/>
  <c r="G16" i="7"/>
  <c r="F16" i="7"/>
  <c r="U15" i="7"/>
  <c r="K15" i="7"/>
  <c r="H15" i="7"/>
  <c r="G15" i="7"/>
  <c r="F15" i="7"/>
  <c r="U14" i="7"/>
  <c r="K14" i="7"/>
  <c r="H14" i="7"/>
  <c r="G14" i="7"/>
  <c r="F14" i="7"/>
  <c r="U13" i="7"/>
  <c r="K13" i="7"/>
  <c r="H13" i="7"/>
  <c r="G13" i="7"/>
  <c r="F13" i="7"/>
  <c r="U12" i="7"/>
  <c r="K12" i="7"/>
  <c r="H12" i="7"/>
  <c r="G12" i="7"/>
  <c r="F12" i="7"/>
  <c r="U11" i="7"/>
  <c r="K11" i="7"/>
  <c r="H11" i="7"/>
  <c r="G11" i="7"/>
  <c r="F11" i="7"/>
  <c r="U10" i="7"/>
  <c r="K10" i="7"/>
  <c r="H10" i="7"/>
  <c r="G10" i="7"/>
  <c r="F10" i="7"/>
  <c r="U9" i="7"/>
  <c r="B455" i="7" s="1"/>
  <c r="K9" i="7"/>
  <c r="B456" i="7" s="1"/>
  <c r="H9" i="7"/>
  <c r="G9" i="7"/>
  <c r="F9" i="7"/>
  <c r="C67" i="5"/>
  <c r="C66" i="5"/>
  <c r="C65" i="5"/>
  <c r="C62" i="5"/>
  <c r="C60" i="5"/>
  <c r="C59" i="5"/>
  <c r="C58" i="5"/>
  <c r="C57" i="5"/>
  <c r="B63" i="4"/>
  <c r="C55" i="4"/>
  <c r="C54" i="4"/>
  <c r="D52" i="4"/>
  <c r="E52" i="4" s="1"/>
  <c r="B52" i="4"/>
  <c r="D51" i="4"/>
  <c r="E51" i="4" s="1"/>
  <c r="B51" i="4"/>
  <c r="D49" i="4"/>
  <c r="E49" i="4" s="1"/>
  <c r="B49" i="4"/>
  <c r="E48" i="4"/>
  <c r="D48" i="4"/>
  <c r="B48" i="4"/>
  <c r="D47" i="4"/>
  <c r="E47" i="4" s="1"/>
  <c r="B47" i="4"/>
  <c r="D46" i="4"/>
  <c r="E46" i="4" s="1"/>
  <c r="B46" i="4"/>
  <c r="D45" i="4"/>
  <c r="E45" i="4" s="1"/>
  <c r="B45" i="4"/>
  <c r="D44" i="4"/>
  <c r="E44" i="4" s="1"/>
  <c r="B44" i="4"/>
  <c r="D43" i="4"/>
  <c r="E43" i="4" s="1"/>
  <c r="B43" i="4"/>
  <c r="D42" i="4"/>
  <c r="E42" i="4" s="1"/>
  <c r="B42" i="4"/>
  <c r="D41" i="4"/>
  <c r="E41" i="4" s="1"/>
  <c r="B41" i="4"/>
  <c r="D40" i="4"/>
  <c r="E40" i="4" s="1"/>
  <c r="B40" i="4"/>
  <c r="D39" i="4"/>
  <c r="E39" i="4" s="1"/>
  <c r="B39" i="4"/>
  <c r="D38" i="4"/>
  <c r="E38" i="4" s="1"/>
  <c r="B38" i="4"/>
  <c r="D37" i="4"/>
  <c r="E37" i="4" s="1"/>
  <c r="B37" i="4"/>
  <c r="E36" i="4"/>
  <c r="D36" i="4"/>
  <c r="B36" i="4"/>
  <c r="D35" i="4"/>
  <c r="E35" i="4" s="1"/>
  <c r="B35" i="4"/>
  <c r="D34" i="4"/>
  <c r="E34" i="4" s="1"/>
  <c r="B34" i="4"/>
  <c r="D33" i="4"/>
  <c r="E33" i="4" s="1"/>
  <c r="B33" i="4"/>
  <c r="E32" i="4"/>
  <c r="D32" i="4"/>
  <c r="B32" i="4"/>
  <c r="D31" i="4"/>
  <c r="E31" i="4" s="1"/>
  <c r="B31" i="4"/>
  <c r="D30" i="4"/>
  <c r="E30" i="4" s="1"/>
  <c r="B30" i="4"/>
  <c r="D29" i="4"/>
  <c r="E29" i="4" s="1"/>
  <c r="B29" i="4"/>
  <c r="D28" i="4"/>
  <c r="E28" i="4" s="1"/>
  <c r="B28" i="4"/>
  <c r="E27" i="4"/>
  <c r="D27" i="4"/>
  <c r="B27" i="4"/>
  <c r="D26" i="4"/>
  <c r="E26" i="4" s="1"/>
  <c r="B26" i="4"/>
  <c r="D25" i="4"/>
  <c r="E25" i="4" s="1"/>
  <c r="B25" i="4"/>
  <c r="D24" i="4"/>
  <c r="E24" i="4" s="1"/>
  <c r="B24" i="4"/>
  <c r="D23" i="4"/>
  <c r="E23" i="4" s="1"/>
  <c r="B23" i="4"/>
  <c r="E22" i="4"/>
  <c r="D22" i="4"/>
  <c r="B22" i="4"/>
  <c r="D21" i="4"/>
  <c r="E21" i="4" s="1"/>
  <c r="B21" i="4"/>
  <c r="E20" i="4"/>
  <c r="D20" i="4"/>
  <c r="B20" i="4"/>
  <c r="D19" i="4"/>
  <c r="E19" i="4" s="1"/>
  <c r="B19" i="4"/>
  <c r="D18" i="4"/>
  <c r="E18" i="4" s="1"/>
  <c r="B18" i="4"/>
  <c r="D17" i="4"/>
  <c r="E17" i="4" s="1"/>
  <c r="B17" i="4"/>
  <c r="D16" i="4"/>
  <c r="E16" i="4" s="1"/>
  <c r="B16" i="4"/>
  <c r="D15" i="4"/>
  <c r="E15" i="4" s="1"/>
  <c r="B15" i="4"/>
  <c r="D14" i="4"/>
  <c r="E14" i="4" s="1"/>
  <c r="B14" i="4"/>
  <c r="D13" i="4"/>
  <c r="E13" i="4" s="1"/>
  <c r="B13" i="4"/>
  <c r="D12" i="4"/>
  <c r="E12" i="4" s="1"/>
  <c r="B12" i="4"/>
  <c r="E11" i="4"/>
  <c r="D11" i="4"/>
  <c r="B11" i="4"/>
  <c r="D10" i="4"/>
  <c r="E10" i="4" s="1"/>
  <c r="B10" i="4"/>
  <c r="B59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B61" i="3" s="1"/>
  <c r="B26" i="2"/>
  <c r="AA351" i="14" l="1"/>
  <c r="D14" i="14"/>
  <c r="I31" i="14"/>
  <c r="I46" i="14"/>
  <c r="I24" i="14"/>
  <c r="B8" i="14"/>
  <c r="AA352" i="14"/>
  <c r="F14" i="14"/>
  <c r="F17" i="14"/>
  <c r="C25" i="14"/>
  <c r="C28" i="14"/>
  <c r="D31" i="14"/>
  <c r="F43" i="14"/>
  <c r="F46" i="14"/>
  <c r="F50" i="14"/>
  <c r="C54" i="14"/>
  <c r="AA331" i="14"/>
  <c r="D28" i="14"/>
  <c r="I49" i="14"/>
  <c r="C16" i="14"/>
  <c r="F34" i="14"/>
  <c r="I50" i="14"/>
  <c r="D16" i="14"/>
  <c r="I34" i="14"/>
  <c r="D52" i="14"/>
  <c r="D19" i="14"/>
  <c r="D37" i="14"/>
  <c r="E37" i="14" s="1"/>
  <c r="D54" i="14"/>
  <c r="F19" i="14"/>
  <c r="C38" i="14"/>
  <c r="F54" i="14"/>
  <c r="D20" i="14"/>
  <c r="I40" i="14"/>
  <c r="I56" i="14"/>
  <c r="C22" i="14"/>
  <c r="C41" i="14"/>
  <c r="J41" i="14" s="1"/>
  <c r="C57" i="14"/>
  <c r="D22" i="14"/>
  <c r="F41" i="14"/>
  <c r="F57" i="14"/>
  <c r="F22" i="14"/>
  <c r="I41" i="14"/>
  <c r="I57" i="14"/>
  <c r="F25" i="14"/>
  <c r="C44" i="14"/>
  <c r="AA345" i="14"/>
  <c r="F27" i="14"/>
  <c r="D44" i="14"/>
  <c r="AA350" i="14"/>
  <c r="I27" i="14"/>
  <c r="C46" i="14"/>
  <c r="I25" i="14"/>
  <c r="I43" i="14"/>
  <c r="I16" i="14"/>
  <c r="I23" i="14"/>
  <c r="I33" i="14"/>
  <c r="L24" i="16"/>
  <c r="L16" i="16"/>
  <c r="E17" i="16"/>
  <c r="L26" i="16"/>
  <c r="L27" i="16"/>
  <c r="E12" i="16"/>
  <c r="L28" i="16"/>
  <c r="E13" i="16"/>
  <c r="L29" i="16"/>
  <c r="L14" i="16"/>
  <c r="L30" i="16"/>
  <c r="L15" i="16"/>
  <c r="L31" i="16"/>
  <c r="L18" i="16"/>
  <c r="L19" i="16"/>
  <c r="H9" i="11"/>
  <c r="G77" i="11"/>
  <c r="G73" i="11"/>
  <c r="H73" i="11"/>
  <c r="G20" i="11"/>
  <c r="N29" i="11"/>
  <c r="N25" i="11"/>
  <c r="G65" i="11"/>
  <c r="H65" i="11"/>
  <c r="G105" i="11"/>
  <c r="G31" i="11"/>
  <c r="G13" i="11"/>
  <c r="H31" i="11"/>
  <c r="N14" i="11"/>
  <c r="G19" i="11"/>
  <c r="N22" i="11"/>
  <c r="G62" i="11"/>
  <c r="N84" i="11"/>
  <c r="G89" i="11"/>
  <c r="H62" i="11"/>
  <c r="H89" i="11"/>
  <c r="N19" i="11"/>
  <c r="H12" i="11"/>
  <c r="H76" i="11"/>
  <c r="N94" i="11"/>
  <c r="G45" i="11"/>
  <c r="G99" i="11"/>
  <c r="H45" i="11"/>
  <c r="G95" i="11"/>
  <c r="N99" i="11"/>
  <c r="N41" i="11"/>
  <c r="F29" i="15" s="1"/>
  <c r="G17" i="11"/>
  <c r="H55" i="11"/>
  <c r="N9" i="11"/>
  <c r="H17" i="11"/>
  <c r="G25" i="11"/>
  <c r="H29" i="11"/>
  <c r="H46" i="11"/>
  <c r="H87" i="11"/>
  <c r="G42" i="11"/>
  <c r="H10" i="11"/>
  <c r="H33" i="11"/>
  <c r="G22" i="11"/>
  <c r="H30" i="11"/>
  <c r="B446" i="7"/>
  <c r="N15" i="11"/>
  <c r="F39" i="15" s="1"/>
  <c r="N35" i="11"/>
  <c r="G46" i="11"/>
  <c r="N49" i="11"/>
  <c r="G56" i="11"/>
  <c r="G67" i="11"/>
  <c r="G78" i="11"/>
  <c r="H103" i="11"/>
  <c r="H56" i="11"/>
  <c r="N63" i="11"/>
  <c r="H67" i="11"/>
  <c r="H78" i="11"/>
  <c r="H26" i="11"/>
  <c r="H60" i="11"/>
  <c r="H71" i="11"/>
  <c r="G36" i="11"/>
  <c r="G40" i="11"/>
  <c r="N53" i="11"/>
  <c r="N16" i="11"/>
  <c r="N26" i="11"/>
  <c r="G30" i="11"/>
  <c r="G33" i="11"/>
  <c r="H36" i="11"/>
  <c r="H40" i="11"/>
  <c r="N60" i="11"/>
  <c r="G86" i="11"/>
  <c r="G93" i="11"/>
  <c r="H86" i="11"/>
  <c r="H93" i="11"/>
  <c r="H44" i="11"/>
  <c r="G47" i="11"/>
  <c r="G54" i="11"/>
  <c r="G68" i="11"/>
  <c r="G72" i="11"/>
  <c r="G79" i="11"/>
  <c r="G83" i="11"/>
  <c r="G97" i="11"/>
  <c r="H54" i="11"/>
  <c r="H72" i="11"/>
  <c r="H79" i="11"/>
  <c r="H83" i="11"/>
  <c r="H97" i="11"/>
  <c r="N44" i="11"/>
  <c r="N47" i="11"/>
  <c r="N24" i="11"/>
  <c r="G41" i="11"/>
  <c r="H90" i="11"/>
  <c r="G94" i="11"/>
  <c r="G110" i="11"/>
  <c r="G15" i="11"/>
  <c r="G35" i="11"/>
  <c r="G52" i="11"/>
  <c r="N12" i="11"/>
  <c r="H52" i="11"/>
  <c r="H70" i="11"/>
  <c r="L20" i="16"/>
  <c r="D49" i="13"/>
  <c r="L12" i="16"/>
  <c r="L13" i="16"/>
  <c r="E18" i="16"/>
  <c r="D47" i="13"/>
  <c r="D48" i="13"/>
  <c r="D46" i="13"/>
  <c r="L21" i="16"/>
  <c r="L22" i="16"/>
  <c r="L23" i="16"/>
  <c r="I22" i="15"/>
  <c r="E19" i="16"/>
  <c r="C7" i="13"/>
  <c r="A7" i="13"/>
  <c r="B60" i="3"/>
  <c r="I433" i="9"/>
  <c r="I425" i="9"/>
  <c r="I417" i="9"/>
  <c r="I430" i="9"/>
  <c r="I422" i="9"/>
  <c r="I427" i="9"/>
  <c r="I432" i="9"/>
  <c r="I424" i="9"/>
  <c r="I428" i="9"/>
  <c r="I416" i="9"/>
  <c r="I408" i="9"/>
  <c r="I400" i="9"/>
  <c r="I392" i="9"/>
  <c r="I384" i="9"/>
  <c r="I376" i="9"/>
  <c r="I368" i="9"/>
  <c r="I360" i="9"/>
  <c r="I352" i="9"/>
  <c r="I344" i="9"/>
  <c r="I336" i="9"/>
  <c r="I328" i="9"/>
  <c r="I320" i="9"/>
  <c r="I312" i="9"/>
  <c r="I304" i="9"/>
  <c r="I296" i="9"/>
  <c r="I288" i="9"/>
  <c r="I280" i="9"/>
  <c r="I272" i="9"/>
  <c r="I264" i="9"/>
  <c r="I256" i="9"/>
  <c r="I248" i="9"/>
  <c r="I431" i="9"/>
  <c r="I413" i="9"/>
  <c r="I405" i="9"/>
  <c r="I397" i="9"/>
  <c r="I389" i="9"/>
  <c r="I381" i="9"/>
  <c r="I373" i="9"/>
  <c r="I365" i="9"/>
  <c r="I357" i="9"/>
  <c r="I349" i="9"/>
  <c r="I341" i="9"/>
  <c r="I333" i="9"/>
  <c r="I325" i="9"/>
  <c r="I317" i="9"/>
  <c r="I309" i="9"/>
  <c r="I301" i="9"/>
  <c r="I293" i="9"/>
  <c r="I285" i="9"/>
  <c r="I277" i="9"/>
  <c r="I269" i="9"/>
  <c r="I261" i="9"/>
  <c r="I253" i="9"/>
  <c r="I245" i="9"/>
  <c r="I237" i="9"/>
  <c r="I229" i="9"/>
  <c r="I221" i="9"/>
  <c r="I213" i="9"/>
  <c r="I205" i="9"/>
  <c r="I197" i="9"/>
  <c r="I189" i="9"/>
  <c r="I418" i="9"/>
  <c r="I415" i="9"/>
  <c r="I407" i="9"/>
  <c r="I399" i="9"/>
  <c r="I391" i="9"/>
  <c r="I383" i="9"/>
  <c r="I375" i="9"/>
  <c r="I367" i="9"/>
  <c r="I359" i="9"/>
  <c r="I351" i="9"/>
  <c r="I343" i="9"/>
  <c r="I335" i="9"/>
  <c r="I327" i="9"/>
  <c r="I319" i="9"/>
  <c r="I311" i="9"/>
  <c r="I303" i="9"/>
  <c r="I295" i="9"/>
  <c r="I287" i="9"/>
  <c r="I279" i="9"/>
  <c r="I271" i="9"/>
  <c r="I263" i="9"/>
  <c r="I255" i="9"/>
  <c r="I247" i="9"/>
  <c r="I239" i="9"/>
  <c r="I231" i="9"/>
  <c r="I223" i="9"/>
  <c r="I412" i="9"/>
  <c r="I404" i="9"/>
  <c r="I396" i="9"/>
  <c r="I388" i="9"/>
  <c r="I380" i="9"/>
  <c r="I372" i="9"/>
  <c r="I364" i="9"/>
  <c r="I356" i="9"/>
  <c r="I348" i="9"/>
  <c r="I340" i="9"/>
  <c r="I332" i="9"/>
  <c r="I324" i="9"/>
  <c r="I316" i="9"/>
  <c r="I308" i="9"/>
  <c r="I300" i="9"/>
  <c r="I292" i="9"/>
  <c r="I284" i="9"/>
  <c r="I276" i="9"/>
  <c r="I268" i="9"/>
  <c r="I260" i="9"/>
  <c r="I252" i="9"/>
  <c r="I244" i="9"/>
  <c r="I236" i="9"/>
  <c r="I228" i="9"/>
  <c r="I220" i="9"/>
  <c r="I212" i="9"/>
  <c r="I204" i="9"/>
  <c r="I196" i="9"/>
  <c r="I429" i="9"/>
  <c r="I426" i="9"/>
  <c r="I423" i="9"/>
  <c r="I420" i="9"/>
  <c r="I409" i="9"/>
  <c r="I401" i="9"/>
  <c r="I393" i="9"/>
  <c r="I385" i="9"/>
  <c r="I377" i="9"/>
  <c r="I369" i="9"/>
  <c r="I361" i="9"/>
  <c r="I353" i="9"/>
  <c r="I345" i="9"/>
  <c r="I337" i="9"/>
  <c r="I329" i="9"/>
  <c r="I321" i="9"/>
  <c r="I313" i="9"/>
  <c r="I305" i="9"/>
  <c r="I297" i="9"/>
  <c r="I289" i="9"/>
  <c r="I281" i="9"/>
  <c r="I273" i="9"/>
  <c r="I265" i="9"/>
  <c r="I257" i="9"/>
  <c r="I249" i="9"/>
  <c r="I241" i="9"/>
  <c r="I419" i="9"/>
  <c r="I395" i="9"/>
  <c r="I366" i="9"/>
  <c r="I362" i="9"/>
  <c r="I242" i="9"/>
  <c r="I403" i="9"/>
  <c r="I374" i="9"/>
  <c r="I370" i="9"/>
  <c r="I306" i="9"/>
  <c r="I299" i="9"/>
  <c r="I262" i="9"/>
  <c r="I206" i="9"/>
  <c r="I203" i="9"/>
  <c r="I200" i="9"/>
  <c r="I186" i="9"/>
  <c r="I178" i="9"/>
  <c r="I170" i="9"/>
  <c r="I162" i="9"/>
  <c r="I154" i="9"/>
  <c r="I146" i="9"/>
  <c r="I138" i="9"/>
  <c r="I130" i="9"/>
  <c r="I122" i="9"/>
  <c r="I114" i="9"/>
  <c r="I106" i="9"/>
  <c r="I98" i="9"/>
  <c r="I90" i="9"/>
  <c r="I82" i="9"/>
  <c r="I74" i="9"/>
  <c r="I66" i="9"/>
  <c r="I58" i="9"/>
  <c r="I50" i="9"/>
  <c r="I42" i="9"/>
  <c r="I34" i="9"/>
  <c r="I26" i="9"/>
  <c r="I18" i="9"/>
  <c r="I10" i="9"/>
  <c r="I411" i="9"/>
  <c r="I382" i="9"/>
  <c r="I378" i="9"/>
  <c r="I282" i="9"/>
  <c r="I194" i="9"/>
  <c r="I390" i="9"/>
  <c r="I386" i="9"/>
  <c r="I275" i="9"/>
  <c r="I226" i="9"/>
  <c r="I217" i="9"/>
  <c r="I183" i="9"/>
  <c r="I175" i="9"/>
  <c r="I167" i="9"/>
  <c r="I159" i="9"/>
  <c r="I151" i="9"/>
  <c r="I143" i="9"/>
  <c r="I135" i="9"/>
  <c r="I127" i="9"/>
  <c r="I119" i="9"/>
  <c r="I111" i="9"/>
  <c r="I103" i="9"/>
  <c r="I95" i="9"/>
  <c r="I87" i="9"/>
  <c r="I79" i="9"/>
  <c r="I71" i="9"/>
  <c r="I63" i="9"/>
  <c r="I55" i="9"/>
  <c r="I47" i="9"/>
  <c r="I39" i="9"/>
  <c r="I31" i="9"/>
  <c r="I23" i="9"/>
  <c r="I15" i="9"/>
  <c r="I398" i="9"/>
  <c r="I394" i="9"/>
  <c r="I302" i="9"/>
  <c r="I258" i="9"/>
  <c r="I235" i="9"/>
  <c r="I232" i="9"/>
  <c r="I191" i="9"/>
  <c r="I406" i="9"/>
  <c r="I402" i="9"/>
  <c r="I278" i="9"/>
  <c r="I251" i="9"/>
  <c r="I238" i="9"/>
  <c r="I214" i="9"/>
  <c r="I211" i="9"/>
  <c r="I208" i="9"/>
  <c r="I188" i="9"/>
  <c r="I180" i="9"/>
  <c r="I172" i="9"/>
  <c r="I164" i="9"/>
  <c r="I156" i="9"/>
  <c r="I148" i="9"/>
  <c r="I140" i="9"/>
  <c r="I132" i="9"/>
  <c r="I124" i="9"/>
  <c r="I116" i="9"/>
  <c r="I108" i="9"/>
  <c r="I100" i="9"/>
  <c r="I92" i="9"/>
  <c r="I84" i="9"/>
  <c r="I76" i="9"/>
  <c r="I68" i="9"/>
  <c r="I60" i="9"/>
  <c r="I52" i="9"/>
  <c r="I44" i="9"/>
  <c r="I36" i="9"/>
  <c r="I28" i="9"/>
  <c r="I20" i="9"/>
  <c r="I12" i="9"/>
  <c r="I414" i="9"/>
  <c r="I410" i="9"/>
  <c r="I298" i="9"/>
  <c r="I202" i="9"/>
  <c r="I291" i="9"/>
  <c r="I254" i="9"/>
  <c r="I199" i="9"/>
  <c r="I185" i="9"/>
  <c r="I177" i="9"/>
  <c r="I169" i="9"/>
  <c r="I161" i="9"/>
  <c r="I153" i="9"/>
  <c r="I145" i="9"/>
  <c r="I137" i="9"/>
  <c r="I129" i="9"/>
  <c r="I121" i="9"/>
  <c r="I113" i="9"/>
  <c r="I105" i="9"/>
  <c r="I97" i="9"/>
  <c r="I89" i="9"/>
  <c r="I81" i="9"/>
  <c r="I73" i="9"/>
  <c r="I65" i="9"/>
  <c r="I57" i="9"/>
  <c r="I49" i="9"/>
  <c r="I41" i="9"/>
  <c r="I33" i="9"/>
  <c r="I25" i="9"/>
  <c r="I17" i="9"/>
  <c r="I331" i="9"/>
  <c r="I323" i="9"/>
  <c r="I274" i="9"/>
  <c r="I225" i="9"/>
  <c r="I193" i="9"/>
  <c r="I339" i="9"/>
  <c r="I315" i="9"/>
  <c r="I294" i="9"/>
  <c r="I267" i="9"/>
  <c r="I234" i="9"/>
  <c r="I222" i="9"/>
  <c r="I219" i="9"/>
  <c r="I216" i="9"/>
  <c r="I182" i="9"/>
  <c r="I174" i="9"/>
  <c r="I166" i="9"/>
  <c r="I158" i="9"/>
  <c r="I150" i="9"/>
  <c r="I142" i="9"/>
  <c r="I134" i="9"/>
  <c r="I126" i="9"/>
  <c r="I118" i="9"/>
  <c r="I110" i="9"/>
  <c r="I102" i="9"/>
  <c r="I94" i="9"/>
  <c r="I86" i="9"/>
  <c r="I78" i="9"/>
  <c r="I70" i="9"/>
  <c r="I62" i="9"/>
  <c r="I54" i="9"/>
  <c r="I46" i="9"/>
  <c r="I38" i="9"/>
  <c r="I30" i="9"/>
  <c r="I22" i="9"/>
  <c r="I14" i="9"/>
  <c r="I347" i="9"/>
  <c r="I250" i="9"/>
  <c r="I240" i="9"/>
  <c r="I210" i="9"/>
  <c r="I190" i="9"/>
  <c r="I421" i="9"/>
  <c r="I363" i="9"/>
  <c r="I334" i="9"/>
  <c r="I330" i="9"/>
  <c r="I322" i="9"/>
  <c r="I318" i="9"/>
  <c r="I307" i="9"/>
  <c r="I290" i="9"/>
  <c r="I371" i="9"/>
  <c r="I342" i="9"/>
  <c r="I338" i="9"/>
  <c r="I314" i="9"/>
  <c r="I283" i="9"/>
  <c r="I246" i="9"/>
  <c r="I198" i="9"/>
  <c r="I195" i="9"/>
  <c r="I184" i="9"/>
  <c r="I176" i="9"/>
  <c r="I168" i="9"/>
  <c r="I160" i="9"/>
  <c r="I152" i="9"/>
  <c r="I144" i="9"/>
  <c r="I136" i="9"/>
  <c r="I128" i="9"/>
  <c r="I120" i="9"/>
  <c r="I112" i="9"/>
  <c r="I104" i="9"/>
  <c r="I96" i="9"/>
  <c r="I88" i="9"/>
  <c r="I80" i="9"/>
  <c r="I72" i="9"/>
  <c r="I64" i="9"/>
  <c r="I56" i="9"/>
  <c r="I48" i="9"/>
  <c r="I40" i="9"/>
  <c r="I32" i="9"/>
  <c r="I24" i="9"/>
  <c r="I16" i="9"/>
  <c r="I379" i="9"/>
  <c r="I350" i="9"/>
  <c r="I346" i="9"/>
  <c r="I266" i="9"/>
  <c r="I233" i="9"/>
  <c r="I227" i="9"/>
  <c r="I224" i="9"/>
  <c r="I218" i="9"/>
  <c r="I192" i="9"/>
  <c r="I259" i="9"/>
  <c r="I181" i="9"/>
  <c r="I149" i="9"/>
  <c r="I117" i="9"/>
  <c r="I27" i="9"/>
  <c r="I85" i="9"/>
  <c r="I354" i="9"/>
  <c r="I243" i="9"/>
  <c r="I171" i="9"/>
  <c r="I139" i="9"/>
  <c r="I107" i="9"/>
  <c r="I59" i="9"/>
  <c r="I37" i="9"/>
  <c r="I358" i="9"/>
  <c r="I157" i="9"/>
  <c r="I125" i="9"/>
  <c r="I93" i="9"/>
  <c r="I67" i="9"/>
  <c r="I19" i="9"/>
  <c r="I51" i="9"/>
  <c r="I207" i="9"/>
  <c r="I75" i="9"/>
  <c r="I326" i="9"/>
  <c r="I179" i="9"/>
  <c r="I147" i="9"/>
  <c r="I115" i="9"/>
  <c r="I29" i="9"/>
  <c r="I286" i="9"/>
  <c r="I165" i="9"/>
  <c r="I133" i="9"/>
  <c r="I101" i="9"/>
  <c r="I83" i="9"/>
  <c r="I43" i="9"/>
  <c r="I11" i="9"/>
  <c r="I387" i="9"/>
  <c r="I310" i="9"/>
  <c r="I215" i="9"/>
  <c r="I187" i="9"/>
  <c r="I155" i="9"/>
  <c r="I123" i="9"/>
  <c r="I91" i="9"/>
  <c r="I61" i="9"/>
  <c r="I21" i="9"/>
  <c r="I270" i="9"/>
  <c r="I201" i="9"/>
  <c r="I173" i="9"/>
  <c r="I141" i="9"/>
  <c r="I109" i="9"/>
  <c r="I53" i="9"/>
  <c r="I35" i="9"/>
  <c r="I230" i="9"/>
  <c r="I69" i="9"/>
  <c r="I355" i="9"/>
  <c r="I209" i="9"/>
  <c r="I163" i="9"/>
  <c r="I131" i="9"/>
  <c r="I99" i="9"/>
  <c r="I77" i="9"/>
  <c r="I45" i="9"/>
  <c r="I13" i="9"/>
  <c r="J431" i="9"/>
  <c r="J413" i="9"/>
  <c r="J405" i="9"/>
  <c r="J397" i="9"/>
  <c r="J389" i="9"/>
  <c r="J381" i="9"/>
  <c r="J373" i="9"/>
  <c r="J365" i="9"/>
  <c r="J357" i="9"/>
  <c r="J349" i="9"/>
  <c r="J341" i="9"/>
  <c r="J333" i="9"/>
  <c r="J325" i="9"/>
  <c r="J317" i="9"/>
  <c r="J309" i="9"/>
  <c r="J301" i="9"/>
  <c r="J421" i="9"/>
  <c r="J410" i="9"/>
  <c r="J402" i="9"/>
  <c r="J394" i="9"/>
  <c r="J386" i="9"/>
  <c r="J378" i="9"/>
  <c r="J370" i="9"/>
  <c r="J362" i="9"/>
  <c r="J354" i="9"/>
  <c r="J346" i="9"/>
  <c r="J338" i="9"/>
  <c r="J330" i="9"/>
  <c r="J322" i="9"/>
  <c r="J314" i="9"/>
  <c r="J430" i="9"/>
  <c r="J415" i="9"/>
  <c r="J407" i="9"/>
  <c r="J399" i="9"/>
  <c r="J391" i="9"/>
  <c r="J383" i="9"/>
  <c r="J375" i="9"/>
  <c r="J367" i="9"/>
  <c r="J359" i="9"/>
  <c r="J351" i="9"/>
  <c r="J343" i="9"/>
  <c r="J335" i="9"/>
  <c r="J327" i="9"/>
  <c r="J319" i="9"/>
  <c r="J311" i="9"/>
  <c r="J433" i="9"/>
  <c r="J412" i="9"/>
  <c r="J404" i="9"/>
  <c r="J396" i="9"/>
  <c r="J388" i="9"/>
  <c r="J380" i="9"/>
  <c r="J372" i="9"/>
  <c r="J364" i="9"/>
  <c r="J356" i="9"/>
  <c r="J348" i="9"/>
  <c r="J340" i="9"/>
  <c r="J332" i="9"/>
  <c r="J429" i="9"/>
  <c r="J426" i="9"/>
  <c r="J423" i="9"/>
  <c r="J420" i="9"/>
  <c r="J409" i="9"/>
  <c r="J401" i="9"/>
  <c r="J393" i="9"/>
  <c r="J385" i="9"/>
  <c r="J377" i="9"/>
  <c r="J369" i="9"/>
  <c r="J361" i="9"/>
  <c r="J353" i="9"/>
  <c r="J345" i="9"/>
  <c r="J337" i="9"/>
  <c r="J329" i="9"/>
  <c r="J321" i="9"/>
  <c r="J417" i="9"/>
  <c r="J432" i="9"/>
  <c r="J414" i="9"/>
  <c r="J406" i="9"/>
  <c r="J398" i="9"/>
  <c r="J390" i="9"/>
  <c r="J382" i="9"/>
  <c r="J374" i="9"/>
  <c r="J366" i="9"/>
  <c r="J358" i="9"/>
  <c r="J350" i="9"/>
  <c r="J342" i="9"/>
  <c r="J334" i="9"/>
  <c r="J326" i="9"/>
  <c r="J428" i="9"/>
  <c r="J425" i="9"/>
  <c r="J416" i="9"/>
  <c r="J408" i="9"/>
  <c r="J400" i="9"/>
  <c r="J392" i="9"/>
  <c r="J384" i="9"/>
  <c r="J376" i="9"/>
  <c r="J368" i="9"/>
  <c r="J360" i="9"/>
  <c r="J352" i="9"/>
  <c r="J344" i="9"/>
  <c r="J336" i="9"/>
  <c r="J328" i="9"/>
  <c r="J320" i="9"/>
  <c r="J403" i="9"/>
  <c r="J306" i="9"/>
  <c r="J299" i="9"/>
  <c r="J289" i="9"/>
  <c r="J279" i="9"/>
  <c r="J262" i="9"/>
  <c r="J206" i="9"/>
  <c r="J203" i="9"/>
  <c r="J200" i="9"/>
  <c r="J186" i="9"/>
  <c r="J178" i="9"/>
  <c r="J170" i="9"/>
  <c r="J162" i="9"/>
  <c r="J154" i="9"/>
  <c r="J146" i="9"/>
  <c r="J138" i="9"/>
  <c r="J130" i="9"/>
  <c r="J122" i="9"/>
  <c r="J114" i="9"/>
  <c r="J106" i="9"/>
  <c r="J98" i="9"/>
  <c r="J90" i="9"/>
  <c r="J82" i="9"/>
  <c r="J74" i="9"/>
  <c r="J66" i="9"/>
  <c r="J424" i="9"/>
  <c r="J411" i="9"/>
  <c r="J313" i="9"/>
  <c r="J292" i="9"/>
  <c r="J282" i="9"/>
  <c r="J272" i="9"/>
  <c r="J245" i="9"/>
  <c r="J194" i="9"/>
  <c r="J324" i="9"/>
  <c r="J275" i="9"/>
  <c r="J265" i="9"/>
  <c r="J255" i="9"/>
  <c r="J226" i="9"/>
  <c r="J217" i="9"/>
  <c r="J197" i="9"/>
  <c r="J183" i="9"/>
  <c r="J175" i="9"/>
  <c r="J167" i="9"/>
  <c r="J159" i="9"/>
  <c r="J151" i="9"/>
  <c r="J143" i="9"/>
  <c r="J135" i="9"/>
  <c r="J127" i="9"/>
  <c r="J119" i="9"/>
  <c r="J111" i="9"/>
  <c r="J103" i="9"/>
  <c r="J95" i="9"/>
  <c r="J87" i="9"/>
  <c r="J79" i="9"/>
  <c r="J71" i="9"/>
  <c r="J63" i="9"/>
  <c r="J55" i="9"/>
  <c r="J47" i="9"/>
  <c r="J419" i="9"/>
  <c r="J316" i="9"/>
  <c r="J302" i="9"/>
  <c r="J285" i="9"/>
  <c r="J268" i="9"/>
  <c r="J258" i="9"/>
  <c r="J248" i="9"/>
  <c r="J235" i="9"/>
  <c r="J232" i="9"/>
  <c r="J223" i="9"/>
  <c r="J220" i="9"/>
  <c r="J191" i="9"/>
  <c r="J295" i="9"/>
  <c r="J278" i="9"/>
  <c r="J251" i="9"/>
  <c r="J241" i="9"/>
  <c r="J238" i="9"/>
  <c r="J229" i="9"/>
  <c r="J214" i="9"/>
  <c r="J211" i="9"/>
  <c r="J208" i="9"/>
  <c r="J188" i="9"/>
  <c r="J180" i="9"/>
  <c r="J172" i="9"/>
  <c r="J164" i="9"/>
  <c r="J156" i="9"/>
  <c r="J148" i="9"/>
  <c r="J140" i="9"/>
  <c r="J132" i="9"/>
  <c r="J124" i="9"/>
  <c r="J116" i="9"/>
  <c r="J108" i="9"/>
  <c r="J100" i="9"/>
  <c r="J92" i="9"/>
  <c r="J84" i="9"/>
  <c r="J76" i="9"/>
  <c r="J68" i="9"/>
  <c r="J60" i="9"/>
  <c r="J305" i="9"/>
  <c r="J298" i="9"/>
  <c r="J288" i="9"/>
  <c r="J261" i="9"/>
  <c r="J244" i="9"/>
  <c r="J202" i="9"/>
  <c r="J427" i="9"/>
  <c r="J312" i="9"/>
  <c r="J308" i="9"/>
  <c r="J291" i="9"/>
  <c r="J281" i="9"/>
  <c r="J271" i="9"/>
  <c r="J254" i="9"/>
  <c r="J205" i="9"/>
  <c r="J199" i="9"/>
  <c r="J185" i="9"/>
  <c r="J177" i="9"/>
  <c r="J169" i="9"/>
  <c r="J161" i="9"/>
  <c r="J153" i="9"/>
  <c r="J145" i="9"/>
  <c r="J137" i="9"/>
  <c r="J129" i="9"/>
  <c r="J121" i="9"/>
  <c r="J113" i="9"/>
  <c r="J105" i="9"/>
  <c r="J97" i="9"/>
  <c r="J89" i="9"/>
  <c r="J81" i="9"/>
  <c r="J73" i="9"/>
  <c r="J65" i="9"/>
  <c r="J57" i="9"/>
  <c r="J418" i="9"/>
  <c r="J331" i="9"/>
  <c r="J323" i="9"/>
  <c r="J284" i="9"/>
  <c r="J274" i="9"/>
  <c r="J264" i="9"/>
  <c r="J225" i="9"/>
  <c r="J196" i="9"/>
  <c r="J193" i="9"/>
  <c r="J422" i="9"/>
  <c r="J339" i="9"/>
  <c r="J315" i="9"/>
  <c r="J294" i="9"/>
  <c r="J267" i="9"/>
  <c r="J257" i="9"/>
  <c r="J247" i="9"/>
  <c r="J234" i="9"/>
  <c r="J228" i="9"/>
  <c r="J222" i="9"/>
  <c r="J219" i="9"/>
  <c r="J216" i="9"/>
  <c r="J182" i="9"/>
  <c r="J174" i="9"/>
  <c r="J166" i="9"/>
  <c r="J158" i="9"/>
  <c r="J150" i="9"/>
  <c r="J142" i="9"/>
  <c r="J134" i="9"/>
  <c r="J126" i="9"/>
  <c r="J118" i="9"/>
  <c r="J110" i="9"/>
  <c r="J102" i="9"/>
  <c r="J94" i="9"/>
  <c r="J347" i="9"/>
  <c r="J277" i="9"/>
  <c r="J260" i="9"/>
  <c r="J250" i="9"/>
  <c r="J240" i="9"/>
  <c r="J231" i="9"/>
  <c r="J210" i="9"/>
  <c r="J190" i="9"/>
  <c r="J355" i="9"/>
  <c r="J304" i="9"/>
  <c r="J297" i="9"/>
  <c r="J287" i="9"/>
  <c r="J270" i="9"/>
  <c r="J243" i="9"/>
  <c r="J237" i="9"/>
  <c r="J213" i="9"/>
  <c r="J207" i="9"/>
  <c r="J201" i="9"/>
  <c r="J187" i="9"/>
  <c r="J179" i="9"/>
  <c r="J171" i="9"/>
  <c r="J163" i="9"/>
  <c r="J155" i="9"/>
  <c r="J147" i="9"/>
  <c r="J139" i="9"/>
  <c r="J131" i="9"/>
  <c r="J123" i="9"/>
  <c r="J115" i="9"/>
  <c r="J107" i="9"/>
  <c r="J99" i="9"/>
  <c r="J91" i="9"/>
  <c r="J83" i="9"/>
  <c r="J75" i="9"/>
  <c r="J67" i="9"/>
  <c r="J371" i="9"/>
  <c r="J283" i="9"/>
  <c r="J273" i="9"/>
  <c r="J263" i="9"/>
  <c r="J246" i="9"/>
  <c r="J198" i="9"/>
  <c r="J195" i="9"/>
  <c r="J184" i="9"/>
  <c r="J176" i="9"/>
  <c r="J168" i="9"/>
  <c r="J160" i="9"/>
  <c r="J152" i="9"/>
  <c r="J144" i="9"/>
  <c r="J136" i="9"/>
  <c r="J128" i="9"/>
  <c r="J120" i="9"/>
  <c r="J112" i="9"/>
  <c r="J104" i="9"/>
  <c r="J96" i="9"/>
  <c r="J88" i="9"/>
  <c r="J80" i="9"/>
  <c r="J72" i="9"/>
  <c r="J64" i="9"/>
  <c r="J379" i="9"/>
  <c r="J293" i="9"/>
  <c r="J276" i="9"/>
  <c r="J266" i="9"/>
  <c r="J256" i="9"/>
  <c r="J233" i="9"/>
  <c r="J227" i="9"/>
  <c r="J224" i="9"/>
  <c r="J218" i="9"/>
  <c r="J192" i="9"/>
  <c r="J387" i="9"/>
  <c r="J310" i="9"/>
  <c r="J286" i="9"/>
  <c r="J259" i="9"/>
  <c r="J249" i="9"/>
  <c r="J236" i="9"/>
  <c r="J230" i="9"/>
  <c r="J221" i="9"/>
  <c r="J215" i="9"/>
  <c r="J209" i="9"/>
  <c r="J181" i="9"/>
  <c r="J173" i="9"/>
  <c r="J165" i="9"/>
  <c r="J157" i="9"/>
  <c r="J149" i="9"/>
  <c r="J141" i="9"/>
  <c r="J133" i="9"/>
  <c r="J125" i="9"/>
  <c r="J117" i="9"/>
  <c r="J109" i="9"/>
  <c r="J101" i="9"/>
  <c r="J93" i="9"/>
  <c r="J85" i="9"/>
  <c r="J318" i="9"/>
  <c r="J303" i="9"/>
  <c r="J269" i="9"/>
  <c r="J56" i="9"/>
  <c r="J52" i="9"/>
  <c r="J239" i="9"/>
  <c r="J204" i="9"/>
  <c r="J41" i="9"/>
  <c r="J34" i="9"/>
  <c r="J59" i="9"/>
  <c r="J37" i="9"/>
  <c r="J30" i="9"/>
  <c r="J23" i="9"/>
  <c r="J16" i="9"/>
  <c r="J363" i="9"/>
  <c r="J307" i="9"/>
  <c r="J253" i="9"/>
  <c r="J48" i="9"/>
  <c r="J44" i="9"/>
  <c r="J19" i="9"/>
  <c r="J12" i="9"/>
  <c r="J189" i="9"/>
  <c r="J51" i="9"/>
  <c r="J212" i="9"/>
  <c r="J33" i="9"/>
  <c r="J26" i="9"/>
  <c r="J62" i="9"/>
  <c r="J40" i="9"/>
  <c r="J29" i="9"/>
  <c r="J22" i="9"/>
  <c r="J15" i="9"/>
  <c r="J252" i="9"/>
  <c r="J242" i="9"/>
  <c r="J54" i="9"/>
  <c r="J43" i="9"/>
  <c r="J36" i="9"/>
  <c r="J11" i="9"/>
  <c r="J296" i="9"/>
  <c r="J70" i="9"/>
  <c r="J58" i="9"/>
  <c r="J25" i="9"/>
  <c r="J18" i="9"/>
  <c r="J300" i="9"/>
  <c r="J78" i="9"/>
  <c r="J61" i="9"/>
  <c r="J50" i="9"/>
  <c r="J46" i="9"/>
  <c r="J39" i="9"/>
  <c r="J32" i="9"/>
  <c r="J21" i="9"/>
  <c r="J14" i="9"/>
  <c r="J290" i="9"/>
  <c r="J53" i="9"/>
  <c r="J35" i="9"/>
  <c r="J28" i="9"/>
  <c r="J280" i="9"/>
  <c r="J69" i="9"/>
  <c r="J86" i="9"/>
  <c r="J42" i="9"/>
  <c r="J17" i="9"/>
  <c r="J10" i="9"/>
  <c r="J395" i="9"/>
  <c r="J77" i="9"/>
  <c r="J49" i="9"/>
  <c r="J45" i="9"/>
  <c r="J38" i="9"/>
  <c r="J31" i="9"/>
  <c r="J24" i="9"/>
  <c r="J13" i="9"/>
  <c r="J27" i="9"/>
  <c r="J20" i="9"/>
  <c r="N61" i="11"/>
  <c r="H61" i="11"/>
  <c r="G61" i="11"/>
  <c r="N75" i="11"/>
  <c r="H75" i="11"/>
  <c r="G75" i="11"/>
  <c r="H38" i="11"/>
  <c r="N38" i="11"/>
  <c r="N58" i="11"/>
  <c r="H58" i="11"/>
  <c r="G58" i="11"/>
  <c r="H69" i="11"/>
  <c r="N69" i="11"/>
  <c r="H27" i="11"/>
  <c r="N27" i="11"/>
  <c r="J28" i="15"/>
  <c r="I28" i="15"/>
  <c r="J16" i="15"/>
  <c r="I16" i="15"/>
  <c r="G27" i="11"/>
  <c r="H16" i="15"/>
  <c r="G16" i="15"/>
  <c r="F16" i="15"/>
  <c r="E16" i="15"/>
  <c r="B16" i="15"/>
  <c r="B15" i="15"/>
  <c r="C16" i="15"/>
  <c r="B14" i="15"/>
  <c r="B13" i="15"/>
  <c r="H81" i="11"/>
  <c r="G81" i="11"/>
  <c r="N81" i="11"/>
  <c r="N106" i="11"/>
  <c r="H106" i="11"/>
  <c r="G106" i="11"/>
  <c r="H32" i="11"/>
  <c r="G32" i="11"/>
  <c r="N66" i="11"/>
  <c r="G66" i="11"/>
  <c r="N68" i="11"/>
  <c r="N109" i="11"/>
  <c r="H109" i="11"/>
  <c r="H24" i="11"/>
  <c r="H49" i="11"/>
  <c r="H63" i="11"/>
  <c r="H66" i="11"/>
  <c r="N74" i="11"/>
  <c r="G84" i="11"/>
  <c r="G109" i="11"/>
  <c r="N10" i="11"/>
  <c r="H85" i="11"/>
  <c r="N85" i="11"/>
  <c r="G88" i="11"/>
  <c r="J14" i="15"/>
  <c r="I14" i="15"/>
  <c r="J32" i="15"/>
  <c r="I32" i="15"/>
  <c r="F7" i="15"/>
  <c r="B56" i="13"/>
  <c r="C11" i="13"/>
  <c r="B54" i="13"/>
  <c r="J15" i="15"/>
  <c r="I15" i="15"/>
  <c r="I13" i="15"/>
  <c r="D254" i="12"/>
  <c r="D253" i="12"/>
  <c r="D252" i="12"/>
  <c r="B55" i="13"/>
  <c r="J13" i="15"/>
  <c r="H7" i="15"/>
  <c r="E11" i="13"/>
  <c r="H64" i="11"/>
  <c r="G64" i="11"/>
  <c r="N64" i="11"/>
  <c r="N82" i="11"/>
  <c r="G82" i="11"/>
  <c r="H82" i="11"/>
  <c r="N100" i="11"/>
  <c r="G100" i="11"/>
  <c r="N11" i="11"/>
  <c r="F32" i="15" s="1"/>
  <c r="H11" i="11"/>
  <c r="G11" i="11"/>
  <c r="G28" i="11"/>
  <c r="N28" i="11"/>
  <c r="F27" i="15" s="1"/>
  <c r="N39" i="11"/>
  <c r="G39" i="11"/>
  <c r="H39" i="11"/>
  <c r="G53" i="11"/>
  <c r="N88" i="11"/>
  <c r="H100" i="11"/>
  <c r="N104" i="11"/>
  <c r="H104" i="11"/>
  <c r="G104" i="11"/>
  <c r="J31" i="15"/>
  <c r="I31" i="15"/>
  <c r="N107" i="11"/>
  <c r="H107" i="11"/>
  <c r="G107" i="11"/>
  <c r="J39" i="15"/>
  <c r="I39" i="15"/>
  <c r="J34" i="15"/>
  <c r="I34" i="15"/>
  <c r="N34" i="11"/>
  <c r="G34" i="11"/>
  <c r="N70" i="11"/>
  <c r="H92" i="11"/>
  <c r="H101" i="11"/>
  <c r="N101" i="11"/>
  <c r="N42" i="11"/>
  <c r="I27" i="15"/>
  <c r="J27" i="15"/>
  <c r="N23" i="11"/>
  <c r="G23" i="11"/>
  <c r="H48" i="11"/>
  <c r="N48" i="11"/>
  <c r="N92" i="11"/>
  <c r="G108" i="11"/>
  <c r="H108" i="11"/>
  <c r="H37" i="11"/>
  <c r="G37" i="11"/>
  <c r="J26" i="15"/>
  <c r="I26" i="15"/>
  <c r="G18" i="11"/>
  <c r="H43" i="11"/>
  <c r="N43" i="11"/>
  <c r="G74" i="11"/>
  <c r="N95" i="11"/>
  <c r="N108" i="11"/>
  <c r="N111" i="11"/>
  <c r="H18" i="11"/>
  <c r="N37" i="11"/>
  <c r="G43" i="11"/>
  <c r="H102" i="11"/>
  <c r="G102" i="11"/>
  <c r="I29" i="15"/>
  <c r="J29" i="15"/>
  <c r="N50" i="11"/>
  <c r="G50" i="11"/>
  <c r="N76" i="11"/>
  <c r="I37" i="15"/>
  <c r="J37" i="15"/>
  <c r="N98" i="11"/>
  <c r="G98" i="11"/>
  <c r="J35" i="15"/>
  <c r="I35" i="15"/>
  <c r="J30" i="15"/>
  <c r="I30" i="15"/>
  <c r="H80" i="11"/>
  <c r="G80" i="11"/>
  <c r="D16" i="15"/>
  <c r="D14" i="15"/>
  <c r="D15" i="15"/>
  <c r="G16" i="11"/>
  <c r="G21" i="11"/>
  <c r="N59" i="11"/>
  <c r="H59" i="11"/>
  <c r="H96" i="11"/>
  <c r="G96" i="11"/>
  <c r="N91" i="11"/>
  <c r="H91" i="11"/>
  <c r="N96" i="11"/>
  <c r="AA347" i="14"/>
  <c r="C14" i="14"/>
  <c r="I19" i="14"/>
  <c r="I22" i="14"/>
  <c r="I54" i="14"/>
  <c r="C17" i="14"/>
  <c r="C20" i="14"/>
  <c r="D32" i="14"/>
  <c r="D35" i="14"/>
  <c r="D48" i="14"/>
  <c r="C52" i="14"/>
  <c r="I14" i="14"/>
  <c r="D23" i="14"/>
  <c r="F35" i="14"/>
  <c r="D55" i="14"/>
  <c r="AA334" i="14"/>
  <c r="J25" i="15"/>
  <c r="I25" i="15"/>
  <c r="J22" i="15"/>
  <c r="F20" i="14"/>
  <c r="I32" i="14"/>
  <c r="F38" i="14"/>
  <c r="C45" i="14"/>
  <c r="I48" i="14"/>
  <c r="F52" i="14"/>
  <c r="AA335" i="14"/>
  <c r="AA349" i="14"/>
  <c r="AA333" i="14"/>
  <c r="F56" i="14"/>
  <c r="D50" i="14"/>
  <c r="F48" i="14"/>
  <c r="I45" i="14"/>
  <c r="D42" i="14"/>
  <c r="F40" i="14"/>
  <c r="I37" i="14"/>
  <c r="D34" i="14"/>
  <c r="F32" i="14"/>
  <c r="D26" i="14"/>
  <c r="F24" i="14"/>
  <c r="C19" i="14"/>
  <c r="AA348" i="14"/>
  <c r="AA332" i="14"/>
  <c r="I52" i="14"/>
  <c r="C50" i="14"/>
  <c r="C42" i="14"/>
  <c r="C34" i="14"/>
  <c r="C26" i="14"/>
  <c r="I20" i="14"/>
  <c r="D17" i="14"/>
  <c r="F15" i="14"/>
  <c r="AA346" i="14"/>
  <c r="C56" i="14"/>
  <c r="C48" i="14"/>
  <c r="F45" i="14"/>
  <c r="C40" i="14"/>
  <c r="F37" i="14"/>
  <c r="C32" i="14"/>
  <c r="C24" i="14"/>
  <c r="I18" i="14"/>
  <c r="D15" i="14"/>
  <c r="AA341" i="14"/>
  <c r="I53" i="14"/>
  <c r="C43" i="14"/>
  <c r="C35" i="14"/>
  <c r="C27" i="14"/>
  <c r="I21" i="14"/>
  <c r="D18" i="14"/>
  <c r="F16" i="14"/>
  <c r="B7" i="14"/>
  <c r="AA340" i="14"/>
  <c r="D57" i="14"/>
  <c r="F55" i="14"/>
  <c r="D49" i="14"/>
  <c r="I44" i="14"/>
  <c r="D41" i="14"/>
  <c r="I36" i="14"/>
  <c r="D33" i="14"/>
  <c r="F31" i="14"/>
  <c r="I28" i="14"/>
  <c r="D25" i="14"/>
  <c r="F23" i="14"/>
  <c r="C18" i="14"/>
  <c r="AA354" i="14"/>
  <c r="AA338" i="14"/>
  <c r="AA353" i="14"/>
  <c r="AA337" i="14"/>
  <c r="C55" i="14"/>
  <c r="D46" i="14"/>
  <c r="F44" i="14"/>
  <c r="D38" i="14"/>
  <c r="F36" i="14"/>
  <c r="C31" i="14"/>
  <c r="F28" i="14"/>
  <c r="C23" i="14"/>
  <c r="I17" i="14"/>
  <c r="F26" i="14"/>
  <c r="C30" i="14"/>
  <c r="I35" i="14"/>
  <c r="I38" i="14"/>
  <c r="F42" i="14"/>
  <c r="D45" i="14"/>
  <c r="AA336" i="14"/>
  <c r="G55" i="11"/>
  <c r="G71" i="11"/>
  <c r="G87" i="11"/>
  <c r="G103" i="11"/>
  <c r="J38" i="15"/>
  <c r="I38" i="15"/>
  <c r="C15" i="14"/>
  <c r="D30" i="14"/>
  <c r="C33" i="14"/>
  <c r="C36" i="14"/>
  <c r="C49" i="14"/>
  <c r="I55" i="14"/>
  <c r="AA339" i="14"/>
  <c r="B6" i="14"/>
  <c r="C21" i="14"/>
  <c r="I26" i="14"/>
  <c r="F30" i="14"/>
  <c r="F33" i="14"/>
  <c r="D36" i="14"/>
  <c r="I42" i="14"/>
  <c r="F49" i="14"/>
  <c r="C53" i="14"/>
  <c r="AA342" i="14"/>
  <c r="G6" i="14"/>
  <c r="F18" i="14"/>
  <c r="D21" i="14"/>
  <c r="I30" i="14"/>
  <c r="D53" i="14"/>
  <c r="AA343" i="14"/>
  <c r="J23" i="15"/>
  <c r="I23" i="15"/>
  <c r="J36" i="15"/>
  <c r="I36" i="15"/>
  <c r="G7" i="14"/>
  <c r="I15" i="14"/>
  <c r="F21" i="14"/>
  <c r="D24" i="14"/>
  <c r="D27" i="14"/>
  <c r="D40" i="14"/>
  <c r="D43" i="14"/>
  <c r="F53" i="14"/>
  <c r="D56" i="14"/>
  <c r="AA344" i="14"/>
  <c r="E16" i="16"/>
  <c r="E27" i="16"/>
  <c r="E28" i="16"/>
  <c r="E29" i="16"/>
  <c r="E24" i="16"/>
  <c r="E30" i="16"/>
  <c r="E14" i="16"/>
  <c r="E25" i="16"/>
  <c r="E31" i="16"/>
  <c r="E15" i="16"/>
  <c r="E26" i="16"/>
  <c r="E22" i="14" l="1"/>
  <c r="G22" i="14" s="1"/>
  <c r="J22" i="14" s="1"/>
  <c r="E54" i="14"/>
  <c r="G54" i="14" s="1"/>
  <c r="J54" i="14" s="1"/>
  <c r="E25" i="14"/>
  <c r="G25" i="14" s="1"/>
  <c r="J25" i="14" s="1"/>
  <c r="E28" i="14"/>
  <c r="G28" i="14" s="1"/>
  <c r="J28" i="14" s="1"/>
  <c r="E38" i="14"/>
  <c r="E44" i="14"/>
  <c r="G44" i="14" s="1"/>
  <c r="J44" i="14" s="1"/>
  <c r="I62" i="14"/>
  <c r="E16" i="14"/>
  <c r="G16" i="14" s="1"/>
  <c r="J16" i="14" s="1"/>
  <c r="E57" i="14"/>
  <c r="G57" i="14" s="1"/>
  <c r="J57" i="14" s="1"/>
  <c r="E41" i="14"/>
  <c r="G41" i="14" s="1"/>
  <c r="E46" i="14"/>
  <c r="G46" i="14" s="1"/>
  <c r="J46" i="14" s="1"/>
  <c r="I65" i="14"/>
  <c r="D66" i="14"/>
  <c r="H57" i="14" a="1"/>
  <c r="H57" i="14" s="1"/>
  <c r="H38" i="14" a="1"/>
  <c r="H38" i="14" s="1"/>
  <c r="H22" i="14" a="1"/>
  <c r="H22" i="14" s="1"/>
  <c r="H37" i="14" a="1"/>
  <c r="H37" i="14" s="1"/>
  <c r="H36" i="14" a="1"/>
  <c r="H36" i="14" s="1"/>
  <c r="H56" i="14" a="1"/>
  <c r="H56" i="14" s="1"/>
  <c r="H21" i="14" a="1"/>
  <c r="H21" i="14" s="1"/>
  <c r="H20" i="14" a="1"/>
  <c r="H20" i="14" s="1"/>
  <c r="H55" i="14" a="1"/>
  <c r="H55" i="14" s="1"/>
  <c r="H54" i="14" a="1"/>
  <c r="H54" i="14" s="1"/>
  <c r="H35" i="14" a="1"/>
  <c r="H35" i="14" s="1"/>
  <c r="H19" i="14" a="1"/>
  <c r="H19" i="14" s="1"/>
  <c r="H53" i="14" a="1"/>
  <c r="H53" i="14" s="1"/>
  <c r="H34" i="14" a="1"/>
  <c r="H34" i="14" s="1"/>
  <c r="H18" i="14" a="1"/>
  <c r="H18" i="14" s="1"/>
  <c r="H52" i="14" a="1"/>
  <c r="H52" i="14" s="1"/>
  <c r="H33" i="14" a="1"/>
  <c r="H33" i="14" s="1"/>
  <c r="H17" i="14" a="1"/>
  <c r="H17" i="14" s="1"/>
  <c r="H32" i="14" a="1"/>
  <c r="H32" i="14" s="1"/>
  <c r="H50" i="14" a="1"/>
  <c r="H50" i="14" s="1"/>
  <c r="H16" i="14" a="1"/>
  <c r="H16" i="14" s="1"/>
  <c r="H49" i="14" a="1"/>
  <c r="H49" i="14" s="1"/>
  <c r="H31" i="14" a="1"/>
  <c r="H31" i="14" s="1"/>
  <c r="H15" i="14" a="1"/>
  <c r="H15" i="14" s="1"/>
  <c r="H42" i="14" a="1"/>
  <c r="H42" i="14" s="1"/>
  <c r="H48" i="14" a="1"/>
  <c r="H48" i="14" s="1"/>
  <c r="H30" i="14" a="1"/>
  <c r="H30" i="14" s="1"/>
  <c r="H14" i="14" a="1"/>
  <c r="H14" i="14" s="1"/>
  <c r="H46" i="14" a="1"/>
  <c r="H46" i="14" s="1"/>
  <c r="H28" i="14" a="1"/>
  <c r="H28" i="14" s="1"/>
  <c r="H27" i="14" a="1"/>
  <c r="H27" i="14" s="1"/>
  <c r="H40" i="14" a="1"/>
  <c r="H40" i="14" s="1"/>
  <c r="H45" i="14" a="1"/>
  <c r="H45" i="14" s="1"/>
  <c r="H44" i="14" a="1"/>
  <c r="H44" i="14" s="1"/>
  <c r="H26" i="14" a="1"/>
  <c r="H26" i="14" s="1"/>
  <c r="H43" i="14" a="1"/>
  <c r="H43" i="14" s="1"/>
  <c r="H25" i="14" a="1"/>
  <c r="H25" i="14" s="1"/>
  <c r="H23" i="14" a="1"/>
  <c r="H23" i="14" s="1"/>
  <c r="H41" i="14" a="1"/>
  <c r="H41" i="14" s="1"/>
  <c r="H24" i="14" a="1"/>
  <c r="H24" i="14" s="1"/>
  <c r="G38" i="14"/>
  <c r="J38" i="14" s="1"/>
  <c r="D118" i="11"/>
  <c r="F23" i="15"/>
  <c r="I72" i="14"/>
  <c r="F34" i="15"/>
  <c r="F35" i="15"/>
  <c r="D121" i="11"/>
  <c r="F31" i="15"/>
  <c r="A7" i="15"/>
  <c r="F37" i="15"/>
  <c r="F22" i="15"/>
  <c r="F26" i="15"/>
  <c r="F38" i="15"/>
  <c r="B72" i="14"/>
  <c r="F36" i="15"/>
  <c r="F25" i="15"/>
  <c r="D13" i="15"/>
  <c r="D17" i="15" s="1"/>
  <c r="F64" i="14"/>
  <c r="F62" i="14"/>
  <c r="I64" i="14"/>
  <c r="I66" i="14"/>
  <c r="B1172" i="8"/>
  <c r="I63" i="14"/>
  <c r="B17" i="15"/>
  <c r="A7" i="16"/>
  <c r="D7" i="16"/>
  <c r="K53" i="9"/>
  <c r="I56" i="10" s="1"/>
  <c r="K56" i="10" s="1"/>
  <c r="K43" i="9"/>
  <c r="I46" i="10" s="1"/>
  <c r="K46" i="10" s="1"/>
  <c r="K93" i="9"/>
  <c r="I96" i="10" s="1"/>
  <c r="K96" i="10" s="1"/>
  <c r="K259" i="9"/>
  <c r="I262" i="10" s="1"/>
  <c r="K262" i="10" s="1"/>
  <c r="K64" i="9"/>
  <c r="I67" i="10" s="1"/>
  <c r="K67" i="10" s="1"/>
  <c r="K195" i="9"/>
  <c r="I198" i="10" s="1"/>
  <c r="K198" i="10" s="1"/>
  <c r="K190" i="9"/>
  <c r="I193" i="10" s="1"/>
  <c r="K193" i="10" s="1"/>
  <c r="K102" i="9"/>
  <c r="I105" i="10" s="1"/>
  <c r="K105" i="10" s="1"/>
  <c r="K294" i="9"/>
  <c r="I297" i="10" s="1"/>
  <c r="K297" i="10" s="1"/>
  <c r="K81" i="9"/>
  <c r="I84" i="10" s="1"/>
  <c r="K84" i="10" s="1"/>
  <c r="K291" i="9"/>
  <c r="I294" i="10" s="1"/>
  <c r="K294" i="10" s="1"/>
  <c r="K100" i="9"/>
  <c r="I103" i="10" s="1"/>
  <c r="K103" i="10" s="1"/>
  <c r="K251" i="9"/>
  <c r="I254" i="10" s="1"/>
  <c r="K254" i="10" s="1"/>
  <c r="K55" i="9"/>
  <c r="I58" i="10" s="1"/>
  <c r="K58" i="10" s="1"/>
  <c r="K183" i="9"/>
  <c r="I186" i="10" s="1"/>
  <c r="K186" i="10" s="1"/>
  <c r="K50" i="9"/>
  <c r="I53" i="10" s="1"/>
  <c r="K53" i="10" s="1"/>
  <c r="K178" i="9"/>
  <c r="I181" i="10" s="1"/>
  <c r="K181" i="10" s="1"/>
  <c r="K241" i="9"/>
  <c r="I244" i="10" s="1"/>
  <c r="K244" i="10" s="1"/>
  <c r="K369" i="9"/>
  <c r="I372" i="10" s="1"/>
  <c r="K372" i="10" s="1"/>
  <c r="K244" i="9"/>
  <c r="I247" i="10" s="1"/>
  <c r="K247" i="10" s="1"/>
  <c r="K372" i="9"/>
  <c r="I375" i="10" s="1"/>
  <c r="K375" i="10" s="1"/>
  <c r="K303" i="9"/>
  <c r="I306" i="10" s="1"/>
  <c r="K306" i="10" s="1"/>
  <c r="K189" i="9"/>
  <c r="I192" i="10" s="1"/>
  <c r="K192" i="10" s="1"/>
  <c r="K317" i="9"/>
  <c r="I320" i="10" s="1"/>
  <c r="K320" i="10" s="1"/>
  <c r="K264" i="9"/>
  <c r="I267" i="10" s="1"/>
  <c r="K267" i="10" s="1"/>
  <c r="K392" i="9"/>
  <c r="I395" i="10" s="1"/>
  <c r="K395" i="10" s="1"/>
  <c r="K109" i="9"/>
  <c r="I112" i="10" s="1"/>
  <c r="K112" i="10" s="1"/>
  <c r="K83" i="9"/>
  <c r="I86" i="10" s="1"/>
  <c r="K86" i="10" s="1"/>
  <c r="K125" i="9"/>
  <c r="I128" i="10" s="1"/>
  <c r="K128" i="10" s="1"/>
  <c r="K192" i="9"/>
  <c r="I195" i="10" s="1"/>
  <c r="K195" i="10" s="1"/>
  <c r="K72" i="9"/>
  <c r="I75" i="10" s="1"/>
  <c r="K75" i="10" s="1"/>
  <c r="K198" i="9"/>
  <c r="I201" i="10" s="1"/>
  <c r="K201" i="10" s="1"/>
  <c r="K210" i="9"/>
  <c r="I213" i="10" s="1"/>
  <c r="K213" i="10" s="1"/>
  <c r="K110" i="9"/>
  <c r="I113" i="10" s="1"/>
  <c r="K113" i="10" s="1"/>
  <c r="K315" i="9"/>
  <c r="I318" i="10" s="1"/>
  <c r="K318" i="10" s="1"/>
  <c r="K89" i="9"/>
  <c r="I92" i="10" s="1"/>
  <c r="K92" i="10" s="1"/>
  <c r="K202" i="9"/>
  <c r="I205" i="10" s="1"/>
  <c r="K205" i="10" s="1"/>
  <c r="K108" i="9"/>
  <c r="I111" i="10" s="1"/>
  <c r="K111" i="10" s="1"/>
  <c r="K278" i="9"/>
  <c r="I281" i="10" s="1"/>
  <c r="K281" i="10" s="1"/>
  <c r="K63" i="9"/>
  <c r="I66" i="10" s="1"/>
  <c r="K66" i="10" s="1"/>
  <c r="K217" i="9"/>
  <c r="K58" i="9"/>
  <c r="I61" i="10" s="1"/>
  <c r="K61" i="10" s="1"/>
  <c r="K186" i="9"/>
  <c r="I189" i="10" s="1"/>
  <c r="K189" i="10" s="1"/>
  <c r="K249" i="9"/>
  <c r="I252" i="10" s="1"/>
  <c r="K252" i="10" s="1"/>
  <c r="K377" i="9"/>
  <c r="I380" i="10" s="1"/>
  <c r="K380" i="10" s="1"/>
  <c r="K252" i="9"/>
  <c r="I255" i="10" s="1"/>
  <c r="K255" i="10" s="1"/>
  <c r="K380" i="9"/>
  <c r="I383" i="10" s="1"/>
  <c r="K383" i="10" s="1"/>
  <c r="K311" i="9"/>
  <c r="I314" i="10" s="1"/>
  <c r="K314" i="10" s="1"/>
  <c r="K197" i="9"/>
  <c r="I200" i="10" s="1"/>
  <c r="K200" i="10" s="1"/>
  <c r="K325" i="9"/>
  <c r="I328" i="10" s="1"/>
  <c r="K328" i="10" s="1"/>
  <c r="K272" i="9"/>
  <c r="I275" i="10" s="1"/>
  <c r="K275" i="10" s="1"/>
  <c r="K400" i="9"/>
  <c r="I403" i="10" s="1"/>
  <c r="K403" i="10" s="1"/>
  <c r="K141" i="9"/>
  <c r="I144" i="10" s="1"/>
  <c r="K144" i="10" s="1"/>
  <c r="K101" i="9"/>
  <c r="I104" i="10" s="1"/>
  <c r="K104" i="10" s="1"/>
  <c r="K157" i="9"/>
  <c r="I160" i="10" s="1"/>
  <c r="K160" i="10" s="1"/>
  <c r="K218" i="9"/>
  <c r="I221" i="10" s="1"/>
  <c r="K221" i="10" s="1"/>
  <c r="K80" i="9"/>
  <c r="I83" i="10" s="1"/>
  <c r="K83" i="10" s="1"/>
  <c r="K246" i="9"/>
  <c r="I249" i="10" s="1"/>
  <c r="K249" i="10" s="1"/>
  <c r="K240" i="9"/>
  <c r="I243" i="10" s="1"/>
  <c r="K243" i="10" s="1"/>
  <c r="K118" i="9"/>
  <c r="I121" i="10" s="1"/>
  <c r="K121" i="10" s="1"/>
  <c r="K339" i="9"/>
  <c r="K97" i="9"/>
  <c r="I100" i="10" s="1"/>
  <c r="K100" i="10" s="1"/>
  <c r="K298" i="9"/>
  <c r="I301" i="10" s="1"/>
  <c r="K301" i="10" s="1"/>
  <c r="K116" i="9"/>
  <c r="I119" i="10" s="1"/>
  <c r="K119" i="10" s="1"/>
  <c r="K402" i="9"/>
  <c r="I405" i="10" s="1"/>
  <c r="K405" i="10" s="1"/>
  <c r="K71" i="9"/>
  <c r="I74" i="10" s="1"/>
  <c r="K74" i="10" s="1"/>
  <c r="K226" i="9"/>
  <c r="I229" i="10" s="1"/>
  <c r="K229" i="10" s="1"/>
  <c r="K66" i="9"/>
  <c r="I69" i="10" s="1"/>
  <c r="K69" i="10" s="1"/>
  <c r="K200" i="9"/>
  <c r="I203" i="10" s="1"/>
  <c r="K203" i="10" s="1"/>
  <c r="K257" i="9"/>
  <c r="I260" i="10" s="1"/>
  <c r="K260" i="10" s="1"/>
  <c r="K385" i="9"/>
  <c r="I388" i="10" s="1"/>
  <c r="K388" i="10" s="1"/>
  <c r="K260" i="9"/>
  <c r="I263" i="10" s="1"/>
  <c r="K263" i="10" s="1"/>
  <c r="K388" i="9"/>
  <c r="I391" i="10" s="1"/>
  <c r="K391" i="10" s="1"/>
  <c r="K319" i="9"/>
  <c r="I322" i="10" s="1"/>
  <c r="K322" i="10" s="1"/>
  <c r="K205" i="9"/>
  <c r="I208" i="10" s="1"/>
  <c r="K208" i="10" s="1"/>
  <c r="K333" i="9"/>
  <c r="I336" i="10" s="1"/>
  <c r="K336" i="10" s="1"/>
  <c r="K280" i="9"/>
  <c r="I283" i="10" s="1"/>
  <c r="K283" i="10" s="1"/>
  <c r="K408" i="9"/>
  <c r="I411" i="10" s="1"/>
  <c r="K411" i="10" s="1"/>
  <c r="J7" i="16"/>
  <c r="C62" i="14"/>
  <c r="B62" i="14"/>
  <c r="E14" i="14"/>
  <c r="K173" i="9"/>
  <c r="I176" i="10" s="1"/>
  <c r="K176" i="10" s="1"/>
  <c r="K133" i="9"/>
  <c r="I136" i="10" s="1"/>
  <c r="K136" i="10" s="1"/>
  <c r="K358" i="9"/>
  <c r="I361" i="10" s="1"/>
  <c r="K224" i="9"/>
  <c r="I227" i="10" s="1"/>
  <c r="K227" i="10" s="1"/>
  <c r="K88" i="9"/>
  <c r="I91" i="10" s="1"/>
  <c r="K91" i="10" s="1"/>
  <c r="K283" i="9"/>
  <c r="I286" i="10" s="1"/>
  <c r="K286" i="10" s="1"/>
  <c r="K250" i="9"/>
  <c r="I253" i="10" s="1"/>
  <c r="K253" i="10" s="1"/>
  <c r="K126" i="9"/>
  <c r="I129" i="10" s="1"/>
  <c r="K129" i="10" s="1"/>
  <c r="K193" i="9"/>
  <c r="I196" i="10" s="1"/>
  <c r="K196" i="10" s="1"/>
  <c r="K105" i="9"/>
  <c r="I108" i="10" s="1"/>
  <c r="K108" i="10" s="1"/>
  <c r="K410" i="9"/>
  <c r="I413" i="10" s="1"/>
  <c r="K413" i="10" s="1"/>
  <c r="K124" i="9"/>
  <c r="I127" i="10" s="1"/>
  <c r="K127" i="10" s="1"/>
  <c r="K406" i="9"/>
  <c r="I409" i="10" s="1"/>
  <c r="K409" i="10" s="1"/>
  <c r="K79" i="9"/>
  <c r="I82" i="10" s="1"/>
  <c r="K82" i="10" s="1"/>
  <c r="K275" i="9"/>
  <c r="I278" i="10" s="1"/>
  <c r="K278" i="10" s="1"/>
  <c r="K74" i="9"/>
  <c r="I77" i="10" s="1"/>
  <c r="K77" i="10" s="1"/>
  <c r="K203" i="9"/>
  <c r="I206" i="10" s="1"/>
  <c r="K206" i="10" s="1"/>
  <c r="K265" i="9"/>
  <c r="I268" i="10" s="1"/>
  <c r="K268" i="10" s="1"/>
  <c r="K393" i="9"/>
  <c r="I396" i="10" s="1"/>
  <c r="K396" i="10" s="1"/>
  <c r="K268" i="9"/>
  <c r="I271" i="10" s="1"/>
  <c r="K271" i="10" s="1"/>
  <c r="K396" i="9"/>
  <c r="I399" i="10" s="1"/>
  <c r="K399" i="10" s="1"/>
  <c r="K327" i="9"/>
  <c r="I330" i="10" s="1"/>
  <c r="K330" i="10" s="1"/>
  <c r="K213" i="9"/>
  <c r="I216" i="10" s="1"/>
  <c r="K216" i="10" s="1"/>
  <c r="K341" i="9"/>
  <c r="I344" i="10" s="1"/>
  <c r="K288" i="9"/>
  <c r="I291" i="10" s="1"/>
  <c r="K291" i="10" s="1"/>
  <c r="K416" i="9"/>
  <c r="I419" i="10" s="1"/>
  <c r="K419" i="10" s="1"/>
  <c r="E15" i="14"/>
  <c r="G15" i="14" s="1"/>
  <c r="J15" i="14" s="1"/>
  <c r="E53" i="14"/>
  <c r="G53" i="14" s="1"/>
  <c r="J53" i="14" s="1"/>
  <c r="F65" i="14"/>
  <c r="K201" i="9"/>
  <c r="I204" i="10" s="1"/>
  <c r="K204" i="10" s="1"/>
  <c r="K165" i="9"/>
  <c r="I168" i="10" s="1"/>
  <c r="K168" i="10" s="1"/>
  <c r="K37" i="9"/>
  <c r="I40" i="10" s="1"/>
  <c r="K40" i="10" s="1"/>
  <c r="K227" i="9"/>
  <c r="I230" i="10" s="1"/>
  <c r="K230" i="10" s="1"/>
  <c r="K96" i="9"/>
  <c r="I99" i="10" s="1"/>
  <c r="K99" i="10" s="1"/>
  <c r="K314" i="9"/>
  <c r="I317" i="10" s="1"/>
  <c r="K317" i="10" s="1"/>
  <c r="K347" i="9"/>
  <c r="I350" i="10" s="1"/>
  <c r="K134" i="9"/>
  <c r="I137" i="10" s="1"/>
  <c r="K137" i="10" s="1"/>
  <c r="K225" i="9"/>
  <c r="I228" i="10" s="1"/>
  <c r="K228" i="10" s="1"/>
  <c r="K113" i="9"/>
  <c r="I116" i="10" s="1"/>
  <c r="K116" i="10" s="1"/>
  <c r="K414" i="9"/>
  <c r="I417" i="10" s="1"/>
  <c r="K417" i="10" s="1"/>
  <c r="K132" i="9"/>
  <c r="I135" i="10" s="1"/>
  <c r="K135" i="10" s="1"/>
  <c r="K191" i="9"/>
  <c r="I194" i="10" s="1"/>
  <c r="K194" i="10" s="1"/>
  <c r="K87" i="9"/>
  <c r="I90" i="10" s="1"/>
  <c r="K90" i="10" s="1"/>
  <c r="K386" i="9"/>
  <c r="I389" i="10" s="1"/>
  <c r="K389" i="10" s="1"/>
  <c r="K82" i="9"/>
  <c r="I85" i="10" s="1"/>
  <c r="K85" i="10" s="1"/>
  <c r="K206" i="9"/>
  <c r="I209" i="10" s="1"/>
  <c r="K209" i="10" s="1"/>
  <c r="K273" i="9"/>
  <c r="I276" i="10" s="1"/>
  <c r="K276" i="10" s="1"/>
  <c r="K401" i="9"/>
  <c r="I404" i="10" s="1"/>
  <c r="K404" i="10" s="1"/>
  <c r="K276" i="9"/>
  <c r="I279" i="10" s="1"/>
  <c r="K279" i="10" s="1"/>
  <c r="K404" i="9"/>
  <c r="I407" i="10" s="1"/>
  <c r="K407" i="10" s="1"/>
  <c r="K335" i="9"/>
  <c r="I338" i="10" s="1"/>
  <c r="K338" i="10" s="1"/>
  <c r="K221" i="9"/>
  <c r="I224" i="10" s="1"/>
  <c r="K224" i="10" s="1"/>
  <c r="K349" i="9"/>
  <c r="I352" i="10" s="1"/>
  <c r="K296" i="9"/>
  <c r="I299" i="10" s="1"/>
  <c r="K299" i="10" s="1"/>
  <c r="K428" i="9"/>
  <c r="I431" i="10" s="1"/>
  <c r="K431" i="10" s="1"/>
  <c r="D62" i="14"/>
  <c r="E24" i="14"/>
  <c r="G24" i="14" s="1"/>
  <c r="J24" i="14" s="1"/>
  <c r="K13" i="9"/>
  <c r="I16" i="10" s="1"/>
  <c r="K16" i="10" s="1"/>
  <c r="K270" i="9"/>
  <c r="I273" i="10" s="1"/>
  <c r="K273" i="10" s="1"/>
  <c r="K286" i="9"/>
  <c r="I289" i="10" s="1"/>
  <c r="K289" i="10" s="1"/>
  <c r="K59" i="9"/>
  <c r="I62" i="10" s="1"/>
  <c r="K62" i="10" s="1"/>
  <c r="K233" i="9"/>
  <c r="I236" i="10" s="1"/>
  <c r="K236" i="10" s="1"/>
  <c r="K104" i="9"/>
  <c r="I107" i="10" s="1"/>
  <c r="K107" i="10" s="1"/>
  <c r="K338" i="9"/>
  <c r="I341" i="10" s="1"/>
  <c r="K341" i="10" s="1"/>
  <c r="K14" i="9"/>
  <c r="I17" i="10" s="1"/>
  <c r="K17" i="10" s="1"/>
  <c r="K142" i="9"/>
  <c r="I145" i="10" s="1"/>
  <c r="K145" i="10" s="1"/>
  <c r="K274" i="9"/>
  <c r="I277" i="10" s="1"/>
  <c r="K277" i="10" s="1"/>
  <c r="K121" i="9"/>
  <c r="I124" i="10" s="1"/>
  <c r="K124" i="10" s="1"/>
  <c r="K12" i="9"/>
  <c r="I15" i="10" s="1"/>
  <c r="K15" i="10" s="1"/>
  <c r="K140" i="9"/>
  <c r="I143" i="10" s="1"/>
  <c r="K143" i="10" s="1"/>
  <c r="K232" i="9"/>
  <c r="I235" i="10" s="1"/>
  <c r="K235" i="10" s="1"/>
  <c r="K95" i="9"/>
  <c r="I98" i="10" s="1"/>
  <c r="K98" i="10" s="1"/>
  <c r="K390" i="9"/>
  <c r="I393" i="10" s="1"/>
  <c r="K393" i="10" s="1"/>
  <c r="K90" i="9"/>
  <c r="I93" i="10" s="1"/>
  <c r="K93" i="10" s="1"/>
  <c r="K262" i="9"/>
  <c r="I265" i="10" s="1"/>
  <c r="K265" i="10" s="1"/>
  <c r="K281" i="9"/>
  <c r="I284" i="10" s="1"/>
  <c r="K284" i="10" s="1"/>
  <c r="K409" i="9"/>
  <c r="I412" i="10" s="1"/>
  <c r="K412" i="10" s="1"/>
  <c r="K284" i="9"/>
  <c r="I287" i="10" s="1"/>
  <c r="K287" i="10" s="1"/>
  <c r="K412" i="9"/>
  <c r="I415" i="10" s="1"/>
  <c r="K415" i="10" s="1"/>
  <c r="K343" i="9"/>
  <c r="I346" i="10" s="1"/>
  <c r="K229" i="9"/>
  <c r="I232" i="10" s="1"/>
  <c r="K232" i="10" s="1"/>
  <c r="K357" i="9"/>
  <c r="I360" i="10" s="1"/>
  <c r="K304" i="9"/>
  <c r="I307" i="10" s="1"/>
  <c r="K307" i="10" s="1"/>
  <c r="K424" i="9"/>
  <c r="I427" i="10" s="1"/>
  <c r="K427" i="10" s="1"/>
  <c r="J27" i="14"/>
  <c r="E27" i="14"/>
  <c r="G27" i="14" s="1"/>
  <c r="E32" i="14"/>
  <c r="G32" i="14" s="1"/>
  <c r="J32" i="14" s="1"/>
  <c r="K45" i="9"/>
  <c r="I48" i="10" s="1"/>
  <c r="K48" i="10" s="1"/>
  <c r="K21" i="9"/>
  <c r="I24" i="10" s="1"/>
  <c r="K24" i="10" s="1"/>
  <c r="K29" i="9"/>
  <c r="I32" i="10" s="1"/>
  <c r="K32" i="10" s="1"/>
  <c r="K107" i="9"/>
  <c r="I110" i="10" s="1"/>
  <c r="K110" i="10" s="1"/>
  <c r="K266" i="9"/>
  <c r="I269" i="10" s="1"/>
  <c r="K269" i="10" s="1"/>
  <c r="K112" i="9"/>
  <c r="I115" i="10" s="1"/>
  <c r="K115" i="10" s="1"/>
  <c r="K342" i="9"/>
  <c r="I345" i="10" s="1"/>
  <c r="K22" i="9"/>
  <c r="I25" i="10" s="1"/>
  <c r="K25" i="10" s="1"/>
  <c r="K150" i="9"/>
  <c r="I153" i="10" s="1"/>
  <c r="K153" i="10" s="1"/>
  <c r="K323" i="9"/>
  <c r="I326" i="10" s="1"/>
  <c r="K326" i="10" s="1"/>
  <c r="K129" i="9"/>
  <c r="I132" i="10" s="1"/>
  <c r="K132" i="10" s="1"/>
  <c r="K20" i="9"/>
  <c r="I23" i="10" s="1"/>
  <c r="K23" i="10" s="1"/>
  <c r="K148" i="9"/>
  <c r="I151" i="10" s="1"/>
  <c r="K151" i="10" s="1"/>
  <c r="K235" i="9"/>
  <c r="I238" i="10" s="1"/>
  <c r="K238" i="10" s="1"/>
  <c r="K103" i="9"/>
  <c r="I106" i="10" s="1"/>
  <c r="K106" i="10" s="1"/>
  <c r="K194" i="9"/>
  <c r="I197" i="10" s="1"/>
  <c r="K197" i="10" s="1"/>
  <c r="K98" i="9"/>
  <c r="I101" i="10" s="1"/>
  <c r="K101" i="10" s="1"/>
  <c r="K299" i="9"/>
  <c r="I302" i="10" s="1"/>
  <c r="K302" i="10" s="1"/>
  <c r="K289" i="9"/>
  <c r="I292" i="10" s="1"/>
  <c r="K292" i="10" s="1"/>
  <c r="K420" i="9"/>
  <c r="I423" i="10" s="1"/>
  <c r="K423" i="10" s="1"/>
  <c r="K292" i="9"/>
  <c r="I295" i="10" s="1"/>
  <c r="K295" i="10" s="1"/>
  <c r="K223" i="9"/>
  <c r="I226" i="10" s="1"/>
  <c r="K226" i="10" s="1"/>
  <c r="K351" i="9"/>
  <c r="I354" i="10" s="1"/>
  <c r="K237" i="9"/>
  <c r="I240" i="10" s="1"/>
  <c r="K240" i="10" s="1"/>
  <c r="K365" i="9"/>
  <c r="I368" i="10" s="1"/>
  <c r="K368" i="10" s="1"/>
  <c r="K312" i="9"/>
  <c r="I315" i="10" s="1"/>
  <c r="K315" i="10" s="1"/>
  <c r="K432" i="9"/>
  <c r="I435" i="10" s="1"/>
  <c r="K435" i="10" s="1"/>
  <c r="D64" i="14"/>
  <c r="E23" i="14"/>
  <c r="G23" i="14" s="1"/>
  <c r="J23" i="14" s="1"/>
  <c r="E35" i="14"/>
  <c r="G35" i="14" s="1"/>
  <c r="J35" i="14" s="1"/>
  <c r="E440" i="9"/>
  <c r="K77" i="9"/>
  <c r="I80" i="10" s="1"/>
  <c r="K80" i="10" s="1"/>
  <c r="K61" i="9"/>
  <c r="I64" i="10" s="1"/>
  <c r="K64" i="10" s="1"/>
  <c r="K115" i="9"/>
  <c r="I118" i="10" s="1"/>
  <c r="K118" i="10" s="1"/>
  <c r="K139" i="9"/>
  <c r="I142" i="10" s="1"/>
  <c r="K142" i="10" s="1"/>
  <c r="K346" i="9"/>
  <c r="I349" i="10" s="1"/>
  <c r="K120" i="9"/>
  <c r="I123" i="10" s="1"/>
  <c r="K123" i="10" s="1"/>
  <c r="K371" i="9"/>
  <c r="I374" i="10" s="1"/>
  <c r="K374" i="10" s="1"/>
  <c r="K30" i="9"/>
  <c r="I33" i="10" s="1"/>
  <c r="K33" i="10" s="1"/>
  <c r="K158" i="9"/>
  <c r="I161" i="10" s="1"/>
  <c r="K161" i="10" s="1"/>
  <c r="K331" i="9"/>
  <c r="I334" i="10" s="1"/>
  <c r="K334" i="10" s="1"/>
  <c r="K137" i="9"/>
  <c r="I140" i="10" s="1"/>
  <c r="K140" i="10" s="1"/>
  <c r="K28" i="9"/>
  <c r="I31" i="10" s="1"/>
  <c r="K31" i="10" s="1"/>
  <c r="K156" i="9"/>
  <c r="I159" i="10" s="1"/>
  <c r="K159" i="10" s="1"/>
  <c r="K258" i="9"/>
  <c r="I261" i="10" s="1"/>
  <c r="K261" i="10" s="1"/>
  <c r="K111" i="9"/>
  <c r="I114" i="10" s="1"/>
  <c r="K114" i="10" s="1"/>
  <c r="K282" i="9"/>
  <c r="I285" i="10" s="1"/>
  <c r="K285" i="10" s="1"/>
  <c r="K106" i="9"/>
  <c r="I109" i="10" s="1"/>
  <c r="K109" i="10" s="1"/>
  <c r="K306" i="9"/>
  <c r="I309" i="10" s="1"/>
  <c r="K309" i="10" s="1"/>
  <c r="K297" i="9"/>
  <c r="I300" i="10" s="1"/>
  <c r="K300" i="10" s="1"/>
  <c r="K423" i="9"/>
  <c r="I426" i="10" s="1"/>
  <c r="K426" i="10" s="1"/>
  <c r="K300" i="9"/>
  <c r="I303" i="10" s="1"/>
  <c r="K303" i="10" s="1"/>
  <c r="K231" i="9"/>
  <c r="I234" i="10" s="1"/>
  <c r="K234" i="10" s="1"/>
  <c r="K359" i="9"/>
  <c r="I362" i="10" s="1"/>
  <c r="K245" i="9"/>
  <c r="I248" i="10" s="1"/>
  <c r="K248" i="10" s="1"/>
  <c r="K373" i="9"/>
  <c r="I376" i="10" s="1"/>
  <c r="K376" i="10" s="1"/>
  <c r="K320" i="9"/>
  <c r="I323" i="10" s="1"/>
  <c r="K323" i="10" s="1"/>
  <c r="K427" i="9"/>
  <c r="I430" i="10" s="1"/>
  <c r="K430" i="10" s="1"/>
  <c r="E30" i="14"/>
  <c r="C63" i="14"/>
  <c r="B63" i="14"/>
  <c r="E43" i="14"/>
  <c r="G43" i="14" s="1"/>
  <c r="J43" i="14" s="1"/>
  <c r="E40" i="14"/>
  <c r="C64" i="14"/>
  <c r="B64" i="14"/>
  <c r="J26" i="14"/>
  <c r="E26" i="14"/>
  <c r="G26" i="14" s="1"/>
  <c r="E19" i="14"/>
  <c r="G19" i="14" s="1"/>
  <c r="J19" i="14" s="1"/>
  <c r="K99" i="9"/>
  <c r="I102" i="10" s="1"/>
  <c r="K102" i="10" s="1"/>
  <c r="K91" i="9"/>
  <c r="I94" i="10" s="1"/>
  <c r="K94" i="10" s="1"/>
  <c r="K147" i="9"/>
  <c r="I150" i="10" s="1"/>
  <c r="K150" i="10" s="1"/>
  <c r="K171" i="9"/>
  <c r="I174" i="10" s="1"/>
  <c r="K174" i="10" s="1"/>
  <c r="K350" i="9"/>
  <c r="I353" i="10" s="1"/>
  <c r="K128" i="9"/>
  <c r="I131" i="10" s="1"/>
  <c r="K131" i="10" s="1"/>
  <c r="K290" i="9"/>
  <c r="I293" i="10" s="1"/>
  <c r="K293" i="10" s="1"/>
  <c r="K38" i="9"/>
  <c r="I41" i="10" s="1"/>
  <c r="K41" i="10" s="1"/>
  <c r="K166" i="9"/>
  <c r="I169" i="10" s="1"/>
  <c r="K169" i="10" s="1"/>
  <c r="K17" i="9"/>
  <c r="I20" i="10" s="1"/>
  <c r="K20" i="10" s="1"/>
  <c r="K145" i="9"/>
  <c r="I148" i="10" s="1"/>
  <c r="K148" i="10" s="1"/>
  <c r="K36" i="9"/>
  <c r="I39" i="10" s="1"/>
  <c r="K39" i="10" s="1"/>
  <c r="K164" i="9"/>
  <c r="I167" i="10" s="1"/>
  <c r="K167" i="10" s="1"/>
  <c r="K302" i="9"/>
  <c r="I305" i="10" s="1"/>
  <c r="K305" i="10" s="1"/>
  <c r="K119" i="9"/>
  <c r="I122" i="10" s="1"/>
  <c r="K122" i="10" s="1"/>
  <c r="K378" i="9"/>
  <c r="I381" i="10" s="1"/>
  <c r="K381" i="10" s="1"/>
  <c r="K114" i="9"/>
  <c r="I117" i="10" s="1"/>
  <c r="K117" i="10" s="1"/>
  <c r="K370" i="9"/>
  <c r="I373" i="10" s="1"/>
  <c r="K373" i="10" s="1"/>
  <c r="K305" i="9"/>
  <c r="I308" i="10" s="1"/>
  <c r="K308" i="10" s="1"/>
  <c r="K426" i="9"/>
  <c r="I429" i="10" s="1"/>
  <c r="K429" i="10" s="1"/>
  <c r="K308" i="9"/>
  <c r="I311" i="10" s="1"/>
  <c r="K311" i="10" s="1"/>
  <c r="K239" i="9"/>
  <c r="I242" i="10" s="1"/>
  <c r="K242" i="10" s="1"/>
  <c r="K367" i="9"/>
  <c r="I370" i="10" s="1"/>
  <c r="K370" i="10" s="1"/>
  <c r="K253" i="9"/>
  <c r="I256" i="10" s="1"/>
  <c r="K256" i="10" s="1"/>
  <c r="K381" i="9"/>
  <c r="I384" i="10" s="1"/>
  <c r="K384" i="10" s="1"/>
  <c r="K328" i="9"/>
  <c r="I331" i="10" s="1"/>
  <c r="K331" i="10" s="1"/>
  <c r="K422" i="9"/>
  <c r="I425" i="10" s="1"/>
  <c r="K425" i="10" s="1"/>
  <c r="F66" i="14"/>
  <c r="C66" i="14"/>
  <c r="E52" i="14"/>
  <c r="B66" i="14"/>
  <c r="G37" i="14"/>
  <c r="J37" i="14" s="1"/>
  <c r="J17" i="15"/>
  <c r="K131" i="9"/>
  <c r="I134" i="10" s="1"/>
  <c r="K134" i="10" s="1"/>
  <c r="K123" i="9"/>
  <c r="I126" i="10" s="1"/>
  <c r="K126" i="10" s="1"/>
  <c r="K179" i="9"/>
  <c r="I182" i="10" s="1"/>
  <c r="K182" i="10" s="1"/>
  <c r="K243" i="9"/>
  <c r="I246" i="10" s="1"/>
  <c r="K246" i="10" s="1"/>
  <c r="K379" i="9"/>
  <c r="I382" i="10" s="1"/>
  <c r="K382" i="10" s="1"/>
  <c r="K136" i="9"/>
  <c r="I139" i="10" s="1"/>
  <c r="K139" i="10" s="1"/>
  <c r="K307" i="9"/>
  <c r="I310" i="10" s="1"/>
  <c r="K310" i="10" s="1"/>
  <c r="K46" i="9"/>
  <c r="I49" i="10" s="1"/>
  <c r="K49" i="10" s="1"/>
  <c r="K174" i="9"/>
  <c r="I177" i="10" s="1"/>
  <c r="K177" i="10" s="1"/>
  <c r="K25" i="9"/>
  <c r="I28" i="10" s="1"/>
  <c r="K28" i="10" s="1"/>
  <c r="K153" i="9"/>
  <c r="I156" i="10" s="1"/>
  <c r="K156" i="10" s="1"/>
  <c r="K44" i="9"/>
  <c r="I47" i="10" s="1"/>
  <c r="K47" i="10" s="1"/>
  <c r="K172" i="9"/>
  <c r="I175" i="10" s="1"/>
  <c r="K175" i="10" s="1"/>
  <c r="K394" i="9"/>
  <c r="I397" i="10" s="1"/>
  <c r="K397" i="10" s="1"/>
  <c r="K127" i="9"/>
  <c r="I130" i="10" s="1"/>
  <c r="K130" i="10" s="1"/>
  <c r="K382" i="9"/>
  <c r="I385" i="10" s="1"/>
  <c r="K385" i="10" s="1"/>
  <c r="K122" i="9"/>
  <c r="I125" i="10" s="1"/>
  <c r="K125" i="10" s="1"/>
  <c r="K374" i="9"/>
  <c r="I377" i="10" s="1"/>
  <c r="K377" i="10" s="1"/>
  <c r="K313" i="9"/>
  <c r="I316" i="10" s="1"/>
  <c r="K316" i="10" s="1"/>
  <c r="K429" i="9"/>
  <c r="I432" i="10" s="1"/>
  <c r="K432" i="10" s="1"/>
  <c r="K316" i="9"/>
  <c r="I319" i="10" s="1"/>
  <c r="K319" i="10" s="1"/>
  <c r="K247" i="9"/>
  <c r="I250" i="10" s="1"/>
  <c r="K250" i="10" s="1"/>
  <c r="K375" i="9"/>
  <c r="I378" i="10" s="1"/>
  <c r="K378" i="10" s="1"/>
  <c r="K261" i="9"/>
  <c r="I264" i="10" s="1"/>
  <c r="K264" i="10" s="1"/>
  <c r="K389" i="9"/>
  <c r="I392" i="10" s="1"/>
  <c r="K392" i="10" s="1"/>
  <c r="K336" i="9"/>
  <c r="I339" i="10" s="1"/>
  <c r="K339" i="10" s="1"/>
  <c r="K430" i="9"/>
  <c r="I433" i="10" s="1"/>
  <c r="K433" i="10" s="1"/>
  <c r="G7" i="16"/>
  <c r="E48" i="14"/>
  <c r="J48" i="14"/>
  <c r="C65" i="14"/>
  <c r="B65" i="14"/>
  <c r="E42" i="14"/>
  <c r="G42" i="14" s="1"/>
  <c r="J42" i="14" s="1"/>
  <c r="D65" i="14"/>
  <c r="K163" i="9"/>
  <c r="I166" i="10" s="1"/>
  <c r="K166" i="10" s="1"/>
  <c r="K155" i="9"/>
  <c r="I158" i="10" s="1"/>
  <c r="K158" i="10" s="1"/>
  <c r="K326" i="9"/>
  <c r="I329" i="10" s="1"/>
  <c r="K329" i="10" s="1"/>
  <c r="K354" i="9"/>
  <c r="I357" i="10" s="1"/>
  <c r="K16" i="9"/>
  <c r="I19" i="10" s="1"/>
  <c r="K19" i="10" s="1"/>
  <c r="K144" i="9"/>
  <c r="I147" i="10" s="1"/>
  <c r="K147" i="10" s="1"/>
  <c r="K318" i="9"/>
  <c r="I321" i="10" s="1"/>
  <c r="K321" i="10" s="1"/>
  <c r="K54" i="9"/>
  <c r="I57" i="10" s="1"/>
  <c r="K57" i="10" s="1"/>
  <c r="K182" i="9"/>
  <c r="I185" i="10" s="1"/>
  <c r="K185" i="10" s="1"/>
  <c r="K33" i="9"/>
  <c r="I36" i="10" s="1"/>
  <c r="K36" i="10" s="1"/>
  <c r="K161" i="9"/>
  <c r="I164" i="10" s="1"/>
  <c r="K164" i="10" s="1"/>
  <c r="K52" i="9"/>
  <c r="I55" i="10" s="1"/>
  <c r="K55" i="10" s="1"/>
  <c r="K180" i="9"/>
  <c r="I183" i="10" s="1"/>
  <c r="K183" i="10" s="1"/>
  <c r="K398" i="9"/>
  <c r="I401" i="10" s="1"/>
  <c r="K401" i="10" s="1"/>
  <c r="K135" i="9"/>
  <c r="I138" i="10" s="1"/>
  <c r="K138" i="10" s="1"/>
  <c r="K411" i="9"/>
  <c r="I414" i="10" s="1"/>
  <c r="K414" i="10" s="1"/>
  <c r="K130" i="9"/>
  <c r="I133" i="10" s="1"/>
  <c r="K133" i="10" s="1"/>
  <c r="K403" i="9"/>
  <c r="I406" i="10" s="1"/>
  <c r="K406" i="10" s="1"/>
  <c r="K321" i="9"/>
  <c r="I324" i="10" s="1"/>
  <c r="K324" i="10" s="1"/>
  <c r="K196" i="9"/>
  <c r="I199" i="10" s="1"/>
  <c r="K199" i="10" s="1"/>
  <c r="K324" i="9"/>
  <c r="I327" i="10" s="1"/>
  <c r="K327" i="10" s="1"/>
  <c r="K255" i="9"/>
  <c r="I258" i="10" s="1"/>
  <c r="K258" i="10" s="1"/>
  <c r="K383" i="9"/>
  <c r="I386" i="10" s="1"/>
  <c r="K386" i="10" s="1"/>
  <c r="K269" i="9"/>
  <c r="I272" i="10" s="1"/>
  <c r="K272" i="10" s="1"/>
  <c r="K397" i="9"/>
  <c r="I400" i="10" s="1"/>
  <c r="K400" i="10" s="1"/>
  <c r="K344" i="9"/>
  <c r="I347" i="10" s="1"/>
  <c r="K417" i="9"/>
  <c r="I420" i="10" s="1"/>
  <c r="K420" i="10" s="1"/>
  <c r="E18" i="14"/>
  <c r="G18" i="14" s="1"/>
  <c r="J18" i="14" s="1"/>
  <c r="J49" i="14"/>
  <c r="E49" i="14"/>
  <c r="G49" i="14" s="1"/>
  <c r="E56" i="14"/>
  <c r="G56" i="14" s="1"/>
  <c r="J56" i="14" s="1"/>
  <c r="J50" i="14"/>
  <c r="E50" i="14"/>
  <c r="G50" i="14" s="1"/>
  <c r="E45" i="14"/>
  <c r="G45" i="14" s="1"/>
  <c r="J45" i="14" s="1"/>
  <c r="K209" i="9"/>
  <c r="I212" i="10" s="1"/>
  <c r="K212" i="10" s="1"/>
  <c r="K187" i="9"/>
  <c r="I190" i="10" s="1"/>
  <c r="K190" i="10" s="1"/>
  <c r="K75" i="9"/>
  <c r="I78" i="10" s="1"/>
  <c r="K78" i="10" s="1"/>
  <c r="K85" i="9"/>
  <c r="I88" i="10" s="1"/>
  <c r="K88" i="10" s="1"/>
  <c r="K24" i="9"/>
  <c r="I27" i="10" s="1"/>
  <c r="K27" i="10" s="1"/>
  <c r="K152" i="9"/>
  <c r="I155" i="10" s="1"/>
  <c r="K155" i="10" s="1"/>
  <c r="K322" i="9"/>
  <c r="I325" i="10" s="1"/>
  <c r="K325" i="10" s="1"/>
  <c r="K62" i="9"/>
  <c r="I65" i="10" s="1"/>
  <c r="K65" i="10" s="1"/>
  <c r="K216" i="9"/>
  <c r="I219" i="10" s="1"/>
  <c r="K219" i="10" s="1"/>
  <c r="K41" i="9"/>
  <c r="I44" i="10" s="1"/>
  <c r="K44" i="10" s="1"/>
  <c r="K169" i="9"/>
  <c r="I172" i="10" s="1"/>
  <c r="K172" i="10" s="1"/>
  <c r="K60" i="9"/>
  <c r="I63" i="10" s="1"/>
  <c r="K63" i="10" s="1"/>
  <c r="K188" i="9"/>
  <c r="I191" i="10" s="1"/>
  <c r="K191" i="10" s="1"/>
  <c r="K15" i="9"/>
  <c r="I18" i="10" s="1"/>
  <c r="K18" i="10" s="1"/>
  <c r="K143" i="9"/>
  <c r="I146" i="10" s="1"/>
  <c r="K146" i="10" s="1"/>
  <c r="E439" i="9"/>
  <c r="K10" i="9"/>
  <c r="K138" i="9"/>
  <c r="I141" i="10" s="1"/>
  <c r="K141" i="10" s="1"/>
  <c r="K242" i="9"/>
  <c r="I245" i="10" s="1"/>
  <c r="K245" i="10" s="1"/>
  <c r="K329" i="9"/>
  <c r="I332" i="10" s="1"/>
  <c r="K332" i="10" s="1"/>
  <c r="K204" i="9"/>
  <c r="I207" i="10" s="1"/>
  <c r="K207" i="10" s="1"/>
  <c r="K332" i="9"/>
  <c r="I335" i="10" s="1"/>
  <c r="K335" i="10" s="1"/>
  <c r="K263" i="9"/>
  <c r="I266" i="10" s="1"/>
  <c r="K266" i="10" s="1"/>
  <c r="K391" i="9"/>
  <c r="I394" i="10" s="1"/>
  <c r="K394" i="10" s="1"/>
  <c r="K277" i="9"/>
  <c r="I280" i="10" s="1"/>
  <c r="K280" i="10" s="1"/>
  <c r="K405" i="9"/>
  <c r="I408" i="10" s="1"/>
  <c r="K408" i="10" s="1"/>
  <c r="K352" i="9"/>
  <c r="I355" i="10" s="1"/>
  <c r="K425" i="9"/>
  <c r="I428" i="10" s="1"/>
  <c r="K428" i="10" s="1"/>
  <c r="E31" i="14"/>
  <c r="G31" i="14" s="1"/>
  <c r="J31" i="14" s="1"/>
  <c r="F63" i="14"/>
  <c r="E21" i="14"/>
  <c r="G21" i="14" s="1"/>
  <c r="J21" i="14" s="1"/>
  <c r="E36" i="14"/>
  <c r="G36" i="14" s="1"/>
  <c r="J36" i="14" s="1"/>
  <c r="K355" i="9"/>
  <c r="I358" i="10" s="1"/>
  <c r="K215" i="9"/>
  <c r="I218" i="10" s="1"/>
  <c r="K218" i="10" s="1"/>
  <c r="K207" i="9"/>
  <c r="I210" i="10" s="1"/>
  <c r="K210" i="10" s="1"/>
  <c r="K27" i="9"/>
  <c r="I30" i="10" s="1"/>
  <c r="K30" i="10" s="1"/>
  <c r="K32" i="9"/>
  <c r="I35" i="10" s="1"/>
  <c r="K35" i="10" s="1"/>
  <c r="K160" i="9"/>
  <c r="I163" i="10" s="1"/>
  <c r="K163" i="10" s="1"/>
  <c r="K330" i="9"/>
  <c r="I333" i="10" s="1"/>
  <c r="K333" i="10" s="1"/>
  <c r="K70" i="9"/>
  <c r="I73" i="10" s="1"/>
  <c r="K73" i="10" s="1"/>
  <c r="K219" i="9"/>
  <c r="I222" i="10" s="1"/>
  <c r="K222" i="10" s="1"/>
  <c r="K49" i="9"/>
  <c r="I52" i="10" s="1"/>
  <c r="K52" i="10" s="1"/>
  <c r="K177" i="9"/>
  <c r="I180" i="10" s="1"/>
  <c r="K180" i="10" s="1"/>
  <c r="K68" i="9"/>
  <c r="I71" i="10" s="1"/>
  <c r="K71" i="10" s="1"/>
  <c r="K208" i="9"/>
  <c r="I211" i="10" s="1"/>
  <c r="K211" i="10" s="1"/>
  <c r="K23" i="9"/>
  <c r="I26" i="10" s="1"/>
  <c r="K26" i="10" s="1"/>
  <c r="K151" i="9"/>
  <c r="I154" i="10" s="1"/>
  <c r="K154" i="10" s="1"/>
  <c r="K18" i="9"/>
  <c r="I21" i="10" s="1"/>
  <c r="K21" i="10" s="1"/>
  <c r="K146" i="9"/>
  <c r="I149" i="10" s="1"/>
  <c r="K149" i="10" s="1"/>
  <c r="K362" i="9"/>
  <c r="I365" i="10" s="1"/>
  <c r="K337" i="9"/>
  <c r="I340" i="10" s="1"/>
  <c r="K340" i="10" s="1"/>
  <c r="K212" i="9"/>
  <c r="I215" i="10" s="1"/>
  <c r="K215" i="10" s="1"/>
  <c r="K340" i="9"/>
  <c r="I343" i="10" s="1"/>
  <c r="K271" i="9"/>
  <c r="I274" i="10" s="1"/>
  <c r="K274" i="10" s="1"/>
  <c r="K399" i="9"/>
  <c r="I402" i="10" s="1"/>
  <c r="K402" i="10" s="1"/>
  <c r="K285" i="9"/>
  <c r="I288" i="10" s="1"/>
  <c r="K288" i="10" s="1"/>
  <c r="K413" i="9"/>
  <c r="I416" i="10" s="1"/>
  <c r="K416" i="10" s="1"/>
  <c r="K360" i="9"/>
  <c r="I363" i="10" s="1"/>
  <c r="K433" i="9"/>
  <c r="I436" i="10" s="1"/>
  <c r="K436" i="10" s="1"/>
  <c r="E34" i="14"/>
  <c r="G34" i="14" s="1"/>
  <c r="J34" i="14" s="1"/>
  <c r="E33" i="14"/>
  <c r="G33" i="14" s="1"/>
  <c r="J33" i="14" s="1"/>
  <c r="K69" i="9"/>
  <c r="I72" i="10" s="1"/>
  <c r="K72" i="10" s="1"/>
  <c r="K310" i="9"/>
  <c r="I313" i="10" s="1"/>
  <c r="K313" i="10" s="1"/>
  <c r="K51" i="9"/>
  <c r="I54" i="10" s="1"/>
  <c r="K54" i="10" s="1"/>
  <c r="K117" i="9"/>
  <c r="I120" i="10" s="1"/>
  <c r="K120" i="10" s="1"/>
  <c r="K40" i="9"/>
  <c r="I43" i="10" s="1"/>
  <c r="K43" i="10" s="1"/>
  <c r="K168" i="9"/>
  <c r="I171" i="10" s="1"/>
  <c r="K171" i="10" s="1"/>
  <c r="K334" i="9"/>
  <c r="I337" i="10" s="1"/>
  <c r="K337" i="10" s="1"/>
  <c r="K78" i="9"/>
  <c r="I81" i="10" s="1"/>
  <c r="K81" i="10" s="1"/>
  <c r="K222" i="9"/>
  <c r="I225" i="10" s="1"/>
  <c r="K225" i="10" s="1"/>
  <c r="K57" i="9"/>
  <c r="I60" i="10" s="1"/>
  <c r="K60" i="10" s="1"/>
  <c r="K185" i="9"/>
  <c r="I188" i="10" s="1"/>
  <c r="K188" i="10" s="1"/>
  <c r="K76" i="9"/>
  <c r="I79" i="10" s="1"/>
  <c r="K79" i="10" s="1"/>
  <c r="K211" i="9"/>
  <c r="I214" i="10" s="1"/>
  <c r="K214" i="10" s="1"/>
  <c r="K31" i="9"/>
  <c r="I34" i="10" s="1"/>
  <c r="K34" i="10" s="1"/>
  <c r="K159" i="9"/>
  <c r="I162" i="10" s="1"/>
  <c r="K162" i="10" s="1"/>
  <c r="K26" i="9"/>
  <c r="I29" i="10" s="1"/>
  <c r="K29" i="10" s="1"/>
  <c r="K154" i="9"/>
  <c r="I157" i="10" s="1"/>
  <c r="K157" i="10" s="1"/>
  <c r="K366" i="9"/>
  <c r="I369" i="10" s="1"/>
  <c r="K369" i="10" s="1"/>
  <c r="K345" i="9"/>
  <c r="I348" i="10" s="1"/>
  <c r="K220" i="9"/>
  <c r="I223" i="10" s="1"/>
  <c r="K223" i="10" s="1"/>
  <c r="K348" i="9"/>
  <c r="I351" i="10" s="1"/>
  <c r="K279" i="9"/>
  <c r="I282" i="10" s="1"/>
  <c r="K282" i="10" s="1"/>
  <c r="K407" i="9"/>
  <c r="I410" i="10" s="1"/>
  <c r="K410" i="10" s="1"/>
  <c r="K293" i="9"/>
  <c r="I296" i="10" s="1"/>
  <c r="K296" i="10" s="1"/>
  <c r="K431" i="9"/>
  <c r="I434" i="10" s="1"/>
  <c r="K434" i="10" s="1"/>
  <c r="K368" i="9"/>
  <c r="I371" i="10" s="1"/>
  <c r="K371" i="10" s="1"/>
  <c r="D63" i="14"/>
  <c r="E55" i="14"/>
  <c r="G55" i="14" s="1"/>
  <c r="J55" i="14" s="1"/>
  <c r="E20" i="14"/>
  <c r="G20" i="14" s="1"/>
  <c r="J20" i="14" s="1"/>
  <c r="I17" i="15"/>
  <c r="K230" i="9"/>
  <c r="I233" i="10" s="1"/>
  <c r="K233" i="10" s="1"/>
  <c r="K387" i="9"/>
  <c r="I390" i="10" s="1"/>
  <c r="K390" i="10" s="1"/>
  <c r="K19" i="9"/>
  <c r="I22" i="10" s="1"/>
  <c r="K22" i="10" s="1"/>
  <c r="K149" i="9"/>
  <c r="I152" i="10" s="1"/>
  <c r="K152" i="10" s="1"/>
  <c r="K48" i="9"/>
  <c r="I51" i="10" s="1"/>
  <c r="K51" i="10" s="1"/>
  <c r="K176" i="9"/>
  <c r="I179" i="10" s="1"/>
  <c r="K179" i="10" s="1"/>
  <c r="K363" i="9"/>
  <c r="K86" i="9"/>
  <c r="I89" i="10" s="1"/>
  <c r="K89" i="10" s="1"/>
  <c r="K234" i="9"/>
  <c r="I237" i="10" s="1"/>
  <c r="K237" i="10" s="1"/>
  <c r="K65" i="9"/>
  <c r="I68" i="10" s="1"/>
  <c r="K68" i="10" s="1"/>
  <c r="K199" i="9"/>
  <c r="I202" i="10" s="1"/>
  <c r="K202" i="10" s="1"/>
  <c r="K84" i="9"/>
  <c r="I87" i="10" s="1"/>
  <c r="K87" i="10" s="1"/>
  <c r="K214" i="9"/>
  <c r="I217" i="10" s="1"/>
  <c r="K217" i="10" s="1"/>
  <c r="K39" i="9"/>
  <c r="I42" i="10" s="1"/>
  <c r="K42" i="10" s="1"/>
  <c r="K167" i="9"/>
  <c r="I170" i="10" s="1"/>
  <c r="K170" i="10" s="1"/>
  <c r="K34" i="9"/>
  <c r="I37" i="10" s="1"/>
  <c r="K37" i="10" s="1"/>
  <c r="K162" i="9"/>
  <c r="I165" i="10" s="1"/>
  <c r="K165" i="10" s="1"/>
  <c r="K395" i="9"/>
  <c r="I398" i="10" s="1"/>
  <c r="K398" i="10" s="1"/>
  <c r="K353" i="9"/>
  <c r="I356" i="10" s="1"/>
  <c r="K228" i="9"/>
  <c r="I231" i="10" s="1"/>
  <c r="K231" i="10" s="1"/>
  <c r="K356" i="9"/>
  <c r="I359" i="10" s="1"/>
  <c r="K287" i="9"/>
  <c r="I290" i="10" s="1"/>
  <c r="K290" i="10" s="1"/>
  <c r="K415" i="9"/>
  <c r="I418" i="10" s="1"/>
  <c r="K418" i="10" s="1"/>
  <c r="K301" i="9"/>
  <c r="I304" i="10" s="1"/>
  <c r="K304" i="10" s="1"/>
  <c r="K248" i="9"/>
  <c r="I251" i="10" s="1"/>
  <c r="K251" i="10" s="1"/>
  <c r="K376" i="9"/>
  <c r="I379" i="10" s="1"/>
  <c r="K379" i="10" s="1"/>
  <c r="E17" i="14"/>
  <c r="G17" i="14" s="1"/>
  <c r="J17" i="14" s="1"/>
  <c r="K35" i="9"/>
  <c r="I38" i="10" s="1"/>
  <c r="K38" i="10" s="1"/>
  <c r="K11" i="9"/>
  <c r="I14" i="10" s="1"/>
  <c r="K14" i="10" s="1"/>
  <c r="K67" i="9"/>
  <c r="I70" i="10" s="1"/>
  <c r="K70" i="10" s="1"/>
  <c r="K181" i="9"/>
  <c r="I184" i="10" s="1"/>
  <c r="K184" i="10" s="1"/>
  <c r="K56" i="9"/>
  <c r="I59" i="10" s="1"/>
  <c r="K59" i="10" s="1"/>
  <c r="K184" i="9"/>
  <c r="I187" i="10" s="1"/>
  <c r="K187" i="10" s="1"/>
  <c r="K421" i="9"/>
  <c r="I424" i="10" s="1"/>
  <c r="K424" i="10" s="1"/>
  <c r="K94" i="9"/>
  <c r="I97" i="10" s="1"/>
  <c r="K97" i="10" s="1"/>
  <c r="K267" i="9"/>
  <c r="I270" i="10" s="1"/>
  <c r="K270" i="10" s="1"/>
  <c r="K73" i="9"/>
  <c r="I76" i="10" s="1"/>
  <c r="K76" i="10" s="1"/>
  <c r="K254" i="9"/>
  <c r="I257" i="10" s="1"/>
  <c r="K257" i="10" s="1"/>
  <c r="K92" i="9"/>
  <c r="I95" i="10" s="1"/>
  <c r="K95" i="10" s="1"/>
  <c r="K238" i="9"/>
  <c r="I241" i="10" s="1"/>
  <c r="K241" i="10" s="1"/>
  <c r="K47" i="9"/>
  <c r="I50" i="10" s="1"/>
  <c r="K50" i="10" s="1"/>
  <c r="K175" i="9"/>
  <c r="I178" i="10" s="1"/>
  <c r="K178" i="10" s="1"/>
  <c r="K42" i="9"/>
  <c r="I45" i="10" s="1"/>
  <c r="K45" i="10" s="1"/>
  <c r="K170" i="9"/>
  <c r="I173" i="10" s="1"/>
  <c r="K173" i="10" s="1"/>
  <c r="K419" i="9"/>
  <c r="I422" i="10" s="1"/>
  <c r="K422" i="10" s="1"/>
  <c r="K361" i="9"/>
  <c r="I364" i="10" s="1"/>
  <c r="K236" i="9"/>
  <c r="I239" i="10" s="1"/>
  <c r="K239" i="10" s="1"/>
  <c r="K364" i="9"/>
  <c r="I367" i="10" s="1"/>
  <c r="K367" i="10" s="1"/>
  <c r="K295" i="9"/>
  <c r="I298" i="10" s="1"/>
  <c r="K298" i="10" s="1"/>
  <c r="K418" i="9"/>
  <c r="I421" i="10" s="1"/>
  <c r="K421" i="10" s="1"/>
  <c r="K309" i="9"/>
  <c r="I312" i="10" s="1"/>
  <c r="K312" i="10" s="1"/>
  <c r="K256" i="9"/>
  <c r="I259" i="10" s="1"/>
  <c r="K259" i="10" s="1"/>
  <c r="K384" i="9"/>
  <c r="I387" i="10" s="1"/>
  <c r="K387" i="10" s="1"/>
  <c r="D67" i="14" l="1"/>
  <c r="A25" i="15"/>
  <c r="A29" i="15"/>
  <c r="A36" i="15"/>
  <c r="A38" i="15"/>
  <c r="A26" i="15"/>
  <c r="A30" i="15"/>
  <c r="A37" i="15"/>
  <c r="A32" i="15"/>
  <c r="A35" i="15"/>
  <c r="A28" i="15"/>
  <c r="A27" i="15"/>
  <c r="A22" i="15"/>
  <c r="A31" i="15"/>
  <c r="A33" i="15"/>
  <c r="A34" i="15"/>
  <c r="A24" i="15"/>
  <c r="A39" i="15"/>
  <c r="A23" i="15"/>
  <c r="F67" i="14"/>
  <c r="I67" i="14"/>
  <c r="N420" i="10"/>
  <c r="M420" i="10"/>
  <c r="L420" i="10"/>
  <c r="AA409" i="14" s="1"/>
  <c r="L173" i="10"/>
  <c r="AA162" i="14" s="1"/>
  <c r="N173" i="10"/>
  <c r="M173" i="10"/>
  <c r="L38" i="10"/>
  <c r="AA27" i="14" s="1"/>
  <c r="N38" i="10"/>
  <c r="M38" i="10"/>
  <c r="L217" i="10"/>
  <c r="AA206" i="14" s="1"/>
  <c r="N217" i="10"/>
  <c r="M217" i="10"/>
  <c r="N214" i="10"/>
  <c r="M214" i="10"/>
  <c r="L214" i="10"/>
  <c r="AA203" i="14" s="1"/>
  <c r="L71" i="10"/>
  <c r="AA60" i="14" s="1"/>
  <c r="N71" i="10"/>
  <c r="M71" i="10"/>
  <c r="N146" i="10"/>
  <c r="M146" i="10"/>
  <c r="L146" i="10"/>
  <c r="AA135" i="14" s="1"/>
  <c r="L199" i="10"/>
  <c r="AA188" i="14" s="1"/>
  <c r="N199" i="10"/>
  <c r="M199" i="10"/>
  <c r="M264" i="10"/>
  <c r="L264" i="10"/>
  <c r="AA253" i="14" s="1"/>
  <c r="N264" i="10"/>
  <c r="L49" i="10"/>
  <c r="AA38" i="14" s="1"/>
  <c r="N49" i="10"/>
  <c r="M49" i="10"/>
  <c r="L305" i="10"/>
  <c r="AA294" i="14" s="1"/>
  <c r="N305" i="10"/>
  <c r="M305" i="10"/>
  <c r="M374" i="10"/>
  <c r="L374" i="10"/>
  <c r="AA363" i="14" s="1"/>
  <c r="N374" i="10"/>
  <c r="N240" i="10"/>
  <c r="M240" i="10"/>
  <c r="L240" i="10"/>
  <c r="L25" i="10"/>
  <c r="AA14" i="14" s="1"/>
  <c r="N25" i="10"/>
  <c r="M25" i="10"/>
  <c r="L341" i="10"/>
  <c r="AA330" i="14" s="1"/>
  <c r="M341" i="10"/>
  <c r="N341" i="10"/>
  <c r="L279" i="10"/>
  <c r="AA268" i="14" s="1"/>
  <c r="M279" i="10"/>
  <c r="N279" i="10"/>
  <c r="N230" i="10"/>
  <c r="M230" i="10"/>
  <c r="L230" i="10"/>
  <c r="L271" i="10"/>
  <c r="AA260" i="14" s="1"/>
  <c r="N271" i="10"/>
  <c r="M271" i="10"/>
  <c r="L227" i="10"/>
  <c r="N227" i="10"/>
  <c r="M227" i="10"/>
  <c r="L301" i="10"/>
  <c r="AA290" i="14" s="1"/>
  <c r="M301" i="10"/>
  <c r="N301" i="10"/>
  <c r="L383" i="10"/>
  <c r="AA372" i="14" s="1"/>
  <c r="M383" i="10"/>
  <c r="N383" i="10"/>
  <c r="L75" i="10"/>
  <c r="M75" i="10"/>
  <c r="N75" i="10"/>
  <c r="M186" i="10"/>
  <c r="L186" i="10"/>
  <c r="AA175" i="14" s="1"/>
  <c r="N186" i="10"/>
  <c r="L231" i="10"/>
  <c r="N231" i="10"/>
  <c r="M231" i="10"/>
  <c r="N210" i="10"/>
  <c r="L210" i="10"/>
  <c r="AA199" i="14" s="1"/>
  <c r="M210" i="10"/>
  <c r="L87" i="10"/>
  <c r="AA76" i="14" s="1"/>
  <c r="M87" i="10"/>
  <c r="N87" i="10"/>
  <c r="M436" i="10"/>
  <c r="N436" i="10"/>
  <c r="L436" i="10"/>
  <c r="AA425" i="14" s="1"/>
  <c r="N180" i="10"/>
  <c r="M180" i="10"/>
  <c r="L180" i="10"/>
  <c r="AA169" i="14" s="1"/>
  <c r="N18" i="10"/>
  <c r="L18" i="10"/>
  <c r="AA7" i="14" s="1"/>
  <c r="M18" i="10"/>
  <c r="N324" i="10"/>
  <c r="M324" i="10"/>
  <c r="L324" i="10"/>
  <c r="AA313" i="14" s="1"/>
  <c r="L329" i="10"/>
  <c r="AA318" i="14" s="1"/>
  <c r="M329" i="10"/>
  <c r="N329" i="10"/>
  <c r="N378" i="10"/>
  <c r="M378" i="10"/>
  <c r="L378" i="10"/>
  <c r="AA367" i="14" s="1"/>
  <c r="N310" i="10"/>
  <c r="M310" i="10"/>
  <c r="L310" i="10"/>
  <c r="AA299" i="14" s="1"/>
  <c r="L167" i="10"/>
  <c r="AA156" i="14" s="1"/>
  <c r="N167" i="10"/>
  <c r="M167" i="10"/>
  <c r="M234" i="10"/>
  <c r="L234" i="10"/>
  <c r="N234" i="10"/>
  <c r="L123" i="10"/>
  <c r="AA112" i="14" s="1"/>
  <c r="N123" i="10"/>
  <c r="M123" i="10"/>
  <c r="L415" i="10"/>
  <c r="AA404" i="14" s="1"/>
  <c r="N415" i="10"/>
  <c r="M415" i="10"/>
  <c r="L107" i="10"/>
  <c r="AA96" i="14" s="1"/>
  <c r="M107" i="10"/>
  <c r="N107" i="10"/>
  <c r="L404" i="10"/>
  <c r="AA393" i="14" s="1"/>
  <c r="N404" i="10"/>
  <c r="M404" i="10"/>
  <c r="M40" i="10"/>
  <c r="N40" i="10"/>
  <c r="L40" i="10"/>
  <c r="AA29" i="14" s="1"/>
  <c r="N396" i="10"/>
  <c r="M396" i="10"/>
  <c r="L396" i="10"/>
  <c r="AA385" i="14" s="1"/>
  <c r="L411" i="10"/>
  <c r="AA400" i="14" s="1"/>
  <c r="M411" i="10"/>
  <c r="N411" i="10"/>
  <c r="L100" i="10"/>
  <c r="AA89" i="14" s="1"/>
  <c r="M100" i="10"/>
  <c r="N100" i="10"/>
  <c r="L255" i="10"/>
  <c r="AA244" i="14" s="1"/>
  <c r="M255" i="10"/>
  <c r="N255" i="10"/>
  <c r="L195" i="10"/>
  <c r="AA184" i="14" s="1"/>
  <c r="N195" i="10"/>
  <c r="M195" i="10"/>
  <c r="L58" i="10"/>
  <c r="AA47" i="14" s="1"/>
  <c r="N58" i="10"/>
  <c r="M58" i="10"/>
  <c r="N304" i="10"/>
  <c r="L304" i="10"/>
  <c r="AA293" i="14" s="1"/>
  <c r="M304" i="10"/>
  <c r="L45" i="10"/>
  <c r="AA34" i="14" s="1"/>
  <c r="N45" i="10"/>
  <c r="M45" i="10"/>
  <c r="L79" i="10"/>
  <c r="AA68" i="14" s="1"/>
  <c r="N79" i="10"/>
  <c r="M79" i="10"/>
  <c r="N178" i="10"/>
  <c r="M178" i="10"/>
  <c r="L178" i="10"/>
  <c r="AA167" i="14" s="1"/>
  <c r="N202" i="10"/>
  <c r="M202" i="10"/>
  <c r="L202" i="10"/>
  <c r="AA191" i="14" s="1"/>
  <c r="N188" i="10"/>
  <c r="M188" i="10"/>
  <c r="L188" i="10"/>
  <c r="AA177" i="14" s="1"/>
  <c r="M52" i="10"/>
  <c r="L52" i="10"/>
  <c r="AA41" i="14" s="1"/>
  <c r="N52" i="10"/>
  <c r="L191" i="10"/>
  <c r="AA180" i="14" s="1"/>
  <c r="N191" i="10"/>
  <c r="M191" i="10"/>
  <c r="M406" i="10"/>
  <c r="L406" i="10"/>
  <c r="AA395" i="14" s="1"/>
  <c r="N406" i="10"/>
  <c r="N158" i="10"/>
  <c r="M158" i="10"/>
  <c r="L158" i="10"/>
  <c r="AA147" i="14" s="1"/>
  <c r="M250" i="10"/>
  <c r="L250" i="10"/>
  <c r="AA239" i="14" s="1"/>
  <c r="N250" i="10"/>
  <c r="L139" i="10"/>
  <c r="AA128" i="14" s="1"/>
  <c r="M139" i="10"/>
  <c r="N139" i="10"/>
  <c r="L39" i="10"/>
  <c r="AA28" i="14" s="1"/>
  <c r="N39" i="10"/>
  <c r="M39" i="10"/>
  <c r="L303" i="10"/>
  <c r="AA292" i="14" s="1"/>
  <c r="N303" i="10"/>
  <c r="M303" i="10"/>
  <c r="N226" i="10"/>
  <c r="L226" i="10"/>
  <c r="M226" i="10"/>
  <c r="L115" i="10"/>
  <c r="AA104" i="14" s="1"/>
  <c r="M115" i="10"/>
  <c r="N115" i="10"/>
  <c r="L287" i="10"/>
  <c r="AA276" i="14" s="1"/>
  <c r="N287" i="10"/>
  <c r="M287" i="10"/>
  <c r="N236" i="10"/>
  <c r="M236" i="10"/>
  <c r="L236" i="10"/>
  <c r="N276" i="10"/>
  <c r="M276" i="10"/>
  <c r="L276" i="10"/>
  <c r="AA265" i="14" s="1"/>
  <c r="M168" i="10"/>
  <c r="L168" i="10"/>
  <c r="AA157" i="14" s="1"/>
  <c r="N168" i="10"/>
  <c r="N268" i="10"/>
  <c r="M268" i="10"/>
  <c r="L268" i="10"/>
  <c r="AA257" i="14" s="1"/>
  <c r="M136" i="10"/>
  <c r="L136" i="10"/>
  <c r="AA125" i="14" s="1"/>
  <c r="N136" i="10"/>
  <c r="L283" i="10"/>
  <c r="AA272" i="14" s="1"/>
  <c r="N283" i="10"/>
  <c r="M283" i="10"/>
  <c r="I342" i="10"/>
  <c r="E450" i="9"/>
  <c r="N380" i="10"/>
  <c r="M380" i="10"/>
  <c r="L380" i="10"/>
  <c r="AA369" i="14" s="1"/>
  <c r="M128" i="10"/>
  <c r="L128" i="10"/>
  <c r="AA117" i="14" s="1"/>
  <c r="N128" i="10"/>
  <c r="N254" i="10"/>
  <c r="M254" i="10"/>
  <c r="L254" i="10"/>
  <c r="AA243" i="14" s="1"/>
  <c r="L371" i="10"/>
  <c r="AA360" i="14" s="1"/>
  <c r="N371" i="10"/>
  <c r="M371" i="10"/>
  <c r="M60" i="10"/>
  <c r="L60" i="10"/>
  <c r="AA49" i="14" s="1"/>
  <c r="N60" i="10"/>
  <c r="N416" i="10"/>
  <c r="M416" i="10"/>
  <c r="L416" i="10"/>
  <c r="AA405" i="14" s="1"/>
  <c r="N222" i="10"/>
  <c r="M222" i="10"/>
  <c r="L222" i="10"/>
  <c r="N428" i="10"/>
  <c r="M428" i="10"/>
  <c r="L428" i="10"/>
  <c r="AA417" i="14" s="1"/>
  <c r="L63" i="10"/>
  <c r="AA52" i="14" s="1"/>
  <c r="M63" i="10"/>
  <c r="N63" i="10"/>
  <c r="L133" i="10"/>
  <c r="AA122" i="14" s="1"/>
  <c r="N133" i="10"/>
  <c r="M133" i="10"/>
  <c r="L166" i="10"/>
  <c r="AA155" i="14" s="1"/>
  <c r="N166" i="10"/>
  <c r="M166" i="10"/>
  <c r="L319" i="10"/>
  <c r="AA308" i="14" s="1"/>
  <c r="N319" i="10"/>
  <c r="M319" i="10"/>
  <c r="N382" i="10"/>
  <c r="M382" i="10"/>
  <c r="L382" i="10"/>
  <c r="AA371" i="14" s="1"/>
  <c r="N425" i="10"/>
  <c r="M425" i="10"/>
  <c r="L425" i="10"/>
  <c r="AA414" i="14" s="1"/>
  <c r="N148" i="10"/>
  <c r="M148" i="10"/>
  <c r="L148" i="10"/>
  <c r="AA137" i="14" s="1"/>
  <c r="N426" i="10"/>
  <c r="M426" i="10"/>
  <c r="L426" i="10"/>
  <c r="AA415" i="14" s="1"/>
  <c r="N142" i="10"/>
  <c r="M142" i="10"/>
  <c r="L142" i="10"/>
  <c r="AA131" i="14" s="1"/>
  <c r="L295" i="10"/>
  <c r="AA284" i="14" s="1"/>
  <c r="N295" i="10"/>
  <c r="M295" i="10"/>
  <c r="L269" i="10"/>
  <c r="AA258" i="14" s="1"/>
  <c r="M269" i="10"/>
  <c r="N269" i="10"/>
  <c r="N412" i="10"/>
  <c r="M412" i="10"/>
  <c r="L412" i="10"/>
  <c r="AA401" i="14" s="1"/>
  <c r="N62" i="10"/>
  <c r="M62" i="10"/>
  <c r="L62" i="10"/>
  <c r="AA51" i="14" s="1"/>
  <c r="L209" i="10"/>
  <c r="AA198" i="14" s="1"/>
  <c r="M209" i="10"/>
  <c r="N209" i="10"/>
  <c r="N204" i="10"/>
  <c r="M204" i="10"/>
  <c r="L204" i="10"/>
  <c r="AA193" i="14" s="1"/>
  <c r="N206" i="10"/>
  <c r="M206" i="10"/>
  <c r="L206" i="10"/>
  <c r="AA195" i="14" s="1"/>
  <c r="N176" i="10"/>
  <c r="M176" i="10"/>
  <c r="L176" i="10"/>
  <c r="AA165" i="14" s="1"/>
  <c r="N336" i="10"/>
  <c r="M336" i="10"/>
  <c r="L336" i="10"/>
  <c r="AA325" i="14" s="1"/>
  <c r="L121" i="10"/>
  <c r="AA110" i="14" s="1"/>
  <c r="N121" i="10"/>
  <c r="M121" i="10"/>
  <c r="N252" i="10"/>
  <c r="M252" i="10"/>
  <c r="L252" i="10"/>
  <c r="AA241" i="14" s="1"/>
  <c r="N86" i="10"/>
  <c r="M86" i="10"/>
  <c r="L86" i="10"/>
  <c r="AA75" i="14" s="1"/>
  <c r="L103" i="10"/>
  <c r="AA92" i="14" s="1"/>
  <c r="M103" i="10"/>
  <c r="N103" i="10"/>
  <c r="L241" i="10"/>
  <c r="AA230" i="14" s="1"/>
  <c r="M241" i="10"/>
  <c r="N241" i="10"/>
  <c r="L251" i="10"/>
  <c r="AA240" i="14" s="1"/>
  <c r="N251" i="10"/>
  <c r="M251" i="10"/>
  <c r="L237" i="10"/>
  <c r="N237" i="10"/>
  <c r="M237" i="10"/>
  <c r="N434" i="10"/>
  <c r="L434" i="10"/>
  <c r="AA423" i="14" s="1"/>
  <c r="M434" i="10"/>
  <c r="L225" i="10"/>
  <c r="M225" i="10"/>
  <c r="N225" i="10"/>
  <c r="N288" i="10"/>
  <c r="M288" i="10"/>
  <c r="L288" i="10"/>
  <c r="AA277" i="14" s="1"/>
  <c r="L73" i="10"/>
  <c r="AA62" i="14" s="1"/>
  <c r="M73" i="10"/>
  <c r="N73" i="10"/>
  <c r="N172" i="10"/>
  <c r="M172" i="10"/>
  <c r="L172" i="10"/>
  <c r="AA161" i="14" s="1"/>
  <c r="N414" i="10"/>
  <c r="M414" i="10"/>
  <c r="L414" i="10"/>
  <c r="AA403" i="14" s="1"/>
  <c r="M432" i="10"/>
  <c r="N432" i="10"/>
  <c r="L432" i="10"/>
  <c r="AA421" i="14" s="1"/>
  <c r="N246" i="10"/>
  <c r="M246" i="10"/>
  <c r="L246" i="10"/>
  <c r="AA235" i="14" s="1"/>
  <c r="L331" i="10"/>
  <c r="AA320" i="14" s="1"/>
  <c r="N331" i="10"/>
  <c r="M331" i="10"/>
  <c r="M20" i="10"/>
  <c r="N20" i="10"/>
  <c r="L20" i="10"/>
  <c r="AA9" i="14" s="1"/>
  <c r="L300" i="10"/>
  <c r="AA289" i="14" s="1"/>
  <c r="N300" i="10"/>
  <c r="M300" i="10"/>
  <c r="N118" i="10"/>
  <c r="M118" i="10"/>
  <c r="L118" i="10"/>
  <c r="AA107" i="14" s="1"/>
  <c r="M423" i="10"/>
  <c r="L423" i="10"/>
  <c r="AA412" i="14" s="1"/>
  <c r="N423" i="10"/>
  <c r="N110" i="10"/>
  <c r="L110" i="10"/>
  <c r="AA99" i="14" s="1"/>
  <c r="M110" i="10"/>
  <c r="L284" i="10"/>
  <c r="AA273" i="14" s="1"/>
  <c r="N284" i="10"/>
  <c r="M284" i="10"/>
  <c r="L289" i="10"/>
  <c r="AA278" i="14" s="1"/>
  <c r="N289" i="10"/>
  <c r="M289" i="10"/>
  <c r="L85" i="10"/>
  <c r="AA74" i="14" s="1"/>
  <c r="N85" i="10"/>
  <c r="M85" i="10"/>
  <c r="L77" i="10"/>
  <c r="AA66" i="14" s="1"/>
  <c r="N77" i="10"/>
  <c r="M77" i="10"/>
  <c r="G14" i="14"/>
  <c r="E62" i="14"/>
  <c r="N208" i="10"/>
  <c r="M208" i="10"/>
  <c r="L208" i="10"/>
  <c r="AA197" i="14" s="1"/>
  <c r="L243" i="10"/>
  <c r="AA232" i="14" s="1"/>
  <c r="N243" i="10"/>
  <c r="M243" i="10"/>
  <c r="L189" i="10"/>
  <c r="AA178" i="14" s="1"/>
  <c r="N189" i="10"/>
  <c r="M189" i="10"/>
  <c r="M112" i="10"/>
  <c r="L112" i="10"/>
  <c r="AA101" i="14" s="1"/>
  <c r="N112" i="10"/>
  <c r="L294" i="10"/>
  <c r="AA283" i="14" s="1"/>
  <c r="N294" i="10"/>
  <c r="M294" i="10"/>
  <c r="N138" i="10"/>
  <c r="M138" i="10"/>
  <c r="L138" i="10"/>
  <c r="AA127" i="14" s="1"/>
  <c r="L316" i="10"/>
  <c r="AA305" i="14" s="1"/>
  <c r="N316" i="10"/>
  <c r="M316" i="10"/>
  <c r="N182" i="10"/>
  <c r="M182" i="10"/>
  <c r="L182" i="10"/>
  <c r="AA171" i="14" s="1"/>
  <c r="N384" i="10"/>
  <c r="M384" i="10"/>
  <c r="L384" i="10"/>
  <c r="AA373" i="14" s="1"/>
  <c r="L169" i="10"/>
  <c r="M169" i="10"/>
  <c r="N169" i="10"/>
  <c r="E64" i="14"/>
  <c r="G40" i="14"/>
  <c r="L309" i="10"/>
  <c r="AA298" i="14" s="1"/>
  <c r="M309" i="10"/>
  <c r="N309" i="10"/>
  <c r="N64" i="10"/>
  <c r="M64" i="10"/>
  <c r="L64" i="10"/>
  <c r="AA53" i="14" s="1"/>
  <c r="N292" i="10"/>
  <c r="M292" i="10"/>
  <c r="L292" i="10"/>
  <c r="AA281" i="14" s="1"/>
  <c r="N32" i="10"/>
  <c r="M32" i="10"/>
  <c r="L32" i="10"/>
  <c r="AA21" i="14" s="1"/>
  <c r="L265" i="10"/>
  <c r="AA254" i="14" s="1"/>
  <c r="N265" i="10"/>
  <c r="M265" i="10"/>
  <c r="L273" i="10"/>
  <c r="AA262" i="14" s="1"/>
  <c r="N273" i="10"/>
  <c r="M273" i="10"/>
  <c r="L389" i="10"/>
  <c r="M389" i="10"/>
  <c r="N389" i="10"/>
  <c r="M278" i="10"/>
  <c r="L278" i="10"/>
  <c r="AA267" i="14" s="1"/>
  <c r="N278" i="10"/>
  <c r="N322" i="10"/>
  <c r="L322" i="10"/>
  <c r="AA311" i="14" s="1"/>
  <c r="M322" i="10"/>
  <c r="L249" i="10"/>
  <c r="AA238" i="14" s="1"/>
  <c r="N249" i="10"/>
  <c r="M249" i="10"/>
  <c r="L61" i="10"/>
  <c r="AA50" i="14" s="1"/>
  <c r="N61" i="10"/>
  <c r="M61" i="10"/>
  <c r="L395" i="10"/>
  <c r="AA384" i="14" s="1"/>
  <c r="N395" i="10"/>
  <c r="M395" i="10"/>
  <c r="M84" i="10"/>
  <c r="N84" i="10"/>
  <c r="L84" i="10"/>
  <c r="AA73" i="14" s="1"/>
  <c r="M402" i="10"/>
  <c r="L402" i="10"/>
  <c r="AA391" i="14" s="1"/>
  <c r="N402" i="10"/>
  <c r="L333" i="10"/>
  <c r="AA322" i="14" s="1"/>
  <c r="M333" i="10"/>
  <c r="N333" i="10"/>
  <c r="N408" i="10"/>
  <c r="M408" i="10"/>
  <c r="L408" i="10"/>
  <c r="M44" i="10"/>
  <c r="N44" i="10"/>
  <c r="L44" i="10"/>
  <c r="AA33" i="14" s="1"/>
  <c r="L257" i="10"/>
  <c r="AA246" i="14" s="1"/>
  <c r="M257" i="10"/>
  <c r="N257" i="10"/>
  <c r="L418" i="10"/>
  <c r="AA407" i="14" s="1"/>
  <c r="N418" i="10"/>
  <c r="M418" i="10"/>
  <c r="I366" i="10"/>
  <c r="K366" i="10" s="1"/>
  <c r="E448" i="9"/>
  <c r="N410" i="10"/>
  <c r="M410" i="10"/>
  <c r="L410" i="10"/>
  <c r="AA399" i="14" s="1"/>
  <c r="L337" i="10"/>
  <c r="AA326" i="14" s="1"/>
  <c r="N337" i="10"/>
  <c r="M337" i="10"/>
  <c r="N274" i="10"/>
  <c r="M274" i="10"/>
  <c r="L274" i="10"/>
  <c r="AA263" i="14" s="1"/>
  <c r="L163" i="10"/>
  <c r="AA152" i="14" s="1"/>
  <c r="N163" i="10"/>
  <c r="M163" i="10"/>
  <c r="N280" i="10"/>
  <c r="M280" i="10"/>
  <c r="L280" i="10"/>
  <c r="AA269" i="14" s="1"/>
  <c r="L219" i="10"/>
  <c r="AA208" i="14" s="1"/>
  <c r="N219" i="10"/>
  <c r="M219" i="10"/>
  <c r="L401" i="10"/>
  <c r="AA390" i="14" s="1"/>
  <c r="N401" i="10"/>
  <c r="M401" i="10"/>
  <c r="L377" i="10"/>
  <c r="AA366" i="14" s="1"/>
  <c r="N377" i="10"/>
  <c r="M377" i="10"/>
  <c r="N126" i="10"/>
  <c r="M126" i="10"/>
  <c r="L126" i="10"/>
  <c r="AA115" i="14" s="1"/>
  <c r="N256" i="10"/>
  <c r="M256" i="10"/>
  <c r="L256" i="10"/>
  <c r="AA245" i="14" s="1"/>
  <c r="L41" i="10"/>
  <c r="AA30" i="14" s="1"/>
  <c r="N41" i="10"/>
  <c r="M41" i="10"/>
  <c r="L109" i="10"/>
  <c r="AA98" i="14" s="1"/>
  <c r="N109" i="10"/>
  <c r="M109" i="10"/>
  <c r="M80" i="10"/>
  <c r="N80" i="10"/>
  <c r="L80" i="10"/>
  <c r="AA69" i="14" s="1"/>
  <c r="M302" i="10"/>
  <c r="N302" i="10"/>
  <c r="L302" i="10"/>
  <c r="AA291" i="14" s="1"/>
  <c r="N24" i="10"/>
  <c r="M24" i="10"/>
  <c r="L24" i="10"/>
  <c r="AA13" i="14" s="1"/>
  <c r="L93" i="10"/>
  <c r="AA82" i="14" s="1"/>
  <c r="N93" i="10"/>
  <c r="M93" i="10"/>
  <c r="N16" i="10"/>
  <c r="L16" i="10"/>
  <c r="AA5" i="14" s="1"/>
  <c r="M16" i="10"/>
  <c r="L90" i="10"/>
  <c r="AA79" i="14" s="1"/>
  <c r="N90" i="10"/>
  <c r="M90" i="10"/>
  <c r="N82" i="10"/>
  <c r="L82" i="10"/>
  <c r="AA71" i="14" s="1"/>
  <c r="M82" i="10"/>
  <c r="B67" i="14"/>
  <c r="L391" i="10"/>
  <c r="AA380" i="14" s="1"/>
  <c r="N391" i="10"/>
  <c r="M391" i="10"/>
  <c r="L83" i="10"/>
  <c r="AA72" i="14" s="1"/>
  <c r="N83" i="10"/>
  <c r="M83" i="10"/>
  <c r="I220" i="10"/>
  <c r="K220" i="10" s="1"/>
  <c r="E449" i="9"/>
  <c r="L267" i="10"/>
  <c r="N267" i="10"/>
  <c r="M267" i="10"/>
  <c r="L297" i="10"/>
  <c r="AA286" i="14" s="1"/>
  <c r="N297" i="10"/>
  <c r="M297" i="10"/>
  <c r="L89" i="10"/>
  <c r="AA78" i="14" s="1"/>
  <c r="N89" i="10"/>
  <c r="M89" i="10"/>
  <c r="L387" i="10"/>
  <c r="AA376" i="14" s="1"/>
  <c r="N387" i="10"/>
  <c r="M387" i="10"/>
  <c r="M76" i="10"/>
  <c r="N76" i="10"/>
  <c r="L76" i="10"/>
  <c r="AA65" i="14" s="1"/>
  <c r="N282" i="10"/>
  <c r="M282" i="10"/>
  <c r="L282" i="10"/>
  <c r="AA271" i="14" s="1"/>
  <c r="N394" i="10"/>
  <c r="M394" i="10"/>
  <c r="L394" i="10"/>
  <c r="AA383" i="14" s="1"/>
  <c r="L65" i="10"/>
  <c r="AA54" i="14" s="1"/>
  <c r="N65" i="10"/>
  <c r="M65" i="10"/>
  <c r="L183" i="10"/>
  <c r="AA172" i="14" s="1"/>
  <c r="M183" i="10"/>
  <c r="N183" i="10"/>
  <c r="L125" i="10"/>
  <c r="AA114" i="14" s="1"/>
  <c r="N125" i="10"/>
  <c r="M125" i="10"/>
  <c r="L134" i="10"/>
  <c r="AA123" i="14" s="1"/>
  <c r="N134" i="10"/>
  <c r="M134" i="10"/>
  <c r="M370" i="10"/>
  <c r="L370" i="10"/>
  <c r="AA359" i="14" s="1"/>
  <c r="N370" i="10"/>
  <c r="L293" i="10"/>
  <c r="AA282" i="14" s="1"/>
  <c r="N293" i="10"/>
  <c r="M293" i="10"/>
  <c r="L285" i="10"/>
  <c r="AA274" i="14" s="1"/>
  <c r="M285" i="10"/>
  <c r="N285" i="10"/>
  <c r="L101" i="10"/>
  <c r="AA90" i="14" s="1"/>
  <c r="N101" i="10"/>
  <c r="M101" i="10"/>
  <c r="M48" i="10"/>
  <c r="N48" i="10"/>
  <c r="L48" i="10"/>
  <c r="AA37" i="14" s="1"/>
  <c r="L393" i="10"/>
  <c r="AA382" i="14" s="1"/>
  <c r="N393" i="10"/>
  <c r="M393" i="10"/>
  <c r="L194" i="10"/>
  <c r="N194" i="10"/>
  <c r="M194" i="10"/>
  <c r="L409" i="10"/>
  <c r="AA398" i="14" s="1"/>
  <c r="N409" i="10"/>
  <c r="M409" i="10"/>
  <c r="C67" i="14"/>
  <c r="L263" i="10"/>
  <c r="AA252" i="14" s="1"/>
  <c r="N263" i="10"/>
  <c r="M263" i="10"/>
  <c r="L221" i="10"/>
  <c r="N221" i="10"/>
  <c r="M221" i="10"/>
  <c r="N66" i="10"/>
  <c r="M66" i="10"/>
  <c r="L66" i="10"/>
  <c r="AA55" i="14" s="1"/>
  <c r="N320" i="10"/>
  <c r="M320" i="10"/>
  <c r="L320" i="10"/>
  <c r="AA309" i="14" s="1"/>
  <c r="L105" i="10"/>
  <c r="AA94" i="14" s="1"/>
  <c r="N105" i="10"/>
  <c r="M105" i="10"/>
  <c r="M296" i="10"/>
  <c r="N296" i="10"/>
  <c r="L296" i="10"/>
  <c r="AA285" i="14" s="1"/>
  <c r="L81" i="10"/>
  <c r="AA70" i="14" s="1"/>
  <c r="M81" i="10"/>
  <c r="N81" i="10"/>
  <c r="N290" i="10"/>
  <c r="M290" i="10"/>
  <c r="L290" i="10"/>
  <c r="AA279" i="14" s="1"/>
  <c r="L179" i="10"/>
  <c r="AA168" i="14" s="1"/>
  <c r="M179" i="10"/>
  <c r="N179" i="10"/>
  <c r="L171" i="10"/>
  <c r="AA160" i="14" s="1"/>
  <c r="N171" i="10"/>
  <c r="M171" i="10"/>
  <c r="L35" i="10"/>
  <c r="AA24" i="14" s="1"/>
  <c r="M35" i="10"/>
  <c r="N35" i="10"/>
  <c r="L259" i="10"/>
  <c r="AA248" i="14" s="1"/>
  <c r="N259" i="10"/>
  <c r="M259" i="10"/>
  <c r="N270" i="10"/>
  <c r="M270" i="10"/>
  <c r="L270" i="10"/>
  <c r="AA259" i="14" s="1"/>
  <c r="L51" i="10"/>
  <c r="N51" i="10"/>
  <c r="M51" i="10"/>
  <c r="L43" i="10"/>
  <c r="AA32" i="14" s="1"/>
  <c r="N43" i="10"/>
  <c r="M43" i="10"/>
  <c r="L215" i="10"/>
  <c r="AA204" i="14" s="1"/>
  <c r="N215" i="10"/>
  <c r="M215" i="10"/>
  <c r="N30" i="10"/>
  <c r="M30" i="10"/>
  <c r="L30" i="10"/>
  <c r="AA19" i="14" s="1"/>
  <c r="M266" i="10"/>
  <c r="L266" i="10"/>
  <c r="AA255" i="14" s="1"/>
  <c r="N266" i="10"/>
  <c r="L325" i="10"/>
  <c r="AA314" i="14" s="1"/>
  <c r="M325" i="10"/>
  <c r="N325" i="10"/>
  <c r="L55" i="10"/>
  <c r="AA44" i="14" s="1"/>
  <c r="M55" i="10"/>
  <c r="N55" i="10"/>
  <c r="L385" i="10"/>
  <c r="AA374" i="14" s="1"/>
  <c r="M385" i="10"/>
  <c r="N385" i="10"/>
  <c r="N242" i="10"/>
  <c r="L242" i="10"/>
  <c r="M242" i="10"/>
  <c r="L131" i="10"/>
  <c r="AA120" i="14" s="1"/>
  <c r="N131" i="10"/>
  <c r="M131" i="10"/>
  <c r="N114" i="10"/>
  <c r="M114" i="10"/>
  <c r="L114" i="10"/>
  <c r="AA103" i="14" s="1"/>
  <c r="L197" i="10"/>
  <c r="AA186" i="14" s="1"/>
  <c r="N197" i="10"/>
  <c r="M197" i="10"/>
  <c r="N98" i="10"/>
  <c r="M98" i="10"/>
  <c r="L98" i="10"/>
  <c r="AA87" i="14" s="1"/>
  <c r="L135" i="10"/>
  <c r="AA124" i="14" s="1"/>
  <c r="N135" i="10"/>
  <c r="M135" i="10"/>
  <c r="L127" i="10"/>
  <c r="AA116" i="14" s="1"/>
  <c r="M127" i="10"/>
  <c r="N127" i="10"/>
  <c r="N388" i="10"/>
  <c r="M388" i="10"/>
  <c r="L388" i="10"/>
  <c r="AA377" i="14" s="1"/>
  <c r="N160" i="10"/>
  <c r="M160" i="10"/>
  <c r="L160" i="10"/>
  <c r="AA149" i="14" s="1"/>
  <c r="L281" i="10"/>
  <c r="AA270" i="14" s="1"/>
  <c r="N281" i="10"/>
  <c r="M281" i="10"/>
  <c r="N192" i="10"/>
  <c r="M192" i="10"/>
  <c r="L192" i="10"/>
  <c r="AA181" i="14" s="1"/>
  <c r="L193" i="10"/>
  <c r="AA182" i="14" s="1"/>
  <c r="N193" i="10"/>
  <c r="M193" i="10"/>
  <c r="N312" i="10"/>
  <c r="M312" i="10"/>
  <c r="L312" i="10"/>
  <c r="AA301" i="14" s="1"/>
  <c r="N340" i="10"/>
  <c r="L340" i="10"/>
  <c r="AA329" i="14" s="1"/>
  <c r="M340" i="10"/>
  <c r="L311" i="10"/>
  <c r="AA300" i="14" s="1"/>
  <c r="M311" i="10"/>
  <c r="N311" i="10"/>
  <c r="N106" i="10"/>
  <c r="M106" i="10"/>
  <c r="L106" i="10"/>
  <c r="AA95" i="14" s="1"/>
  <c r="L235" i="10"/>
  <c r="N235" i="10"/>
  <c r="M235" i="10"/>
  <c r="N417" i="10"/>
  <c r="L417" i="10"/>
  <c r="AA406" i="14" s="1"/>
  <c r="M417" i="10"/>
  <c r="L413" i="10"/>
  <c r="AA402" i="14" s="1"/>
  <c r="N413" i="10"/>
  <c r="M413" i="10"/>
  <c r="N260" i="10"/>
  <c r="M260" i="10"/>
  <c r="L260" i="10"/>
  <c r="AA249" i="14" s="1"/>
  <c r="M104" i="10"/>
  <c r="L104" i="10"/>
  <c r="AA93" i="14" s="1"/>
  <c r="N104" i="10"/>
  <c r="L111" i="10"/>
  <c r="AA100" i="14" s="1"/>
  <c r="N111" i="10"/>
  <c r="M111" i="10"/>
  <c r="M306" i="10"/>
  <c r="N306" i="10"/>
  <c r="L306" i="10"/>
  <c r="AA295" i="14" s="1"/>
  <c r="L198" i="10"/>
  <c r="AA187" i="14" s="1"/>
  <c r="N198" i="10"/>
  <c r="M198" i="10"/>
  <c r="L379" i="10"/>
  <c r="AA368" i="14" s="1"/>
  <c r="N379" i="10"/>
  <c r="M379" i="10"/>
  <c r="L223" i="10"/>
  <c r="M223" i="10"/>
  <c r="N223" i="10"/>
  <c r="L130" i="10"/>
  <c r="AA119" i="14" s="1"/>
  <c r="N130" i="10"/>
  <c r="M130" i="10"/>
  <c r="N421" i="10"/>
  <c r="L421" i="10"/>
  <c r="AA410" i="14" s="1"/>
  <c r="M421" i="10"/>
  <c r="M424" i="10"/>
  <c r="N424" i="10"/>
  <c r="L424" i="10"/>
  <c r="AA413" i="14" s="1"/>
  <c r="N22" i="10"/>
  <c r="M22" i="10"/>
  <c r="L22" i="10"/>
  <c r="AA11" i="14" s="1"/>
  <c r="N54" i="10"/>
  <c r="M54" i="10"/>
  <c r="L54" i="10"/>
  <c r="AA43" i="14" s="1"/>
  <c r="M218" i="10"/>
  <c r="L218" i="10"/>
  <c r="AA207" i="14" s="1"/>
  <c r="N218" i="10"/>
  <c r="L207" i="10"/>
  <c r="AA196" i="14" s="1"/>
  <c r="M207" i="10"/>
  <c r="N207" i="10"/>
  <c r="L27" i="10"/>
  <c r="AA16" i="14" s="1"/>
  <c r="M27" i="10"/>
  <c r="N27" i="10"/>
  <c r="N36" i="10"/>
  <c r="M36" i="10"/>
  <c r="L36" i="10"/>
  <c r="AA25" i="14" s="1"/>
  <c r="L397" i="10"/>
  <c r="AA386" i="14" s="1"/>
  <c r="N397" i="10"/>
  <c r="M397" i="10"/>
  <c r="L429" i="10"/>
  <c r="AA418" i="14" s="1"/>
  <c r="N429" i="10"/>
  <c r="M429" i="10"/>
  <c r="N174" i="10"/>
  <c r="M174" i="10"/>
  <c r="L174" i="10"/>
  <c r="AA163" i="14" s="1"/>
  <c r="L159" i="10"/>
  <c r="AA148" i="14" s="1"/>
  <c r="N159" i="10"/>
  <c r="M159" i="10"/>
  <c r="N238" i="10"/>
  <c r="M238" i="10"/>
  <c r="L238" i="10"/>
  <c r="L143" i="10"/>
  <c r="N143" i="10"/>
  <c r="M143" i="10"/>
  <c r="M431" i="10"/>
  <c r="L431" i="10"/>
  <c r="AA420" i="14" s="1"/>
  <c r="N431" i="10"/>
  <c r="N116" i="10"/>
  <c r="M116" i="10"/>
  <c r="L116" i="10"/>
  <c r="AA105" i="14" s="1"/>
  <c r="M419" i="10"/>
  <c r="N419" i="10"/>
  <c r="L419" i="10"/>
  <c r="AA408" i="14" s="1"/>
  <c r="N108" i="10"/>
  <c r="M108" i="10"/>
  <c r="L108" i="10"/>
  <c r="AA97" i="14" s="1"/>
  <c r="L203" i="10"/>
  <c r="AA192" i="14" s="1"/>
  <c r="N203" i="10"/>
  <c r="M203" i="10"/>
  <c r="N144" i="10"/>
  <c r="M144" i="10"/>
  <c r="L144" i="10"/>
  <c r="AA133" i="14" s="1"/>
  <c r="L205" i="10"/>
  <c r="AA194" i="14" s="1"/>
  <c r="N205" i="10"/>
  <c r="M205" i="10"/>
  <c r="L375" i="10"/>
  <c r="AA364" i="14" s="1"/>
  <c r="N375" i="10"/>
  <c r="M375" i="10"/>
  <c r="L67" i="10"/>
  <c r="AA56" i="14" s="1"/>
  <c r="M67" i="10"/>
  <c r="N67" i="10"/>
  <c r="L95" i="10"/>
  <c r="AA84" i="14" s="1"/>
  <c r="M95" i="10"/>
  <c r="N95" i="10"/>
  <c r="N152" i="10"/>
  <c r="L152" i="10"/>
  <c r="AA141" i="14" s="1"/>
  <c r="M152" i="10"/>
  <c r="N390" i="10"/>
  <c r="M390" i="10"/>
  <c r="L390" i="10"/>
  <c r="AA379" i="14" s="1"/>
  <c r="L149" i="10"/>
  <c r="AA138" i="14" s="1"/>
  <c r="N149" i="10"/>
  <c r="M149" i="10"/>
  <c r="L332" i="10"/>
  <c r="AA321" i="14" s="1"/>
  <c r="N332" i="10"/>
  <c r="M332" i="10"/>
  <c r="N88" i="10"/>
  <c r="M88" i="10"/>
  <c r="L88" i="10"/>
  <c r="AA77" i="14" s="1"/>
  <c r="L400" i="10"/>
  <c r="AA389" i="14" s="1"/>
  <c r="N400" i="10"/>
  <c r="M400" i="10"/>
  <c r="L185" i="10"/>
  <c r="AA174" i="14" s="1"/>
  <c r="N185" i="10"/>
  <c r="M185" i="10"/>
  <c r="E65" i="14"/>
  <c r="G48" i="14"/>
  <c r="G65" i="14" s="1"/>
  <c r="L175" i="10"/>
  <c r="AA164" i="14" s="1"/>
  <c r="N175" i="10"/>
  <c r="M175" i="10"/>
  <c r="N308" i="10"/>
  <c r="M308" i="10"/>
  <c r="L308" i="10"/>
  <c r="AA297" i="14" s="1"/>
  <c r="N150" i="10"/>
  <c r="M150" i="10"/>
  <c r="L150" i="10"/>
  <c r="AA139" i="14" s="1"/>
  <c r="G30" i="14"/>
  <c r="E63" i="14"/>
  <c r="L31" i="10"/>
  <c r="AA20" i="14" s="1"/>
  <c r="M31" i="10"/>
  <c r="N31" i="10"/>
  <c r="L151" i="10"/>
  <c r="AA140" i="14" s="1"/>
  <c r="M151" i="10"/>
  <c r="N151" i="10"/>
  <c r="N15" i="10"/>
  <c r="M15" i="10"/>
  <c r="L15" i="10"/>
  <c r="AA4" i="14" s="1"/>
  <c r="L299" i="10"/>
  <c r="AA288" i="14" s="1"/>
  <c r="N299" i="10"/>
  <c r="M299" i="10"/>
  <c r="N228" i="10"/>
  <c r="M228" i="10"/>
  <c r="L228" i="10"/>
  <c r="L291" i="10"/>
  <c r="N291" i="10"/>
  <c r="M291" i="10"/>
  <c r="M196" i="10"/>
  <c r="L196" i="10"/>
  <c r="AA185" i="14" s="1"/>
  <c r="N196" i="10"/>
  <c r="L69" i="10"/>
  <c r="AA58" i="14" s="1"/>
  <c r="N69" i="10"/>
  <c r="M69" i="10"/>
  <c r="L403" i="10"/>
  <c r="AA392" i="14" s="1"/>
  <c r="N403" i="10"/>
  <c r="M403" i="10"/>
  <c r="M92" i="10"/>
  <c r="L92" i="10"/>
  <c r="N92" i="10"/>
  <c r="L247" i="10"/>
  <c r="AA236" i="14" s="1"/>
  <c r="N247" i="10"/>
  <c r="M247" i="10"/>
  <c r="N262" i="10"/>
  <c r="M262" i="10"/>
  <c r="L262" i="10"/>
  <c r="AA251" i="14" s="1"/>
  <c r="N68" i="10"/>
  <c r="M68" i="10"/>
  <c r="L68" i="10"/>
  <c r="AA57" i="14" s="1"/>
  <c r="L155" i="10"/>
  <c r="AA144" i="14" s="1"/>
  <c r="N155" i="10"/>
  <c r="M155" i="10"/>
  <c r="L187" i="10"/>
  <c r="AA176" i="14" s="1"/>
  <c r="N187" i="10"/>
  <c r="M187" i="10"/>
  <c r="L313" i="10"/>
  <c r="AA302" i="14" s="1"/>
  <c r="N313" i="10"/>
  <c r="M313" i="10"/>
  <c r="L59" i="10"/>
  <c r="AA48" i="14" s="1"/>
  <c r="M59" i="10"/>
  <c r="N59" i="10"/>
  <c r="L165" i="10"/>
  <c r="AA154" i="14" s="1"/>
  <c r="N165" i="10"/>
  <c r="M165" i="10"/>
  <c r="L233" i="10"/>
  <c r="N233" i="10"/>
  <c r="M233" i="10"/>
  <c r="L157" i="10"/>
  <c r="AA146" i="14" s="1"/>
  <c r="N157" i="10"/>
  <c r="M157" i="10"/>
  <c r="M72" i="10"/>
  <c r="N72" i="10"/>
  <c r="L72" i="10"/>
  <c r="AA61" i="14" s="1"/>
  <c r="L21" i="10"/>
  <c r="AA10" i="14" s="1"/>
  <c r="N21" i="10"/>
  <c r="M21" i="10"/>
  <c r="L245" i="10"/>
  <c r="N245" i="10"/>
  <c r="M245" i="10"/>
  <c r="N78" i="10"/>
  <c r="L78" i="10"/>
  <c r="AA67" i="14" s="1"/>
  <c r="M78" i="10"/>
  <c r="N272" i="10"/>
  <c r="M272" i="10"/>
  <c r="L272" i="10"/>
  <c r="AA261" i="14" s="1"/>
  <c r="L57" i="10"/>
  <c r="AA46" i="14" s="1"/>
  <c r="N57" i="10"/>
  <c r="M57" i="10"/>
  <c r="L47" i="10"/>
  <c r="AA36" i="14" s="1"/>
  <c r="M47" i="10"/>
  <c r="N47" i="10"/>
  <c r="L373" i="10"/>
  <c r="AA362" i="14" s="1"/>
  <c r="N373" i="10"/>
  <c r="M373" i="10"/>
  <c r="N94" i="10"/>
  <c r="M94" i="10"/>
  <c r="L94" i="10"/>
  <c r="AA83" i="14" s="1"/>
  <c r="L430" i="10"/>
  <c r="AA419" i="14" s="1"/>
  <c r="N430" i="10"/>
  <c r="M430" i="10"/>
  <c r="N140" i="10"/>
  <c r="M140" i="10"/>
  <c r="L140" i="10"/>
  <c r="AA129" i="14" s="1"/>
  <c r="L23" i="10"/>
  <c r="AA12" i="14" s="1"/>
  <c r="M23" i="10"/>
  <c r="N23" i="10"/>
  <c r="N427" i="10"/>
  <c r="M427" i="10"/>
  <c r="L427" i="10"/>
  <c r="AA416" i="14" s="1"/>
  <c r="M124" i="10"/>
  <c r="N124" i="10"/>
  <c r="L124" i="10"/>
  <c r="AA113" i="14" s="1"/>
  <c r="L137" i="10"/>
  <c r="AA126" i="14" s="1"/>
  <c r="N137" i="10"/>
  <c r="M137" i="10"/>
  <c r="L129" i="10"/>
  <c r="AA118" i="14" s="1"/>
  <c r="N129" i="10"/>
  <c r="M129" i="10"/>
  <c r="L229" i="10"/>
  <c r="N229" i="10"/>
  <c r="M229" i="10"/>
  <c r="L275" i="10"/>
  <c r="AA264" i="14" s="1"/>
  <c r="N275" i="10"/>
  <c r="M275" i="10"/>
  <c r="M318" i="10"/>
  <c r="L318" i="10"/>
  <c r="AA307" i="14" s="1"/>
  <c r="N318" i="10"/>
  <c r="L372" i="10"/>
  <c r="AA361" i="14" s="1"/>
  <c r="N372" i="10"/>
  <c r="M372" i="10"/>
  <c r="N96" i="10"/>
  <c r="M96" i="10"/>
  <c r="L96" i="10"/>
  <c r="AA85" i="14" s="1"/>
  <c r="L367" i="10"/>
  <c r="AA356" i="14" s="1"/>
  <c r="N367" i="10"/>
  <c r="M367" i="10"/>
  <c r="L37" i="10"/>
  <c r="AA26" i="14" s="1"/>
  <c r="N37" i="10"/>
  <c r="M37" i="10"/>
  <c r="L141" i="10"/>
  <c r="AA130" i="14" s="1"/>
  <c r="N141" i="10"/>
  <c r="M141" i="10"/>
  <c r="N386" i="10"/>
  <c r="M386" i="10"/>
  <c r="L386" i="10"/>
  <c r="AA375" i="14" s="1"/>
  <c r="L321" i="10"/>
  <c r="AA310" i="14" s="1"/>
  <c r="M321" i="10"/>
  <c r="N321" i="10"/>
  <c r="N433" i="10"/>
  <c r="M433" i="10"/>
  <c r="L433" i="10"/>
  <c r="AA422" i="14" s="1"/>
  <c r="N156" i="10"/>
  <c r="M156" i="10"/>
  <c r="L156" i="10"/>
  <c r="AA145" i="14" s="1"/>
  <c r="G52" i="14"/>
  <c r="E66" i="14"/>
  <c r="L117" i="10"/>
  <c r="AA106" i="14" s="1"/>
  <c r="N117" i="10"/>
  <c r="M117" i="10"/>
  <c r="L102" i="10"/>
  <c r="AA91" i="14" s="1"/>
  <c r="N102" i="10"/>
  <c r="M102" i="10"/>
  <c r="L323" i="10"/>
  <c r="AA312" i="14" s="1"/>
  <c r="N323" i="10"/>
  <c r="M323" i="10"/>
  <c r="M334" i="10"/>
  <c r="L334" i="10"/>
  <c r="AA323" i="14" s="1"/>
  <c r="N334" i="10"/>
  <c r="N435" i="10"/>
  <c r="M435" i="10"/>
  <c r="L435" i="10"/>
  <c r="AA424" i="14" s="1"/>
  <c r="M132" i="10"/>
  <c r="N132" i="10"/>
  <c r="L132" i="10"/>
  <c r="AA121" i="14" s="1"/>
  <c r="L307" i="10"/>
  <c r="AA296" i="14" s="1"/>
  <c r="N307" i="10"/>
  <c r="M307" i="10"/>
  <c r="L277" i="10"/>
  <c r="AA266" i="14" s="1"/>
  <c r="N277" i="10"/>
  <c r="M277" i="10"/>
  <c r="N224" i="10"/>
  <c r="M224" i="10"/>
  <c r="L224" i="10"/>
  <c r="M216" i="10"/>
  <c r="L216" i="10"/>
  <c r="AA205" i="14" s="1"/>
  <c r="N216" i="10"/>
  <c r="L253" i="10"/>
  <c r="AA242" i="14" s="1"/>
  <c r="N253" i="10"/>
  <c r="M253" i="10"/>
  <c r="N74" i="10"/>
  <c r="L74" i="10"/>
  <c r="AA63" i="14" s="1"/>
  <c r="M74" i="10"/>
  <c r="M328" i="10"/>
  <c r="N328" i="10"/>
  <c r="L328" i="10"/>
  <c r="AA317" i="14" s="1"/>
  <c r="L113" i="10"/>
  <c r="AA102" i="14" s="1"/>
  <c r="N113" i="10"/>
  <c r="M113" i="10"/>
  <c r="N244" i="10"/>
  <c r="M244" i="10"/>
  <c r="L244" i="10"/>
  <c r="N46" i="10"/>
  <c r="L46" i="10"/>
  <c r="M46" i="10"/>
  <c r="L335" i="10"/>
  <c r="AA324" i="14" s="1"/>
  <c r="N335" i="10"/>
  <c r="M335" i="10"/>
  <c r="L261" i="10"/>
  <c r="AA250" i="14" s="1"/>
  <c r="N261" i="10"/>
  <c r="M261" i="10"/>
  <c r="N398" i="10"/>
  <c r="M398" i="10"/>
  <c r="L398" i="10"/>
  <c r="AA387" i="14" s="1"/>
  <c r="L239" i="10"/>
  <c r="M239" i="10"/>
  <c r="N239" i="10"/>
  <c r="L29" i="10"/>
  <c r="AA18" i="14" s="1"/>
  <c r="N29" i="10"/>
  <c r="M29" i="10"/>
  <c r="N170" i="10"/>
  <c r="M170" i="10"/>
  <c r="L170" i="10"/>
  <c r="AA159" i="14" s="1"/>
  <c r="N26" i="10"/>
  <c r="M26" i="10"/>
  <c r="L26" i="10"/>
  <c r="AA15" i="14" s="1"/>
  <c r="I13" i="10"/>
  <c r="E441" i="9"/>
  <c r="N212" i="10"/>
  <c r="M212" i="10"/>
  <c r="L212" i="10"/>
  <c r="AA201" i="14" s="1"/>
  <c r="N258" i="10"/>
  <c r="L258" i="10"/>
  <c r="AA247" i="14" s="1"/>
  <c r="M258" i="10"/>
  <c r="L147" i="10"/>
  <c r="AA136" i="14" s="1"/>
  <c r="M147" i="10"/>
  <c r="N147" i="10"/>
  <c r="L339" i="10"/>
  <c r="AA328" i="14" s="1"/>
  <c r="N339" i="10"/>
  <c r="M339" i="10"/>
  <c r="N28" i="10"/>
  <c r="M28" i="10"/>
  <c r="L28" i="10"/>
  <c r="AA17" i="14" s="1"/>
  <c r="L381" i="10"/>
  <c r="AA370" i="14" s="1"/>
  <c r="N381" i="10"/>
  <c r="M381" i="10"/>
  <c r="N376" i="10"/>
  <c r="M376" i="10"/>
  <c r="L376" i="10"/>
  <c r="AA365" i="14" s="1"/>
  <c r="L161" i="10"/>
  <c r="AA150" i="14" s="1"/>
  <c r="N161" i="10"/>
  <c r="M161" i="10"/>
  <c r="L315" i="10"/>
  <c r="AA304" i="14" s="1"/>
  <c r="N315" i="10"/>
  <c r="M315" i="10"/>
  <c r="L326" i="10"/>
  <c r="AA315" i="14" s="1"/>
  <c r="N326" i="10"/>
  <c r="M326" i="10"/>
  <c r="L145" i="10"/>
  <c r="AA134" i="14" s="1"/>
  <c r="N145" i="10"/>
  <c r="M145" i="10"/>
  <c r="N338" i="10"/>
  <c r="M338" i="10"/>
  <c r="L338" i="10"/>
  <c r="AA327" i="14" s="1"/>
  <c r="L317" i="10"/>
  <c r="M317" i="10"/>
  <c r="N317" i="10"/>
  <c r="N330" i="10"/>
  <c r="L330" i="10"/>
  <c r="AA319" i="14" s="1"/>
  <c r="M330" i="10"/>
  <c r="M286" i="10"/>
  <c r="L286" i="10"/>
  <c r="AA275" i="14" s="1"/>
  <c r="N286" i="10"/>
  <c r="L405" i="10"/>
  <c r="AA394" i="14" s="1"/>
  <c r="N405" i="10"/>
  <c r="M405" i="10"/>
  <c r="M200" i="10"/>
  <c r="L200" i="10"/>
  <c r="AA189" i="14" s="1"/>
  <c r="N200" i="10"/>
  <c r="L213" i="10"/>
  <c r="AA202" i="14" s="1"/>
  <c r="N213" i="10"/>
  <c r="M213" i="10"/>
  <c r="L181" i="10"/>
  <c r="AA170" i="14" s="1"/>
  <c r="N181" i="10"/>
  <c r="M181" i="10"/>
  <c r="N56" i="10"/>
  <c r="M56" i="10"/>
  <c r="L56" i="10"/>
  <c r="AA45" i="14" s="1"/>
  <c r="N50" i="10"/>
  <c r="L50" i="10"/>
  <c r="AA39" i="14" s="1"/>
  <c r="M50" i="10"/>
  <c r="L97" i="10"/>
  <c r="AA86" i="14" s="1"/>
  <c r="N97" i="10"/>
  <c r="M97" i="10"/>
  <c r="N120" i="10"/>
  <c r="M120" i="10"/>
  <c r="L120" i="10"/>
  <c r="M164" i="10"/>
  <c r="L164" i="10"/>
  <c r="AA153" i="14" s="1"/>
  <c r="N164" i="10"/>
  <c r="N298" i="10"/>
  <c r="M298" i="10"/>
  <c r="L298" i="10"/>
  <c r="AA287" i="14" s="1"/>
  <c r="L369" i="10"/>
  <c r="AA358" i="14" s="1"/>
  <c r="N369" i="10"/>
  <c r="M369" i="10"/>
  <c r="N184" i="10"/>
  <c r="L184" i="10"/>
  <c r="AA173" i="14" s="1"/>
  <c r="M184" i="10"/>
  <c r="M154" i="10"/>
  <c r="L154" i="10"/>
  <c r="AA143" i="14" s="1"/>
  <c r="N154" i="10"/>
  <c r="N190" i="10"/>
  <c r="M190" i="10"/>
  <c r="L190" i="10"/>
  <c r="AA179" i="14" s="1"/>
  <c r="L70" i="10"/>
  <c r="AA59" i="14" s="1"/>
  <c r="N70" i="10"/>
  <c r="M70" i="10"/>
  <c r="L162" i="10"/>
  <c r="AA151" i="14" s="1"/>
  <c r="N162" i="10"/>
  <c r="M162" i="10"/>
  <c r="L422" i="10"/>
  <c r="AA411" i="14" s="1"/>
  <c r="N422" i="10"/>
  <c r="M422" i="10"/>
  <c r="N14" i="10"/>
  <c r="L14" i="10"/>
  <c r="AA3" i="14" s="1"/>
  <c r="M14" i="10"/>
  <c r="N42" i="10"/>
  <c r="L42" i="10"/>
  <c r="AA31" i="14" s="1"/>
  <c r="M42" i="10"/>
  <c r="N34" i="10"/>
  <c r="M34" i="10"/>
  <c r="L34" i="10"/>
  <c r="AA23" i="14" s="1"/>
  <c r="L211" i="10"/>
  <c r="AA200" i="14" s="1"/>
  <c r="N211" i="10"/>
  <c r="M211" i="10"/>
  <c r="L327" i="10"/>
  <c r="AA316" i="14" s="1"/>
  <c r="M327" i="10"/>
  <c r="N327" i="10"/>
  <c r="L19" i="10"/>
  <c r="AA8" i="14" s="1"/>
  <c r="N19" i="10"/>
  <c r="M19" i="10"/>
  <c r="N392" i="10"/>
  <c r="M392" i="10"/>
  <c r="L392" i="10"/>
  <c r="AA381" i="14" s="1"/>
  <c r="L177" i="10"/>
  <c r="AA166" i="14" s="1"/>
  <c r="N177" i="10"/>
  <c r="M177" i="10"/>
  <c r="L122" i="10"/>
  <c r="AA111" i="14" s="1"/>
  <c r="M122" i="10"/>
  <c r="N122" i="10"/>
  <c r="M248" i="10"/>
  <c r="L248" i="10"/>
  <c r="AA237" i="14" s="1"/>
  <c r="N248" i="10"/>
  <c r="L33" i="10"/>
  <c r="AA22" i="14" s="1"/>
  <c r="N33" i="10"/>
  <c r="M33" i="10"/>
  <c r="L368" i="10"/>
  <c r="AA357" i="14" s="1"/>
  <c r="N368" i="10"/>
  <c r="M368" i="10"/>
  <c r="L153" i="10"/>
  <c r="AA142" i="14" s="1"/>
  <c r="N153" i="10"/>
  <c r="M153" i="10"/>
  <c r="M232" i="10"/>
  <c r="L232" i="10"/>
  <c r="N232" i="10"/>
  <c r="L17" i="10"/>
  <c r="AA6" i="14" s="1"/>
  <c r="M17" i="10"/>
  <c r="N17" i="10"/>
  <c r="L407" i="10"/>
  <c r="AA396" i="14" s="1"/>
  <c r="N407" i="10"/>
  <c r="M407" i="10"/>
  <c r="L99" i="10"/>
  <c r="AA88" i="14" s="1"/>
  <c r="M99" i="10"/>
  <c r="N99" i="10"/>
  <c r="L399" i="10"/>
  <c r="AA388" i="14" s="1"/>
  <c r="N399" i="10"/>
  <c r="M399" i="10"/>
  <c r="L91" i="10"/>
  <c r="AA80" i="14" s="1"/>
  <c r="N91" i="10"/>
  <c r="M91" i="10"/>
  <c r="L119" i="10"/>
  <c r="AA108" i="14" s="1"/>
  <c r="M119" i="10"/>
  <c r="N119" i="10"/>
  <c r="M314" i="10"/>
  <c r="L314" i="10"/>
  <c r="AA303" i="14" s="1"/>
  <c r="N314" i="10"/>
  <c r="L201" i="10"/>
  <c r="AA190" i="14" s="1"/>
  <c r="M201" i="10"/>
  <c r="N201" i="10"/>
  <c r="L53" i="10"/>
  <c r="AA42" i="14" s="1"/>
  <c r="N53" i="10"/>
  <c r="M53" i="10"/>
  <c r="G64" i="14" l="1"/>
  <c r="J40" i="14"/>
  <c r="H27" i="15"/>
  <c r="I71" i="14"/>
  <c r="B71" i="14"/>
  <c r="G33" i="15"/>
  <c r="E33" i="15"/>
  <c r="AA35" i="14"/>
  <c r="E14" i="15"/>
  <c r="H14" i="15"/>
  <c r="C14" i="15"/>
  <c r="G14" i="15"/>
  <c r="G66" i="14"/>
  <c r="J52" i="14"/>
  <c r="H38" i="15"/>
  <c r="H26" i="15"/>
  <c r="H31" i="15"/>
  <c r="H33" i="15"/>
  <c r="F14" i="15"/>
  <c r="E38" i="15"/>
  <c r="G38" i="15"/>
  <c r="AA280" i="14"/>
  <c r="G26" i="15"/>
  <c r="E26" i="15"/>
  <c r="AA183" i="14"/>
  <c r="G63" i="14"/>
  <c r="J30" i="14"/>
  <c r="H25" i="15"/>
  <c r="H32" i="15"/>
  <c r="G37" i="15"/>
  <c r="E37" i="15"/>
  <c r="AA397" i="14"/>
  <c r="E67" i="14"/>
  <c r="G27" i="15"/>
  <c r="E27" i="15"/>
  <c r="AA109" i="14"/>
  <c r="H23" i="15"/>
  <c r="G25" i="15"/>
  <c r="E25" i="15"/>
  <c r="AA132" i="14"/>
  <c r="E32" i="15"/>
  <c r="G32" i="15"/>
  <c r="AA40" i="14"/>
  <c r="E13" i="15"/>
  <c r="H35" i="15"/>
  <c r="G62" i="14"/>
  <c r="J14" i="14"/>
  <c r="G35" i="15"/>
  <c r="E35" i="15"/>
  <c r="AA256" i="14"/>
  <c r="H37" i="15"/>
  <c r="H29" i="15"/>
  <c r="N220" i="10"/>
  <c r="H36" i="15" s="1"/>
  <c r="M220" i="10"/>
  <c r="L220" i="10"/>
  <c r="AA212" i="14" s="1"/>
  <c r="G29" i="15"/>
  <c r="E29" i="15"/>
  <c r="AA158" i="14"/>
  <c r="AA223" i="14"/>
  <c r="E31" i="15"/>
  <c r="G31" i="15"/>
  <c r="AA306" i="14"/>
  <c r="AA210" i="14"/>
  <c r="AA229" i="14"/>
  <c r="N366" i="10"/>
  <c r="H30" i="15" s="1"/>
  <c r="M366" i="10"/>
  <c r="L366" i="10"/>
  <c r="AA215" i="14"/>
  <c r="G23" i="15"/>
  <c r="E23" i="15"/>
  <c r="AA81" i="14"/>
  <c r="B449" i="10"/>
  <c r="K13" i="10"/>
  <c r="AA231" i="14"/>
  <c r="AA213" i="14"/>
  <c r="AA224" i="14"/>
  <c r="AA226" i="14"/>
  <c r="H39" i="15"/>
  <c r="H34" i="15"/>
  <c r="H22" i="15"/>
  <c r="G34" i="15"/>
  <c r="E34" i="15"/>
  <c r="AA234" i="14"/>
  <c r="AA225" i="14"/>
  <c r="G39" i="15"/>
  <c r="E39" i="15"/>
  <c r="AA64" i="14"/>
  <c r="E22" i="15"/>
  <c r="G22" i="15"/>
  <c r="AA378" i="14"/>
  <c r="G67" i="14" l="1"/>
  <c r="AA222" i="14"/>
  <c r="AA214" i="14"/>
  <c r="AA220" i="14"/>
  <c r="C13" i="15"/>
  <c r="F13" i="15"/>
  <c r="G13" i="15"/>
  <c r="AA211" i="14"/>
  <c r="AA221" i="14"/>
  <c r="B73" i="14"/>
  <c r="I73" i="14"/>
  <c r="G30" i="15"/>
  <c r="AA355" i="14"/>
  <c r="E30" i="15"/>
  <c r="B456" i="10"/>
  <c r="H13" i="15"/>
  <c r="G36" i="15"/>
  <c r="E36" i="15"/>
  <c r="B455" i="10"/>
  <c r="AA209" i="14"/>
  <c r="AA219" i="14"/>
  <c r="AA218" i="14"/>
  <c r="AA228" i="14"/>
  <c r="AA217" i="14"/>
  <c r="AA233" i="14"/>
  <c r="AA216" i="14"/>
  <c r="N13" i="10"/>
  <c r="M13" i="10"/>
  <c r="B451" i="10" s="1"/>
  <c r="L13" i="10"/>
  <c r="AA227" i="14"/>
  <c r="D7" i="15" l="1"/>
  <c r="E24" i="15"/>
  <c r="B446" i="10"/>
  <c r="B443" i="10"/>
  <c r="G24" i="15"/>
  <c r="B444" i="10"/>
  <c r="B458" i="10"/>
  <c r="B445" i="10"/>
  <c r="E15" i="15"/>
  <c r="E17" i="15" s="1"/>
  <c r="C15" i="15"/>
  <c r="C17" i="15" s="1"/>
  <c r="H15" i="15"/>
  <c r="H17" i="15" s="1"/>
  <c r="AA2" i="14"/>
  <c r="G15" i="15"/>
  <c r="G17" i="15" s="1"/>
  <c r="H24" i="15"/>
  <c r="B452" i="10"/>
  <c r="F15" i="15"/>
  <c r="F17" i="15" s="1"/>
  <c r="D116" i="14" l="1"/>
  <c r="H114" i="14"/>
  <c r="B113" i="14"/>
  <c r="C113" i="14" s="1"/>
  <c r="F111" i="14"/>
  <c r="J109" i="14"/>
  <c r="D108" i="14"/>
  <c r="H106" i="14"/>
  <c r="B105" i="14"/>
  <c r="C105" i="14" s="1"/>
  <c r="F103" i="14"/>
  <c r="J101" i="14"/>
  <c r="D100" i="14"/>
  <c r="H98" i="14"/>
  <c r="B97" i="14"/>
  <c r="C97" i="14" s="1"/>
  <c r="F95" i="14"/>
  <c r="J93" i="14"/>
  <c r="D92" i="14"/>
  <c r="H90" i="14"/>
  <c r="B89" i="14"/>
  <c r="C89" i="14" s="1"/>
  <c r="F87" i="14"/>
  <c r="G114" i="14"/>
  <c r="E111" i="14"/>
  <c r="I109" i="14"/>
  <c r="G106" i="14"/>
  <c r="E103" i="14"/>
  <c r="I101" i="14"/>
  <c r="G98" i="14"/>
  <c r="E95" i="14"/>
  <c r="I93" i="14"/>
  <c r="G90" i="14"/>
  <c r="E87" i="14"/>
  <c r="E114" i="14"/>
  <c r="I112" i="14"/>
  <c r="G109" i="14"/>
  <c r="E106" i="14"/>
  <c r="I104" i="14"/>
  <c r="G101" i="14"/>
  <c r="E98" i="14"/>
  <c r="I96" i="14"/>
  <c r="G93" i="14"/>
  <c r="E90" i="14"/>
  <c r="I88" i="14"/>
  <c r="F115" i="14"/>
  <c r="J113" i="14"/>
  <c r="D112" i="14"/>
  <c r="H110" i="14"/>
  <c r="B109" i="14"/>
  <c r="C109" i="14" s="1"/>
  <c r="F107" i="14"/>
  <c r="J105" i="14"/>
  <c r="D104" i="14"/>
  <c r="H102" i="14"/>
  <c r="B101" i="14"/>
  <c r="C101" i="14" s="1"/>
  <c r="F99" i="14"/>
  <c r="J97" i="14"/>
  <c r="D96" i="14"/>
  <c r="H94" i="14"/>
  <c r="B93" i="14"/>
  <c r="C93" i="14" s="1"/>
  <c r="F91" i="14"/>
  <c r="J89" i="14"/>
  <c r="D88" i="14"/>
  <c r="E115" i="14"/>
  <c r="I113" i="14"/>
  <c r="G110" i="14"/>
  <c r="E107" i="14"/>
  <c r="I105" i="14"/>
  <c r="G102" i="14"/>
  <c r="E99" i="14"/>
  <c r="I97" i="14"/>
  <c r="G94" i="14"/>
  <c r="E91" i="14"/>
  <c r="I89" i="14"/>
  <c r="I116" i="14"/>
  <c r="G113" i="14"/>
  <c r="E110" i="14"/>
  <c r="I108" i="14"/>
  <c r="H116" i="14"/>
  <c r="B115" i="14"/>
  <c r="C115" i="14" s="1"/>
  <c r="F113" i="14"/>
  <c r="J111" i="14"/>
  <c r="D110" i="14"/>
  <c r="H108" i="14"/>
  <c r="B107" i="14"/>
  <c r="C107" i="14" s="1"/>
  <c r="F105" i="14"/>
  <c r="J103" i="14"/>
  <c r="D102" i="14"/>
  <c r="H100" i="14"/>
  <c r="B99" i="14"/>
  <c r="C99" i="14" s="1"/>
  <c r="F97" i="14"/>
  <c r="J95" i="14"/>
  <c r="D94" i="14"/>
  <c r="H92" i="14"/>
  <c r="B91" i="14"/>
  <c r="C91" i="14" s="1"/>
  <c r="F89" i="14"/>
  <c r="J87" i="14"/>
  <c r="D111" i="14"/>
  <c r="F108" i="14"/>
  <c r="D103" i="14"/>
  <c r="I100" i="14"/>
  <c r="H95" i="14"/>
  <c r="F90" i="14"/>
  <c r="J116" i="14"/>
  <c r="B114" i="14"/>
  <c r="C114" i="14" s="1"/>
  <c r="B111" i="14"/>
  <c r="C111" i="14" s="1"/>
  <c r="E108" i="14"/>
  <c r="H105" i="14"/>
  <c r="B103" i="14"/>
  <c r="C103" i="14" s="1"/>
  <c r="G100" i="14"/>
  <c r="B98" i="14"/>
  <c r="C98" i="14" s="1"/>
  <c r="G95" i="14"/>
  <c r="J92" i="14"/>
  <c r="D90" i="14"/>
  <c r="I87" i="14"/>
  <c r="G116" i="14"/>
  <c r="B108" i="14"/>
  <c r="C108" i="14" s="1"/>
  <c r="G105" i="14"/>
  <c r="F100" i="14"/>
  <c r="D95" i="14"/>
  <c r="I92" i="14"/>
  <c r="H87" i="14"/>
  <c r="F116" i="14"/>
  <c r="H113" i="14"/>
  <c r="J110" i="14"/>
  <c r="J107" i="14"/>
  <c r="E105" i="14"/>
  <c r="J102" i="14"/>
  <c r="E100" i="14"/>
  <c r="H97" i="14"/>
  <c r="B95" i="14"/>
  <c r="C95" i="14" s="1"/>
  <c r="G92" i="14"/>
  <c r="B90" i="14"/>
  <c r="C90" i="14" s="1"/>
  <c r="G87" i="14"/>
  <c r="E116" i="14"/>
  <c r="E113" i="14"/>
  <c r="I110" i="14"/>
  <c r="I107" i="14"/>
  <c r="D105" i="14"/>
  <c r="I102" i="14"/>
  <c r="B100" i="14"/>
  <c r="C100" i="14" s="1"/>
  <c r="G97" i="14"/>
  <c r="F92" i="14"/>
  <c r="D87" i="14"/>
  <c r="B116" i="14"/>
  <c r="C116" i="14" s="1"/>
  <c r="D113" i="14"/>
  <c r="F110" i="14"/>
  <c r="H107" i="14"/>
  <c r="F102" i="14"/>
  <c r="J99" i="14"/>
  <c r="E97" i="14"/>
  <c r="J94" i="14"/>
  <c r="E92" i="14"/>
  <c r="H89" i="14"/>
  <c r="B87" i="14"/>
  <c r="C87" i="14" s="1"/>
  <c r="J115" i="14"/>
  <c r="G107" i="14"/>
  <c r="J104" i="14"/>
  <c r="E102" i="14"/>
  <c r="I99" i="14"/>
  <c r="D97" i="14"/>
  <c r="I94" i="14"/>
  <c r="B92" i="14"/>
  <c r="C92" i="14" s="1"/>
  <c r="G89" i="14"/>
  <c r="I115" i="14"/>
  <c r="J112" i="14"/>
  <c r="B110" i="14"/>
  <c r="C110" i="14" s="1"/>
  <c r="D107" i="14"/>
  <c r="H104" i="14"/>
  <c r="H99" i="14"/>
  <c r="F94" i="14"/>
  <c r="J91" i="14"/>
  <c r="E89" i="14"/>
  <c r="H115" i="14"/>
  <c r="H112" i="14"/>
  <c r="G104" i="14"/>
  <c r="B102" i="14"/>
  <c r="C102" i="14" s="1"/>
  <c r="G99" i="14"/>
  <c r="J96" i="14"/>
  <c r="E94" i="14"/>
  <c r="I91" i="14"/>
  <c r="D89" i="14"/>
  <c r="G115" i="14"/>
  <c r="G112" i="14"/>
  <c r="H109" i="14"/>
  <c r="F104" i="14"/>
  <c r="D99" i="14"/>
  <c r="H96" i="14"/>
  <c r="H91" i="14"/>
  <c r="D115" i="14"/>
  <c r="F112" i="14"/>
  <c r="F109" i="14"/>
  <c r="J106" i="14"/>
  <c r="E104" i="14"/>
  <c r="H101" i="14"/>
  <c r="G96" i="14"/>
  <c r="B94" i="14"/>
  <c r="C94" i="14" s="1"/>
  <c r="G91" i="14"/>
  <c r="J88" i="14"/>
  <c r="J114" i="14"/>
  <c r="B112" i="14"/>
  <c r="C112" i="14" s="1"/>
  <c r="D109" i="14"/>
  <c r="F106" i="14"/>
  <c r="E101" i="14"/>
  <c r="J98" i="14"/>
  <c r="E96" i="14"/>
  <c r="H93" i="14"/>
  <c r="G88" i="14"/>
  <c r="I114" i="14"/>
  <c r="I111" i="14"/>
  <c r="D106" i="14"/>
  <c r="I103" i="14"/>
  <c r="D101" i="14"/>
  <c r="I98" i="14"/>
  <c r="B96" i="14"/>
  <c r="C96" i="14" s="1"/>
  <c r="F93" i="14"/>
  <c r="F88" i="14"/>
  <c r="F114" i="14"/>
  <c r="H111" i="14"/>
  <c r="J108" i="14"/>
  <c r="H103" i="14"/>
  <c r="F98" i="14"/>
  <c r="E93" i="14"/>
  <c r="J90" i="14"/>
  <c r="E88" i="14"/>
  <c r="D114" i="14"/>
  <c r="G111" i="14"/>
  <c r="G108" i="14"/>
  <c r="B106" i="14"/>
  <c r="C106" i="14" s="1"/>
  <c r="G103" i="14"/>
  <c r="J100" i="14"/>
  <c r="D98" i="14"/>
  <c r="I95" i="14"/>
  <c r="D93" i="14"/>
  <c r="I90" i="14"/>
  <c r="B88" i="14"/>
  <c r="C88" i="14" s="1"/>
  <c r="E112" i="14"/>
  <c r="E109" i="14"/>
  <c r="I106" i="14"/>
  <c r="B104" i="14"/>
  <c r="C104" i="14" s="1"/>
  <c r="F101" i="14"/>
  <c r="F96" i="14"/>
  <c r="D91" i="14"/>
  <c r="H88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<sst xmlns="http://schemas.openxmlformats.org/spreadsheetml/2006/main" count="20293" uniqueCount="3781">
  <si>
    <t>BONITE BOTTLERS LIMITED</t>
  </si>
  <si>
    <t>SFA — SAP Integration &amp; Compliance Module</t>
  </si>
  <si>
    <t>Purpose of This Workbook</t>
  </si>
  <si>
    <t>A working model that demonstrates the complete logic of the SAP Integration &amp; Compliance module.</t>
  </si>
  <si>
    <t>Used to validate design before development begins; will serve as the developer reference and UAT data set.</t>
  </si>
  <si>
    <t>Sheet Index</t>
  </si>
  <si>
    <t>Sheet</t>
  </si>
  <si>
    <t>Type</t>
  </si>
  <si>
    <t>Purpose</t>
  </si>
  <si>
    <t>Status</t>
  </si>
  <si>
    <t>_README</t>
  </si>
  <si>
    <t>Info</t>
  </si>
  <si>
    <t>This page</t>
  </si>
  <si>
    <t>M_Depot</t>
  </si>
  <si>
    <t>Master</t>
  </si>
  <si>
    <t>Depot Master — codes, default outlets, SAP warehouse</t>
  </si>
  <si>
    <t>M_SKU</t>
  </si>
  <si>
    <t>SKU Master — code, name, category, pack size, retail price</t>
  </si>
  <si>
    <t>M_DepotPrice</t>
  </si>
  <si>
    <t>Depot-wise default price for shortage postings</t>
  </si>
  <si>
    <t>M_User</t>
  </si>
  <si>
    <t>User Master — salesman, SAP code, depot, reporting manager</t>
  </si>
  <si>
    <t>M_Config</t>
  </si>
  <si>
    <t>System parameters — SLA, aging threshold, etc.</t>
  </si>
  <si>
    <t>T_Load</t>
  </si>
  <si>
    <t>Transaction</t>
  </si>
  <si>
    <t>Every SAP-pushed load. Status: Pending / Confirmed / Force-Pushed</t>
  </si>
  <si>
    <t>T_Sales</t>
  </si>
  <si>
    <t>Every sale recorded on mobile</t>
  </si>
  <si>
    <t>T_Unload</t>
  </si>
  <si>
    <t>Every unload event (derived from Load − Sales)</t>
  </si>
  <si>
    <t>T_ROP</t>
  </si>
  <si>
    <t>ROP verification — Expected vs Actual, Variance, Action</t>
  </si>
  <si>
    <t>T_DefaultOutletPosting</t>
  </si>
  <si>
    <t>Auto-postings to Default Outlet for shortages</t>
  </si>
  <si>
    <t>T_VarianceReasons</t>
  </si>
  <si>
    <t>Supervisor reason-logging (parallel, 24h SLA)</t>
  </si>
  <si>
    <t>R_IntegrationPage</t>
  </si>
  <si>
    <t>Report</t>
  </si>
  <si>
    <t>Live view — pending invoices, pending unloads, aging</t>
  </si>
  <si>
    <t>R_SettlementSheet</t>
  </si>
  <si>
    <t>Printable settlement sheet per salesman</t>
  </si>
  <si>
    <t>R_VarianceReport</t>
  </si>
  <si>
    <t>Daily variance report for Supervisor</t>
  </si>
  <si>
    <t>R_AgingView</t>
  </si>
  <si>
    <t>Open loads aged by days outstanding</t>
  </si>
  <si>
    <t>How to Read This Workbook</t>
  </si>
  <si>
    <t>• Sheets starting with M_ are MASTER data (configured once).</t>
  </si>
  <si>
    <t>• Sheets starting with T_ are TRANSACTIONAL data (daily activity).</t>
  </si>
  <si>
    <t>• Sheets starting with R_ are REPORTS or VIEWS (auto-calculated from M_ and T_ sheets).</t>
  </si>
  <si>
    <t>• Sheets starting with _ are workbook-level helpers (README, scenario control).</t>
  </si>
  <si>
    <t>Depot Master</t>
  </si>
  <si>
    <t>Source of truth for depot codes, default outlets, and SAP warehouse references.</t>
  </si>
  <si>
    <t>NOTE: In the live SFA system, Default Outlet is maintained in Outlet Master (with "Default Outlet" flag checked).</t>
  </si>
  <si>
    <t>Depot Name</t>
  </si>
  <si>
    <t>Depot Code</t>
  </si>
  <si>
    <t>Default Outlet Code</t>
  </si>
  <si>
    <t>Default Outlet Name</t>
  </si>
  <si>
    <t>SAP Warehouse</t>
  </si>
  <si>
    <t>Mwanza</t>
  </si>
  <si>
    <t>MWZ</t>
  </si>
  <si>
    <t>MWZ1000001</t>
  </si>
  <si>
    <t>Mwanza Ambush</t>
  </si>
  <si>
    <t>MWZFWH</t>
  </si>
  <si>
    <t>Active</t>
  </si>
  <si>
    <t>Dodoma</t>
  </si>
  <si>
    <t>DOD</t>
  </si>
  <si>
    <t>DOD1000001</t>
  </si>
  <si>
    <t>Dodoma Ambush</t>
  </si>
  <si>
    <t>DODFWH</t>
  </si>
  <si>
    <t>Mbeya</t>
  </si>
  <si>
    <t>MBY</t>
  </si>
  <si>
    <t>MBY1000001</t>
  </si>
  <si>
    <t>Mbeya Ambush</t>
  </si>
  <si>
    <t>MBYFWH</t>
  </si>
  <si>
    <t>Dar Es Salaam</t>
  </si>
  <si>
    <t>DAR</t>
  </si>
  <si>
    <t>DAR1000001</t>
  </si>
  <si>
    <t>Dar Es Salaam Ambush</t>
  </si>
  <si>
    <t>DARFWH</t>
  </si>
  <si>
    <t>Same</t>
  </si>
  <si>
    <t>SAM</t>
  </si>
  <si>
    <t>SAM1000001</t>
  </si>
  <si>
    <t>Same Ambush</t>
  </si>
  <si>
    <t>SAMFWH</t>
  </si>
  <si>
    <t>Mererani</t>
  </si>
  <si>
    <t>MER</t>
  </si>
  <si>
    <t>MER1000001</t>
  </si>
  <si>
    <t>Mererani Ambush</t>
  </si>
  <si>
    <t>MERFWH</t>
  </si>
  <si>
    <t>Tarakea</t>
  </si>
  <si>
    <t>TRK</t>
  </si>
  <si>
    <t>TRK1000001</t>
  </si>
  <si>
    <t>Tarakea Ambush</t>
  </si>
  <si>
    <t>TRKFWH</t>
  </si>
  <si>
    <t>Tanga</t>
  </si>
  <si>
    <t>TAN</t>
  </si>
  <si>
    <t>TAN1000001</t>
  </si>
  <si>
    <t>Tanga Ambush</t>
  </si>
  <si>
    <t>TANFWH</t>
  </si>
  <si>
    <t>Nzega</t>
  </si>
  <si>
    <t>NZG</t>
  </si>
  <si>
    <t>NZG1000001</t>
  </si>
  <si>
    <t>Nzega Ambush</t>
  </si>
  <si>
    <t>NZGFWH</t>
  </si>
  <si>
    <t>Terrat</t>
  </si>
  <si>
    <t>TER</t>
  </si>
  <si>
    <t>TER1000001</t>
  </si>
  <si>
    <t>Terrat Ambush</t>
  </si>
  <si>
    <t>TERFWH</t>
  </si>
  <si>
    <t>Kiteto</t>
  </si>
  <si>
    <t>KIT</t>
  </si>
  <si>
    <t>KIT1000001</t>
  </si>
  <si>
    <t>Kiteto Ambush</t>
  </si>
  <si>
    <t>KITFWH</t>
  </si>
  <si>
    <t>Katesh</t>
  </si>
  <si>
    <t>KAT</t>
  </si>
  <si>
    <t>KAT1000001</t>
  </si>
  <si>
    <t>Katesh Ambush</t>
  </si>
  <si>
    <t>KATFWH</t>
  </si>
  <si>
    <t>Singida</t>
  </si>
  <si>
    <t>SGD</t>
  </si>
  <si>
    <t>SGD1000001</t>
  </si>
  <si>
    <t>Singida Ambush</t>
  </si>
  <si>
    <t>SGDFWH</t>
  </si>
  <si>
    <t>Karatu</t>
  </si>
  <si>
    <t>KRT</t>
  </si>
  <si>
    <t>KRT1000001</t>
  </si>
  <si>
    <t>Karatu Ambush</t>
  </si>
  <si>
    <t>KRTFWH</t>
  </si>
  <si>
    <t>Babati</t>
  </si>
  <si>
    <t>BBT</t>
  </si>
  <si>
    <t>BBT1000001</t>
  </si>
  <si>
    <t>Babati Ambush</t>
  </si>
  <si>
    <t>BBTFWH</t>
  </si>
  <si>
    <t>Namanga</t>
  </si>
  <si>
    <t>NMG</t>
  </si>
  <si>
    <t>NMG1000001</t>
  </si>
  <si>
    <t>Namanga Ambush</t>
  </si>
  <si>
    <t>NMGFWH</t>
  </si>
  <si>
    <t>ARUSHA</t>
  </si>
  <si>
    <t>ARS</t>
  </si>
  <si>
    <t>ARS1000001</t>
  </si>
  <si>
    <t>ARUSHA Ambush</t>
  </si>
  <si>
    <t>ARSFWH</t>
  </si>
  <si>
    <t>MOSHI</t>
  </si>
  <si>
    <t>MOS</t>
  </si>
  <si>
    <t>MOS1000001</t>
  </si>
  <si>
    <t>MOSHI Ambush</t>
  </si>
  <si>
    <t>MOSFWH</t>
  </si>
  <si>
    <t>Total Active Depots:</t>
  </si>
  <si>
    <t>SKU (Product) Master</t>
  </si>
  <si>
    <t>Product attributes only. Pricing is maintained in M_DepotPrice (single source of truth for pricing).</t>
  </si>
  <si>
    <t>Code Prefix Legend</t>
  </si>
  <si>
    <t>Unit / Sub-Unit Rule</t>
  </si>
  <si>
    <t>• When Unit = Sub-Unit (Conversion = 1): product sells in whole Units only.</t>
  </si>
  <si>
    <t>• When Unit ≠ Sub-Unit (Conversion &gt; 1): product can be sold in whole Units OR loose Sub-Units. Salesman toggles view on mobile.</t>
  </si>
  <si>
    <t>• Loads are always in whole Units. Unloads and sales may include decimals for sub-unit-capable SKUs.</t>
  </si>
  <si>
    <t xml:space="preserve">   Example: 12 Crates + 16 Bottles of a 24/Crate SKU is stored as 12.6667 Crates internally.</t>
  </si>
  <si>
    <t>Product Name</t>
  </si>
  <si>
    <t>Code</t>
  </si>
  <si>
    <t>Category</t>
  </si>
  <si>
    <t>Sub-Category</t>
  </si>
  <si>
    <t>Brand</t>
  </si>
  <si>
    <t>Unit</t>
  </si>
  <si>
    <t>Sub Unit</t>
  </si>
  <si>
    <t>Conversion Rate</t>
  </si>
  <si>
    <t>Is Active</t>
  </si>
  <si>
    <t>Sells in Sub-Unit?</t>
  </si>
  <si>
    <t>Coke RGB 350ml</t>
  </si>
  <si>
    <t>FG001</t>
  </si>
  <si>
    <t>Carbonated Soda Drink (CSD)</t>
  </si>
  <si>
    <t>RETURNABLE GLASS BOTTLES (RGB)</t>
  </si>
  <si>
    <t>COKE</t>
  </si>
  <si>
    <t>Crates</t>
  </si>
  <si>
    <t>Bottles</t>
  </si>
  <si>
    <t>Y</t>
  </si>
  <si>
    <t>Fanta Orange RGB 350ml</t>
  </si>
  <si>
    <t>FG002</t>
  </si>
  <si>
    <t>FANTA</t>
  </si>
  <si>
    <t>Fanta Passion RGB 350ml</t>
  </si>
  <si>
    <t>FG003</t>
  </si>
  <si>
    <t>Fanta Pineapple RGB 350ml</t>
  </si>
  <si>
    <t>FG004</t>
  </si>
  <si>
    <t>Fanta Fruit Blast RGB 350 ml</t>
  </si>
  <si>
    <t>FG005</t>
  </si>
  <si>
    <t>Sprite 350ml</t>
  </si>
  <si>
    <t>FG006</t>
  </si>
  <si>
    <t>SPRITE</t>
  </si>
  <si>
    <t>Stoney Tangawizi RGB 350ml</t>
  </si>
  <si>
    <t>FG007</t>
  </si>
  <si>
    <t>STONEY</t>
  </si>
  <si>
    <t>Sparletta Pinenut RGB 350ml</t>
  </si>
  <si>
    <t>FG008</t>
  </si>
  <si>
    <t>SPARLETTA</t>
  </si>
  <si>
    <t>Krest Bitter Lemon RGB 300ml</t>
  </si>
  <si>
    <t>FG009</t>
  </si>
  <si>
    <t>KREST</t>
  </si>
  <si>
    <t>Krest Club Soda RGB 300ml</t>
  </si>
  <si>
    <t>FG010</t>
  </si>
  <si>
    <t>Krest Tonic Water RGB 300ml</t>
  </si>
  <si>
    <t>FG011</t>
  </si>
  <si>
    <t>Krest Ginger Ale RGB 300ml</t>
  </si>
  <si>
    <t>FG012</t>
  </si>
  <si>
    <t>Coke RGB 250ml</t>
  </si>
  <si>
    <t>FG013</t>
  </si>
  <si>
    <t>Fanta Orange RGB 250ml</t>
  </si>
  <si>
    <t>FG014</t>
  </si>
  <si>
    <t>Sparletta Red Apple RGB 350ml</t>
  </si>
  <si>
    <t>FG024</t>
  </si>
  <si>
    <t>KNMW 500ml</t>
  </si>
  <si>
    <t>KD001</t>
  </si>
  <si>
    <t>KILIMANJARO NATURAL MINERAL WATER</t>
  </si>
  <si>
    <t>PET KNMW</t>
  </si>
  <si>
    <t>KNMW</t>
  </si>
  <si>
    <t>Cases</t>
  </si>
  <si>
    <t>KNMW 1500ml</t>
  </si>
  <si>
    <t>KD003</t>
  </si>
  <si>
    <t>Kilimanjaro Drinking Water 6000 ML</t>
  </si>
  <si>
    <t>KD004</t>
  </si>
  <si>
    <t>BULK KNMW</t>
  </si>
  <si>
    <t>Kilimanjaro Drinking Water 12000 ML</t>
  </si>
  <si>
    <t>KD005</t>
  </si>
  <si>
    <t>Pcs</t>
  </si>
  <si>
    <t>Kilimanjaro Drinking Water 18900 ML</t>
  </si>
  <si>
    <t>KD006</t>
  </si>
  <si>
    <t>KNMW 1000ml(6 Pack)</t>
  </si>
  <si>
    <t>KD007</t>
  </si>
  <si>
    <t>Coke Pet 500ML ( x12)</t>
  </si>
  <si>
    <t>PH001</t>
  </si>
  <si>
    <t>PET CSD</t>
  </si>
  <si>
    <t>Sprite Pet 500ML (x 12)</t>
  </si>
  <si>
    <t>PH002</t>
  </si>
  <si>
    <t>Fanta Orange Pet 500ML ( x 12)</t>
  </si>
  <si>
    <t>PH003</t>
  </si>
  <si>
    <t>Fanta Passion Pet 500ML ( x12)</t>
  </si>
  <si>
    <t>PH004</t>
  </si>
  <si>
    <t>Fanta Pineapple Pet 500ml ( x12)</t>
  </si>
  <si>
    <t>PH005</t>
  </si>
  <si>
    <t>Fanta Fruit Blast Pet 500ML (x12)</t>
  </si>
  <si>
    <t>PH006</t>
  </si>
  <si>
    <t>Stoney Tangawizi Pet 500 ml ( x12)</t>
  </si>
  <si>
    <t>PH007</t>
  </si>
  <si>
    <t>Sparletta Pinenut Pet 500 ml ( x12)</t>
  </si>
  <si>
    <t>PH008</t>
  </si>
  <si>
    <t>Coke Zero Pet 500ML ( X 12)</t>
  </si>
  <si>
    <t>PH009</t>
  </si>
  <si>
    <t>Coke Pet 300ML(x 12)</t>
  </si>
  <si>
    <t>PO008</t>
  </si>
  <si>
    <t>Coke Zero Pet 300ML (x 12)</t>
  </si>
  <si>
    <t>PO009</t>
  </si>
  <si>
    <t>Sprite Zero Pet 300ML (x 12)</t>
  </si>
  <si>
    <t>PO010</t>
  </si>
  <si>
    <t>Fanta Zero Pet 300ML (x 12)</t>
  </si>
  <si>
    <t>PO012</t>
  </si>
  <si>
    <t>Sparletta Red Apple Pet 300ML(x 12)</t>
  </si>
  <si>
    <t>PO013</t>
  </si>
  <si>
    <t>Novida Pineapple 300ML (x 12)</t>
  </si>
  <si>
    <t>PO014</t>
  </si>
  <si>
    <t>SCHWEPPES PREMIUM</t>
  </si>
  <si>
    <t>Sparletta Pine Apple Pet 300ML (x 12)</t>
  </si>
  <si>
    <t>PO015</t>
  </si>
  <si>
    <t>Coke 1250 Pet ML</t>
  </si>
  <si>
    <t>PT005</t>
  </si>
  <si>
    <t>Sprite Pet 1250 ML</t>
  </si>
  <si>
    <t>PT006</t>
  </si>
  <si>
    <t>Fanta Orange Pet 1250 ML</t>
  </si>
  <si>
    <t>PT007</t>
  </si>
  <si>
    <t>Total Active SKUs:</t>
  </si>
  <si>
    <t>SKUs Sold in Sub-Units:</t>
  </si>
  <si>
    <t>SKUs Sold Only in Whole Units:</t>
  </si>
  <si>
    <t>Depot-wise Price Master</t>
  </si>
  <si>
    <t>Single source of truth for pricing. Used for shortage postings to Default Outlet and all sales reporting in this model.</t>
  </si>
  <si>
    <t>Lookup Cascade (Shortage Posting Logic)</t>
  </si>
  <si>
    <t>1. First look for a row where Price Type = "Special" AND Code = X AND Depot Applicable = Y.</t>
  </si>
  <si>
    <t>2. If found → use that special price.</t>
  </si>
  <si>
    <t>3. If not found → fall back to the row where Price Type = "Default" AND Code = X AND Depot Applicable = "All".</t>
  </si>
  <si>
    <t>SKU Name</t>
  </si>
  <si>
    <t>Unit Price</t>
  </si>
  <si>
    <t>Sub-Unit Price</t>
  </si>
  <si>
    <t>Tax %</t>
  </si>
  <si>
    <t>Price Type</t>
  </si>
  <si>
    <t>Depot Applicable</t>
  </si>
  <si>
    <t>Default</t>
  </si>
  <si>
    <t>All</t>
  </si>
  <si>
    <t>— Special Prices —</t>
  </si>
  <si>
    <t>Special</t>
  </si>
  <si>
    <t>Default Price Rows:</t>
  </si>
  <si>
    <t>Special Price Rows:</t>
  </si>
  <si>
    <t>Price Lookup Demo</t>
  </si>
  <si>
    <t>Demonstrates the cascade: enter SKU + Depot below to see the resolved price.</t>
  </si>
  <si>
    <t>SKU Code:</t>
  </si>
  <si>
    <t>Depot:</t>
  </si>
  <si>
    <t>Resolved Price:</t>
  </si>
  <si>
    <t>Source:</t>
  </si>
  <si>
    <t>Note: Formulas above use INDEX/MATCH with multiple conditions; works in Excel 365 / 2021+. For older Excel, use as array formula (Ctrl+Shift+Enter).</t>
  </si>
  <si>
    <t>User Master</t>
  </si>
  <si>
    <t>All users in scope for the SAP Integration &amp; Compliance model: Salesmen, Sales Supervisors, and Clerks.</t>
  </si>
  <si>
    <t>Notes</t>
  </si>
  <si>
    <t>• Salesmen: SAP-pushed loads map to these users via SAP Code. They appear on mobile, sell, and unload.</t>
  </si>
  <si>
    <t>• Sales Supervisors: receive variance reports for salesmen reporting to them (parallel 24h SLA logging).</t>
  </si>
  <si>
    <t>• Clerks: confirm SAP-pushed invoices in the Integration page; verify Actual ROP at end of day.</t>
  </si>
  <si>
    <t>• Rows highlighted yellow = Sales Supervisors. Rows highlighted green = Clerks. Plain rows = Salesmen.</t>
  </si>
  <si>
    <t>• "BBL_SUP_***" and "BBL_CLK_***" Emp Codes are placeholders to be replaced with real codes before go-live.</t>
  </si>
  <si>
    <t>User ID</t>
  </si>
  <si>
    <t>Emp Code</t>
  </si>
  <si>
    <t>User Name</t>
  </si>
  <si>
    <t>SAP Code</t>
  </si>
  <si>
    <t>Role</t>
  </si>
  <si>
    <t>Reporting Manager</t>
  </si>
  <si>
    <t>Reporting Mgr User ID</t>
  </si>
  <si>
    <t>Reporting Manager Email</t>
  </si>
  <si>
    <t>BBL2211</t>
  </si>
  <si>
    <t>Omary O. Seif</t>
  </si>
  <si>
    <t>DSM300140</t>
  </si>
  <si>
    <t>Salesman</t>
  </si>
  <si>
    <t>Rose Meshack Kambey</t>
  </si>
  <si>
    <t>Rose.Meshack@bbl.co.tz</t>
  </si>
  <si>
    <t>BBL2446</t>
  </si>
  <si>
    <t>Doglas E. Shirima</t>
  </si>
  <si>
    <t>ARS000069</t>
  </si>
  <si>
    <t>Kelvin V. Kuwese</t>
  </si>
  <si>
    <t>Kelvin.Kuwese@bbl.co.tz</t>
  </si>
  <si>
    <t>BBL2769</t>
  </si>
  <si>
    <t>Gloria Florence Temba</t>
  </si>
  <si>
    <t>MOS100535</t>
  </si>
  <si>
    <t>Rachel Emanuel Kissota</t>
  </si>
  <si>
    <t>Rachel.Kissota@bbl.co.tz</t>
  </si>
  <si>
    <t>BBL2916</t>
  </si>
  <si>
    <t>Nickson Zakaria Soingei</t>
  </si>
  <si>
    <t>MOS100658</t>
  </si>
  <si>
    <t>MSL960</t>
  </si>
  <si>
    <t>Ritha Nemes Sambaya</t>
  </si>
  <si>
    <t>MOS100639</t>
  </si>
  <si>
    <t>BBL1959</t>
  </si>
  <si>
    <t>George Gibson Mmary</t>
  </si>
  <si>
    <t>MOS100200</t>
  </si>
  <si>
    <t>BBL1183</t>
  </si>
  <si>
    <t>Erick K. Mkama</t>
  </si>
  <si>
    <t>MOS100209</t>
  </si>
  <si>
    <t>BBL1723</t>
  </si>
  <si>
    <t>Frank Samwel Kahewanga</t>
  </si>
  <si>
    <t>MOS100215</t>
  </si>
  <si>
    <t>BBL1759</t>
  </si>
  <si>
    <t>Seleman Abdalah Mshana</t>
  </si>
  <si>
    <t>MOS100171</t>
  </si>
  <si>
    <t>Moses Titus Shija</t>
  </si>
  <si>
    <t>Moses.Shija@bbl.co.tz</t>
  </si>
  <si>
    <t>MSL1118</t>
  </si>
  <si>
    <t>Samson Felix Ngowi</t>
  </si>
  <si>
    <t>MOS100842</t>
  </si>
  <si>
    <t>BBL2732</t>
  </si>
  <si>
    <t>Emmanueli Steven John</t>
  </si>
  <si>
    <t>MOS100633</t>
  </si>
  <si>
    <t>Maria M. Mchagi</t>
  </si>
  <si>
    <t>Maria.Mchagi@bbl.co.tz</t>
  </si>
  <si>
    <t>BBL1963</t>
  </si>
  <si>
    <t>Priscus J Justine</t>
  </si>
  <si>
    <t>MOS100022</t>
  </si>
  <si>
    <t>MSL1067</t>
  </si>
  <si>
    <t>Masunga Mwala Ramadhani</t>
  </si>
  <si>
    <t>MOS100788</t>
  </si>
  <si>
    <t>BBL2849</t>
  </si>
  <si>
    <t>Joseph Mkinga Msulwa</t>
  </si>
  <si>
    <t>MOS100655</t>
  </si>
  <si>
    <t>BBL1377</t>
  </si>
  <si>
    <t>Harold F. Mlay</t>
  </si>
  <si>
    <t>MOS100275</t>
  </si>
  <si>
    <t>BBL2919</t>
  </si>
  <si>
    <t>Zawadi Jastin Laizer</t>
  </si>
  <si>
    <t>MOS100744</t>
  </si>
  <si>
    <t>MSL1072</t>
  </si>
  <si>
    <t>John Regnald Mlay</t>
  </si>
  <si>
    <t>MOS100800</t>
  </si>
  <si>
    <t>BBL2886</t>
  </si>
  <si>
    <t>Zefania Julius Ngoma</t>
  </si>
  <si>
    <t>MOS100144</t>
  </si>
  <si>
    <t>Stephen F. Njama</t>
  </si>
  <si>
    <t>Stephen.Njama@bbl.co.tz</t>
  </si>
  <si>
    <t>MSL1031</t>
  </si>
  <si>
    <t>Ester Lawrence Rasi</t>
  </si>
  <si>
    <t>MOS100217</t>
  </si>
  <si>
    <t>BBL1091</t>
  </si>
  <si>
    <t>Gastory S Msaki</t>
  </si>
  <si>
    <t>MOS100624</t>
  </si>
  <si>
    <t>BBL2879</t>
  </si>
  <si>
    <t>Allen Freeback Meena</t>
  </si>
  <si>
    <t>MOS100656</t>
  </si>
  <si>
    <t>BBL2884</t>
  </si>
  <si>
    <t>Neema Muivan Lukumay</t>
  </si>
  <si>
    <t>MOS100717</t>
  </si>
  <si>
    <t>Beatrice Urio</t>
  </si>
  <si>
    <t>Beatrice.Urio@bbl.co.tz</t>
  </si>
  <si>
    <t>BBL1724</t>
  </si>
  <si>
    <t>Meshack  Jeremiah</t>
  </si>
  <si>
    <t>MOS100079</t>
  </si>
  <si>
    <t>MSL1073</t>
  </si>
  <si>
    <t>Grace Wenseslausi Silayo</t>
  </si>
  <si>
    <t>MOS100793</t>
  </si>
  <si>
    <t>MSL1075</t>
  </si>
  <si>
    <t>Alice Jonathan Mfuru</t>
  </si>
  <si>
    <t>MOS100823</t>
  </si>
  <si>
    <t>MSL963</t>
  </si>
  <si>
    <t>Riziki Rajabu Mghamba</t>
  </si>
  <si>
    <t>MOS100645</t>
  </si>
  <si>
    <t>MSL952</t>
  </si>
  <si>
    <t>Saidi Mustafa Mohamed</t>
  </si>
  <si>
    <t>MOS100772</t>
  </si>
  <si>
    <t>Steven Olais Kivuyo</t>
  </si>
  <si>
    <t>stephen.kivuyo@bbl.co.tz</t>
  </si>
  <si>
    <t>BB2914</t>
  </si>
  <si>
    <t>Jonas Steven Michael</t>
  </si>
  <si>
    <t>MOS100501</t>
  </si>
  <si>
    <t>MSL14173</t>
  </si>
  <si>
    <t>Joyline J Lyimo</t>
  </si>
  <si>
    <t>MOS100802</t>
  </si>
  <si>
    <t>MSL1065</t>
  </si>
  <si>
    <t>Joseph Donald Msele</t>
  </si>
  <si>
    <t>MOS100754</t>
  </si>
  <si>
    <t>BBL1309</t>
  </si>
  <si>
    <t>Deodat Francis Materu</t>
  </si>
  <si>
    <t>MOS100180</t>
  </si>
  <si>
    <t>BBL2188</t>
  </si>
  <si>
    <t>Raymond P Sangawe</t>
  </si>
  <si>
    <t>MOS100716</t>
  </si>
  <si>
    <t>BBL2285</t>
  </si>
  <si>
    <t>Piniel Julius Singo</t>
  </si>
  <si>
    <t>MOS100654</t>
  </si>
  <si>
    <t>BBL_SUP_028</t>
  </si>
  <si>
    <t>Sales Supervisor</t>
  </si>
  <si>
    <t>BBL_SUP_046</t>
  </si>
  <si>
    <t>BBL_SUP_047</t>
  </si>
  <si>
    <t>BBL_SUP_055</t>
  </si>
  <si>
    <t>BBL_SUP_056</t>
  </si>
  <si>
    <t>BBL_SUP_057</t>
  </si>
  <si>
    <t>BBL_SUP_079</t>
  </si>
  <si>
    <t>BBL_SUP_086</t>
  </si>
  <si>
    <t>C001</t>
  </si>
  <si>
    <t>BBL_CLK_001</t>
  </si>
  <si>
    <t>Clerk — Dar Es Salaam</t>
  </si>
  <si>
    <t>Clerk</t>
  </si>
  <si>
    <t>C002</t>
  </si>
  <si>
    <t>BBL_CLK_002</t>
  </si>
  <si>
    <t>Clerk — Arusha</t>
  </si>
  <si>
    <t>C003</t>
  </si>
  <si>
    <t>BBL_CLK_003</t>
  </si>
  <si>
    <t>Clerk — Moshi</t>
  </si>
  <si>
    <t>Total Users:</t>
  </si>
  <si>
    <t xml:space="preserve">   - Salesmen:</t>
  </si>
  <si>
    <t xml:space="preserve">   - Sales Supervisors:</t>
  </si>
  <si>
    <t xml:space="preserve">   - Clerks:</t>
  </si>
  <si>
    <t>Active Users:</t>
  </si>
  <si>
    <t>Data Integrity Checks</t>
  </si>
  <si>
    <t>Duplicate SAP Codes:</t>
  </si>
  <si>
    <t>Duplicate User IDs:</t>
  </si>
  <si>
    <t>Salesmen with no SAP Code:</t>
  </si>
  <si>
    <t>(All three values above should be 0 for clean data)</t>
  </si>
  <si>
    <t>System Configuration</t>
  </si>
  <si>
    <t>Global parameters used throughout the model. Editable inputs are highlighted in pale yellow.</t>
  </si>
  <si>
    <t>Live system equivalent: System Settings page in SFA Web, accessible to authorised admin only.</t>
  </si>
  <si>
    <t>SAP Integration &amp; Compliance Parameters</t>
  </si>
  <si>
    <t>Parameter</t>
  </si>
  <si>
    <t>Value</t>
  </si>
  <si>
    <t>Reason Logging SLA</t>
  </si>
  <si>
    <t>Hours</t>
  </si>
  <si>
    <t>Supervisor must log variance reason within this window; aged variances flagged for management.</t>
  </si>
  <si>
    <t>Aging Alert Threshold</t>
  </si>
  <si>
    <t>Days</t>
  </si>
  <si>
    <t>Open loads outstanding beyond this threshold appear in the Aging View as stale loads.</t>
  </si>
  <si>
    <t>Force-Push Approval Required</t>
  </si>
  <si>
    <t>No</t>
  </si>
  <si>
    <t>Clerk authority is sufficient to force-push an unmapped SAP invoice. Controlled via Roles &amp; Permissions.</t>
  </si>
  <si>
    <t>Geo-Fence Radius</t>
  </si>
  <si>
    <t>Metres</t>
  </si>
  <si>
    <t>Reference value from main pilot. Used for delivery and outlet visit validation; not used directly here.</t>
  </si>
  <si>
    <t>Variance Tolerance</t>
  </si>
  <si>
    <t>Units</t>
  </si>
  <si>
    <t>Zero tolerance: any non-zero variance between Expected ROP and Actual ROP triggers a variance report.</t>
  </si>
  <si>
    <t>Default Outlet Price Source</t>
  </si>
  <si>
    <t>Depot Default Price</t>
  </si>
  <si>
    <t>Pricing source for shortage postings. Looked up via the M_DepotPrice cascade.</t>
  </si>
  <si>
    <t>Pricing Cascade Order</t>
  </si>
  <si>
    <t>Special → Default</t>
  </si>
  <si>
    <t>For shortage postings: try Special price first (Depot+SKU), then fall back to Default (SKU, All depots).</t>
  </si>
  <si>
    <t>Model Currency</t>
  </si>
  <si>
    <t>TZS</t>
  </si>
  <si>
    <t>Tanzanian Shilling. Used for all monetary displays in this model.</t>
  </si>
  <si>
    <t>Color Coding</t>
  </si>
  <si>
    <t>Pale Yellow + Blue Bold</t>
  </si>
  <si>
    <t>Editable input parameter</t>
  </si>
  <si>
    <t>T_Load — SAP Integration Page (Inbound)</t>
  </si>
  <si>
    <t>Every SAP-pushed invoice (van load) lands here. Each row = one SKU+Batch line. Rows with the same Load ID belong to the same SAP document.</t>
  </si>
  <si>
    <t>Clerk reviews each Load ID and either Confirms (auto-mapped) or Force-Pushes (if SAP Code does not resolve in User Master).</t>
  </si>
  <si>
    <t>Once Confirmed, the load flows into Van Load (the salesman sees stock on his mobile).</t>
  </si>
  <si>
    <t>Column Groups:</t>
  </si>
  <si>
    <t>Identification</t>
  </si>
  <si>
    <t>From SAP</t>
  </si>
  <si>
    <t>Resolved by SFA</t>
  </si>
  <si>
    <t>State</t>
  </si>
  <si>
    <t>Exception Handling</t>
  </si>
  <si>
    <t>Derived Key</t>
  </si>
  <si>
    <t>Load ID</t>
  </si>
  <si>
    <t>SAP Doc Number</t>
  </si>
  <si>
    <t>Posting/Load Date</t>
  </si>
  <si>
    <t>SAP Dest Name</t>
  </si>
  <si>
    <t>Mapped User ID</t>
  </si>
  <si>
    <t>Mapped Salesman Name</t>
  </si>
  <si>
    <t>Mapped Depot</t>
  </si>
  <si>
    <t>SAP Warehouse Code</t>
  </si>
  <si>
    <t>SKU Code</t>
  </si>
  <si>
    <t>Batch Number</t>
  </si>
  <si>
    <t>Production Date</t>
  </si>
  <si>
    <t>Expiry Date</t>
  </si>
  <si>
    <t>Quantity (Units)</t>
  </si>
  <si>
    <t>Confirmed By</t>
  </si>
  <si>
    <t>Confirmed On</t>
  </si>
  <si>
    <t>Force-Push Reason</t>
  </si>
  <si>
    <t>Remarks</t>
  </si>
  <si>
    <t>Stock Key</t>
  </si>
  <si>
    <t>L-0001</t>
  </si>
  <si>
    <t>CK6-33411</t>
  </si>
  <si>
    <t>Pending Confirmation</t>
  </si>
  <si>
    <t>CK6-33362</t>
  </si>
  <si>
    <t>CK6-33405</t>
  </si>
  <si>
    <t>CK5-33334</t>
  </si>
  <si>
    <t>CK6-33375</t>
  </si>
  <si>
    <t>CK5-33370</t>
  </si>
  <si>
    <t>L-0002</t>
  </si>
  <si>
    <t>Riziki Rajabu</t>
  </si>
  <si>
    <t>CK3-33408</t>
  </si>
  <si>
    <t>CK3-33409</t>
  </si>
  <si>
    <t>CK3-33407</t>
  </si>
  <si>
    <t>CK3-33387</t>
  </si>
  <si>
    <t>CK3-33385</t>
  </si>
  <si>
    <t>CK3-33402</t>
  </si>
  <si>
    <t>CK3-33414</t>
  </si>
  <si>
    <t>CK3-33404</t>
  </si>
  <si>
    <t>CK3-33365</t>
  </si>
  <si>
    <t>CK3-33348</t>
  </si>
  <si>
    <t>CK3-33301</t>
  </si>
  <si>
    <t>CK3-33347</t>
  </si>
  <si>
    <t>CK3-33126</t>
  </si>
  <si>
    <t>CK3-32758</t>
  </si>
  <si>
    <t>CK6-986</t>
  </si>
  <si>
    <t>CK4-841</t>
  </si>
  <si>
    <t>CK5-33360</t>
  </si>
  <si>
    <t>CK5-33369</t>
  </si>
  <si>
    <t>CK5-33366</t>
  </si>
  <si>
    <t>L-0003</t>
  </si>
  <si>
    <t>D.materu</t>
  </si>
  <si>
    <t>CK3-33356</t>
  </si>
  <si>
    <t>CK4-842</t>
  </si>
  <si>
    <t>CK6-33333</t>
  </si>
  <si>
    <t>CK6-33334</t>
  </si>
  <si>
    <t>CK6-33241</t>
  </si>
  <si>
    <t>CK5-33368</t>
  </si>
  <si>
    <t>L-0004</t>
  </si>
  <si>
    <t>Raymond Sangawe</t>
  </si>
  <si>
    <t>CK3-33383</t>
  </si>
  <si>
    <t>L-0005</t>
  </si>
  <si>
    <t>Meshack jeremia</t>
  </si>
  <si>
    <t>L-0006</t>
  </si>
  <si>
    <t>MOS100801</t>
  </si>
  <si>
    <t>James Tegemea Ndosi</t>
  </si>
  <si>
    <t>L-0007</t>
  </si>
  <si>
    <t>Zawadi Justine Laizer</t>
  </si>
  <si>
    <t>CK7-913</t>
  </si>
  <si>
    <t>CK7-915</t>
  </si>
  <si>
    <t>L-0008</t>
  </si>
  <si>
    <t>L-0009</t>
  </si>
  <si>
    <t>Gastory Msacky</t>
  </si>
  <si>
    <t>CK7-806</t>
  </si>
  <si>
    <t>L-0010</t>
  </si>
  <si>
    <t>PINIELY JULIUS SINGO</t>
  </si>
  <si>
    <t>CK7-918</t>
  </si>
  <si>
    <t>L-0011</t>
  </si>
  <si>
    <t>Zefania julius</t>
  </si>
  <si>
    <t>L-0012</t>
  </si>
  <si>
    <t>Alice Mfuru</t>
  </si>
  <si>
    <t>L-0013</t>
  </si>
  <si>
    <t>CK3-33367</t>
  </si>
  <si>
    <t>L-0014</t>
  </si>
  <si>
    <t>Erick  mkama</t>
  </si>
  <si>
    <t>L-0015</t>
  </si>
  <si>
    <t>George gibson</t>
  </si>
  <si>
    <t>CK3-33410</t>
  </si>
  <si>
    <t>L-0016</t>
  </si>
  <si>
    <t>Masunga Mwala Ramadhan</t>
  </si>
  <si>
    <t>L-0017</t>
  </si>
  <si>
    <t>L-0018</t>
  </si>
  <si>
    <t>CK3-33406</t>
  </si>
  <si>
    <t>CK3-33261</t>
  </si>
  <si>
    <t>CK3-33070</t>
  </si>
  <si>
    <t>CK6-984</t>
  </si>
  <si>
    <t>L-0019</t>
  </si>
  <si>
    <t>Douglas e.shirima</t>
  </si>
  <si>
    <t>CK3-33379</t>
  </si>
  <si>
    <t>CK3-33372</t>
  </si>
  <si>
    <t>CK3-33290</t>
  </si>
  <si>
    <t>CK5-33354</t>
  </si>
  <si>
    <t>CK3-33306</t>
  </si>
  <si>
    <t>CK3-33237</t>
  </si>
  <si>
    <t>CK4-836</t>
  </si>
  <si>
    <t>CK6-978</t>
  </si>
  <si>
    <t>CK6-983</t>
  </si>
  <si>
    <t>CK6-980</t>
  </si>
  <si>
    <t>CK7-895</t>
  </si>
  <si>
    <t>CK7-909</t>
  </si>
  <si>
    <t>CK7-914</t>
  </si>
  <si>
    <t>CK4-832</t>
  </si>
  <si>
    <t>CK6-33399</t>
  </si>
  <si>
    <t>CK5-33389</t>
  </si>
  <si>
    <t>CK5-33331</t>
  </si>
  <si>
    <t>CK6-33392</t>
  </si>
  <si>
    <t>CK6-33374</t>
  </si>
  <si>
    <t>CK5-33325</t>
  </si>
  <si>
    <t>CK5-33384</t>
  </si>
  <si>
    <t>CK5-33386</t>
  </si>
  <si>
    <t>CK5-33336</t>
  </si>
  <si>
    <t>L-0020</t>
  </si>
  <si>
    <t>Omary seif</t>
  </si>
  <si>
    <t>DSMFWH</t>
  </si>
  <si>
    <t>CK6-979</t>
  </si>
  <si>
    <t>CK4-823</t>
  </si>
  <si>
    <t>CK7-911</t>
  </si>
  <si>
    <t>CK4-833</t>
  </si>
  <si>
    <t>SUMMARY</t>
  </si>
  <si>
    <t>Total Load Rows:</t>
  </si>
  <si>
    <t>Unique Invoices:</t>
  </si>
  <si>
    <t>Unique Salesmen (SAP):</t>
  </si>
  <si>
    <t>Unmapped Rows (Force-Push needed):</t>
  </si>
  <si>
    <t>Status Breakdown:</t>
  </si>
  <si>
    <t xml:space="preserve">   Pending Confirmation:</t>
  </si>
  <si>
    <t xml:space="preserve">   Confirmed:</t>
  </si>
  <si>
    <t xml:space="preserve">   Force-Pushed:</t>
  </si>
  <si>
    <t xml:space="preserve">   Rejected:</t>
  </si>
  <si>
    <t>Unique Stock Keys (rows):</t>
  </si>
  <si>
    <t>Rows with UNKNOWN SKU:</t>
  </si>
  <si>
    <t>Total Quantity Across All Loads:</t>
  </si>
  <si>
    <t>T_Sales — Mobile Sales Recorded by Salesmen</t>
  </si>
  <si>
    <t>Every sale recorded on a salesman's mobile app. Each row = one outlet visit + one SKU+Batch line.</t>
  </si>
  <si>
    <t>IMPORTANT: Sales records are IMMUTABLE. They cannot be modified after entry. Variance resolution flows around this constraint.</t>
  </si>
  <si>
    <t>Used downstream to compute Expected ROP = Load − Sales (per Salesman × SKU × Batch).</t>
  </si>
  <si>
    <t>Mobile-Entered</t>
  </si>
  <si>
    <t>Pricing (Cascade)</t>
  </si>
  <si>
    <t>Sale ID</t>
  </si>
  <si>
    <t>Sale Date</t>
  </si>
  <si>
    <t>Salesman SAP Code</t>
  </si>
  <si>
    <t>Salesman Name</t>
  </si>
  <si>
    <t>Salesman Depot</t>
  </si>
  <si>
    <t>Outlet Code</t>
  </si>
  <si>
    <t>Outlet Name</t>
  </si>
  <si>
    <t>Unit Price (TZS)</t>
  </si>
  <si>
    <t>Sale Value (TZS)</t>
  </si>
  <si>
    <t>S-00084</t>
  </si>
  <si>
    <t>OUT-ARS-001</t>
  </si>
  <si>
    <t>Sokoine Road Stores</t>
  </si>
  <si>
    <t>S-00013</t>
  </si>
  <si>
    <t>S-00015</t>
  </si>
  <si>
    <t>S-00016</t>
  </si>
  <si>
    <t>S-00022</t>
  </si>
  <si>
    <t>S-00026</t>
  </si>
  <si>
    <t>S-00029</t>
  </si>
  <si>
    <t>S-00032</t>
  </si>
  <si>
    <t>S-00035</t>
  </si>
  <si>
    <t>S-00036</t>
  </si>
  <si>
    <t>S-00053</t>
  </si>
  <si>
    <t>S-00058</t>
  </si>
  <si>
    <t>S-00063</t>
  </si>
  <si>
    <t>S-00066</t>
  </si>
  <si>
    <t>S-00049</t>
  </si>
  <si>
    <t>S-00070</t>
  </si>
  <si>
    <t>S-00073</t>
  </si>
  <si>
    <t>S-00045</t>
  </si>
  <si>
    <t>S-00040</t>
  </si>
  <si>
    <t>S-00010</t>
  </si>
  <si>
    <t>S-00001</t>
  </si>
  <si>
    <t>S-00078</t>
  </si>
  <si>
    <t>S-00083</t>
  </si>
  <si>
    <t>OUT-ARS-002</t>
  </si>
  <si>
    <t>Levolosi Mini Mart</t>
  </si>
  <si>
    <t>S-00017</t>
  </si>
  <si>
    <t>S-00020</t>
  </si>
  <si>
    <t>S-00024</t>
  </si>
  <si>
    <t>S-00030</t>
  </si>
  <si>
    <t>S-00031</t>
  </si>
  <si>
    <t>S-00034</t>
  </si>
  <si>
    <t>S-00038</t>
  </si>
  <si>
    <t>S-00050</t>
  </si>
  <si>
    <t>S-00055</t>
  </si>
  <si>
    <t>S-00060</t>
  </si>
  <si>
    <t>S-00068</t>
  </si>
  <si>
    <t>S-00046</t>
  </si>
  <si>
    <t>S-00069</t>
  </si>
  <si>
    <t>S-00072</t>
  </si>
  <si>
    <t>S-00042</t>
  </si>
  <si>
    <t>S-00039</t>
  </si>
  <si>
    <t>S-00005</t>
  </si>
  <si>
    <t>S-00003</t>
  </si>
  <si>
    <t>S-00076</t>
  </si>
  <si>
    <t>S-00082</t>
  </si>
  <si>
    <t>OUT-ARS-004</t>
  </si>
  <si>
    <t>Kaloleni Wholesale</t>
  </si>
  <si>
    <t>S-00079</t>
  </si>
  <si>
    <t>S-00011</t>
  </si>
  <si>
    <t>S-00019</t>
  </si>
  <si>
    <t>S-00021</t>
  </si>
  <si>
    <t>S-00025</t>
  </si>
  <si>
    <t>S-00028</t>
  </si>
  <si>
    <t>S-00033</t>
  </si>
  <si>
    <t>S-00051</t>
  </si>
  <si>
    <t>S-00056</t>
  </si>
  <si>
    <t>S-00059</t>
  </si>
  <si>
    <t>S-00061</t>
  </si>
  <si>
    <t>S-00064</t>
  </si>
  <si>
    <t>S-00065</t>
  </si>
  <si>
    <t>S-00048</t>
  </si>
  <si>
    <t>S-00074</t>
  </si>
  <si>
    <t>S-00044</t>
  </si>
  <si>
    <t>S-00041</t>
  </si>
  <si>
    <t>S-00009</t>
  </si>
  <si>
    <t>S-00007</t>
  </si>
  <si>
    <t>S-00004</t>
  </si>
  <si>
    <t>S-00077</t>
  </si>
  <si>
    <t>S-00080</t>
  </si>
  <si>
    <t>OUT-ARS-005</t>
  </si>
  <si>
    <t>Sakina Junction Bar</t>
  </si>
  <si>
    <t>S-00012</t>
  </si>
  <si>
    <t>S-00014</t>
  </si>
  <si>
    <t>S-00018</t>
  </si>
  <si>
    <t>S-00023</t>
  </si>
  <si>
    <t>S-00027</t>
  </si>
  <si>
    <t>S-00037</t>
  </si>
  <si>
    <t>S-00052</t>
  </si>
  <si>
    <t>S-00054</t>
  </si>
  <si>
    <t>S-00057</t>
  </si>
  <si>
    <t>S-00062</t>
  </si>
  <si>
    <t>S-00067</t>
  </si>
  <si>
    <t>S-00047</t>
  </si>
  <si>
    <t>S-00071</t>
  </si>
  <si>
    <t>S-00043</t>
  </si>
  <si>
    <t>S-00008</t>
  </si>
  <si>
    <t>S-00006</t>
  </si>
  <si>
    <t>S-00002</t>
  </si>
  <si>
    <t>S-00081</t>
  </si>
  <si>
    <t>S-00075</t>
  </si>
  <si>
    <t>S-00088</t>
  </si>
  <si>
    <t>OUT-DAR-003</t>
  </si>
  <si>
    <t>Buguruni Cold Store</t>
  </si>
  <si>
    <t>S-00091</t>
  </si>
  <si>
    <t>OUT-DAR-005</t>
  </si>
  <si>
    <t>Sinza Mini Mart</t>
  </si>
  <si>
    <t>S-00087</t>
  </si>
  <si>
    <t>OUT-DAR-007</t>
  </si>
  <si>
    <t>Mwananyamala Beverages</t>
  </si>
  <si>
    <t>S-00120</t>
  </si>
  <si>
    <t>OUT-MOS-002</t>
  </si>
  <si>
    <t>Kibo Mini Mart</t>
  </si>
  <si>
    <t>S-00109</t>
  </si>
  <si>
    <t>S-00112</t>
  </si>
  <si>
    <t>S-00157</t>
  </si>
  <si>
    <t>S-00145</t>
  </si>
  <si>
    <t>S-00147</t>
  </si>
  <si>
    <t>S-00143</t>
  </si>
  <si>
    <t>S-00150</t>
  </si>
  <si>
    <t>S-00125</t>
  </si>
  <si>
    <t>S-00165</t>
  </si>
  <si>
    <t>S-00118</t>
  </si>
  <si>
    <t>OUT-MOS-004</t>
  </si>
  <si>
    <t>Uhuru Grocery</t>
  </si>
  <si>
    <t>S-00113</t>
  </si>
  <si>
    <t>S-00103</t>
  </si>
  <si>
    <t>S-00116</t>
  </si>
  <si>
    <t>S-00161</t>
  </si>
  <si>
    <t>S-00139</t>
  </si>
  <si>
    <t>S-00163</t>
  </si>
  <si>
    <t>S-00136</t>
  </si>
  <si>
    <t>S-00129</t>
  </si>
  <si>
    <t>S-00126</t>
  </si>
  <si>
    <t>S-00123</t>
  </si>
  <si>
    <t>S-00168</t>
  </si>
  <si>
    <t>S-00172</t>
  </si>
  <si>
    <t>S-00108</t>
  </si>
  <si>
    <t>OUT-MOS-006</t>
  </si>
  <si>
    <t>KCMC Canteen</t>
  </si>
  <si>
    <t>S-00158</t>
  </si>
  <si>
    <t>S-00105</t>
  </si>
  <si>
    <t>S-00114</t>
  </si>
  <si>
    <t>S-00149</t>
  </si>
  <si>
    <t>S-00142</t>
  </si>
  <si>
    <t>S-00153</t>
  </si>
  <si>
    <t>S-00160</t>
  </si>
  <si>
    <t>S-00162</t>
  </si>
  <si>
    <t>S-00135</t>
  </si>
  <si>
    <t>S-00131</t>
  </si>
  <si>
    <t>S-00166</t>
  </si>
  <si>
    <t>S-00121</t>
  </si>
  <si>
    <t>OUT-MOS-007</t>
  </si>
  <si>
    <t>Majengo Cold Drinks</t>
  </si>
  <si>
    <t>S-00117</t>
  </si>
  <si>
    <t>S-00107</t>
  </si>
  <si>
    <t>S-00156</t>
  </si>
  <si>
    <t>S-00102</t>
  </si>
  <si>
    <t>S-00146</t>
  </si>
  <si>
    <t>S-00140</t>
  </si>
  <si>
    <t>S-00155</t>
  </si>
  <si>
    <t>S-00137</t>
  </si>
  <si>
    <t>S-00133</t>
  </si>
  <si>
    <t>S-00167</t>
  </si>
  <si>
    <t>S-00170</t>
  </si>
  <si>
    <t>S-00173</t>
  </si>
  <si>
    <t>S-00106</t>
  </si>
  <si>
    <t>OUT-MOS-008</t>
  </si>
  <si>
    <t>Pasua Wholesale</t>
  </si>
  <si>
    <t>S-00111</t>
  </si>
  <si>
    <t>S-00159</t>
  </si>
  <si>
    <t>S-00115</t>
  </si>
  <si>
    <t>S-00144</t>
  </si>
  <si>
    <t>S-00141</t>
  </si>
  <si>
    <t>S-00151</t>
  </si>
  <si>
    <t>S-00154</t>
  </si>
  <si>
    <t>S-00132</t>
  </si>
  <si>
    <t>S-00127</t>
  </si>
  <si>
    <t>S-00171</t>
  </si>
  <si>
    <t>S-00119</t>
  </si>
  <si>
    <t>OUT-MOS-010</t>
  </si>
  <si>
    <t>Njoro Junction Bar</t>
  </si>
  <si>
    <t>S-00110</t>
  </si>
  <si>
    <t>S-00104</t>
  </si>
  <si>
    <t>S-00148</t>
  </si>
  <si>
    <t>S-00152</t>
  </si>
  <si>
    <t>S-00138</t>
  </si>
  <si>
    <t>S-00164</t>
  </si>
  <si>
    <t>S-00134</t>
  </si>
  <si>
    <t>S-00128</t>
  </si>
  <si>
    <t>S-00130</t>
  </si>
  <si>
    <t>S-00124</t>
  </si>
  <si>
    <t>S-00122</t>
  </si>
  <si>
    <t>S-00169</t>
  </si>
  <si>
    <t>S-00175</t>
  </si>
  <si>
    <t>OUT-MOS-001</t>
  </si>
  <si>
    <t>Moshi Town Shop</t>
  </si>
  <si>
    <t>S-00203</t>
  </si>
  <si>
    <t>S-00177</t>
  </si>
  <si>
    <t>S-00212</t>
  </si>
  <si>
    <t>S-00206</t>
  </si>
  <si>
    <t>S-00207</t>
  </si>
  <si>
    <t>S-00180</t>
  </si>
  <si>
    <t>S-00184</t>
  </si>
  <si>
    <t>S-00189</t>
  </si>
  <si>
    <t>S-00193</t>
  </si>
  <si>
    <t>S-00191</t>
  </si>
  <si>
    <t>S-00195</t>
  </si>
  <si>
    <t>S-00197</t>
  </si>
  <si>
    <t>S-00176</t>
  </si>
  <si>
    <t>S-00214</t>
  </si>
  <si>
    <t>S-00202</t>
  </si>
  <si>
    <t>S-00178</t>
  </si>
  <si>
    <t>S-00211</t>
  </si>
  <si>
    <t>S-00201</t>
  </si>
  <si>
    <t>S-00205</t>
  </si>
  <si>
    <t>S-00209</t>
  </si>
  <si>
    <t>S-00181</t>
  </si>
  <si>
    <t>S-00183</t>
  </si>
  <si>
    <t>S-00185</t>
  </si>
  <si>
    <t>S-00188</t>
  </si>
  <si>
    <t>S-00199</t>
  </si>
  <si>
    <t>S-00196</t>
  </si>
  <si>
    <t>S-00174</t>
  </si>
  <si>
    <t>OUT-MOS-005</t>
  </si>
  <si>
    <t>Soweto Beverages</t>
  </si>
  <si>
    <t>S-00213</t>
  </si>
  <si>
    <t>S-00204</t>
  </si>
  <si>
    <t>S-00210</t>
  </si>
  <si>
    <t>S-00200</t>
  </si>
  <si>
    <t>S-00208</t>
  </si>
  <si>
    <t>S-00179</t>
  </si>
  <si>
    <t>S-00182</t>
  </si>
  <si>
    <t>S-00186</t>
  </si>
  <si>
    <t>S-00187</t>
  </si>
  <si>
    <t>S-00192</t>
  </si>
  <si>
    <t>S-00190</t>
  </si>
  <si>
    <t>S-00194</t>
  </si>
  <si>
    <t>S-00198</t>
  </si>
  <si>
    <t>S-00261</t>
  </si>
  <si>
    <t>S-00256</t>
  </si>
  <si>
    <t>S-00252</t>
  </si>
  <si>
    <t>S-00241</t>
  </si>
  <si>
    <t>S-00257</t>
  </si>
  <si>
    <t>S-00243</t>
  </si>
  <si>
    <t>S-00276</t>
  </si>
  <si>
    <t>S-00272</t>
  </si>
  <si>
    <t>S-00233</t>
  </si>
  <si>
    <t>S-00229</t>
  </si>
  <si>
    <t>S-00253</t>
  </si>
  <si>
    <t>S-00287</t>
  </si>
  <si>
    <t>S-00282</t>
  </si>
  <si>
    <t>S-00238</t>
  </si>
  <si>
    <t>S-00279</t>
  </si>
  <si>
    <t>S-00217</t>
  </si>
  <si>
    <t>S-00271</t>
  </si>
  <si>
    <t>S-00236</t>
  </si>
  <si>
    <t>S-00226</t>
  </si>
  <si>
    <t>S-00265</t>
  </si>
  <si>
    <t>OUT-MOS-003</t>
  </si>
  <si>
    <t>Mawenzi General Stores</t>
  </si>
  <si>
    <t>S-00260</t>
  </si>
  <si>
    <t>S-00255</t>
  </si>
  <si>
    <t>S-00258</t>
  </si>
  <si>
    <t>S-00250</t>
  </si>
  <si>
    <t>S-00248</t>
  </si>
  <si>
    <t>S-00286</t>
  </si>
  <si>
    <t>S-00284</t>
  </si>
  <si>
    <t>S-00246</t>
  </si>
  <si>
    <t>S-00224</t>
  </si>
  <si>
    <t>S-00222</t>
  </si>
  <si>
    <t>S-00275</t>
  </si>
  <si>
    <t>S-00234</t>
  </si>
  <si>
    <t>S-00232</t>
  </si>
  <si>
    <t>S-00230</t>
  </si>
  <si>
    <t>S-00263</t>
  </si>
  <si>
    <t>S-00254</t>
  </si>
  <si>
    <t>S-00247</t>
  </si>
  <si>
    <t>S-00289</t>
  </si>
  <si>
    <t>S-00288</t>
  </si>
  <si>
    <t>S-00245</t>
  </si>
  <si>
    <t>S-00240</t>
  </si>
  <si>
    <t>S-00273</t>
  </si>
  <si>
    <t>S-00219</t>
  </si>
  <si>
    <t>S-00267</t>
  </si>
  <si>
    <t>S-00269</t>
  </si>
  <si>
    <t>S-00231</t>
  </si>
  <si>
    <t>S-00227</t>
  </si>
  <si>
    <t>S-00262</t>
  </si>
  <si>
    <t>S-00259</t>
  </si>
  <si>
    <t>S-00251</t>
  </si>
  <si>
    <t>S-00244</t>
  </si>
  <si>
    <t>S-00281</t>
  </si>
  <si>
    <t>S-00277</t>
  </si>
  <si>
    <t>S-00223</t>
  </si>
  <si>
    <t>S-00274</t>
  </si>
  <si>
    <t>S-00220</t>
  </si>
  <si>
    <t>S-00268</t>
  </si>
  <si>
    <t>S-00266</t>
  </si>
  <si>
    <t>S-00215</t>
  </si>
  <si>
    <t>S-00270</t>
  </si>
  <si>
    <t>S-00235</t>
  </si>
  <si>
    <t>S-00225</t>
  </si>
  <si>
    <t>S-00264</t>
  </si>
  <si>
    <t>OUT-MOS-009</t>
  </si>
  <si>
    <t>Shanty Town Kiosk</t>
  </si>
  <si>
    <t>S-00242</t>
  </si>
  <si>
    <t>S-00249</t>
  </si>
  <si>
    <t>S-00290</t>
  </si>
  <si>
    <t>S-00285</t>
  </si>
  <si>
    <t>S-00283</t>
  </si>
  <si>
    <t>S-00239</t>
  </si>
  <si>
    <t>S-00280</t>
  </si>
  <si>
    <t>S-00278</t>
  </si>
  <si>
    <t>S-00221</t>
  </si>
  <si>
    <t>S-00218</t>
  </si>
  <si>
    <t>S-00216</t>
  </si>
  <si>
    <t>S-00237</t>
  </si>
  <si>
    <t>S-00228</t>
  </si>
  <si>
    <t>S-00350</t>
  </si>
  <si>
    <t>S-00321</t>
  </si>
  <si>
    <t>S-00355</t>
  </si>
  <si>
    <t>S-00341</t>
  </si>
  <si>
    <t>S-00325</t>
  </si>
  <si>
    <t>S-00328</t>
  </si>
  <si>
    <t>S-00316</t>
  </si>
  <si>
    <t>S-00308</t>
  </si>
  <si>
    <t>S-00307</t>
  </si>
  <si>
    <t>S-00300</t>
  </si>
  <si>
    <t>S-00294</t>
  </si>
  <si>
    <t>S-00356</t>
  </si>
  <si>
    <t>S-00339</t>
  </si>
  <si>
    <t>S-00334</t>
  </si>
  <si>
    <t>S-00298</t>
  </si>
  <si>
    <t>S-00292</t>
  </si>
  <si>
    <t>S-00352</t>
  </si>
  <si>
    <t>S-00344</t>
  </si>
  <si>
    <t>S-00342</t>
  </si>
  <si>
    <t>S-00348</t>
  </si>
  <si>
    <t>S-00335</t>
  </si>
  <si>
    <t>S-00333</t>
  </si>
  <si>
    <t>S-00326</t>
  </si>
  <si>
    <t>S-00314</t>
  </si>
  <si>
    <t>S-00309</t>
  </si>
  <si>
    <t>S-00306</t>
  </si>
  <si>
    <t>S-00303</t>
  </si>
  <si>
    <t>S-00353</t>
  </si>
  <si>
    <t>S-00347</t>
  </si>
  <si>
    <t>S-00323</t>
  </si>
  <si>
    <t>S-00331</t>
  </si>
  <si>
    <t>S-00317</t>
  </si>
  <si>
    <t>S-00329</t>
  </si>
  <si>
    <t>S-00315</t>
  </si>
  <si>
    <t>S-00301</t>
  </si>
  <si>
    <t>S-00297</t>
  </si>
  <si>
    <t>S-00296</t>
  </si>
  <si>
    <t>S-00293</t>
  </si>
  <si>
    <t>S-00351</t>
  </si>
  <si>
    <t>S-00346</t>
  </si>
  <si>
    <t>S-00319</t>
  </si>
  <si>
    <t>S-00349</t>
  </si>
  <si>
    <t>S-00337</t>
  </si>
  <si>
    <t>S-00336</t>
  </si>
  <si>
    <t>S-00324</t>
  </si>
  <si>
    <t>S-00332</t>
  </si>
  <si>
    <t>S-00330</t>
  </si>
  <si>
    <t>S-00318</t>
  </si>
  <si>
    <t>S-00327</t>
  </si>
  <si>
    <t>S-00310</t>
  </si>
  <si>
    <t>S-00312</t>
  </si>
  <si>
    <t>S-00304</t>
  </si>
  <si>
    <t>S-00291</t>
  </si>
  <si>
    <t>S-00354</t>
  </si>
  <si>
    <t>S-00345</t>
  </si>
  <si>
    <t>S-00343</t>
  </si>
  <si>
    <t>S-00320</t>
  </si>
  <si>
    <t>S-00340</t>
  </si>
  <si>
    <t>S-00338</t>
  </si>
  <si>
    <t>S-00322</t>
  </si>
  <si>
    <t>S-00313</t>
  </si>
  <si>
    <t>S-00311</t>
  </si>
  <si>
    <t>S-00305</t>
  </si>
  <si>
    <t>S-00302</t>
  </si>
  <si>
    <t>S-00299</t>
  </si>
  <si>
    <t>S-00295</t>
  </si>
  <si>
    <t>S-00393</t>
  </si>
  <si>
    <t>S-00387</t>
  </si>
  <si>
    <t>S-00386</t>
  </si>
  <si>
    <t>S-00373</t>
  </si>
  <si>
    <t>S-00359</t>
  </si>
  <si>
    <t>S-00383</t>
  </si>
  <si>
    <t>S-00415</t>
  </si>
  <si>
    <t>S-00380</t>
  </si>
  <si>
    <t>S-00375</t>
  </si>
  <si>
    <t>S-00370</t>
  </si>
  <si>
    <t>S-00365</t>
  </si>
  <si>
    <t>S-00409</t>
  </si>
  <si>
    <t>S-00419</t>
  </si>
  <si>
    <t>S-00407</t>
  </si>
  <si>
    <t>S-00405</t>
  </si>
  <si>
    <t>S-00398</t>
  </si>
  <si>
    <t>S-00400</t>
  </si>
  <si>
    <t>S-00416</t>
  </si>
  <si>
    <t>S-00363</t>
  </si>
  <si>
    <t>S-00360</t>
  </si>
  <si>
    <t>S-00424</t>
  </si>
  <si>
    <t>S-00395</t>
  </si>
  <si>
    <t>S-00392</t>
  </si>
  <si>
    <t>S-00389</t>
  </si>
  <si>
    <t>S-00385</t>
  </si>
  <si>
    <t>S-00371</t>
  </si>
  <si>
    <t>S-00391</t>
  </si>
  <si>
    <t>S-00357</t>
  </si>
  <si>
    <t>S-00382</t>
  </si>
  <si>
    <t>S-00413</t>
  </si>
  <si>
    <t>S-00378</t>
  </si>
  <si>
    <t>S-00376</t>
  </si>
  <si>
    <t>S-00374</t>
  </si>
  <si>
    <t>S-00368</t>
  </si>
  <si>
    <t>S-00367</t>
  </si>
  <si>
    <t>S-00412</t>
  </si>
  <si>
    <t>S-00421</t>
  </si>
  <si>
    <t>S-00404</t>
  </si>
  <si>
    <t>S-00397</t>
  </si>
  <si>
    <t>S-00402</t>
  </si>
  <si>
    <t>S-00401</t>
  </si>
  <si>
    <t>S-00417</t>
  </si>
  <si>
    <t>S-00364</t>
  </si>
  <si>
    <t>S-00362</t>
  </si>
  <si>
    <t>S-00423</t>
  </si>
  <si>
    <t>S-00396</t>
  </si>
  <si>
    <t>S-00394</t>
  </si>
  <si>
    <t>S-00388</t>
  </si>
  <si>
    <t>S-00384</t>
  </si>
  <si>
    <t>S-00372</t>
  </si>
  <si>
    <t>S-00390</t>
  </si>
  <si>
    <t>S-00358</t>
  </si>
  <si>
    <t>S-00381</t>
  </si>
  <si>
    <t>S-00414</t>
  </si>
  <si>
    <t>S-00379</t>
  </si>
  <si>
    <t>S-00377</t>
  </si>
  <si>
    <t>S-00369</t>
  </si>
  <si>
    <t>S-00366</t>
  </si>
  <si>
    <t>S-00411</t>
  </si>
  <si>
    <t>S-00410</t>
  </si>
  <si>
    <t>S-00420</t>
  </si>
  <si>
    <t>S-00408</t>
  </si>
  <si>
    <t>S-00406</t>
  </si>
  <si>
    <t>S-00399</t>
  </si>
  <si>
    <t>S-00403</t>
  </si>
  <si>
    <t>S-00418</t>
  </si>
  <si>
    <t>S-00361</t>
  </si>
  <si>
    <t>S-00422</t>
  </si>
  <si>
    <t>S-00485</t>
  </si>
  <si>
    <t>S-00492</t>
  </si>
  <si>
    <t>S-00460</t>
  </si>
  <si>
    <t>S-00488</t>
  </si>
  <si>
    <t>S-00477</t>
  </si>
  <si>
    <t>S-00474</t>
  </si>
  <si>
    <t>S-00467</t>
  </si>
  <si>
    <t>S-00471</t>
  </si>
  <si>
    <t>S-00450</t>
  </si>
  <si>
    <t>S-00445</t>
  </si>
  <si>
    <t>S-00426</t>
  </si>
  <si>
    <t>S-00429</t>
  </si>
  <si>
    <t>S-00434</t>
  </si>
  <si>
    <t>S-00437</t>
  </si>
  <si>
    <t>S-00484</t>
  </si>
  <si>
    <t>S-00493</t>
  </si>
  <si>
    <t>S-00479</t>
  </si>
  <si>
    <t>S-00490</t>
  </si>
  <si>
    <t>S-00478</t>
  </si>
  <si>
    <t>S-00448</t>
  </si>
  <si>
    <t>S-00430</t>
  </si>
  <si>
    <t>S-00433</t>
  </si>
  <si>
    <t>S-00491</t>
  </si>
  <si>
    <t>S-00481</t>
  </si>
  <si>
    <t>S-00459</t>
  </si>
  <si>
    <t>S-00489</t>
  </si>
  <si>
    <t>S-00475</t>
  </si>
  <si>
    <t>S-00466</t>
  </si>
  <si>
    <t>S-00469</t>
  </si>
  <si>
    <t>S-00443</t>
  </si>
  <si>
    <t>S-00439</t>
  </si>
  <si>
    <t>S-00487</t>
  </si>
  <si>
    <t>S-00482</t>
  </si>
  <si>
    <t>S-00480</t>
  </si>
  <si>
    <t>S-00465</t>
  </si>
  <si>
    <t>S-00457</t>
  </si>
  <si>
    <t>S-00455</t>
  </si>
  <si>
    <t>S-00452</t>
  </si>
  <si>
    <t>S-00444</t>
  </si>
  <si>
    <t>S-00427</t>
  </si>
  <si>
    <t>S-00432</t>
  </si>
  <si>
    <t>S-00435</t>
  </si>
  <si>
    <t>S-00438</t>
  </si>
  <si>
    <t>S-00442</t>
  </si>
  <si>
    <t>S-00486</t>
  </si>
  <si>
    <t>S-00494</t>
  </si>
  <si>
    <t>S-00462</t>
  </si>
  <si>
    <t>S-00476</t>
  </si>
  <si>
    <t>S-00468</t>
  </si>
  <si>
    <t>S-00472</t>
  </si>
  <si>
    <t>S-00464</t>
  </si>
  <si>
    <t>S-00453</t>
  </si>
  <si>
    <t>S-00451</t>
  </si>
  <si>
    <t>S-00446</t>
  </si>
  <si>
    <t>S-00449</t>
  </si>
  <si>
    <t>S-00425</t>
  </si>
  <si>
    <t>S-00428</t>
  </si>
  <si>
    <t>S-00436</t>
  </si>
  <si>
    <t>S-00441</t>
  </si>
  <si>
    <t>S-00483</t>
  </si>
  <si>
    <t>S-00461</t>
  </si>
  <si>
    <t>S-00470</t>
  </si>
  <si>
    <t>S-00473</t>
  </si>
  <si>
    <t>S-00463</t>
  </si>
  <si>
    <t>S-00458</t>
  </si>
  <si>
    <t>S-00456</t>
  </si>
  <si>
    <t>S-00454</t>
  </si>
  <si>
    <t>S-00447</t>
  </si>
  <si>
    <t>S-00431</t>
  </si>
  <si>
    <t>S-00440</t>
  </si>
  <si>
    <t>S-00519</t>
  </si>
  <si>
    <t>S-00532</t>
  </si>
  <si>
    <t>S-00527</t>
  </si>
  <si>
    <t>S-00538</t>
  </si>
  <si>
    <t>S-00541</t>
  </si>
  <si>
    <t>S-00543</t>
  </si>
  <si>
    <t>S-00549</t>
  </si>
  <si>
    <t>S-00553</t>
  </si>
  <si>
    <t>S-00561</t>
  </si>
  <si>
    <t>S-00562</t>
  </si>
  <si>
    <t>S-00496</t>
  </si>
  <si>
    <t>S-00578</t>
  </si>
  <si>
    <t>S-00509</t>
  </si>
  <si>
    <t>S-00511</t>
  </si>
  <si>
    <t>S-00520</t>
  </si>
  <si>
    <t>S-00523</t>
  </si>
  <si>
    <t>S-00528</t>
  </si>
  <si>
    <t>S-00556</t>
  </si>
  <si>
    <t>S-00533</t>
  </si>
  <si>
    <t>S-00544</t>
  </si>
  <si>
    <t>S-00551</t>
  </si>
  <si>
    <t>S-00558</t>
  </si>
  <si>
    <t>S-00563</t>
  </si>
  <si>
    <t>S-00495</t>
  </si>
  <si>
    <t>S-00502</t>
  </si>
  <si>
    <t>S-00576</t>
  </si>
  <si>
    <t>S-00503</t>
  </si>
  <si>
    <t>S-00512</t>
  </si>
  <si>
    <t>S-00516</t>
  </si>
  <si>
    <t>S-00567</t>
  </si>
  <si>
    <t>S-00570</t>
  </si>
  <si>
    <t>S-00575</t>
  </si>
  <si>
    <t>S-00522</t>
  </si>
  <si>
    <t>S-00557</t>
  </si>
  <si>
    <t>S-00526</t>
  </si>
  <si>
    <t>S-00536</t>
  </si>
  <si>
    <t>S-00539</t>
  </si>
  <si>
    <t>S-00546</t>
  </si>
  <si>
    <t>S-00548</t>
  </si>
  <si>
    <t>S-00565</t>
  </si>
  <si>
    <t>S-00500</t>
  </si>
  <si>
    <t>S-00508</t>
  </si>
  <si>
    <t>S-00504</t>
  </si>
  <si>
    <t>S-00513</t>
  </si>
  <si>
    <t>S-00566</t>
  </si>
  <si>
    <t>S-00574</t>
  </si>
  <si>
    <t>S-00525</t>
  </si>
  <si>
    <t>S-00529</t>
  </si>
  <si>
    <t>S-00554</t>
  </si>
  <si>
    <t>S-00547</t>
  </si>
  <si>
    <t>S-00552</t>
  </si>
  <si>
    <t>S-00559</t>
  </si>
  <si>
    <t>S-00498</t>
  </si>
  <si>
    <t>S-00501</t>
  </si>
  <si>
    <t>S-00577</t>
  </si>
  <si>
    <t>S-00507</t>
  </si>
  <si>
    <t>S-00505</t>
  </si>
  <si>
    <t>S-00514</t>
  </si>
  <si>
    <t>S-00515</t>
  </si>
  <si>
    <t>S-00517</t>
  </si>
  <si>
    <t>S-00568</t>
  </si>
  <si>
    <t>S-00571</t>
  </si>
  <si>
    <t>S-00572</t>
  </si>
  <si>
    <t>S-00524</t>
  </si>
  <si>
    <t>S-00531</t>
  </si>
  <si>
    <t>S-00555</t>
  </si>
  <si>
    <t>S-00535</t>
  </si>
  <si>
    <t>S-00540</t>
  </si>
  <si>
    <t>S-00497</t>
  </si>
  <si>
    <t>S-00518</t>
  </si>
  <si>
    <t>S-00569</t>
  </si>
  <si>
    <t>S-00521</t>
  </si>
  <si>
    <t>S-00530</t>
  </si>
  <si>
    <t>S-00534</t>
  </si>
  <si>
    <t>S-00537</t>
  </si>
  <si>
    <t>S-00542</t>
  </si>
  <si>
    <t>S-00545</t>
  </si>
  <si>
    <t>S-00550</t>
  </si>
  <si>
    <t>S-00560</t>
  </si>
  <si>
    <t>S-00564</t>
  </si>
  <si>
    <t>S-00499</t>
  </si>
  <si>
    <t>S-00579</t>
  </si>
  <si>
    <t>S-00510</t>
  </si>
  <si>
    <t>S-00506</t>
  </si>
  <si>
    <t>S-00573</t>
  </si>
  <si>
    <t>S-00655</t>
  </si>
  <si>
    <t>S-00659</t>
  </si>
  <si>
    <t>S-00653</t>
  </si>
  <si>
    <t>S-00629</t>
  </si>
  <si>
    <t>S-00626</t>
  </si>
  <si>
    <t>S-00650</t>
  </si>
  <si>
    <t>S-00625</t>
  </si>
  <si>
    <t>S-00618</t>
  </si>
  <si>
    <t>S-00608</t>
  </si>
  <si>
    <t>S-00600</t>
  </si>
  <si>
    <t>S-00583</t>
  </si>
  <si>
    <t>S-00612</t>
  </si>
  <si>
    <t>S-00635</t>
  </si>
  <si>
    <t>S-00632</t>
  </si>
  <si>
    <t>S-00596</t>
  </si>
  <si>
    <t>S-00591</t>
  </si>
  <si>
    <t>S-00651</t>
  </si>
  <si>
    <t>S-00617</t>
  </si>
  <si>
    <t>S-00607</t>
  </si>
  <si>
    <t>S-00601</t>
  </si>
  <si>
    <t>S-00642</t>
  </si>
  <si>
    <t>S-00638</t>
  </si>
  <si>
    <t>S-00588</t>
  </si>
  <si>
    <t>S-00581</t>
  </si>
  <si>
    <t>S-00594</t>
  </si>
  <si>
    <t>S-00592</t>
  </si>
  <si>
    <t>S-00656</t>
  </si>
  <si>
    <t>S-00652</t>
  </si>
  <si>
    <t>S-00621</t>
  </si>
  <si>
    <t>S-00646</t>
  </si>
  <si>
    <t>S-00620</t>
  </si>
  <si>
    <t>S-00616</t>
  </si>
  <si>
    <t>S-00609</t>
  </si>
  <si>
    <t>S-00644</t>
  </si>
  <si>
    <t>S-00639</t>
  </si>
  <si>
    <t>S-00587</t>
  </si>
  <si>
    <t>S-00582</t>
  </si>
  <si>
    <t>S-00613</t>
  </si>
  <si>
    <t>S-00599</t>
  </si>
  <si>
    <t>S-00595</t>
  </si>
  <si>
    <t>S-00590</t>
  </si>
  <si>
    <t>S-00657</t>
  </si>
  <si>
    <t>S-00630</t>
  </si>
  <si>
    <t>S-00627</t>
  </si>
  <si>
    <t>S-00604</t>
  </si>
  <si>
    <t>S-00648</t>
  </si>
  <si>
    <t>S-00624</t>
  </si>
  <si>
    <t>S-00622</t>
  </si>
  <si>
    <t>S-00614</t>
  </si>
  <si>
    <t>S-00645</t>
  </si>
  <si>
    <t>S-00640</t>
  </si>
  <si>
    <t>S-00611</t>
  </si>
  <si>
    <t>S-00633</t>
  </si>
  <si>
    <t>S-00598</t>
  </si>
  <si>
    <t>S-00589</t>
  </si>
  <si>
    <t>S-00660</t>
  </si>
  <si>
    <t>S-00628</t>
  </si>
  <si>
    <t>S-00623</t>
  </si>
  <si>
    <t>S-00647</t>
  </si>
  <si>
    <t>S-00615</t>
  </si>
  <si>
    <t>S-00606</t>
  </si>
  <si>
    <t>S-00603</t>
  </si>
  <si>
    <t>S-00643</t>
  </si>
  <si>
    <t>S-00641</t>
  </si>
  <si>
    <t>S-00586</t>
  </si>
  <si>
    <t>S-00585</t>
  </si>
  <si>
    <t>S-00610</t>
  </si>
  <si>
    <t>S-00637</t>
  </si>
  <si>
    <t>S-00634</t>
  </si>
  <si>
    <t>S-00658</t>
  </si>
  <si>
    <t>S-00654</t>
  </si>
  <si>
    <t>S-00631</t>
  </si>
  <si>
    <t>S-00605</t>
  </si>
  <si>
    <t>S-00649</t>
  </si>
  <si>
    <t>S-00619</t>
  </si>
  <si>
    <t>S-00602</t>
  </si>
  <si>
    <t>S-00580</t>
  </si>
  <si>
    <t>S-00584</t>
  </si>
  <si>
    <t>S-00636</t>
  </si>
  <si>
    <t>S-00597</t>
  </si>
  <si>
    <t>S-00593</t>
  </si>
  <si>
    <t>S-00661</t>
  </si>
  <si>
    <t>S-00664</t>
  </si>
  <si>
    <t>S-00723</t>
  </si>
  <si>
    <t>S-00670</t>
  </si>
  <si>
    <t>S-00672</t>
  </si>
  <si>
    <t>S-00678</t>
  </si>
  <si>
    <t>S-00685</t>
  </si>
  <si>
    <t>S-00689</t>
  </si>
  <si>
    <t>S-00695</t>
  </si>
  <si>
    <t>S-00705</t>
  </si>
  <si>
    <t>S-00710</t>
  </si>
  <si>
    <t>S-00713</t>
  </si>
  <si>
    <t>S-00719</t>
  </si>
  <si>
    <t>S-00663</t>
  </si>
  <si>
    <t>S-00682</t>
  </si>
  <si>
    <t>S-00669</t>
  </si>
  <si>
    <t>S-00673</t>
  </si>
  <si>
    <t>S-00677</t>
  </si>
  <si>
    <t>S-00680</t>
  </si>
  <si>
    <t>S-00684</t>
  </si>
  <si>
    <t>S-00693</t>
  </si>
  <si>
    <t>S-00697</t>
  </si>
  <si>
    <t>S-00702</t>
  </si>
  <si>
    <t>S-00704</t>
  </si>
  <si>
    <t>S-00712</t>
  </si>
  <si>
    <t>S-00717</t>
  </si>
  <si>
    <t>S-00718</t>
  </si>
  <si>
    <t>S-00665</t>
  </si>
  <si>
    <t>S-00671</t>
  </si>
  <si>
    <t>S-00676</t>
  </si>
  <si>
    <t>S-00679</t>
  </si>
  <si>
    <t>S-00686</t>
  </si>
  <si>
    <t>S-00690</t>
  </si>
  <si>
    <t>S-00694</t>
  </si>
  <si>
    <t>S-00698</t>
  </si>
  <si>
    <t>S-00700</t>
  </si>
  <si>
    <t>S-00708</t>
  </si>
  <si>
    <t>S-00703</t>
  </si>
  <si>
    <t>S-00715</t>
  </si>
  <si>
    <t>S-00720</t>
  </si>
  <si>
    <t>S-00681</t>
  </si>
  <si>
    <t>S-00722</t>
  </si>
  <si>
    <t>S-00667</t>
  </si>
  <si>
    <t>S-00674</t>
  </si>
  <si>
    <t>S-00687</t>
  </si>
  <si>
    <t>S-00688</t>
  </si>
  <si>
    <t>S-00692</t>
  </si>
  <si>
    <t>S-00696</t>
  </si>
  <si>
    <t>S-00699</t>
  </si>
  <si>
    <t>S-00701</t>
  </si>
  <si>
    <t>S-00707</t>
  </si>
  <si>
    <t>S-00706</t>
  </si>
  <si>
    <t>S-00711</t>
  </si>
  <si>
    <t>S-00716</t>
  </si>
  <si>
    <t>S-00721</t>
  </si>
  <si>
    <t>S-00662</t>
  </si>
  <si>
    <t>S-00666</t>
  </si>
  <si>
    <t>S-00683</t>
  </si>
  <si>
    <t>S-00724</t>
  </si>
  <si>
    <t>S-00668</t>
  </si>
  <si>
    <t>S-00675</t>
  </si>
  <si>
    <t>S-00691</t>
  </si>
  <si>
    <t>S-00709</t>
  </si>
  <si>
    <t>S-00714</t>
  </si>
  <si>
    <t>S-00736</t>
  </si>
  <si>
    <t>S-00734</t>
  </si>
  <si>
    <t>S-00731</t>
  </si>
  <si>
    <t>S-00728</t>
  </si>
  <si>
    <t>S-00753</t>
  </si>
  <si>
    <t>S-00726</t>
  </si>
  <si>
    <t>S-00769</t>
  </si>
  <si>
    <t>S-00763</t>
  </si>
  <si>
    <t>S-00766</t>
  </si>
  <si>
    <t>S-00743</t>
  </si>
  <si>
    <t>S-00759</t>
  </si>
  <si>
    <t>S-00756</t>
  </si>
  <si>
    <t>S-00739</t>
  </si>
  <si>
    <t>S-00773</t>
  </si>
  <si>
    <t>S-00729</t>
  </si>
  <si>
    <t>S-00784</t>
  </si>
  <si>
    <t>S-00776</t>
  </si>
  <si>
    <t>S-00747</t>
  </si>
  <si>
    <t>S-00767</t>
  </si>
  <si>
    <t>S-00760</t>
  </si>
  <si>
    <t>S-00741</t>
  </si>
  <si>
    <t>S-00757</t>
  </si>
  <si>
    <t>S-00730</t>
  </si>
  <si>
    <t>S-00754</t>
  </si>
  <si>
    <t>S-00783</t>
  </si>
  <si>
    <t>S-00779</t>
  </si>
  <si>
    <t>S-00777</t>
  </si>
  <si>
    <t>S-00775</t>
  </si>
  <si>
    <t>S-00765</t>
  </si>
  <si>
    <t>S-00742</t>
  </si>
  <si>
    <t>S-00758</t>
  </si>
  <si>
    <t>S-00735</t>
  </si>
  <si>
    <t>S-00732</t>
  </si>
  <si>
    <t>S-00750</t>
  </si>
  <si>
    <t>S-00725</t>
  </si>
  <si>
    <t>S-00781</t>
  </si>
  <si>
    <t>S-00780</t>
  </si>
  <si>
    <t>S-00752</t>
  </si>
  <si>
    <t>S-00778</t>
  </si>
  <si>
    <t>S-00745</t>
  </si>
  <si>
    <t>S-00768</t>
  </si>
  <si>
    <t>S-00764</t>
  </si>
  <si>
    <t>S-00737</t>
  </si>
  <si>
    <t>S-00733</t>
  </si>
  <si>
    <t>S-00749</t>
  </si>
  <si>
    <t>S-00786</t>
  </si>
  <si>
    <t>S-00782</t>
  </si>
  <si>
    <t>S-00746</t>
  </si>
  <si>
    <t>S-00761</t>
  </si>
  <si>
    <t>S-00740</t>
  </si>
  <si>
    <t>S-00738</t>
  </si>
  <si>
    <t>S-00771</t>
  </si>
  <si>
    <t>S-00748</t>
  </si>
  <si>
    <t>S-00727</t>
  </si>
  <si>
    <t>S-00785</t>
  </si>
  <si>
    <t>S-00751</t>
  </si>
  <si>
    <t>S-00744</t>
  </si>
  <si>
    <t>S-00770</t>
  </si>
  <si>
    <t>S-00762</t>
  </si>
  <si>
    <t>S-00755</t>
  </si>
  <si>
    <t>S-00774</t>
  </si>
  <si>
    <t>S-00772</t>
  </si>
  <si>
    <t>S-00823</t>
  </si>
  <si>
    <t>S-00792</t>
  </si>
  <si>
    <t>S-00794</t>
  </si>
  <si>
    <t>S-00809</t>
  </si>
  <si>
    <t>S-00789</t>
  </si>
  <si>
    <t>S-00828</t>
  </si>
  <si>
    <t>S-00855</t>
  </si>
  <si>
    <t>S-00853</t>
  </si>
  <si>
    <t>S-00798</t>
  </si>
  <si>
    <t>S-00799</t>
  </si>
  <si>
    <t>S-00803</t>
  </si>
  <si>
    <t>S-00850</t>
  </si>
  <si>
    <t>S-00812</t>
  </si>
  <si>
    <t>S-00816</t>
  </si>
  <si>
    <t>S-00820</t>
  </si>
  <si>
    <t>S-00838</t>
  </si>
  <si>
    <t>S-00839</t>
  </si>
  <si>
    <t>S-00834</t>
  </si>
  <si>
    <t>S-00846</t>
  </si>
  <si>
    <t>S-00822</t>
  </si>
  <si>
    <t>S-00825</t>
  </si>
  <si>
    <t>S-00807</t>
  </si>
  <si>
    <t>S-00790</t>
  </si>
  <si>
    <t>S-00829</t>
  </si>
  <si>
    <t>S-00854</t>
  </si>
  <si>
    <t>S-00797</t>
  </si>
  <si>
    <t>S-00802</t>
  </si>
  <si>
    <t>S-00804</t>
  </si>
  <si>
    <t>S-00810</t>
  </si>
  <si>
    <t>S-00813</t>
  </si>
  <si>
    <t>S-00817</t>
  </si>
  <si>
    <t>S-00821</t>
  </si>
  <si>
    <t>S-00840</t>
  </si>
  <si>
    <t>S-00835</t>
  </si>
  <si>
    <t>S-00831</t>
  </si>
  <si>
    <t>S-00847</t>
  </si>
  <si>
    <t>S-00845</t>
  </si>
  <si>
    <t>S-00826</t>
  </si>
  <si>
    <t>S-00808</t>
  </si>
  <si>
    <t>S-00787</t>
  </si>
  <si>
    <t>S-00830</t>
  </si>
  <si>
    <t>S-00856</t>
  </si>
  <si>
    <t>S-00851</t>
  </si>
  <si>
    <t>S-00796</t>
  </si>
  <si>
    <t>S-00801</t>
  </si>
  <si>
    <t>S-00811</t>
  </si>
  <si>
    <t>S-00814</t>
  </si>
  <si>
    <t>S-00815</t>
  </si>
  <si>
    <t>S-00819</t>
  </si>
  <si>
    <t>S-00843</t>
  </si>
  <si>
    <t>S-00837</t>
  </si>
  <si>
    <t>S-00833</t>
  </si>
  <si>
    <t>S-00848</t>
  </si>
  <si>
    <t>S-00824</t>
  </si>
  <si>
    <t>S-00791</t>
  </si>
  <si>
    <t>S-00793</t>
  </si>
  <si>
    <t>S-00806</t>
  </si>
  <si>
    <t>S-00788</t>
  </si>
  <si>
    <t>S-00827</t>
  </si>
  <si>
    <t>S-00857</t>
  </si>
  <si>
    <t>S-00852</t>
  </si>
  <si>
    <t>S-00795</t>
  </si>
  <si>
    <t>S-00800</t>
  </si>
  <si>
    <t>S-00805</t>
  </si>
  <si>
    <t>S-00849</t>
  </si>
  <si>
    <t>S-00818</t>
  </si>
  <si>
    <t>S-00842</t>
  </si>
  <si>
    <t>S-00841</t>
  </si>
  <si>
    <t>S-00836</t>
  </si>
  <si>
    <t>S-00832</t>
  </si>
  <si>
    <t>S-00844</t>
  </si>
  <si>
    <t>S-00898</t>
  </si>
  <si>
    <t>S-00891</t>
  </si>
  <si>
    <t>S-00875</t>
  </si>
  <si>
    <t>S-00888</t>
  </si>
  <si>
    <t>S-00931</t>
  </si>
  <si>
    <t>S-00911</t>
  </si>
  <si>
    <t>S-00923</t>
  </si>
  <si>
    <t>S-00916</t>
  </si>
  <si>
    <t>S-00860</t>
  </si>
  <si>
    <t>S-00917</t>
  </si>
  <si>
    <t>S-00866</t>
  </si>
  <si>
    <t>S-00927</t>
  </si>
  <si>
    <t>S-00858</t>
  </si>
  <si>
    <t>S-00903</t>
  </si>
  <si>
    <t>S-00892</t>
  </si>
  <si>
    <t>S-00907</t>
  </si>
  <si>
    <t>S-00876</t>
  </si>
  <si>
    <t>S-00882</t>
  </si>
  <si>
    <t>S-00885</t>
  </si>
  <si>
    <t>S-00905</t>
  </si>
  <si>
    <t>S-00932</t>
  </si>
  <si>
    <t>S-00913</t>
  </si>
  <si>
    <t>S-00922</t>
  </si>
  <si>
    <t>S-00915</t>
  </si>
  <si>
    <t>S-00861</t>
  </si>
  <si>
    <t>S-00920</t>
  </si>
  <si>
    <t>S-00864</t>
  </si>
  <si>
    <t>S-00867</t>
  </si>
  <si>
    <t>S-00869</t>
  </si>
  <si>
    <t>S-00924</t>
  </si>
  <si>
    <t>S-00900</t>
  </si>
  <si>
    <t>S-00874</t>
  </si>
  <si>
    <t>S-00910</t>
  </si>
  <si>
    <t>S-00893</t>
  </si>
  <si>
    <t>S-00878</t>
  </si>
  <si>
    <t>S-00881</t>
  </si>
  <si>
    <t>S-00887</t>
  </si>
  <si>
    <t>S-00906</t>
  </si>
  <si>
    <t>S-00929</t>
  </si>
  <si>
    <t>S-00918</t>
  </si>
  <si>
    <t>S-00863</t>
  </si>
  <si>
    <t>S-00928</t>
  </si>
  <si>
    <t>S-00902</t>
  </si>
  <si>
    <t>S-00899</t>
  </si>
  <si>
    <t>S-00897</t>
  </si>
  <si>
    <t>S-00890</t>
  </si>
  <si>
    <t>S-00873</t>
  </si>
  <si>
    <t>S-00908</t>
  </si>
  <si>
    <t>S-00894</t>
  </si>
  <si>
    <t>S-00879</t>
  </si>
  <si>
    <t>S-00880</t>
  </si>
  <si>
    <t>S-00884</t>
  </si>
  <si>
    <t>S-00886</t>
  </si>
  <si>
    <t>S-00912</t>
  </si>
  <si>
    <t>S-00919</t>
  </si>
  <si>
    <t>S-00862</t>
  </si>
  <si>
    <t>S-00865</t>
  </si>
  <si>
    <t>S-00871</t>
  </si>
  <si>
    <t>S-00926</t>
  </si>
  <si>
    <t>S-00901</t>
  </si>
  <si>
    <t>S-00896</t>
  </si>
  <si>
    <t>S-00872</t>
  </si>
  <si>
    <t>S-00909</t>
  </si>
  <si>
    <t>S-00895</t>
  </si>
  <si>
    <t>S-00877</t>
  </si>
  <si>
    <t>S-00883</t>
  </si>
  <si>
    <t>S-00904</t>
  </si>
  <si>
    <t>S-00889</t>
  </si>
  <si>
    <t>S-00930</t>
  </si>
  <si>
    <t>S-00921</t>
  </si>
  <si>
    <t>S-00914</t>
  </si>
  <si>
    <t>S-00868</t>
  </si>
  <si>
    <t>S-00870</t>
  </si>
  <si>
    <t>S-00925</t>
  </si>
  <si>
    <t>S-00859</t>
  </si>
  <si>
    <t>S-00975</t>
  </si>
  <si>
    <t>S-00979</t>
  </si>
  <si>
    <t>S-00952</t>
  </si>
  <si>
    <t>S-00955</t>
  </si>
  <si>
    <t>S-00967</t>
  </si>
  <si>
    <t>S-00949</t>
  </si>
  <si>
    <t>S-00957</t>
  </si>
  <si>
    <t>S-00961</t>
  </si>
  <si>
    <t>S-00964</t>
  </si>
  <si>
    <t>S-00980</t>
  </si>
  <si>
    <t>S-00984</t>
  </si>
  <si>
    <t>S-00974</t>
  </si>
  <si>
    <t>S-00937</t>
  </si>
  <si>
    <t>S-00946</t>
  </si>
  <si>
    <t>S-00933</t>
  </si>
  <si>
    <t>S-00943</t>
  </si>
  <si>
    <t>S-00942</t>
  </si>
  <si>
    <t>S-00938</t>
  </si>
  <si>
    <t>S-00986</t>
  </si>
  <si>
    <t>S-00988</t>
  </si>
  <si>
    <t>S-00991</t>
  </si>
  <si>
    <t>S-00976</t>
  </si>
  <si>
    <t>S-00978</t>
  </si>
  <si>
    <t>S-00951</t>
  </si>
  <si>
    <t>S-00954</t>
  </si>
  <si>
    <t>S-00968</t>
  </si>
  <si>
    <t>S-00958</t>
  </si>
  <si>
    <t>S-00960</t>
  </si>
  <si>
    <t>S-00962</t>
  </si>
  <si>
    <t>S-00965</t>
  </si>
  <si>
    <t>S-00981</t>
  </si>
  <si>
    <t>S-00983</t>
  </si>
  <si>
    <t>S-00971</t>
  </si>
  <si>
    <t>S-00973</t>
  </si>
  <si>
    <t>S-00936</t>
  </si>
  <si>
    <t>S-00948</t>
  </si>
  <si>
    <t>S-00935</t>
  </si>
  <si>
    <t>S-00944</t>
  </si>
  <si>
    <t>S-00941</t>
  </si>
  <si>
    <t>S-00939</t>
  </si>
  <si>
    <t>S-00985</t>
  </si>
  <si>
    <t>S-00989</t>
  </si>
  <si>
    <t>S-00992</t>
  </si>
  <si>
    <t>S-00977</t>
  </si>
  <si>
    <t>S-00953</t>
  </si>
  <si>
    <t>S-00956</t>
  </si>
  <si>
    <t>S-00969</t>
  </si>
  <si>
    <t>S-00950</t>
  </si>
  <si>
    <t>S-00959</t>
  </si>
  <si>
    <t>S-00963</t>
  </si>
  <si>
    <t>S-00966</t>
  </si>
  <si>
    <t>S-00982</t>
  </si>
  <si>
    <t>S-00970</t>
  </si>
  <si>
    <t>S-00972</t>
  </si>
  <si>
    <t>S-00947</t>
  </si>
  <si>
    <t>S-00934</t>
  </si>
  <si>
    <t>S-00945</t>
  </si>
  <si>
    <t>S-00940</t>
  </si>
  <si>
    <t>S-00987</t>
  </si>
  <si>
    <t>S-00990</t>
  </si>
  <si>
    <t>S-01050</t>
  </si>
  <si>
    <t>S-01042</t>
  </si>
  <si>
    <t>S-01036</t>
  </si>
  <si>
    <t>S-01034</t>
  </si>
  <si>
    <t>S-01027</t>
  </si>
  <si>
    <t>S-01029</t>
  </si>
  <si>
    <t>S-01048</t>
  </si>
  <si>
    <t>S-01014</t>
  </si>
  <si>
    <t>S-01011</t>
  </si>
  <si>
    <t>S-01003</t>
  </si>
  <si>
    <t>S-01007</t>
  </si>
  <si>
    <t>S-00997</t>
  </si>
  <si>
    <t>S-01051</t>
  </si>
  <si>
    <t>S-01044</t>
  </si>
  <si>
    <t>S-01035</t>
  </si>
  <si>
    <t>S-01038</t>
  </si>
  <si>
    <t>S-01032</t>
  </si>
  <si>
    <t>S-01030</t>
  </si>
  <si>
    <t>S-01047</t>
  </si>
  <si>
    <t>S-01022</t>
  </si>
  <si>
    <t>S-01020</t>
  </si>
  <si>
    <t>S-01019</t>
  </si>
  <si>
    <t>S-01013</t>
  </si>
  <si>
    <t>S-01010</t>
  </si>
  <si>
    <t>S-01006</t>
  </si>
  <si>
    <t>S-01001</t>
  </si>
  <si>
    <t>S-00995</t>
  </si>
  <si>
    <t>S-01052</t>
  </si>
  <si>
    <t>S-01026</t>
  </si>
  <si>
    <t>S-01039</t>
  </si>
  <si>
    <t>S-01025</t>
  </si>
  <si>
    <t>S-01018</t>
  </si>
  <si>
    <t>S-01004</t>
  </si>
  <si>
    <t>S-01000</t>
  </si>
  <si>
    <t>S-00996</t>
  </si>
  <si>
    <t>S-01041</t>
  </si>
  <si>
    <t>S-01031</t>
  </si>
  <si>
    <t>S-01028</t>
  </si>
  <si>
    <t>S-01045</t>
  </si>
  <si>
    <t>S-01024</t>
  </si>
  <si>
    <t>S-01021</t>
  </si>
  <si>
    <t>S-01017</t>
  </si>
  <si>
    <t>S-01012</t>
  </si>
  <si>
    <t>S-01009</t>
  </si>
  <si>
    <t>S-01002</t>
  </si>
  <si>
    <t>S-00998</t>
  </si>
  <si>
    <t>S-00994</t>
  </si>
  <si>
    <t>S-01049</t>
  </si>
  <si>
    <t>S-01043</t>
  </si>
  <si>
    <t>S-01037</t>
  </si>
  <si>
    <t>S-01040</t>
  </si>
  <si>
    <t>S-01033</t>
  </si>
  <si>
    <t>S-01046</t>
  </si>
  <si>
    <t>S-01023</t>
  </si>
  <si>
    <t>S-01016</t>
  </si>
  <si>
    <t>S-01015</t>
  </si>
  <si>
    <t>S-01005</t>
  </si>
  <si>
    <t>S-01008</t>
  </si>
  <si>
    <t>S-00999</t>
  </si>
  <si>
    <t>S-00993</t>
  </si>
  <si>
    <t>S-01151</t>
  </si>
  <si>
    <t>S-01088</t>
  </si>
  <si>
    <t>S-01089</t>
  </si>
  <si>
    <t>S-01156</t>
  </si>
  <si>
    <t>S-01083</t>
  </si>
  <si>
    <t>S-01096</t>
  </si>
  <si>
    <t>S-01066</t>
  </si>
  <si>
    <t>S-01120</t>
  </si>
  <si>
    <t>S-01086</t>
  </si>
  <si>
    <t>S-01093</t>
  </si>
  <si>
    <t>S-01102</t>
  </si>
  <si>
    <t>S-01106</t>
  </si>
  <si>
    <t>S-01130</t>
  </si>
  <si>
    <t>S-01076</t>
  </si>
  <si>
    <t>S-01107</t>
  </si>
  <si>
    <t>S-01110</t>
  </si>
  <si>
    <t>S-01071</t>
  </si>
  <si>
    <t>S-01070</t>
  </si>
  <si>
    <t>S-01113</t>
  </si>
  <si>
    <t>S-01116</t>
  </si>
  <si>
    <t>S-01132</t>
  </si>
  <si>
    <t>S-01063</t>
  </si>
  <si>
    <t>S-01125</t>
  </si>
  <si>
    <t>S-01134</t>
  </si>
  <si>
    <t>S-01060</t>
  </si>
  <si>
    <t>S-01127</t>
  </si>
  <si>
    <t>S-01137</t>
  </si>
  <si>
    <t>S-01057</t>
  </si>
  <si>
    <t>S-01143</t>
  </si>
  <si>
    <t>S-01145</t>
  </si>
  <si>
    <t>S-01149</t>
  </si>
  <si>
    <t>S-01058</t>
  </si>
  <si>
    <t>S-01154</t>
  </si>
  <si>
    <t>S-01087</t>
  </si>
  <si>
    <t>S-01090</t>
  </si>
  <si>
    <t>S-01081</t>
  </si>
  <si>
    <t>S-01065</t>
  </si>
  <si>
    <t>S-01119</t>
  </si>
  <si>
    <t>S-01084</t>
  </si>
  <si>
    <t>S-01077</t>
  </si>
  <si>
    <t>S-01101</t>
  </si>
  <si>
    <t>S-01103</t>
  </si>
  <si>
    <t>S-01129</t>
  </si>
  <si>
    <t>S-01109</t>
  </si>
  <si>
    <t>S-01073</t>
  </si>
  <si>
    <t>S-01114</t>
  </si>
  <si>
    <t>S-01115</t>
  </si>
  <si>
    <t>S-01133</t>
  </si>
  <si>
    <t>S-01062</t>
  </si>
  <si>
    <t>S-01122</t>
  </si>
  <si>
    <t>S-01126</t>
  </si>
  <si>
    <t>S-01136</t>
  </si>
  <si>
    <t>S-01141</t>
  </si>
  <si>
    <t>S-01144</t>
  </si>
  <si>
    <t>S-01148</t>
  </si>
  <si>
    <t>S-01059</t>
  </si>
  <si>
    <t>S-01152</t>
  </si>
  <si>
    <t>S-01155</t>
  </si>
  <si>
    <t>S-01094</t>
  </si>
  <si>
    <t>S-01080</t>
  </si>
  <si>
    <t>S-01098</t>
  </si>
  <si>
    <t>S-01067</t>
  </si>
  <si>
    <t>S-01099</t>
  </si>
  <si>
    <t>S-01105</t>
  </si>
  <si>
    <t>S-01131</t>
  </si>
  <si>
    <t>S-01108</t>
  </si>
  <si>
    <t>S-01111</t>
  </si>
  <si>
    <t>S-01072</t>
  </si>
  <si>
    <t>S-01112</t>
  </si>
  <si>
    <t>S-01118</t>
  </si>
  <si>
    <t>S-01124</t>
  </si>
  <si>
    <t>S-01061</t>
  </si>
  <si>
    <t>S-01138</t>
  </si>
  <si>
    <t>S-01056</t>
  </si>
  <si>
    <t>S-01140</t>
  </si>
  <si>
    <t>S-01053</t>
  </si>
  <si>
    <t>S-01150</t>
  </si>
  <si>
    <t>S-01153</t>
  </si>
  <si>
    <t>S-01091</t>
  </si>
  <si>
    <t>S-01082</t>
  </si>
  <si>
    <t>S-01095</t>
  </si>
  <si>
    <t>S-01079</t>
  </si>
  <si>
    <t>S-01097</t>
  </si>
  <si>
    <t>S-01068</t>
  </si>
  <si>
    <t>S-01121</t>
  </si>
  <si>
    <t>S-01085</t>
  </si>
  <si>
    <t>S-01092</t>
  </si>
  <si>
    <t>S-01078</t>
  </si>
  <si>
    <t>S-01100</t>
  </si>
  <si>
    <t>S-01104</t>
  </si>
  <si>
    <t>S-01075</t>
  </si>
  <si>
    <t>S-01074</t>
  </si>
  <si>
    <t>S-01069</t>
  </si>
  <si>
    <t>S-01117</t>
  </si>
  <si>
    <t>S-01064</t>
  </si>
  <si>
    <t>S-01123</t>
  </si>
  <si>
    <t>S-01135</t>
  </si>
  <si>
    <t>S-01128</t>
  </si>
  <si>
    <t>S-01139</t>
  </si>
  <si>
    <t>S-01055</t>
  </si>
  <si>
    <t>S-01142</t>
  </si>
  <si>
    <t>S-01054</t>
  </si>
  <si>
    <t>S-01146</t>
  </si>
  <si>
    <t>S-01147</t>
  </si>
  <si>
    <t>S-00096</t>
  </si>
  <si>
    <t>OUT-DAR-004</t>
  </si>
  <si>
    <t>Kinondoni Market Shop</t>
  </si>
  <si>
    <t>S-00089</t>
  </si>
  <si>
    <t>OUT-DAR-006</t>
  </si>
  <si>
    <t>Tabata Junction</t>
  </si>
  <si>
    <t>S-00100</t>
  </si>
  <si>
    <t>S-00090</t>
  </si>
  <si>
    <t>S-00098</t>
  </si>
  <si>
    <t>S-00086</t>
  </si>
  <si>
    <t>S-00093</t>
  </si>
  <si>
    <t>OUT-DAR-001</t>
  </si>
  <si>
    <t>Kariakoo Wholesale</t>
  </si>
  <si>
    <t>S-00085</t>
  </si>
  <si>
    <t>S-00099</t>
  </si>
  <si>
    <t>S-00094</t>
  </si>
  <si>
    <t>S-00097</t>
  </si>
  <si>
    <t>S-00101</t>
  </si>
  <si>
    <t>S-00095</t>
  </si>
  <si>
    <t>S-00092</t>
  </si>
  <si>
    <t>Total Sale Rows:</t>
  </si>
  <si>
    <t>Unique Salesmen:</t>
  </si>
  <si>
    <t>Unique Outlets Visited:</t>
  </si>
  <si>
    <t>Total Quantity Sold:</t>
  </si>
  <si>
    <t>Total Sale Value (TZS):</t>
  </si>
  <si>
    <t>Scenario Distribution (designed):</t>
  </si>
  <si>
    <t xml:space="preserve">   Clean matches:</t>
  </si>
  <si>
    <t>13 salesmen</t>
  </si>
  <si>
    <t xml:space="preserve">   Shortage (Default Outlet posting):</t>
  </si>
  <si>
    <t>1 salesman — Riziki Rajabu (MOS100645)</t>
  </si>
  <si>
    <t xml:space="preserve">   Excess (Unload adjustment):</t>
  </si>
  <si>
    <t>1 salesman — Joyline J Lyimo (MOS100802)</t>
  </si>
  <si>
    <t xml:space="preserve">   Safari sales (multi-day):</t>
  </si>
  <si>
    <t>1 salesman — Omary O. Seif (DSM300140)</t>
  </si>
  <si>
    <t xml:space="preserve">   Sub-unit / decimal sales:</t>
  </si>
  <si>
    <t>1 salesman — Doglas E. Shirima (ARS000069)</t>
  </si>
  <si>
    <t xml:space="preserve">   No sales (Force-Push pending):</t>
  </si>
  <si>
    <t>James Tegemea Ndosi (MOS100801)</t>
  </si>
  <si>
    <t>T_Unload — Mobile Unload (Auto-Derived)</t>
  </si>
  <si>
    <t>Auto-derived from T_Load and T_Sales. Each row = one unique Stock Key (Salesman + SKU + Batch).</t>
  </si>
  <si>
    <t>Expected ROP = Sum of Load Qty − Sum of Sales Qty (per Stock Key). This is what the system EXPECTS to be in the van.</t>
  </si>
  <si>
    <t>In the live system: salesman clicks "Unload" on his mobile; quantities flow automatically. He cannot manipulate these numbers.</t>
  </si>
  <si>
    <t>Next step (T_ROP): Clerk enters Actual ROP at the depot. Variance = Expected ROP − Actual ROP.</t>
  </si>
  <si>
    <t>Computed</t>
  </si>
  <si>
    <t>Unload ID</t>
  </si>
  <si>
    <t>Depot</t>
  </si>
  <si>
    <t>Load Qty (Sum)</t>
  </si>
  <si>
    <t>Sales Qty (Sum)</t>
  </si>
  <si>
    <t>Expected ROP</t>
  </si>
  <si>
    <t>Unload Date</t>
  </si>
  <si>
    <t>Unload Status</t>
  </si>
  <si>
    <t>U-0001</t>
  </si>
  <si>
    <t>ARS000069|FG001|CK3-33379</t>
  </si>
  <si>
    <t>Pending Unload</t>
  </si>
  <si>
    <t>U-0002</t>
  </si>
  <si>
    <t>ARS000069|FG002|CK3-33372</t>
  </si>
  <si>
    <t>U-0003</t>
  </si>
  <si>
    <t>ARS000069|FG003|CK3-33290</t>
  </si>
  <si>
    <t>U-0004</t>
  </si>
  <si>
    <t>ARS000069|FG004|CK5-33354</t>
  </si>
  <si>
    <t>U-0005</t>
  </si>
  <si>
    <t>ARS000069|FG006|CK3-33306</t>
  </si>
  <si>
    <t>U-0006</t>
  </si>
  <si>
    <t>ARS000069|FG009|CK3-33348</t>
  </si>
  <si>
    <t>U-0007</t>
  </si>
  <si>
    <t>ARS000069|FG010|CK3-33301</t>
  </si>
  <si>
    <t>U-0008</t>
  </si>
  <si>
    <t>ARS000069|FG011|CK3-33237</t>
  </si>
  <si>
    <t>U-0009</t>
  </si>
  <si>
    <t>ARS000069|FG012|CK3-33126</t>
  </si>
  <si>
    <t>U-0010</t>
  </si>
  <si>
    <t>ARS000069|KD001|CK4-836</t>
  </si>
  <si>
    <t>U-0011</t>
  </si>
  <si>
    <t>ARS000069|KD001|CK6-978</t>
  </si>
  <si>
    <t>U-0012</t>
  </si>
  <si>
    <t>ARS000069|KD001|CK6-983</t>
  </si>
  <si>
    <t>U-0013</t>
  </si>
  <si>
    <t>ARS000069|KD003|CK6-980</t>
  </si>
  <si>
    <t>U-0014</t>
  </si>
  <si>
    <t>ARS000069|KD004|CK7-895</t>
  </si>
  <si>
    <t>U-0015</t>
  </si>
  <si>
    <t>ARS000069|KD005|CK7-909</t>
  </si>
  <si>
    <t>U-0016</t>
  </si>
  <si>
    <t>ARS000069|KD005|CK7-913</t>
  </si>
  <si>
    <t>U-0017</t>
  </si>
  <si>
    <t>ARS000069|KD006|CK7-914</t>
  </si>
  <si>
    <t>U-0018</t>
  </si>
  <si>
    <t>ARS000069|KD006|CK7-915</t>
  </si>
  <si>
    <t>U-0019</t>
  </si>
  <si>
    <t>ARS000069|KD007|CK4-832</t>
  </si>
  <si>
    <t>U-0020</t>
  </si>
  <si>
    <t>ARS000069|PH001|CK6-33399</t>
  </si>
  <si>
    <t>U-0021</t>
  </si>
  <si>
    <t>ARS000069|PH002|CK6-33362</t>
  </si>
  <si>
    <t>U-0022</t>
  </si>
  <si>
    <t>ARS000069|PH003|CK5-33389</t>
  </si>
  <si>
    <t>U-0023</t>
  </si>
  <si>
    <t>ARS000069|PH004|CK5-33331</t>
  </si>
  <si>
    <t>U-0024</t>
  </si>
  <si>
    <t>ARS000069|PH005|CK6-33392</t>
  </si>
  <si>
    <t>U-0025</t>
  </si>
  <si>
    <t>ARS000069|PH006|CK6-33333</t>
  </si>
  <si>
    <t>U-0026</t>
  </si>
  <si>
    <t>ARS000069|PH007|CK6-33374</t>
  </si>
  <si>
    <t>U-0027</t>
  </si>
  <si>
    <t>ARS000069|PH008|CK5-33325</t>
  </si>
  <si>
    <t>U-0028</t>
  </si>
  <si>
    <t>ARS000069|PO008|CK5-33384</t>
  </si>
  <si>
    <t>U-0029</t>
  </si>
  <si>
    <t>ARS000069|PO008|CK5-33386</t>
  </si>
  <si>
    <t>U-0030</t>
  </si>
  <si>
    <t>ARS000069|PO012|CK5-33369</t>
  </si>
  <si>
    <t>U-0031</t>
  </si>
  <si>
    <t>ARS000069|PO013|CK5-33368</t>
  </si>
  <si>
    <t>U-0032</t>
  </si>
  <si>
    <t>ARS000069|PO014|CK5-33336</t>
  </si>
  <si>
    <t>U-0033</t>
  </si>
  <si>
    <t>ARS000069|PO015|CK5-33366</t>
  </si>
  <si>
    <t>U-0034</t>
  </si>
  <si>
    <t>DSM300140|KD001|CK6-979</t>
  </si>
  <si>
    <t>U-0035</t>
  </si>
  <si>
    <t>DSM300140|KD003|CK4-823</t>
  </si>
  <si>
    <t>U-0036</t>
  </si>
  <si>
    <t>DSM300140|KD005|CK7-909</t>
  </si>
  <si>
    <t>U-0037</t>
  </si>
  <si>
    <t>DSM300140|KD006|CK7-911</t>
  </si>
  <si>
    <t>U-0038</t>
  </si>
  <si>
    <t>DSM300140|KD007|CK4-833</t>
  </si>
  <si>
    <t>U-0039</t>
  </si>
  <si>
    <t>MOS100079|FG001|CK3-33409</t>
  </si>
  <si>
    <t>U-0040</t>
  </si>
  <si>
    <t>MOS100079|FG002|CK3-33407</t>
  </si>
  <si>
    <t>U-0041</t>
  </si>
  <si>
    <t>MOS100079|FG003|CK3-33356</t>
  </si>
  <si>
    <t>U-0042</t>
  </si>
  <si>
    <t>MOS100079|FG004|CK3-33385</t>
  </si>
  <si>
    <t>U-0043</t>
  </si>
  <si>
    <t>MOS100079|FG005|CK3-33402</t>
  </si>
  <si>
    <t>U-0044</t>
  </si>
  <si>
    <t>MOS100079|FG006|CK3-33414</t>
  </si>
  <si>
    <t>U-0045</t>
  </si>
  <si>
    <t>MOS100079|FG007|CK3-33404</t>
  </si>
  <si>
    <t>U-0046</t>
  </si>
  <si>
    <t>MOS100079|FG008|CK3-33365</t>
  </si>
  <si>
    <t>U-0047</t>
  </si>
  <si>
    <t>MOS100079|FG009|CK3-33348</t>
  </si>
  <si>
    <t>U-0048</t>
  </si>
  <si>
    <t>MOS100079|FG010|CK3-33301</t>
  </si>
  <si>
    <t>U-0049</t>
  </si>
  <si>
    <t>MOS100079|FG011|CK3-33347</t>
  </si>
  <si>
    <t>U-0050</t>
  </si>
  <si>
    <t>MOS100079|FG012|CK3-33126</t>
  </si>
  <si>
    <t>U-0051</t>
  </si>
  <si>
    <t>MOS100079|FG024|CK3-32758</t>
  </si>
  <si>
    <t>U-0052</t>
  </si>
  <si>
    <t>MOS100079|KD001|CK6-986</t>
  </si>
  <si>
    <t>U-0053</t>
  </si>
  <si>
    <t>MOS100079|KD003|CK4-842</t>
  </si>
  <si>
    <t>U-0054</t>
  </si>
  <si>
    <t>MOS100079|PH001|CK6-33411</t>
  </si>
  <si>
    <t>U-0055</t>
  </si>
  <si>
    <t>MOS100079|PH002|CK6-33362</t>
  </si>
  <si>
    <t>U-0056</t>
  </si>
  <si>
    <t>MOS100079|PH003|CK6-33405</t>
  </si>
  <si>
    <t>U-0057</t>
  </si>
  <si>
    <t>MOS100079|PH004|CK5-33334</t>
  </si>
  <si>
    <t>U-0058</t>
  </si>
  <si>
    <t>MOS100079|PH007|CK6-33375</t>
  </si>
  <si>
    <t>U-0059</t>
  </si>
  <si>
    <t>MOS100079|PH008|CK5-33370</t>
  </si>
  <si>
    <t>U-0060</t>
  </si>
  <si>
    <t>MOS100079|PO010|CK5-33360</t>
  </si>
  <si>
    <t>U-0061</t>
  </si>
  <si>
    <t>MOS100079|PO012|CK5-33369</t>
  </si>
  <si>
    <t>U-0062</t>
  </si>
  <si>
    <t>MOS100079|PO015|CK5-33366</t>
  </si>
  <si>
    <t>U-0063</t>
  </si>
  <si>
    <t>MOS100144|FG001|CK3-33409</t>
  </si>
  <si>
    <t>U-0064</t>
  </si>
  <si>
    <t>MOS100144|FG002|CK3-33407</t>
  </si>
  <si>
    <t>U-0065</t>
  </si>
  <si>
    <t>MOS100144|FG003|CK3-33356</t>
  </si>
  <si>
    <t>U-0066</t>
  </si>
  <si>
    <t>MOS100144|FG004|CK3-33385</t>
  </si>
  <si>
    <t>U-0067</t>
  </si>
  <si>
    <t>MOS100144|FG005|CK3-33402</t>
  </si>
  <si>
    <t>U-0068</t>
  </si>
  <si>
    <t>MOS100144|FG006|CK3-33414</t>
  </si>
  <si>
    <t>U-0069</t>
  </si>
  <si>
    <t>MOS100144|FG007|CK3-33404</t>
  </si>
  <si>
    <t>U-0070</t>
  </si>
  <si>
    <t>MOS100144|FG008|CK3-33365</t>
  </si>
  <si>
    <t>U-0071</t>
  </si>
  <si>
    <t>MOS100144|FG024|CK3-32758</t>
  </si>
  <si>
    <t>U-0072</t>
  </si>
  <si>
    <t>MOS100144|KD001|CK6-986</t>
  </si>
  <si>
    <t>U-0073</t>
  </si>
  <si>
    <t>MOS100144|KD003|CK4-842</t>
  </si>
  <si>
    <t>U-0074</t>
  </si>
  <si>
    <t>MOS100144|PH001|CK6-33411</t>
  </si>
  <si>
    <t>U-0075</t>
  </si>
  <si>
    <t>MOS100144|PH002|CK6-33362</t>
  </si>
  <si>
    <t>U-0076</t>
  </si>
  <si>
    <t>MOS100144|PH003|CK6-33405</t>
  </si>
  <si>
    <t>U-0077</t>
  </si>
  <si>
    <t>MOS100144|PH004|CK5-33334</t>
  </si>
  <si>
    <t>U-0078</t>
  </si>
  <si>
    <t>MOS100144|PH006|CK6-33334</t>
  </si>
  <si>
    <t>U-0079</t>
  </si>
  <si>
    <t>MOS100144|PH007|CK6-33375</t>
  </si>
  <si>
    <t>U-0080</t>
  </si>
  <si>
    <t>MOS100180|FG001|CK3-33409</t>
  </si>
  <si>
    <t>U-0081</t>
  </si>
  <si>
    <t>MOS100180|FG002|CK3-33407</t>
  </si>
  <si>
    <t>U-0082</t>
  </si>
  <si>
    <t>MOS100180|FG003|CK3-33356</t>
  </si>
  <si>
    <t>U-0083</t>
  </si>
  <si>
    <t>MOS100180|FG004|CK3-33385</t>
  </si>
  <si>
    <t>U-0084</t>
  </si>
  <si>
    <t>MOS100180|FG005|CK3-33402</t>
  </si>
  <si>
    <t>U-0085</t>
  </si>
  <si>
    <t>MOS100180|FG006|CK3-33414</t>
  </si>
  <si>
    <t>U-0086</t>
  </si>
  <si>
    <t>MOS100180|FG007|CK3-33404</t>
  </si>
  <si>
    <t>U-0087</t>
  </si>
  <si>
    <t>MOS100180|FG008|CK3-33365</t>
  </si>
  <si>
    <t>U-0088</t>
  </si>
  <si>
    <t>MOS100180|FG009|CK3-33348</t>
  </si>
  <si>
    <t>U-0089</t>
  </si>
  <si>
    <t>MOS100180|FG010|CK3-33301</t>
  </si>
  <si>
    <t>U-0090</t>
  </si>
  <si>
    <t>MOS100180|FG011|CK3-33347</t>
  </si>
  <si>
    <t>U-0091</t>
  </si>
  <si>
    <t>MOS100180|FG012|CK3-33126</t>
  </si>
  <si>
    <t>U-0092</t>
  </si>
  <si>
    <t>MOS100180|FG024|CK3-32758</t>
  </si>
  <si>
    <t>U-0093</t>
  </si>
  <si>
    <t>MOS100180|KD001|CK6-986</t>
  </si>
  <si>
    <t>U-0094</t>
  </si>
  <si>
    <t>MOS100180|KD003|CK4-842</t>
  </si>
  <si>
    <t>U-0095</t>
  </si>
  <si>
    <t>MOS100180|PH001|CK6-33411</t>
  </si>
  <si>
    <t>U-0096</t>
  </si>
  <si>
    <t>MOS100180|PH002|CK6-33362</t>
  </si>
  <si>
    <t>U-0097</t>
  </si>
  <si>
    <t>MOS100180|PH003|CK6-33405</t>
  </si>
  <si>
    <t>U-0098</t>
  </si>
  <si>
    <t>MOS100180|PH004|CK5-33334</t>
  </si>
  <si>
    <t>U-0099</t>
  </si>
  <si>
    <t>MOS100180|PH006|CK6-33333</t>
  </si>
  <si>
    <t>U-0100</t>
  </si>
  <si>
    <t>MOS100180|PH006|CK6-33334</t>
  </si>
  <si>
    <t>U-0101</t>
  </si>
  <si>
    <t>MOS100180|PH007|CK6-33375</t>
  </si>
  <si>
    <t>U-0102</t>
  </si>
  <si>
    <t>MOS100180|PH008|CK5-33370</t>
  </si>
  <si>
    <t>U-0103</t>
  </si>
  <si>
    <t>MOS100180|PH009|CK6-33241</t>
  </si>
  <si>
    <t>U-0104</t>
  </si>
  <si>
    <t>MOS100180|PO010|CK5-33360</t>
  </si>
  <si>
    <t>U-0105</t>
  </si>
  <si>
    <t>MOS100180|PO012|CK5-33369</t>
  </si>
  <si>
    <t>U-0106</t>
  </si>
  <si>
    <t>MOS100180|PO013|CK5-33368</t>
  </si>
  <si>
    <t>U-0107</t>
  </si>
  <si>
    <t>MOS100180|PO015|CK5-33366</t>
  </si>
  <si>
    <t>U-0108</t>
  </si>
  <si>
    <t>MOS100200|FG001|CK3-33410</t>
  </si>
  <si>
    <t>U-0109</t>
  </si>
  <si>
    <t>MOS100200|FG002|CK3-33407</t>
  </si>
  <si>
    <t>U-0110</t>
  </si>
  <si>
    <t>MOS100200|FG003|CK3-33356</t>
  </si>
  <si>
    <t>U-0111</t>
  </si>
  <si>
    <t>MOS100200|FG004|CK3-33385</t>
  </si>
  <si>
    <t>U-0112</t>
  </si>
  <si>
    <t>MOS100200|FG005|CK3-33402</t>
  </si>
  <si>
    <t>U-0113</t>
  </si>
  <si>
    <t>MOS100200|FG006|CK3-33414</t>
  </si>
  <si>
    <t>U-0114</t>
  </si>
  <si>
    <t>MOS100200|FG007|CK3-33404</t>
  </si>
  <si>
    <t>U-0115</t>
  </si>
  <si>
    <t>MOS100200|FG008|CK3-33365</t>
  </si>
  <si>
    <t>U-0116</t>
  </si>
  <si>
    <t>MOS100200|FG009|CK3-33348</t>
  </si>
  <si>
    <t>U-0117</t>
  </si>
  <si>
    <t>MOS100200|FG010|CK3-33301</t>
  </si>
  <si>
    <t>U-0118</t>
  </si>
  <si>
    <t>MOS100200|FG011|CK3-33347</t>
  </si>
  <si>
    <t>U-0119</t>
  </si>
  <si>
    <t>MOS100200|FG012|CK3-33126</t>
  </si>
  <si>
    <t>U-0120</t>
  </si>
  <si>
    <t>MOS100200|FG024|CK3-32758</t>
  </si>
  <si>
    <t>U-0121</t>
  </si>
  <si>
    <t>MOS100200|KD001|CK6-986</t>
  </si>
  <si>
    <t>U-0122</t>
  </si>
  <si>
    <t>MOS100200|KD003|CK4-842</t>
  </si>
  <si>
    <t>U-0123</t>
  </si>
  <si>
    <t>MOS100200|PH001|CK6-33411</t>
  </si>
  <si>
    <t>U-0124</t>
  </si>
  <si>
    <t>MOS100200|PH002|CK6-33362</t>
  </si>
  <si>
    <t>U-0125</t>
  </si>
  <si>
    <t>MOS100200|PH003|CK6-33405</t>
  </si>
  <si>
    <t>U-0126</t>
  </si>
  <si>
    <t>MOS100200|PH004|CK5-33334</t>
  </si>
  <si>
    <t>U-0127</t>
  </si>
  <si>
    <t>MOS100200|PH007|CK6-33375</t>
  </si>
  <si>
    <t>U-0128</t>
  </si>
  <si>
    <t>MOS100200|PH008|CK5-33370</t>
  </si>
  <si>
    <t>U-0129</t>
  </si>
  <si>
    <t>MOS100200|PO010|CK5-33360</t>
  </si>
  <si>
    <t>U-0130</t>
  </si>
  <si>
    <t>MOS100200|PO012|CK5-33369</t>
  </si>
  <si>
    <t>U-0131</t>
  </si>
  <si>
    <t>MOS100209|FG001|CK3-33409</t>
  </si>
  <si>
    <t>U-0132</t>
  </si>
  <si>
    <t>MOS100209|FG002|CK3-33407</t>
  </si>
  <si>
    <t>U-0133</t>
  </si>
  <si>
    <t>MOS100209|FG003|CK3-33356</t>
  </si>
  <si>
    <t>U-0134</t>
  </si>
  <si>
    <t>MOS100209|FG004|CK3-33385</t>
  </si>
  <si>
    <t>U-0135</t>
  </si>
  <si>
    <t>MOS100209|FG005|CK3-33402</t>
  </si>
  <si>
    <t>U-0136</t>
  </si>
  <si>
    <t>MOS100209|FG006|CK3-33414</t>
  </si>
  <si>
    <t>U-0137</t>
  </si>
  <si>
    <t>MOS100209|FG007|CK3-33404</t>
  </si>
  <si>
    <t>U-0138</t>
  </si>
  <si>
    <t>MOS100209|FG008|CK3-33367</t>
  </si>
  <si>
    <t>U-0139</t>
  </si>
  <si>
    <t>MOS100209|FG009|CK3-33348</t>
  </si>
  <si>
    <t>U-0140</t>
  </si>
  <si>
    <t>MOS100209|FG010|CK3-33301</t>
  </si>
  <si>
    <t>U-0141</t>
  </si>
  <si>
    <t>MOS100209|FG011|CK3-33347</t>
  </si>
  <si>
    <t>U-0142</t>
  </si>
  <si>
    <t>MOS100209|FG012|CK3-33126</t>
  </si>
  <si>
    <t>U-0143</t>
  </si>
  <si>
    <t>MOS100209|FG024|CK3-32758</t>
  </si>
  <si>
    <t>U-0144</t>
  </si>
  <si>
    <t>MOS100209|KD001|CK6-986</t>
  </si>
  <si>
    <t>U-0145</t>
  </si>
  <si>
    <t>MOS100209|KD003|CK4-842</t>
  </si>
  <si>
    <t>U-0146</t>
  </si>
  <si>
    <t>MOS100209|PH001|CK6-33411</t>
  </si>
  <si>
    <t>U-0147</t>
  </si>
  <si>
    <t>MOS100209|PH002|CK6-33362</t>
  </si>
  <si>
    <t>U-0148</t>
  </si>
  <si>
    <t>MOS100209|PH003|CK6-33405</t>
  </si>
  <si>
    <t>U-0149</t>
  </si>
  <si>
    <t>MOS100209|PH004|CK5-33334</t>
  </si>
  <si>
    <t>U-0150</t>
  </si>
  <si>
    <t>MOS100209|PH006|CK6-33334</t>
  </si>
  <si>
    <t>U-0151</t>
  </si>
  <si>
    <t>MOS100209|PH007|CK6-33375</t>
  </si>
  <si>
    <t>U-0152</t>
  </si>
  <si>
    <t>MOS100209|PH008|CK5-33370</t>
  </si>
  <si>
    <t>U-0153</t>
  </si>
  <si>
    <t>MOS100209|PH009|CK6-33241</t>
  </si>
  <si>
    <t>U-0154</t>
  </si>
  <si>
    <t>MOS100209|PO010|CK5-33360</t>
  </si>
  <si>
    <t>U-0155</t>
  </si>
  <si>
    <t>MOS100209|PO012|CK5-33369</t>
  </si>
  <si>
    <t>U-0156</t>
  </si>
  <si>
    <t>MOS100209|PO015|CK5-33366</t>
  </si>
  <si>
    <t>U-0157</t>
  </si>
  <si>
    <t>MOS100501|FG001|CK3-33409</t>
  </si>
  <si>
    <t>U-0158</t>
  </si>
  <si>
    <t>MOS100501|FG002|CK3-33407</t>
  </si>
  <si>
    <t>U-0159</t>
  </si>
  <si>
    <t>MOS100501|FG003|CK3-33356</t>
  </si>
  <si>
    <t>U-0160</t>
  </si>
  <si>
    <t>MOS100501|FG004|CK3-33385</t>
  </si>
  <si>
    <t>U-0161</t>
  </si>
  <si>
    <t>MOS100501|FG005|CK3-33402</t>
  </si>
  <si>
    <t>U-0162</t>
  </si>
  <si>
    <t>MOS100501|FG006|CK3-33414</t>
  </si>
  <si>
    <t>U-0163</t>
  </si>
  <si>
    <t>MOS100501|FG007|CK3-33404</t>
  </si>
  <si>
    <t>U-0164</t>
  </si>
  <si>
    <t>MOS100501|FG008|CK3-33365</t>
  </si>
  <si>
    <t>U-0165</t>
  </si>
  <si>
    <t>MOS100501|FG009|CK3-33348</t>
  </si>
  <si>
    <t>U-0166</t>
  </si>
  <si>
    <t>MOS100501|FG010|CK3-33301</t>
  </si>
  <si>
    <t>U-0167</t>
  </si>
  <si>
    <t>MOS100501|FG011|CK3-33347</t>
  </si>
  <si>
    <t>U-0168</t>
  </si>
  <si>
    <t>MOS100501|FG012|CK3-33126</t>
  </si>
  <si>
    <t>U-0169</t>
  </si>
  <si>
    <t>MOS100501|FG024|CK3-32758</t>
  </si>
  <si>
    <t>U-0170</t>
  </si>
  <si>
    <t>MOS100501|KD001|CK6-986</t>
  </si>
  <si>
    <t>U-0171</t>
  </si>
  <si>
    <t>MOS100501|KD003|CK4-842</t>
  </si>
  <si>
    <t>U-0172</t>
  </si>
  <si>
    <t>MOS100501|PH001|CK6-33411</t>
  </si>
  <si>
    <t>U-0173</t>
  </si>
  <si>
    <t>MOS100501|PH002|CK6-33362</t>
  </si>
  <si>
    <t>U-0174</t>
  </si>
  <si>
    <t>MOS100501|PH003|CK6-33405</t>
  </si>
  <si>
    <t>U-0175</t>
  </si>
  <si>
    <t>MOS100501|PH004|CK5-33334</t>
  </si>
  <si>
    <t>U-0176</t>
  </si>
  <si>
    <t>MOS100501|PH007|CK6-33375</t>
  </si>
  <si>
    <t>U-0177</t>
  </si>
  <si>
    <t>MOS100501|PH008|CK5-33370</t>
  </si>
  <si>
    <t>U-0178</t>
  </si>
  <si>
    <t>MOS100501|PO010|CK5-33360</t>
  </si>
  <si>
    <t>U-0179</t>
  </si>
  <si>
    <t>MOS100501|PO012|CK5-33369</t>
  </si>
  <si>
    <t>U-0180</t>
  </si>
  <si>
    <t>MOS100501|PO013|CK5-33368</t>
  </si>
  <si>
    <t>U-0181</t>
  </si>
  <si>
    <t>MOS100501|PO015|CK5-33366</t>
  </si>
  <si>
    <t>U-0182</t>
  </si>
  <si>
    <t>MOS100624|FG001|CK3-33409</t>
  </si>
  <si>
    <t>U-0183</t>
  </si>
  <si>
    <t>MOS100624|FG002|CK3-33407</t>
  </si>
  <si>
    <t>U-0184</t>
  </si>
  <si>
    <t>MOS100624|FG003|CK3-33356</t>
  </si>
  <si>
    <t>U-0185</t>
  </si>
  <si>
    <t>MOS100624|FG004|CK3-33385</t>
  </si>
  <si>
    <t>U-0186</t>
  </si>
  <si>
    <t>MOS100624|FG005|CK3-33402</t>
  </si>
  <si>
    <t>U-0187</t>
  </si>
  <si>
    <t>MOS100624|FG006|CK3-33414</t>
  </si>
  <si>
    <t>U-0188</t>
  </si>
  <si>
    <t>MOS100624|FG007|CK3-33404</t>
  </si>
  <si>
    <t>U-0189</t>
  </si>
  <si>
    <t>MOS100624|FG008|CK3-33365</t>
  </si>
  <si>
    <t>U-0190</t>
  </si>
  <si>
    <t>MOS100624|FG009|CK3-33348</t>
  </si>
  <si>
    <t>U-0191</t>
  </si>
  <si>
    <t>MOS100624|FG010|CK3-33301</t>
  </si>
  <si>
    <t>U-0192</t>
  </si>
  <si>
    <t>MOS100624|FG011|CK3-33347</t>
  </si>
  <si>
    <t>U-0193</t>
  </si>
  <si>
    <t>MOS100624|FG012|CK3-33126</t>
  </si>
  <si>
    <t>U-0194</t>
  </si>
  <si>
    <t>MOS100624|FG024|CK3-32758</t>
  </si>
  <si>
    <t>U-0195</t>
  </si>
  <si>
    <t>MOS100624|KD001|CK6-986</t>
  </si>
  <si>
    <t>U-0196</t>
  </si>
  <si>
    <t>MOS100624|KD003|CK4-842</t>
  </si>
  <si>
    <t>U-0197</t>
  </si>
  <si>
    <t>MOS100624|KD004|CK7-806</t>
  </si>
  <si>
    <t>U-0198</t>
  </si>
  <si>
    <t>MOS100624|KD006|CK7-915</t>
  </si>
  <si>
    <t>U-0199</t>
  </si>
  <si>
    <t>MOS100624|PH001|CK6-33411</t>
  </si>
  <si>
    <t>U-0200</t>
  </si>
  <si>
    <t>MOS100624|PH002|CK6-33362</t>
  </si>
  <si>
    <t>U-0201</t>
  </si>
  <si>
    <t>MOS100624|PH003|CK6-33405</t>
  </si>
  <si>
    <t>U-0202</t>
  </si>
  <si>
    <t>MOS100624|PH004|CK5-33334</t>
  </si>
  <si>
    <t>U-0203</t>
  </si>
  <si>
    <t>MOS100624|PH007|CK6-33375</t>
  </si>
  <si>
    <t>U-0204</t>
  </si>
  <si>
    <t>MOS100624|PH008|CK5-33370</t>
  </si>
  <si>
    <t>U-0205</t>
  </si>
  <si>
    <t>MOS100624|PO010|CK5-33360</t>
  </si>
  <si>
    <t>U-0206</t>
  </si>
  <si>
    <t>MOS100624|PO012|CK5-33369</t>
  </si>
  <si>
    <t>U-0207</t>
  </si>
  <si>
    <t>MOS100624|PO015|CK5-33366</t>
  </si>
  <si>
    <t>U-0208</t>
  </si>
  <si>
    <t>MOS100645|FG001|CK3-33408</t>
  </si>
  <si>
    <t>U-0209</t>
  </si>
  <si>
    <t>MOS100645|FG001|CK3-33409</t>
  </si>
  <si>
    <t>U-0210</t>
  </si>
  <si>
    <t>MOS100645|FG002|CK3-33407</t>
  </si>
  <si>
    <t>U-0211</t>
  </si>
  <si>
    <t>MOS100645|FG003|CK3-33387</t>
  </si>
  <si>
    <t>U-0212</t>
  </si>
  <si>
    <t>MOS100645|FG004|CK3-33385</t>
  </si>
  <si>
    <t>U-0213</t>
  </si>
  <si>
    <t>MOS100645|FG005|CK3-33402</t>
  </si>
  <si>
    <t>U-0214</t>
  </si>
  <si>
    <t>MOS100645|FG006|CK3-33414</t>
  </si>
  <si>
    <t>U-0215</t>
  </si>
  <si>
    <t>MOS100645|FG007|CK3-33404</t>
  </si>
  <si>
    <t>U-0216</t>
  </si>
  <si>
    <t>MOS100645|FG008|CK3-33365</t>
  </si>
  <si>
    <t>U-0217</t>
  </si>
  <si>
    <t>MOS100645|FG009|CK3-33348</t>
  </si>
  <si>
    <t>U-0218</t>
  </si>
  <si>
    <t>MOS100645|FG010|CK3-33301</t>
  </si>
  <si>
    <t>U-0219</t>
  </si>
  <si>
    <t>MOS100645|FG011|CK3-33347</t>
  </si>
  <si>
    <t>U-0220</t>
  </si>
  <si>
    <t>MOS100645|FG012|CK3-33126</t>
  </si>
  <si>
    <t>U-0221</t>
  </si>
  <si>
    <t>MOS100645|FG024|CK3-32758</t>
  </si>
  <si>
    <t>U-0222</t>
  </si>
  <si>
    <t>MOS100645|KD001|CK6-986</t>
  </si>
  <si>
    <t>U-0223</t>
  </si>
  <si>
    <t>MOS100645|KD003|CK4-841</t>
  </si>
  <si>
    <t>U-0224</t>
  </si>
  <si>
    <t>MOS100645|PH001|CK6-33411</t>
  </si>
  <si>
    <t>U-0225</t>
  </si>
  <si>
    <t>MOS100645|PH002|CK6-33362</t>
  </si>
  <si>
    <t>U-0226</t>
  </si>
  <si>
    <t>MOS100645|PH003|CK6-33405</t>
  </si>
  <si>
    <t>U-0227</t>
  </si>
  <si>
    <t>MOS100645|PH004|CK5-33334</t>
  </si>
  <si>
    <t>U-0228</t>
  </si>
  <si>
    <t>MOS100645|PH007|CK6-33375</t>
  </si>
  <si>
    <t>U-0229</t>
  </si>
  <si>
    <t>MOS100645|PH008|CK5-33370</t>
  </si>
  <si>
    <t>U-0230</t>
  </si>
  <si>
    <t>MOS100645|PO010|CK5-33360</t>
  </si>
  <si>
    <t>U-0231</t>
  </si>
  <si>
    <t>MOS100645|PO012|CK5-33369</t>
  </si>
  <si>
    <t>U-0232</t>
  </si>
  <si>
    <t>MOS100645|PO015|CK5-33366</t>
  </si>
  <si>
    <t>U-0233</t>
  </si>
  <si>
    <t>MOS100654|FG001|CK3-33409</t>
  </si>
  <si>
    <t>U-0234</t>
  </si>
  <si>
    <t>MOS100654|FG002|CK3-33407</t>
  </si>
  <si>
    <t>U-0235</t>
  </si>
  <si>
    <t>MOS100654|FG003|CK3-33356</t>
  </si>
  <si>
    <t>U-0236</t>
  </si>
  <si>
    <t>MOS100654|FG004|CK3-33385</t>
  </si>
  <si>
    <t>U-0237</t>
  </si>
  <si>
    <t>MOS100654|FG005|CK3-33402</t>
  </si>
  <si>
    <t>U-0238</t>
  </si>
  <si>
    <t>MOS100654|FG006|CK3-33414</t>
  </si>
  <si>
    <t>U-0239</t>
  </si>
  <si>
    <t>MOS100654|FG007|CK3-33404</t>
  </si>
  <si>
    <t>U-0240</t>
  </si>
  <si>
    <t>MOS100654|FG008|CK3-33365</t>
  </si>
  <si>
    <t>U-0241</t>
  </si>
  <si>
    <t>MOS100654|FG010|CK3-33301</t>
  </si>
  <si>
    <t>U-0242</t>
  </si>
  <si>
    <t>MOS100654|FG011|CK3-33347</t>
  </si>
  <si>
    <t>U-0243</t>
  </si>
  <si>
    <t>MOS100654|FG012|CK3-33126</t>
  </si>
  <si>
    <t>U-0244</t>
  </si>
  <si>
    <t>MOS100654|FG024|CK3-32758</t>
  </si>
  <si>
    <t>U-0245</t>
  </si>
  <si>
    <t>MOS100654|KD001|CK6-986</t>
  </si>
  <si>
    <t>U-0246</t>
  </si>
  <si>
    <t>MOS100654|KD003|CK4-842</t>
  </si>
  <si>
    <t>U-0247</t>
  </si>
  <si>
    <t>MOS100654|KD005|CK7-913</t>
  </si>
  <si>
    <t>U-0248</t>
  </si>
  <si>
    <t>MOS100654|KD006|CK7-918</t>
  </si>
  <si>
    <t>U-0249</t>
  </si>
  <si>
    <t>MOS100654|PH001|CK6-33411</t>
  </si>
  <si>
    <t>U-0250</t>
  </si>
  <si>
    <t>MOS100654|PH002|CK6-33362</t>
  </si>
  <si>
    <t>U-0251</t>
  </si>
  <si>
    <t>MOS100654|PH003|CK6-33405</t>
  </si>
  <si>
    <t>U-0252</t>
  </si>
  <si>
    <t>MOS100654|PH004|CK5-33334</t>
  </si>
  <si>
    <t>U-0253</t>
  </si>
  <si>
    <t>MOS100654|PH007|CK6-33375</t>
  </si>
  <si>
    <t>U-0254</t>
  </si>
  <si>
    <t>MOS100654|PH008|CK5-33370</t>
  </si>
  <si>
    <t>U-0255</t>
  </si>
  <si>
    <t>MOS100716|FG001|CK3-33409</t>
  </si>
  <si>
    <t>U-0256</t>
  </si>
  <si>
    <t>MOS100716|FG002|CK3-33407</t>
  </si>
  <si>
    <t>U-0257</t>
  </si>
  <si>
    <t>MOS100716|FG003|CK3-33356</t>
  </si>
  <si>
    <t>U-0258</t>
  </si>
  <si>
    <t>MOS100716|FG004|CK3-33385</t>
  </si>
  <si>
    <t>U-0259</t>
  </si>
  <si>
    <t>MOS100716|FG005|CK3-33402</t>
  </si>
  <si>
    <t>U-0260</t>
  </si>
  <si>
    <t>MOS100716|FG006|CK3-33383</t>
  </si>
  <si>
    <t>U-0261</t>
  </si>
  <si>
    <t>MOS100716|FG007|CK3-33404</t>
  </si>
  <si>
    <t>U-0262</t>
  </si>
  <si>
    <t>MOS100716|FG008|CK3-33365</t>
  </si>
  <si>
    <t>U-0263</t>
  </si>
  <si>
    <t>MOS100716|FG009|CK3-33348</t>
  </si>
  <si>
    <t>U-0264</t>
  </si>
  <si>
    <t>MOS100716|FG010|CK3-33301</t>
  </si>
  <si>
    <t>U-0265</t>
  </si>
  <si>
    <t>MOS100716|FG011|CK3-33347</t>
  </si>
  <si>
    <t>U-0266</t>
  </si>
  <si>
    <t>MOS100716|FG012|CK3-33126</t>
  </si>
  <si>
    <t>U-0267</t>
  </si>
  <si>
    <t>MOS100716|FG024|CK3-32758</t>
  </si>
  <si>
    <t>U-0268</t>
  </si>
  <si>
    <t>MOS100716|KD001|CK6-986</t>
  </si>
  <si>
    <t>U-0269</t>
  </si>
  <si>
    <t>MOS100716|KD003|CK4-842</t>
  </si>
  <si>
    <t>U-0270</t>
  </si>
  <si>
    <t>MOS100716|PH001|CK6-33411</t>
  </si>
  <si>
    <t>U-0271</t>
  </si>
  <si>
    <t>MOS100716|PH002|CK6-33362</t>
  </si>
  <si>
    <t>U-0272</t>
  </si>
  <si>
    <t>MOS100716|PH003|CK6-33405</t>
  </si>
  <si>
    <t>U-0273</t>
  </si>
  <si>
    <t>MOS100716|PH004|CK5-33334</t>
  </si>
  <si>
    <t>U-0274</t>
  </si>
  <si>
    <t>MOS100716|PH007|CK6-33375</t>
  </si>
  <si>
    <t>U-0275</t>
  </si>
  <si>
    <t>MOS100716|PH008|CK5-33370</t>
  </si>
  <si>
    <t>U-0276</t>
  </si>
  <si>
    <t>MOS100716|PO010|CK5-33360</t>
  </si>
  <si>
    <t>U-0277</t>
  </si>
  <si>
    <t>MOS100716|PO012|CK5-33369</t>
  </si>
  <si>
    <t>U-0278</t>
  </si>
  <si>
    <t>MOS100716|PO015|CK5-33366</t>
  </si>
  <si>
    <t>U-0279</t>
  </si>
  <si>
    <t>MOS100744|FG001|CK3-33409</t>
  </si>
  <si>
    <t>U-0280</t>
  </si>
  <si>
    <t>MOS100744|FG002|CK3-33407</t>
  </si>
  <si>
    <t>U-0281</t>
  </si>
  <si>
    <t>MOS100744|FG003|CK3-33356</t>
  </si>
  <si>
    <t>U-0282</t>
  </si>
  <si>
    <t>MOS100744|FG004|CK3-33385</t>
  </si>
  <si>
    <t>U-0283</t>
  </si>
  <si>
    <t>MOS100744|FG005|CK3-33402</t>
  </si>
  <si>
    <t>U-0284</t>
  </si>
  <si>
    <t>MOS100744|FG006|CK3-33414</t>
  </si>
  <si>
    <t>U-0285</t>
  </si>
  <si>
    <t>MOS100744|FG007|CK3-33404</t>
  </si>
  <si>
    <t>U-0286</t>
  </si>
  <si>
    <t>MOS100744|FG008|CK3-33365</t>
  </si>
  <si>
    <t>U-0287</t>
  </si>
  <si>
    <t>MOS100744|FG009|CK3-33348</t>
  </si>
  <si>
    <t>U-0288</t>
  </si>
  <si>
    <t>MOS100744|FG010|CK3-33301</t>
  </si>
  <si>
    <t>U-0289</t>
  </si>
  <si>
    <t>MOS100744|FG011|CK3-33347</t>
  </si>
  <si>
    <t>U-0290</t>
  </si>
  <si>
    <t>MOS100744|FG012|CK3-33126</t>
  </si>
  <si>
    <t>U-0291</t>
  </si>
  <si>
    <t>MOS100744|FG024|CK3-32758</t>
  </si>
  <si>
    <t>U-0292</t>
  </si>
  <si>
    <t>MOS100744|KD001|CK6-986</t>
  </si>
  <si>
    <t>U-0293</t>
  </si>
  <si>
    <t>MOS100744|KD003|CK4-842</t>
  </si>
  <si>
    <t>U-0294</t>
  </si>
  <si>
    <t>MOS100744|KD005|CK7-913</t>
  </si>
  <si>
    <t>U-0295</t>
  </si>
  <si>
    <t>MOS100744|KD006|CK7-915</t>
  </si>
  <si>
    <t>U-0296</t>
  </si>
  <si>
    <t>MOS100744|PH001|CK6-33411</t>
  </si>
  <si>
    <t>U-0297</t>
  </si>
  <si>
    <t>MOS100744|PH002|CK6-33362</t>
  </si>
  <si>
    <t>U-0298</t>
  </si>
  <si>
    <t>MOS100744|PH003|CK6-33405</t>
  </si>
  <si>
    <t>U-0299</t>
  </si>
  <si>
    <t>MOS100744|PH004|CK5-33334</t>
  </si>
  <si>
    <t>U-0300</t>
  </si>
  <si>
    <t>MOS100744|PH007|CK6-33375</t>
  </si>
  <si>
    <t>U-0301</t>
  </si>
  <si>
    <t>MOS100744|PH008|CK5-33370</t>
  </si>
  <si>
    <t>U-0302</t>
  </si>
  <si>
    <t>MOS100744|PO010|CK5-33360</t>
  </si>
  <si>
    <t>U-0303</t>
  </si>
  <si>
    <t>MOS100744|PO012|CK5-33369</t>
  </si>
  <si>
    <t>U-0304</t>
  </si>
  <si>
    <t>MOS100744|PO015|CK5-33366</t>
  </si>
  <si>
    <t>U-0305</t>
  </si>
  <si>
    <t>MOS100788|FG001|CK3-33408</t>
  </si>
  <si>
    <t>U-0306</t>
  </si>
  <si>
    <t>MOS100788|FG001|CK3-33410</t>
  </si>
  <si>
    <t>U-0307</t>
  </si>
  <si>
    <t>MOS100788|FG002|CK3-33407</t>
  </si>
  <si>
    <t>U-0308</t>
  </si>
  <si>
    <t>MOS100788|FG003|CK3-33356</t>
  </si>
  <si>
    <t>U-0309</t>
  </si>
  <si>
    <t>MOS100788|FG004|CK3-33385</t>
  </si>
  <si>
    <t>U-0310</t>
  </si>
  <si>
    <t>MOS100788|FG005|CK3-33402</t>
  </si>
  <si>
    <t>U-0311</t>
  </si>
  <si>
    <t>MOS100788|FG006|CK3-33414</t>
  </si>
  <si>
    <t>U-0312</t>
  </si>
  <si>
    <t>MOS100788|FG007|CK3-33404</t>
  </si>
  <si>
    <t>U-0313</t>
  </si>
  <si>
    <t>MOS100788|FG008|CK3-33365</t>
  </si>
  <si>
    <t>U-0314</t>
  </si>
  <si>
    <t>MOS100788|FG009|CK3-33348</t>
  </si>
  <si>
    <t>U-0315</t>
  </si>
  <si>
    <t>MOS100788|FG010|CK3-33301</t>
  </si>
  <si>
    <t>U-0316</t>
  </si>
  <si>
    <t>MOS100788|FG011|CK3-33347</t>
  </si>
  <si>
    <t>U-0317</t>
  </si>
  <si>
    <t>MOS100788|FG012|CK3-33126</t>
  </si>
  <si>
    <t>U-0318</t>
  </si>
  <si>
    <t>MOS100788|FG024|CK3-32758</t>
  </si>
  <si>
    <t>U-0319</t>
  </si>
  <si>
    <t>MOS100788|KD001|CK6-986</t>
  </si>
  <si>
    <t>U-0320</t>
  </si>
  <si>
    <t>MOS100788|KD003|CK4-842</t>
  </si>
  <si>
    <t>U-0321</t>
  </si>
  <si>
    <t>MOS100788|PH001|CK6-33411</t>
  </si>
  <si>
    <t>U-0322</t>
  </si>
  <si>
    <t>MOS100788|PH002|CK6-33362</t>
  </si>
  <si>
    <t>U-0323</t>
  </si>
  <si>
    <t>MOS100788|PH003|CK6-33405</t>
  </si>
  <si>
    <t>U-0324</t>
  </si>
  <si>
    <t>MOS100788|PH004|CK5-33334</t>
  </si>
  <si>
    <t>U-0325</t>
  </si>
  <si>
    <t>MOS100788|PH007|CK6-33375</t>
  </si>
  <si>
    <t>U-0326</t>
  </si>
  <si>
    <t>MOS100788|PH008|CK5-33370</t>
  </si>
  <si>
    <t>U-0327</t>
  </si>
  <si>
    <t>MOS100788|PO010|CK5-33360</t>
  </si>
  <si>
    <t>U-0328</t>
  </si>
  <si>
    <t>MOS100788|PO012|CK5-33369</t>
  </si>
  <si>
    <t>U-0329</t>
  </si>
  <si>
    <t>MOS100788|PO015|CK5-33366</t>
  </si>
  <si>
    <t>U-0330</t>
  </si>
  <si>
    <t>MOS100801|FG001|CK3-33409</t>
  </si>
  <si>
    <t>Blocked (Force-Push)</t>
  </si>
  <si>
    <t>U-0331</t>
  </si>
  <si>
    <t>MOS100801|FG002|CK3-33407</t>
  </si>
  <si>
    <t>U-0332</t>
  </si>
  <si>
    <t>MOS100801|FG003|CK3-33356</t>
  </si>
  <si>
    <t>U-0333</t>
  </si>
  <si>
    <t>MOS100801|FG004|CK3-33385</t>
  </si>
  <si>
    <t>U-0334</t>
  </si>
  <si>
    <t>MOS100801|FG005|CK3-33402</t>
  </si>
  <si>
    <t>U-0335</t>
  </si>
  <si>
    <t>MOS100801|FG006|CK3-33414</t>
  </si>
  <si>
    <t>U-0336</t>
  </si>
  <si>
    <t>MOS100801|FG007|CK3-33404</t>
  </si>
  <si>
    <t>U-0337</t>
  </si>
  <si>
    <t>MOS100801|FG008|CK3-33365</t>
  </si>
  <si>
    <t>U-0338</t>
  </si>
  <si>
    <t>MOS100801|FG009|CK3-33348</t>
  </si>
  <si>
    <t>U-0339</t>
  </si>
  <si>
    <t>MOS100801|FG010|CK3-33301</t>
  </si>
  <si>
    <t>U-0340</t>
  </si>
  <si>
    <t>MOS100801|FG011|CK3-33347</t>
  </si>
  <si>
    <t>U-0341</t>
  </si>
  <si>
    <t>MOS100801|FG012|CK3-33126</t>
  </si>
  <si>
    <t>U-0342</t>
  </si>
  <si>
    <t>MOS100801|FG024|CK3-32758</t>
  </si>
  <si>
    <t>U-0343</t>
  </si>
  <si>
    <t>MOS100801|KD001|CK6-986</t>
  </si>
  <si>
    <t>U-0344</t>
  </si>
  <si>
    <t>MOS100801|KD003|CK4-842</t>
  </si>
  <si>
    <t>U-0345</t>
  </si>
  <si>
    <t>MOS100801|PH001|CK6-33411</t>
  </si>
  <si>
    <t>U-0346</t>
  </si>
  <si>
    <t>MOS100801|PH002|CK6-33362</t>
  </si>
  <si>
    <t>U-0347</t>
  </si>
  <si>
    <t>MOS100801|PH003|CK6-33405</t>
  </si>
  <si>
    <t>U-0348</t>
  </si>
  <si>
    <t>MOS100801|PH004|CK5-33334</t>
  </si>
  <si>
    <t>U-0349</t>
  </si>
  <si>
    <t>MOS100801|PH007|CK6-33375</t>
  </si>
  <si>
    <t>U-0350</t>
  </si>
  <si>
    <t>MOS100801|PH008|CK5-33370</t>
  </si>
  <si>
    <t>U-0351</t>
  </si>
  <si>
    <t>MOS100801|PO010|CK5-33360</t>
  </si>
  <si>
    <t>U-0352</t>
  </si>
  <si>
    <t>MOS100801|PO013|CK5-33368</t>
  </si>
  <si>
    <t>U-0353</t>
  </si>
  <si>
    <t>MOS100801|PO015|CK5-33366</t>
  </si>
  <si>
    <t>U-0354</t>
  </si>
  <si>
    <t>MOS100802|FG001|CK3-33410</t>
  </si>
  <si>
    <t>U-0355</t>
  </si>
  <si>
    <t>MOS100802|FG002|CK3-33407</t>
  </si>
  <si>
    <t>U-0356</t>
  </si>
  <si>
    <t>MOS100802|FG003|CK3-33356</t>
  </si>
  <si>
    <t>U-0357</t>
  </si>
  <si>
    <t>MOS100802|FG004|CK3-33385</t>
  </si>
  <si>
    <t>U-0358</t>
  </si>
  <si>
    <t>MOS100802|FG005|CK3-33402</t>
  </si>
  <si>
    <t>U-0359</t>
  </si>
  <si>
    <t>MOS100802|FG006|CK3-33414</t>
  </si>
  <si>
    <t>U-0360</t>
  </si>
  <si>
    <t>MOS100802|FG007|CK3-33404</t>
  </si>
  <si>
    <t>U-0361</t>
  </si>
  <si>
    <t>MOS100802|FG008|CK3-33365</t>
  </si>
  <si>
    <t>U-0362</t>
  </si>
  <si>
    <t>MOS100802|FG009|CK3-33348</t>
  </si>
  <si>
    <t>U-0363</t>
  </si>
  <si>
    <t>MOS100802|FG010|CK3-33301</t>
  </si>
  <si>
    <t>U-0364</t>
  </si>
  <si>
    <t>MOS100802|FG011|CK3-33347</t>
  </si>
  <si>
    <t>U-0365</t>
  </si>
  <si>
    <t>MOS100802|FG012|CK3-33126</t>
  </si>
  <si>
    <t>U-0366</t>
  </si>
  <si>
    <t>MOS100802|KD001|CK6-986</t>
  </si>
  <si>
    <t>U-0367</t>
  </si>
  <si>
    <t>MOS100802|KD003|CK4-842</t>
  </si>
  <si>
    <t>U-0368</t>
  </si>
  <si>
    <t>MOS100802|PH001|CK6-33411</t>
  </si>
  <si>
    <t>U-0369</t>
  </si>
  <si>
    <t>MOS100802|PH002|CK6-33362</t>
  </si>
  <si>
    <t>U-0370</t>
  </si>
  <si>
    <t>MOS100802|PH003|CK6-33405</t>
  </si>
  <si>
    <t>U-0371</t>
  </si>
  <si>
    <t>MOS100802|PH004|CK5-33334</t>
  </si>
  <si>
    <t>U-0372</t>
  </si>
  <si>
    <t>MOS100802|PH007|CK6-33375</t>
  </si>
  <si>
    <t>U-0373</t>
  </si>
  <si>
    <t>MOS100802|PH008|CK5-33370</t>
  </si>
  <si>
    <t>U-0374</t>
  </si>
  <si>
    <t>MOS100802|PO010|CK5-33360</t>
  </si>
  <si>
    <t>U-0375</t>
  </si>
  <si>
    <t>MOS100802|PO012|CK5-33369</t>
  </si>
  <si>
    <t>U-0376</t>
  </si>
  <si>
    <t>MOS100802|PO015|CK5-33366</t>
  </si>
  <si>
    <t>U-0377</t>
  </si>
  <si>
    <t>MOS100823|FG001|CK3-33409</t>
  </si>
  <si>
    <t>U-0378</t>
  </si>
  <si>
    <t>MOS100823|FG002|CK3-33407</t>
  </si>
  <si>
    <t>U-0379</t>
  </si>
  <si>
    <t>MOS100823|FG003|CK3-33356</t>
  </si>
  <si>
    <t>U-0380</t>
  </si>
  <si>
    <t>MOS100823|FG004|CK3-33385</t>
  </si>
  <si>
    <t>U-0381</t>
  </si>
  <si>
    <t>MOS100823|FG005|CK3-33402</t>
  </si>
  <si>
    <t>U-0382</t>
  </si>
  <si>
    <t>MOS100823|FG006|CK3-33414</t>
  </si>
  <si>
    <t>U-0383</t>
  </si>
  <si>
    <t>MOS100823|FG007|CK3-33404</t>
  </si>
  <si>
    <t>U-0384</t>
  </si>
  <si>
    <t>MOS100823|FG008|CK3-33365</t>
  </si>
  <si>
    <t>U-0385</t>
  </si>
  <si>
    <t>MOS100823|FG024|CK3-32758</t>
  </si>
  <si>
    <t>U-0386</t>
  </si>
  <si>
    <t>MOS100823|KD001|CK6-986</t>
  </si>
  <si>
    <t>U-0387</t>
  </si>
  <si>
    <t>MOS100823|KD003|CK4-842</t>
  </si>
  <si>
    <t>U-0388</t>
  </si>
  <si>
    <t>MOS100823|KD005|CK7-913</t>
  </si>
  <si>
    <t>U-0389</t>
  </si>
  <si>
    <t>MOS100823|KD006|CK7-915</t>
  </si>
  <si>
    <t>U-0390</t>
  </si>
  <si>
    <t>MOS100823|PH001|CK6-33411</t>
  </si>
  <si>
    <t>U-0391</t>
  </si>
  <si>
    <t>MOS100823|PH002|CK6-33362</t>
  </si>
  <si>
    <t>U-0392</t>
  </si>
  <si>
    <t>MOS100823|PH003|CK6-33405</t>
  </si>
  <si>
    <t>U-0393</t>
  </si>
  <si>
    <t>MOS100823|PH004|CK5-33334</t>
  </si>
  <si>
    <t>U-0394</t>
  </si>
  <si>
    <t>MOS100823|PH007|CK6-33375</t>
  </si>
  <si>
    <t>U-0395</t>
  </si>
  <si>
    <t>MOS100823|PH008|CK5-33370</t>
  </si>
  <si>
    <t>U-0396</t>
  </si>
  <si>
    <t>MOS100842|FG001|CK3-33409</t>
  </si>
  <si>
    <t>U-0397</t>
  </si>
  <si>
    <t>MOS100842|FG001|CK3-33410</t>
  </si>
  <si>
    <t>U-0398</t>
  </si>
  <si>
    <t>MOS100842|FG002|CK3-33406</t>
  </si>
  <si>
    <t>U-0399</t>
  </si>
  <si>
    <t>MOS100842|FG002|CK3-33407</t>
  </si>
  <si>
    <t>U-0400</t>
  </si>
  <si>
    <t>MOS100842|FG003|CK3-33356</t>
  </si>
  <si>
    <t>U-0401</t>
  </si>
  <si>
    <t>MOS100842|FG003|CK3-33387</t>
  </si>
  <si>
    <t>U-0402</t>
  </si>
  <si>
    <t>MOS100842|FG004|CK3-33385</t>
  </si>
  <si>
    <t>U-0403</t>
  </si>
  <si>
    <t>MOS100842|FG005|CK3-33402</t>
  </si>
  <si>
    <t>U-0404</t>
  </si>
  <si>
    <t>MOS100842|FG006|CK3-33414</t>
  </si>
  <si>
    <t>U-0405</t>
  </si>
  <si>
    <t>MOS100842|FG007|CK3-33404</t>
  </si>
  <si>
    <t>U-0406</t>
  </si>
  <si>
    <t>MOS100842|FG008|CK3-33261</t>
  </si>
  <si>
    <t>U-0407</t>
  </si>
  <si>
    <t>MOS100842|FG008|CK3-33367</t>
  </si>
  <si>
    <t>U-0408</t>
  </si>
  <si>
    <t>MOS100842|FG009|CK3-33348</t>
  </si>
  <si>
    <t>U-0409</t>
  </si>
  <si>
    <t>MOS100842|FG010|CK3-33070</t>
  </si>
  <si>
    <t>U-0410</t>
  </si>
  <si>
    <t>MOS100842|FG010|CK3-33301</t>
  </si>
  <si>
    <t>U-0411</t>
  </si>
  <si>
    <t>MOS100842|FG011|CK3-33347</t>
  </si>
  <si>
    <t>U-0412</t>
  </si>
  <si>
    <t>MOS100842|FG012|CK3-33126</t>
  </si>
  <si>
    <t>U-0413</t>
  </si>
  <si>
    <t>MOS100842|FG024|CK3-32758</t>
  </si>
  <si>
    <t>U-0414</t>
  </si>
  <si>
    <t>MOS100842|KD001|CK6-984</t>
  </si>
  <si>
    <t>U-0415</t>
  </si>
  <si>
    <t>MOS100842|KD001|CK6-986</t>
  </si>
  <si>
    <t>U-0416</t>
  </si>
  <si>
    <t>MOS100842|KD003|CK4-842</t>
  </si>
  <si>
    <t>U-0417</t>
  </si>
  <si>
    <t>MOS100842|KD006|CK7-915</t>
  </si>
  <si>
    <t>U-0418</t>
  </si>
  <si>
    <t>MOS100842|PH001|CK6-33411</t>
  </si>
  <si>
    <t>U-0419</t>
  </si>
  <si>
    <t>MOS100842|PH002|CK6-33362</t>
  </si>
  <si>
    <t>U-0420</t>
  </si>
  <si>
    <t>MOS100842|PH003|CK6-33405</t>
  </si>
  <si>
    <t>U-0421</t>
  </si>
  <si>
    <t>MOS100842|PH004|CK5-33334</t>
  </si>
  <si>
    <t>U-0422</t>
  </si>
  <si>
    <t>MOS100842|PH007|CK6-33375</t>
  </si>
  <si>
    <t>U-0423</t>
  </si>
  <si>
    <t>MOS100842|PH008|CK5-33370</t>
  </si>
  <si>
    <t>U-0424</t>
  </si>
  <si>
    <t>MOS100842|PO015|CK5-33366</t>
  </si>
  <si>
    <t>Total Unload Rows:</t>
  </si>
  <si>
    <t>Total Load Qty:</t>
  </si>
  <si>
    <t>Total Sales Qty:</t>
  </si>
  <si>
    <t>Total Expected ROP:</t>
  </si>
  <si>
    <t xml:space="preserve">   Pending Unload:</t>
  </si>
  <si>
    <t xml:space="preserve">   Blocked (Force-Push):</t>
  </si>
  <si>
    <t>Scenario Verification:</t>
  </si>
  <si>
    <t xml:space="preserve">   Joyline (MOS100802) Expected ROP — should be NEGATIVE (excess scenario):</t>
  </si>
  <si>
    <t xml:space="preserve">   Riziki (MOS100645) Expected ROP — should be HIGH (shortage scenario, low sales):</t>
  </si>
  <si>
    <t xml:space="preserve">   James (MOS100801) Expected ROP — should equal Load Qty (no sales):</t>
  </si>
  <si>
    <t>T_ROP — Integration Page (ROP Verification)</t>
  </si>
  <si>
    <t>The heart of the SAP Integration &amp; Compliance module. Clerk verifies physical stock against system Expected ROP.</t>
  </si>
  <si>
    <t>The ONLY manual input in this entire flow is the "Actual ROP" column (highlighted pale yellow). Everything else is automatic.</t>
  </si>
  <si>
    <t>Variance Logic (auto):</t>
  </si>
  <si>
    <t xml:space="preserve">   • Variance = Expected ROP − Actual ROP</t>
  </si>
  <si>
    <t xml:space="preserve">   • Variance = 0 → CLEAN (no further action)</t>
  </si>
  <si>
    <t xml:space="preserve">   • Variance &gt; 0 → SHORTAGE → POST TO DEFAULT OUTLET at depot price (creates new sale record)</t>
  </si>
  <si>
    <t xml:space="preserve">   • Variance &lt; 0 → EXCESS → ADJUST UNLOAD UPWARD (NO new sales; sales are immutable)</t>
  </si>
  <si>
    <t>Expected (Auto)</t>
  </si>
  <si>
    <t>CLERK INPUT</t>
  </si>
  <si>
    <t>Resolution</t>
  </si>
  <si>
    <t>ROP ID</t>
  </si>
  <si>
    <t>Actual ROP (Clerk)</t>
  </si>
  <si>
    <t>Variance</t>
  </si>
  <si>
    <t>Resolution Action</t>
  </si>
  <si>
    <t>Default Outlet Posting Qty</t>
  </si>
  <si>
    <t>Unload Adjustment Qty</t>
  </si>
  <si>
    <t>Verified By</t>
  </si>
  <si>
    <t>Verified On</t>
  </si>
  <si>
    <t>ROP-0001</t>
  </si>
  <si>
    <t>Pending Verification</t>
  </si>
  <si>
    <t>ROP-0002</t>
  </si>
  <si>
    <t>ROP-0003</t>
  </si>
  <si>
    <t>ROP-0004</t>
  </si>
  <si>
    <t>ROP-0005</t>
  </si>
  <si>
    <t>ROP-0006</t>
  </si>
  <si>
    <t>ROP-0007</t>
  </si>
  <si>
    <t>ROP-0008</t>
  </si>
  <si>
    <t>ROP-0009</t>
  </si>
  <si>
    <t>ROP-0010</t>
  </si>
  <si>
    <t>ROP-0011</t>
  </si>
  <si>
    <t>ROP-0012</t>
  </si>
  <si>
    <t>ROP-0013</t>
  </si>
  <si>
    <t>ROP-0014</t>
  </si>
  <si>
    <t>ROP-0015</t>
  </si>
  <si>
    <t>ROP-0016</t>
  </si>
  <si>
    <t>ROP-0017</t>
  </si>
  <si>
    <t>ROP-0018</t>
  </si>
  <si>
    <t>ROP-0019</t>
  </si>
  <si>
    <t>ROP-0020</t>
  </si>
  <si>
    <t>ROP-0021</t>
  </si>
  <si>
    <t>ROP-0022</t>
  </si>
  <si>
    <t>ROP-0023</t>
  </si>
  <si>
    <t>ROP-0024</t>
  </si>
  <si>
    <t>ROP-0025</t>
  </si>
  <si>
    <t>ROP-0026</t>
  </si>
  <si>
    <t>ROP-0027</t>
  </si>
  <si>
    <t>ROP-0028</t>
  </si>
  <si>
    <t>ROP-0029</t>
  </si>
  <si>
    <t>ROP-0030</t>
  </si>
  <si>
    <t>ROP-0031</t>
  </si>
  <si>
    <t>ROP-0032</t>
  </si>
  <si>
    <t>ROP-0033</t>
  </si>
  <si>
    <t>ROP-0034</t>
  </si>
  <si>
    <t>ROP-0035</t>
  </si>
  <si>
    <t>ROP-0036</t>
  </si>
  <si>
    <t>ROP-0037</t>
  </si>
  <si>
    <t>ROP-0038</t>
  </si>
  <si>
    <t>ROP-0039</t>
  </si>
  <si>
    <t>ROP-0040</t>
  </si>
  <si>
    <t>ROP-0041</t>
  </si>
  <si>
    <t>ROP-0042</t>
  </si>
  <si>
    <t>ROP-0043</t>
  </si>
  <si>
    <t>ROP-0044</t>
  </si>
  <si>
    <t>ROP-0045</t>
  </si>
  <si>
    <t>ROP-0046</t>
  </si>
  <si>
    <t>ROP-0047</t>
  </si>
  <si>
    <t>ROP-0048</t>
  </si>
  <si>
    <t>ROP-0049</t>
  </si>
  <si>
    <t>ROP-0050</t>
  </si>
  <si>
    <t>ROP-0051</t>
  </si>
  <si>
    <t>ROP-0052</t>
  </si>
  <si>
    <t>ROP-0053</t>
  </si>
  <si>
    <t>ROP-0054</t>
  </si>
  <si>
    <t>ROP-0055</t>
  </si>
  <si>
    <t>ROP-0056</t>
  </si>
  <si>
    <t>ROP-0057</t>
  </si>
  <si>
    <t>ROP-0058</t>
  </si>
  <si>
    <t>ROP-0059</t>
  </si>
  <si>
    <t>ROP-0060</t>
  </si>
  <si>
    <t>ROP-0061</t>
  </si>
  <si>
    <t>ROP-0062</t>
  </si>
  <si>
    <t>ROP-0063</t>
  </si>
  <si>
    <t>ROP-0064</t>
  </si>
  <si>
    <t>ROP-0065</t>
  </si>
  <si>
    <t>ROP-0066</t>
  </si>
  <si>
    <t>ROP-0067</t>
  </si>
  <si>
    <t>ROP-0068</t>
  </si>
  <si>
    <t>ROP-0069</t>
  </si>
  <si>
    <t>ROP-0070</t>
  </si>
  <si>
    <t>ROP-0071</t>
  </si>
  <si>
    <t>ROP-0072</t>
  </si>
  <si>
    <t>ROP-0073</t>
  </si>
  <si>
    <t>ROP-0074</t>
  </si>
  <si>
    <t>ROP-0075</t>
  </si>
  <si>
    <t>ROP-0076</t>
  </si>
  <si>
    <t>ROP-0077</t>
  </si>
  <si>
    <t>ROP-0078</t>
  </si>
  <si>
    <t>ROP-0079</t>
  </si>
  <si>
    <t>ROP-0080</t>
  </si>
  <si>
    <t>ROP-0081</t>
  </si>
  <si>
    <t>ROP-0082</t>
  </si>
  <si>
    <t>ROP-0083</t>
  </si>
  <si>
    <t>ROP-0084</t>
  </si>
  <si>
    <t>ROP-0085</t>
  </si>
  <si>
    <t>ROP-0086</t>
  </si>
  <si>
    <t>ROP-0087</t>
  </si>
  <si>
    <t>ROP-0088</t>
  </si>
  <si>
    <t>ROP-0089</t>
  </si>
  <si>
    <t>ROP-0090</t>
  </si>
  <si>
    <t>ROP-0091</t>
  </si>
  <si>
    <t>ROP-0092</t>
  </si>
  <si>
    <t>ROP-0093</t>
  </si>
  <si>
    <t>ROP-0094</t>
  </si>
  <si>
    <t>ROP-0095</t>
  </si>
  <si>
    <t>ROP-0096</t>
  </si>
  <si>
    <t>ROP-0097</t>
  </si>
  <si>
    <t>ROP-0098</t>
  </si>
  <si>
    <t>ROP-0099</t>
  </si>
  <si>
    <t>ROP-0100</t>
  </si>
  <si>
    <t>ROP-0101</t>
  </si>
  <si>
    <t>ROP-0102</t>
  </si>
  <si>
    <t>ROP-0103</t>
  </si>
  <si>
    <t>ROP-0104</t>
  </si>
  <si>
    <t>ROP-0105</t>
  </si>
  <si>
    <t>ROP-0106</t>
  </si>
  <si>
    <t>ROP-0107</t>
  </si>
  <si>
    <t>ROP-0108</t>
  </si>
  <si>
    <t>ROP-0109</t>
  </si>
  <si>
    <t>ROP-0110</t>
  </si>
  <si>
    <t>ROP-0111</t>
  </si>
  <si>
    <t>ROP-0112</t>
  </si>
  <si>
    <t>ROP-0113</t>
  </si>
  <si>
    <t>ROP-0114</t>
  </si>
  <si>
    <t>ROP-0115</t>
  </si>
  <si>
    <t>ROP-0116</t>
  </si>
  <si>
    <t>ROP-0117</t>
  </si>
  <si>
    <t>ROP-0118</t>
  </si>
  <si>
    <t>ROP-0119</t>
  </si>
  <si>
    <t>ROP-0120</t>
  </si>
  <si>
    <t>ROP-0121</t>
  </si>
  <si>
    <t>ROP-0122</t>
  </si>
  <si>
    <t>ROP-0123</t>
  </si>
  <si>
    <t>ROP-0124</t>
  </si>
  <si>
    <t>ROP-0125</t>
  </si>
  <si>
    <t>ROP-0126</t>
  </si>
  <si>
    <t>ROP-0127</t>
  </si>
  <si>
    <t>ROP-0128</t>
  </si>
  <si>
    <t>ROP-0129</t>
  </si>
  <si>
    <t>ROP-0130</t>
  </si>
  <si>
    <t>ROP-0131</t>
  </si>
  <si>
    <t>ROP-0132</t>
  </si>
  <si>
    <t>ROP-0133</t>
  </si>
  <si>
    <t>ROP-0134</t>
  </si>
  <si>
    <t>ROP-0135</t>
  </si>
  <si>
    <t>ROP-0136</t>
  </si>
  <si>
    <t>ROP-0137</t>
  </si>
  <si>
    <t>ROP-0138</t>
  </si>
  <si>
    <t>ROP-0139</t>
  </si>
  <si>
    <t>ROP-0140</t>
  </si>
  <si>
    <t>ROP-0141</t>
  </si>
  <si>
    <t>ROP-0142</t>
  </si>
  <si>
    <t>ROP-0143</t>
  </si>
  <si>
    <t>ROP-0144</t>
  </si>
  <si>
    <t>ROP-0145</t>
  </si>
  <si>
    <t>ROP-0146</t>
  </si>
  <si>
    <t>ROP-0147</t>
  </si>
  <si>
    <t>ROP-0148</t>
  </si>
  <si>
    <t>ROP-0149</t>
  </si>
  <si>
    <t>ROP-0150</t>
  </si>
  <si>
    <t>ROP-0151</t>
  </si>
  <si>
    <t>ROP-0152</t>
  </si>
  <si>
    <t>ROP-0153</t>
  </si>
  <si>
    <t>ROP-0154</t>
  </si>
  <si>
    <t>ROP-0155</t>
  </si>
  <si>
    <t>ROP-0156</t>
  </si>
  <si>
    <t>ROP-0157</t>
  </si>
  <si>
    <t>ROP-0158</t>
  </si>
  <si>
    <t>ROP-0159</t>
  </si>
  <si>
    <t>ROP-0160</t>
  </si>
  <si>
    <t>ROP-0161</t>
  </si>
  <si>
    <t>ROP-0162</t>
  </si>
  <si>
    <t>ROP-0163</t>
  </si>
  <si>
    <t>ROP-0164</t>
  </si>
  <si>
    <t>ROP-0165</t>
  </si>
  <si>
    <t>ROP-0166</t>
  </si>
  <si>
    <t>ROP-0167</t>
  </si>
  <si>
    <t>ROP-0168</t>
  </si>
  <si>
    <t>ROP-0169</t>
  </si>
  <si>
    <t>ROP-0170</t>
  </si>
  <si>
    <t>ROP-0171</t>
  </si>
  <si>
    <t>ROP-0172</t>
  </si>
  <si>
    <t>ROP-0173</t>
  </si>
  <si>
    <t>ROP-0174</t>
  </si>
  <si>
    <t>ROP-0175</t>
  </si>
  <si>
    <t>ROP-0176</t>
  </si>
  <si>
    <t>ROP-0177</t>
  </si>
  <si>
    <t>ROP-0178</t>
  </si>
  <si>
    <t>ROP-0179</t>
  </si>
  <si>
    <t>ROP-0180</t>
  </si>
  <si>
    <t>ROP-0181</t>
  </si>
  <si>
    <t>ROP-0182</t>
  </si>
  <si>
    <t>ROP-0183</t>
  </si>
  <si>
    <t>ROP-0184</t>
  </si>
  <si>
    <t>ROP-0185</t>
  </si>
  <si>
    <t>ROP-0186</t>
  </si>
  <si>
    <t>ROP-0187</t>
  </si>
  <si>
    <t>ROP-0188</t>
  </si>
  <si>
    <t>ROP-0189</t>
  </si>
  <si>
    <t>ROP-0190</t>
  </si>
  <si>
    <t>ROP-0191</t>
  </si>
  <si>
    <t>ROP-0192</t>
  </si>
  <si>
    <t>ROP-0193</t>
  </si>
  <si>
    <t>ROP-0194</t>
  </si>
  <si>
    <t>ROP-0195</t>
  </si>
  <si>
    <t>ROP-0196</t>
  </si>
  <si>
    <t>ROP-0197</t>
  </si>
  <si>
    <t>ROP-0198</t>
  </si>
  <si>
    <t>ROP-0199</t>
  </si>
  <si>
    <t>ROP-0200</t>
  </si>
  <si>
    <t>ROP-0201</t>
  </si>
  <si>
    <t>ROP-0202</t>
  </si>
  <si>
    <t>ROP-0203</t>
  </si>
  <si>
    <t>ROP-0204</t>
  </si>
  <si>
    <t>ROP-0205</t>
  </si>
  <si>
    <t>ROP-0206</t>
  </si>
  <si>
    <t>ROP-0207</t>
  </si>
  <si>
    <t>ROP-0208</t>
  </si>
  <si>
    <t>ROP-0209</t>
  </si>
  <si>
    <t>ROP-0210</t>
  </si>
  <si>
    <t>ROP-0211</t>
  </si>
  <si>
    <t>ROP-0212</t>
  </si>
  <si>
    <t>ROP-0213</t>
  </si>
  <si>
    <t>ROP-0214</t>
  </si>
  <si>
    <t>ROP-0215</t>
  </si>
  <si>
    <t>ROP-0216</t>
  </si>
  <si>
    <t>ROP-0217</t>
  </si>
  <si>
    <t>ROP-0218</t>
  </si>
  <si>
    <t>ROP-0219</t>
  </si>
  <si>
    <t>ROP-0220</t>
  </si>
  <si>
    <t>ROP-0221</t>
  </si>
  <si>
    <t>ROP-0222</t>
  </si>
  <si>
    <t>ROP-0223</t>
  </si>
  <si>
    <t>ROP-0224</t>
  </si>
  <si>
    <t>ROP-0225</t>
  </si>
  <si>
    <t>ROP-0226</t>
  </si>
  <si>
    <t>ROP-0227</t>
  </si>
  <si>
    <t>ROP-0228</t>
  </si>
  <si>
    <t>ROP-0229</t>
  </si>
  <si>
    <t>ROP-0230</t>
  </si>
  <si>
    <t>ROP-0231</t>
  </si>
  <si>
    <t>ROP-0232</t>
  </si>
  <si>
    <t>ROP-0233</t>
  </si>
  <si>
    <t>ROP-0234</t>
  </si>
  <si>
    <t>ROP-0235</t>
  </si>
  <si>
    <t>ROP-0236</t>
  </si>
  <si>
    <t>ROP-0237</t>
  </si>
  <si>
    <t>ROP-0238</t>
  </si>
  <si>
    <t>ROP-0239</t>
  </si>
  <si>
    <t>ROP-0240</t>
  </si>
  <si>
    <t>ROP-0241</t>
  </si>
  <si>
    <t>ROP-0242</t>
  </si>
  <si>
    <t>ROP-0243</t>
  </si>
  <si>
    <t>ROP-0244</t>
  </si>
  <si>
    <t>ROP-0245</t>
  </si>
  <si>
    <t>ROP-0246</t>
  </si>
  <si>
    <t>ROP-0247</t>
  </si>
  <si>
    <t>ROP-0248</t>
  </si>
  <si>
    <t>ROP-0249</t>
  </si>
  <si>
    <t>ROP-0250</t>
  </si>
  <si>
    <t>ROP-0251</t>
  </si>
  <si>
    <t>ROP-0252</t>
  </si>
  <si>
    <t>ROP-0253</t>
  </si>
  <si>
    <t>ROP-0254</t>
  </si>
  <si>
    <t>ROP-0255</t>
  </si>
  <si>
    <t>ROP-0256</t>
  </si>
  <si>
    <t>ROP-0257</t>
  </si>
  <si>
    <t>ROP-0258</t>
  </si>
  <si>
    <t>ROP-0259</t>
  </si>
  <si>
    <t>ROP-0260</t>
  </si>
  <si>
    <t>ROP-0261</t>
  </si>
  <si>
    <t>ROP-0262</t>
  </si>
  <si>
    <t>ROP-0263</t>
  </si>
  <si>
    <t>ROP-0264</t>
  </si>
  <si>
    <t>ROP-0265</t>
  </si>
  <si>
    <t>ROP-0266</t>
  </si>
  <si>
    <t>ROP-0267</t>
  </si>
  <si>
    <t>ROP-0268</t>
  </si>
  <si>
    <t>ROP-0269</t>
  </si>
  <si>
    <t>ROP-0270</t>
  </si>
  <si>
    <t>ROP-0271</t>
  </si>
  <si>
    <t>ROP-0272</t>
  </si>
  <si>
    <t>ROP-0273</t>
  </si>
  <si>
    <t>ROP-0274</t>
  </si>
  <si>
    <t>ROP-0275</t>
  </si>
  <si>
    <t>ROP-0276</t>
  </si>
  <si>
    <t>ROP-0277</t>
  </si>
  <si>
    <t>ROP-0278</t>
  </si>
  <si>
    <t>ROP-0279</t>
  </si>
  <si>
    <t>ROP-0280</t>
  </si>
  <si>
    <t>ROP-0281</t>
  </si>
  <si>
    <t>ROP-0282</t>
  </si>
  <si>
    <t>ROP-0283</t>
  </si>
  <si>
    <t>ROP-0284</t>
  </si>
  <si>
    <t>ROP-0285</t>
  </si>
  <si>
    <t>ROP-0286</t>
  </si>
  <si>
    <t>ROP-0287</t>
  </si>
  <si>
    <t>ROP-0288</t>
  </si>
  <si>
    <t>ROP-0289</t>
  </si>
  <si>
    <t>ROP-0290</t>
  </si>
  <si>
    <t>ROP-0291</t>
  </si>
  <si>
    <t>ROP-0292</t>
  </si>
  <si>
    <t>ROP-0293</t>
  </si>
  <si>
    <t>ROP-0294</t>
  </si>
  <si>
    <t>ROP-0295</t>
  </si>
  <si>
    <t>ROP-0296</t>
  </si>
  <si>
    <t>ROP-0297</t>
  </si>
  <si>
    <t>ROP-0298</t>
  </si>
  <si>
    <t>ROP-0299</t>
  </si>
  <si>
    <t>ROP-0300</t>
  </si>
  <si>
    <t>ROP-0301</t>
  </si>
  <si>
    <t>ROP-0302</t>
  </si>
  <si>
    <t>ROP-0303</t>
  </si>
  <si>
    <t>ROP-0304</t>
  </si>
  <si>
    <t>ROP-0305</t>
  </si>
  <si>
    <t>ROP-0306</t>
  </si>
  <si>
    <t>ROP-0307</t>
  </si>
  <si>
    <t>ROP-0308</t>
  </si>
  <si>
    <t>ROP-0309</t>
  </si>
  <si>
    <t>ROP-0310</t>
  </si>
  <si>
    <t>ROP-0311</t>
  </si>
  <si>
    <t>ROP-0312</t>
  </si>
  <si>
    <t>ROP-0313</t>
  </si>
  <si>
    <t>ROP-0314</t>
  </si>
  <si>
    <t>ROP-0315</t>
  </si>
  <si>
    <t>ROP-0316</t>
  </si>
  <si>
    <t>ROP-0317</t>
  </si>
  <si>
    <t>ROP-0318</t>
  </si>
  <si>
    <t>ROP-0319</t>
  </si>
  <si>
    <t>ROP-0320</t>
  </si>
  <si>
    <t>ROP-0321</t>
  </si>
  <si>
    <t>ROP-0322</t>
  </si>
  <si>
    <t>ROP-0323</t>
  </si>
  <si>
    <t>ROP-0324</t>
  </si>
  <si>
    <t>ROP-0325</t>
  </si>
  <si>
    <t>ROP-0326</t>
  </si>
  <si>
    <t>ROP-0327</t>
  </si>
  <si>
    <t>ROP-0328</t>
  </si>
  <si>
    <t>ROP-0329</t>
  </si>
  <si>
    <t>ROP-0330</t>
  </si>
  <si>
    <t>Awaiting Force-Push</t>
  </si>
  <si>
    <t>Blocked - Force-Push Required</t>
  </si>
  <si>
    <t>ROP-0331</t>
  </si>
  <si>
    <t>ROP-0332</t>
  </si>
  <si>
    <t>ROP-0333</t>
  </si>
  <si>
    <t>ROP-0334</t>
  </si>
  <si>
    <t>ROP-0335</t>
  </si>
  <si>
    <t>ROP-0336</t>
  </si>
  <si>
    <t>ROP-0337</t>
  </si>
  <si>
    <t>ROP-0338</t>
  </si>
  <si>
    <t>ROP-0339</t>
  </si>
  <si>
    <t>ROP-0340</t>
  </si>
  <si>
    <t>ROP-0341</t>
  </si>
  <si>
    <t>ROP-0342</t>
  </si>
  <si>
    <t>ROP-0343</t>
  </si>
  <si>
    <t>ROP-0344</t>
  </si>
  <si>
    <t>ROP-0345</t>
  </si>
  <si>
    <t>ROP-0346</t>
  </si>
  <si>
    <t>ROP-0347</t>
  </si>
  <si>
    <t>ROP-0348</t>
  </si>
  <si>
    <t>ROP-0349</t>
  </si>
  <si>
    <t>ROP-0350</t>
  </si>
  <si>
    <t>ROP-0351</t>
  </si>
  <si>
    <t>ROP-0352</t>
  </si>
  <si>
    <t>ROP-0353</t>
  </si>
  <si>
    <t>ROP-0354</t>
  </si>
  <si>
    <t>ROP-0355</t>
  </si>
  <si>
    <t>ROP-0356</t>
  </si>
  <si>
    <t>ROP-0357</t>
  </si>
  <si>
    <t>ROP-0358</t>
  </si>
  <si>
    <t>ROP-0359</t>
  </si>
  <si>
    <t>ROP-0360</t>
  </si>
  <si>
    <t>ROP-0361</t>
  </si>
  <si>
    <t>ROP-0362</t>
  </si>
  <si>
    <t>ROP-0363</t>
  </si>
  <si>
    <t>ROP-0364</t>
  </si>
  <si>
    <t>ROP-0365</t>
  </si>
  <si>
    <t>ROP-0366</t>
  </si>
  <si>
    <t>ROP-0367</t>
  </si>
  <si>
    <t>ROP-0368</t>
  </si>
  <si>
    <t>ROP-0369</t>
  </si>
  <si>
    <t>ROP-0370</t>
  </si>
  <si>
    <t>ROP-0371</t>
  </si>
  <si>
    <t>ROP-0372</t>
  </si>
  <si>
    <t>ROP-0373</t>
  </si>
  <si>
    <t>ROP-0374</t>
  </si>
  <si>
    <t>ROP-0375</t>
  </si>
  <si>
    <t>ROP-0376</t>
  </si>
  <si>
    <t>ROP-0377</t>
  </si>
  <si>
    <t>ROP-0378</t>
  </si>
  <si>
    <t>ROP-0379</t>
  </si>
  <si>
    <t>ROP-0380</t>
  </si>
  <si>
    <t>ROP-0381</t>
  </si>
  <si>
    <t>ROP-0382</t>
  </si>
  <si>
    <t>ROP-0383</t>
  </si>
  <si>
    <t>ROP-0384</t>
  </si>
  <si>
    <t>ROP-0385</t>
  </si>
  <si>
    <t>ROP-0386</t>
  </si>
  <si>
    <t>ROP-0387</t>
  </si>
  <si>
    <t>ROP-0388</t>
  </si>
  <si>
    <t>ROP-0389</t>
  </si>
  <si>
    <t>ROP-0390</t>
  </si>
  <si>
    <t>ROP-0391</t>
  </si>
  <si>
    <t>ROP-0392</t>
  </si>
  <si>
    <t>ROP-0393</t>
  </si>
  <si>
    <t>ROP-0394</t>
  </si>
  <si>
    <t>ROP-0395</t>
  </si>
  <si>
    <t>ROP-0396</t>
  </si>
  <si>
    <t>ROP-0397</t>
  </si>
  <si>
    <t>ROP-0398</t>
  </si>
  <si>
    <t>ROP-0399</t>
  </si>
  <si>
    <t>ROP-0400</t>
  </si>
  <si>
    <t>ROP-0401</t>
  </si>
  <si>
    <t>ROP-0402</t>
  </si>
  <si>
    <t>ROP-0403</t>
  </si>
  <si>
    <t>ROP-0404</t>
  </si>
  <si>
    <t>ROP-0405</t>
  </si>
  <si>
    <t>ROP-0406</t>
  </si>
  <si>
    <t>ROP-0407</t>
  </si>
  <si>
    <t>ROP-0408</t>
  </si>
  <si>
    <t>ROP-0409</t>
  </si>
  <si>
    <t>ROP-0410</t>
  </si>
  <si>
    <t>ROP-0411</t>
  </si>
  <si>
    <t>ROP-0412</t>
  </si>
  <si>
    <t>ROP-0413</t>
  </si>
  <si>
    <t>ROP-0414</t>
  </si>
  <si>
    <t>ROP-0415</t>
  </si>
  <si>
    <t>ROP-0416</t>
  </si>
  <si>
    <t>ROP-0417</t>
  </si>
  <si>
    <t>ROP-0418</t>
  </si>
  <si>
    <t>ROP-0419</t>
  </si>
  <si>
    <t>ROP-0420</t>
  </si>
  <si>
    <t>ROP-0421</t>
  </si>
  <si>
    <t>ROP-0422</t>
  </si>
  <si>
    <t>ROP-0423</t>
  </si>
  <si>
    <t>ROP-0424</t>
  </si>
  <si>
    <t>Total ROP Rows:</t>
  </si>
  <si>
    <t>Resolution Action Breakdown:</t>
  </si>
  <si>
    <t xml:space="preserve">   CLEAN (no action):</t>
  </si>
  <si>
    <t xml:space="preserve">   Post to Default Outlet (shortage):</t>
  </si>
  <si>
    <t xml:space="preserve">   Adjust Unload Upward (excess):</t>
  </si>
  <si>
    <t xml:space="preserve">   Awaiting Force-Push:</t>
  </si>
  <si>
    <t>Quantity Totals:</t>
  </si>
  <si>
    <t xml:space="preserve">   Total Expected ROP:</t>
  </si>
  <si>
    <t xml:space="preserve">   Total Actual ROP:</t>
  </si>
  <si>
    <t xml:space="preserve">   Total Default Outlet Posting:</t>
  </si>
  <si>
    <t xml:space="preserve">   Total Unload Adjustment:</t>
  </si>
  <si>
    <t xml:space="preserve">   Riziki (MOS100645) - SHORTAGE - rows with Default Outlet Posting:</t>
  </si>
  <si>
    <t xml:space="preserve">   Joyline (MOS100802) - EXCESS - rows with Unload Adjustment:</t>
  </si>
  <si>
    <t xml:space="preserve">   James (MOS100801) - UNMAPPED - rows awaiting Force-Push:</t>
  </si>
  <si>
    <t xml:space="preserve">   All other salesmen - CLEAN matches:</t>
  </si>
  <si>
    <t>Note: Default Outlet postings will be priced at depot default price in T_DefaultOutletPosting (next sheet).</t>
  </si>
  <si>
    <t>T_DefaultOutletPosting — Auto-Generated Shortage Postings</t>
  </si>
  <si>
    <t>Auto-generated from T_ROP where Resolution Action = "Post to Default Outlet".</t>
  </si>
  <si>
    <t>Each row mirrors a T_Sales record: a new sale is created against the Depot's Default Outlet at Depot Default Price.</t>
  </si>
  <si>
    <t>The Salesman remains ACCOUNTABLE for the cash collection of this shortage value. This row is pushed to SAP as a new sale.</t>
  </si>
  <si>
    <t>From T_ROP</t>
  </si>
  <si>
    <t>Pricing</t>
  </si>
  <si>
    <t>Posting ID</t>
  </si>
  <si>
    <t>Source ROP ID</t>
  </si>
  <si>
    <t>Posting Date</t>
  </si>
  <si>
    <t>Shortage Qty (Posted)</t>
  </si>
  <si>
    <t>Posting Value (TZS)</t>
  </si>
  <si>
    <t>Salesman Accountable</t>
  </si>
  <si>
    <t>SAP Push Status</t>
  </si>
  <si>
    <t>Pushed On</t>
  </si>
  <si>
    <t>DOP-0001</t>
  </si>
  <si>
    <t>YES</t>
  </si>
  <si>
    <t>Pending Push</t>
  </si>
  <si>
    <t>DOP-0002</t>
  </si>
  <si>
    <t>DOP-0003</t>
  </si>
  <si>
    <t>DOP-0004</t>
  </si>
  <si>
    <t>DOP-0005</t>
  </si>
  <si>
    <t>DOP-0006</t>
  </si>
  <si>
    <t>DOP-0007</t>
  </si>
  <si>
    <t>DOP-0008</t>
  </si>
  <si>
    <t>DOP-0009</t>
  </si>
  <si>
    <t>DOP-0010</t>
  </si>
  <si>
    <t>DOP-0011</t>
  </si>
  <si>
    <t>DOP-0012</t>
  </si>
  <si>
    <t>DOP-0013</t>
  </si>
  <si>
    <t>DOP-0014</t>
  </si>
  <si>
    <t>DOP-0015</t>
  </si>
  <si>
    <t>DOP-0016</t>
  </si>
  <si>
    <t>DOP-0017</t>
  </si>
  <si>
    <t>DOP-0018</t>
  </si>
  <si>
    <t>DOP-0019</t>
  </si>
  <si>
    <t>DOP-0020</t>
  </si>
  <si>
    <t>DOP-0021</t>
  </si>
  <si>
    <t>DOP-0022</t>
  </si>
  <si>
    <t>DOP-0023</t>
  </si>
  <si>
    <t>DOP-0024</t>
  </si>
  <si>
    <t>DOP-0025</t>
  </si>
  <si>
    <t>DOP-0026</t>
  </si>
  <si>
    <t>DOP-0027</t>
  </si>
  <si>
    <t>DOP-0028</t>
  </si>
  <si>
    <t>DOP-0029</t>
  </si>
  <si>
    <t>DOP-0030</t>
  </si>
  <si>
    <t>DOP-0031</t>
  </si>
  <si>
    <t>DOP-0032</t>
  </si>
  <si>
    <t>DOP-0033</t>
  </si>
  <si>
    <t>DOP-0034</t>
  </si>
  <si>
    <t>DOP-0035</t>
  </si>
  <si>
    <t>DOP-0036</t>
  </si>
  <si>
    <t>DOP-0037</t>
  </si>
  <si>
    <t>DOP-0038</t>
  </si>
  <si>
    <t>DOP-0039</t>
  </si>
  <si>
    <t>DOP-0040</t>
  </si>
  <si>
    <t>DOP-0041</t>
  </si>
  <si>
    <t>DOP-0042</t>
  </si>
  <si>
    <t>DOP-0043</t>
  </si>
  <si>
    <t>DOP-0044</t>
  </si>
  <si>
    <t>DOP-0045</t>
  </si>
  <si>
    <t>DOP-0046</t>
  </si>
  <si>
    <t>DOP-0047</t>
  </si>
  <si>
    <t>DOP-0048</t>
  </si>
  <si>
    <t>DOP-0049</t>
  </si>
  <si>
    <t>DOP-0050</t>
  </si>
  <si>
    <t>DOP-0051</t>
  </si>
  <si>
    <t>DOP-0052</t>
  </si>
  <si>
    <t>DOP-0053</t>
  </si>
  <si>
    <t>DOP-0054</t>
  </si>
  <si>
    <t>DOP-0055</t>
  </si>
  <si>
    <t>DOP-0056</t>
  </si>
  <si>
    <t>DOP-0057</t>
  </si>
  <si>
    <t>DOP-0058</t>
  </si>
  <si>
    <t>DOP-0059</t>
  </si>
  <si>
    <t>DOP-0060</t>
  </si>
  <si>
    <t>DOP-0061</t>
  </si>
  <si>
    <t>DOP-0062</t>
  </si>
  <si>
    <t>DOP-0063</t>
  </si>
  <si>
    <t>DOP-0064</t>
  </si>
  <si>
    <t>DOP-0065</t>
  </si>
  <si>
    <t>DOP-0066</t>
  </si>
  <si>
    <t>DOP-0067</t>
  </si>
  <si>
    <t>DOP-0068</t>
  </si>
  <si>
    <t>DOP-0069</t>
  </si>
  <si>
    <t>DOP-0070</t>
  </si>
  <si>
    <t>DOP-0071</t>
  </si>
  <si>
    <t>DOP-0072</t>
  </si>
  <si>
    <t>DOP-0073</t>
  </si>
  <si>
    <t>DOP-0074</t>
  </si>
  <si>
    <t>DOP-0075</t>
  </si>
  <si>
    <t>DOP-0076</t>
  </si>
  <si>
    <t>DOP-0077</t>
  </si>
  <si>
    <t>DOP-0078</t>
  </si>
  <si>
    <t>DOP-0079</t>
  </si>
  <si>
    <t>DOP-0080</t>
  </si>
  <si>
    <t>DOP-0081</t>
  </si>
  <si>
    <t>DOP-0082</t>
  </si>
  <si>
    <t>DOP-0083</t>
  </si>
  <si>
    <t>DOP-0084</t>
  </si>
  <si>
    <t>DOP-0085</t>
  </si>
  <si>
    <t>DOP-0086</t>
  </si>
  <si>
    <t>DOP-0087</t>
  </si>
  <si>
    <t>DOP-0088</t>
  </si>
  <si>
    <t>DOP-0089</t>
  </si>
  <si>
    <t>DOP-0090</t>
  </si>
  <si>
    <t>DOP-0091</t>
  </si>
  <si>
    <t>DOP-0092</t>
  </si>
  <si>
    <t>DOP-0093</t>
  </si>
  <si>
    <t>DOP-0094</t>
  </si>
  <si>
    <t>DOP-0095</t>
  </si>
  <si>
    <t>DOP-0096</t>
  </si>
  <si>
    <t>DOP-0097</t>
  </si>
  <si>
    <t>DOP-0098</t>
  </si>
  <si>
    <t>DOP-0099</t>
  </si>
  <si>
    <t>DOP-0100</t>
  </si>
  <si>
    <t>DOP-0101</t>
  </si>
  <si>
    <t>DOP-0102</t>
  </si>
  <si>
    <t>DOP-0103</t>
  </si>
  <si>
    <t>Total Postings Generated:</t>
  </si>
  <si>
    <t>Unique Salesmen Affected:</t>
  </si>
  <si>
    <t>Total Shortage Qty:</t>
  </si>
  <si>
    <t>Total Shortage Value (TZS):</t>
  </si>
  <si>
    <t>Top Shortage Salesmen:</t>
  </si>
  <si>
    <t xml:space="preserve">   Riziki Rajabu (MOS100645) shortage value:</t>
  </si>
  <si>
    <t>Note: These postings are visible as sales-against-depot-default-outlet. Salesmen must collect cash from depot equivalent to the shortage value.</t>
  </si>
  <si>
    <t>T_VarianceReasons — Supervisor Reason Logging (Parallel)</t>
  </si>
  <si>
    <t>Every non-CLEAN T_ROP row spawns one entry here. Supervisor must log Reason Category + Description within 24 hours.</t>
  </si>
  <si>
    <t>IMPORTANT: This flow is PARALLEL — it does NOT block Default Outlet posting or Unload adjustment. Those happen automatically.</t>
  </si>
  <si>
    <t>SLA Tracking: 24 hours from T_ROP date. Status auto-tracked as "Within SLA", "Breached", or "Pending".</t>
  </si>
  <si>
    <t>SUPERVISOR INPUT</t>
  </si>
  <si>
    <t>SLA Tracking</t>
  </si>
  <si>
    <t>Reason ID</t>
  </si>
  <si>
    <t>Variance Type</t>
  </si>
  <si>
    <t>Variance Qty</t>
  </si>
  <si>
    <t>Reason Category</t>
  </si>
  <si>
    <t>Reason Description</t>
  </si>
  <si>
    <t>Logged By (Supervisor)</t>
  </si>
  <si>
    <t>Logged On</t>
  </si>
  <si>
    <t>SLA Deadline</t>
  </si>
  <si>
    <t>SLA Status</t>
  </si>
  <si>
    <t>VR-0001</t>
  </si>
  <si>
    <t>Excess</t>
  </si>
  <si>
    <t>VR-0002</t>
  </si>
  <si>
    <t>Shortage</t>
  </si>
  <si>
    <t>VR-0003</t>
  </si>
  <si>
    <t>VR-0004</t>
  </si>
  <si>
    <t>Damage / Breakage</t>
  </si>
  <si>
    <t>Pallet damaged during transit; mixed breakage</t>
  </si>
  <si>
    <t>VR-0005</t>
  </si>
  <si>
    <t>VR-0006</t>
  </si>
  <si>
    <t>VR-0007</t>
  </si>
  <si>
    <t>VR-0008</t>
  </si>
  <si>
    <t>VR-0009</t>
  </si>
  <si>
    <t>VR-0010</t>
  </si>
  <si>
    <t>VR-0011</t>
  </si>
  <si>
    <t>VR-0012</t>
  </si>
  <si>
    <t>VR-0013</t>
  </si>
  <si>
    <t>VR-0014</t>
  </si>
  <si>
    <t>VR-0015</t>
  </si>
  <si>
    <t>VR-0016</t>
  </si>
  <si>
    <t>VR-0017</t>
  </si>
  <si>
    <t>VR-0018</t>
  </si>
  <si>
    <t>VR-0019</t>
  </si>
  <si>
    <t>Mobile App Entry Error</t>
  </si>
  <si>
    <t>Salesman entered sale quantity higher than actually delivered</t>
  </si>
  <si>
    <t>VR-0020</t>
  </si>
  <si>
    <t>VR-0021</t>
  </si>
  <si>
    <t>VR-0022</t>
  </si>
  <si>
    <t>VR-0023</t>
  </si>
  <si>
    <t>VR-0024</t>
  </si>
  <si>
    <t>VR-0025</t>
  </si>
  <si>
    <t>Mobile app crashed mid-entry; sales not fully captured</t>
  </si>
  <si>
    <t>VR-0026</t>
  </si>
  <si>
    <t>VR-0027</t>
  </si>
  <si>
    <t>VR-0028</t>
  </si>
  <si>
    <t>VR-0029</t>
  </si>
  <si>
    <t>VR-0030</t>
  </si>
  <si>
    <t>VR-0031</t>
  </si>
  <si>
    <t>VR-0032</t>
  </si>
  <si>
    <t>VR-0033</t>
  </si>
  <si>
    <t>Counting Error</t>
  </si>
  <si>
    <t>Initial van loading count mismatched warehouse issue</t>
  </si>
  <si>
    <t>VR-0034</t>
  </si>
  <si>
    <t>VR-0035</t>
  </si>
  <si>
    <t>VR-0036</t>
  </si>
  <si>
    <t>VR-0037</t>
  </si>
  <si>
    <t>Theft / Loss</t>
  </si>
  <si>
    <t>Van left unattended briefly; quantity reported missing</t>
  </si>
  <si>
    <t>VR-0038</t>
  </si>
  <si>
    <t>VR-0039</t>
  </si>
  <si>
    <t>Broken bottles found in van during physical count</t>
  </si>
  <si>
    <t>VR-0040</t>
  </si>
  <si>
    <t>Outlet code mistake led to over-recording on mobile</t>
  </si>
  <si>
    <t>VR-0041</t>
  </si>
  <si>
    <t>VR-0042</t>
  </si>
  <si>
    <t>Crate fell during loading; multiple breakages</t>
  </si>
  <si>
    <t>VR-0043</t>
  </si>
  <si>
    <t>VR-0044</t>
  </si>
  <si>
    <t>Double-entry mistake: same sale recorded twice on mobile</t>
  </si>
  <si>
    <t>VR-0045</t>
  </si>
  <si>
    <t>VR-0046</t>
  </si>
  <si>
    <t>Stock layered incorrectly; missed during count</t>
  </si>
  <si>
    <t>VR-0047</t>
  </si>
  <si>
    <t>VR-0048</t>
  </si>
  <si>
    <t>VR-0049</t>
  </si>
  <si>
    <t>VR-0050</t>
  </si>
  <si>
    <t>VR-0051</t>
  </si>
  <si>
    <t>Salesman included anticipated return as a sale</t>
  </si>
  <si>
    <t>VR-0052</t>
  </si>
  <si>
    <t>VR-0053</t>
  </si>
  <si>
    <t>VR-0054</t>
  </si>
  <si>
    <t>VR-0055</t>
  </si>
  <si>
    <t>VR-0056</t>
  </si>
  <si>
    <t>VR-0057</t>
  </si>
  <si>
    <t>Salesman entered sales but missed an outlet visit on mobile</t>
  </si>
  <si>
    <t>VR-0058</t>
  </si>
  <si>
    <t>Wrong quantity multiplier applied (e.g. selected dozen instead of singles)</t>
  </si>
  <si>
    <t>VR-0059</t>
  </si>
  <si>
    <t>VR-0060</t>
  </si>
  <si>
    <t>VR-0061</t>
  </si>
  <si>
    <t>VR-0062</t>
  </si>
  <si>
    <t>VR-0063</t>
  </si>
  <si>
    <t>VR-0064</t>
  </si>
  <si>
    <t>VR-0065</t>
  </si>
  <si>
    <t>VR-0066</t>
  </si>
  <si>
    <t>Mobile entry over-stated; actual physical stock higher than recorded</t>
  </si>
  <si>
    <t>VR-0067</t>
  </si>
  <si>
    <t>VR-0068</t>
  </si>
  <si>
    <t>VR-0069</t>
  </si>
  <si>
    <t>VR-0070</t>
  </si>
  <si>
    <t>VR-0071</t>
  </si>
  <si>
    <t>VR-0072</t>
  </si>
  <si>
    <t>VR-0073</t>
  </si>
  <si>
    <t>VR-0074</t>
  </si>
  <si>
    <t>VR-0075</t>
  </si>
  <si>
    <t>VR-0076</t>
  </si>
  <si>
    <t>VR-0077</t>
  </si>
  <si>
    <t>VR-0078</t>
  </si>
  <si>
    <t>VR-0079</t>
  </si>
  <si>
    <t>VR-0080</t>
  </si>
  <si>
    <t>VR-0081</t>
  </si>
  <si>
    <t>VR-0082</t>
  </si>
  <si>
    <t>VR-0083</t>
  </si>
  <si>
    <t>VR-0084</t>
  </si>
  <si>
    <t>VR-0085</t>
  </si>
  <si>
    <t>VR-0086</t>
  </si>
  <si>
    <t>Bottles damaged due to rough road conditions</t>
  </si>
  <si>
    <t>VR-0087</t>
  </si>
  <si>
    <t>VR-0088</t>
  </si>
  <si>
    <t>VR-0089</t>
  </si>
  <si>
    <t>VR-0090</t>
  </si>
  <si>
    <t>VR-0091</t>
  </si>
  <si>
    <t>VR-0092</t>
  </si>
  <si>
    <t>Suspected pilferage at outlet; under investigation</t>
  </si>
  <si>
    <t>VR-0093</t>
  </si>
  <si>
    <t>VR-0094</t>
  </si>
  <si>
    <t>VR-0095</t>
  </si>
  <si>
    <t>VR-0096</t>
  </si>
  <si>
    <t>VR-0097</t>
  </si>
  <si>
    <t>VR-0098</t>
  </si>
  <si>
    <t>VR-0099</t>
  </si>
  <si>
    <t>VR-0100</t>
  </si>
  <si>
    <t>VR-0101</t>
  </si>
  <si>
    <t>VR-0102</t>
  </si>
  <si>
    <t>VR-0103</t>
  </si>
  <si>
    <t>VR-0104</t>
  </si>
  <si>
    <t>VR-0105</t>
  </si>
  <si>
    <t>VR-0106</t>
  </si>
  <si>
    <t>VR-0107</t>
  </si>
  <si>
    <t>VR-0108</t>
  </si>
  <si>
    <t>VR-0109</t>
  </si>
  <si>
    <t>VR-0110</t>
  </si>
  <si>
    <t>VR-0111</t>
  </si>
  <si>
    <t>VR-0112</t>
  </si>
  <si>
    <t>VR-0113</t>
  </si>
  <si>
    <t>VR-0114</t>
  </si>
  <si>
    <t>VR-0115</t>
  </si>
  <si>
    <t>VR-0116</t>
  </si>
  <si>
    <t>VR-0117</t>
  </si>
  <si>
    <t>VR-0118</t>
  </si>
  <si>
    <t>VR-0119</t>
  </si>
  <si>
    <t>VR-0120</t>
  </si>
  <si>
    <t>VR-0121</t>
  </si>
  <si>
    <t>VR-0122</t>
  </si>
  <si>
    <t>VR-0123</t>
  </si>
  <si>
    <t>VR-0124</t>
  </si>
  <si>
    <t>VR-0125</t>
  </si>
  <si>
    <t>VR-0126</t>
  </si>
  <si>
    <t>VR-0127</t>
  </si>
  <si>
    <t>VR-0128</t>
  </si>
  <si>
    <t>VR-0129</t>
  </si>
  <si>
    <t>VR-0130</t>
  </si>
  <si>
    <t>VR-0131</t>
  </si>
  <si>
    <t>VR-0132</t>
  </si>
  <si>
    <t>VR-0133</t>
  </si>
  <si>
    <t>VR-0134</t>
  </si>
  <si>
    <t>VR-0135</t>
  </si>
  <si>
    <t>VR-0136</t>
  </si>
  <si>
    <t>VR-0137</t>
  </si>
  <si>
    <t>VR-0138</t>
  </si>
  <si>
    <t>VR-0139</t>
  </si>
  <si>
    <t>VR-0140</t>
  </si>
  <si>
    <t>VR-0141</t>
  </si>
  <si>
    <t>VR-0142</t>
  </si>
  <si>
    <t>VR-0143</t>
  </si>
  <si>
    <t>VR-0144</t>
  </si>
  <si>
    <t>VR-0145</t>
  </si>
  <si>
    <t>VR-0146</t>
  </si>
  <si>
    <t>VR-0147</t>
  </si>
  <si>
    <t>VR-0148</t>
  </si>
  <si>
    <t>VR-0149</t>
  </si>
  <si>
    <t>VR-0150</t>
  </si>
  <si>
    <t>VR-0151</t>
  </si>
  <si>
    <t>VR-0152</t>
  </si>
  <si>
    <t>VR-0153</t>
  </si>
  <si>
    <t>VR-0154</t>
  </si>
  <si>
    <t>VR-0155</t>
  </si>
  <si>
    <t>VR-0156</t>
  </si>
  <si>
    <t>VR-0157</t>
  </si>
  <si>
    <t>VR-0158</t>
  </si>
  <si>
    <t>VR-0159</t>
  </si>
  <si>
    <t>VR-0160</t>
  </si>
  <si>
    <t>Force-Push</t>
  </si>
  <si>
    <t>Master Data Mismatch</t>
  </si>
  <si>
    <t>New salesman onboarded today; pending user setup</t>
  </si>
  <si>
    <t>VR-0161</t>
  </si>
  <si>
    <t>VR-0162</t>
  </si>
  <si>
    <t>VR-0163</t>
  </si>
  <si>
    <t>VR-0164</t>
  </si>
  <si>
    <t>VR-0165</t>
  </si>
  <si>
    <t>VR-0166</t>
  </si>
  <si>
    <t>VR-0167</t>
  </si>
  <si>
    <t>VR-0168</t>
  </si>
  <si>
    <t>VR-0169</t>
  </si>
  <si>
    <t>VR-0170</t>
  </si>
  <si>
    <t>SAP code changed in HR system; SFA master not synced</t>
  </si>
  <si>
    <t>VR-0171</t>
  </si>
  <si>
    <t>VR-0172</t>
  </si>
  <si>
    <t>VR-0173</t>
  </si>
  <si>
    <t>VR-0174</t>
  </si>
  <si>
    <t>VR-0175</t>
  </si>
  <si>
    <t>VR-0176</t>
  </si>
  <si>
    <t>VR-0177</t>
  </si>
  <si>
    <t>VR-0178</t>
  </si>
  <si>
    <t>VR-0179</t>
  </si>
  <si>
    <t>VR-0180</t>
  </si>
  <si>
    <t>VR-0181</t>
  </si>
  <si>
    <t>VR-0182</t>
  </si>
  <si>
    <t>VR-0183</t>
  </si>
  <si>
    <t>VR-0184</t>
  </si>
  <si>
    <t>VR-0185</t>
  </si>
  <si>
    <t>VR-0186</t>
  </si>
  <si>
    <t>VR-0187</t>
  </si>
  <si>
    <t>VR-0188</t>
  </si>
  <si>
    <t>VR-0189</t>
  </si>
  <si>
    <t>VR-0190</t>
  </si>
  <si>
    <t>VR-0191</t>
  </si>
  <si>
    <t>VR-0192</t>
  </si>
  <si>
    <t>VR-0193</t>
  </si>
  <si>
    <t>VR-0194</t>
  </si>
  <si>
    <t>VR-0195</t>
  </si>
  <si>
    <t>VR-0196</t>
  </si>
  <si>
    <t>VR-0197</t>
  </si>
  <si>
    <t>VR-0198</t>
  </si>
  <si>
    <t>VR-0199</t>
  </si>
  <si>
    <t>VR-0200</t>
  </si>
  <si>
    <t>VR-0201</t>
  </si>
  <si>
    <t>VR-0202</t>
  </si>
  <si>
    <t>VR-0203</t>
  </si>
  <si>
    <t>VR-0204</t>
  </si>
  <si>
    <t>VR-0205</t>
  </si>
  <si>
    <t>VR-0206</t>
  </si>
  <si>
    <t>VR-0207</t>
  </si>
  <si>
    <t>VR-0208</t>
  </si>
  <si>
    <t>VR-0209</t>
  </si>
  <si>
    <t>Salesman miscounted at end of day</t>
  </si>
  <si>
    <t>VR-0210</t>
  </si>
  <si>
    <t>VR-0211</t>
  </si>
  <si>
    <t>VR-0212</t>
  </si>
  <si>
    <t>VR-0213</t>
  </si>
  <si>
    <t>VR-0214</t>
  </si>
  <si>
    <t>VR-0215</t>
  </si>
  <si>
    <t>VR-0216</t>
  </si>
  <si>
    <t>VR-0217</t>
  </si>
  <si>
    <t>VR-0218</t>
  </si>
  <si>
    <t>VR-0219</t>
  </si>
  <si>
    <t>VR-0220</t>
  </si>
  <si>
    <t>VR-0221</t>
  </si>
  <si>
    <t>VR-0222</t>
  </si>
  <si>
    <t>VR-0223</t>
  </si>
  <si>
    <t>VR-0224</t>
  </si>
  <si>
    <t>VR-0225</t>
  </si>
  <si>
    <t>VR-0226</t>
  </si>
  <si>
    <t>VR-0227</t>
  </si>
  <si>
    <t>VR-0228</t>
  </si>
  <si>
    <t>VR-0229</t>
  </si>
  <si>
    <t>VR-0230</t>
  </si>
  <si>
    <t>VR-0231</t>
  </si>
  <si>
    <t>VR-0232</t>
  </si>
  <si>
    <t>Total Variance Reason Rows:</t>
  </si>
  <si>
    <t>Variance Type Breakdown:</t>
  </si>
  <si>
    <t xml:space="preserve">   Shortage:</t>
  </si>
  <si>
    <t xml:space="preserve">   Excess:</t>
  </si>
  <si>
    <t xml:space="preserve">   Force-Push:</t>
  </si>
  <si>
    <t>SLA Status Breakdown:</t>
  </si>
  <si>
    <t xml:space="preserve">   Within SLA (logged on time):</t>
  </si>
  <si>
    <t xml:space="preserve">   Pending (awaiting input):</t>
  </si>
  <si>
    <t xml:space="preserve">   BREACHED (overdue):</t>
  </si>
  <si>
    <t>Note: SLA is non-blocking. Default Outlet postings and Unload adjustments happen automatically; this log is for management visibility.</t>
  </si>
  <si>
    <t>R_IntegrationPage — Clerk Command Center</t>
  </si>
  <si>
    <t>Live view of all items requiring Clerk action. Refresh by recalculating the workbook (F9).</t>
  </si>
  <si>
    <t>Today's Date:</t>
  </si>
  <si>
    <t xml:space="preserve">  KEY ACTION SUMMARY</t>
  </si>
  <si>
    <t>Pending Load Confirmation</t>
  </si>
  <si>
    <t>Force-Push Required</t>
  </si>
  <si>
    <t>Pending ROP Verification</t>
  </si>
  <si>
    <t>Loads awaiting Clerk's confirmation</t>
  </si>
  <si>
    <t>SAP codes not in User Master</t>
  </si>
  <si>
    <t>Actual ROP not yet verified by Clerk</t>
  </si>
  <si>
    <t>Shortage Postings to Push</t>
  </si>
  <si>
    <t>Variance Reasons Pending</t>
  </si>
  <si>
    <t>SLA Breaches</t>
  </si>
  <si>
    <t>Default Outlet sales pending SAP push</t>
  </si>
  <si>
    <t>Reasons not yet logged by Supervisor</t>
  </si>
  <si>
    <t>Reason log past 24h deadline</t>
  </si>
  <si>
    <t xml:space="preserve">  FORCE-PUSH REQUIRED (Unmapped SAP Codes — Clerk Decision Needed)</t>
  </si>
  <si>
    <t>SAP Doc</t>
  </si>
  <si>
    <t>Batch</t>
  </si>
  <si>
    <t>Qty</t>
  </si>
  <si>
    <t>Clerk Action: Use Force-Push to assign these rows to a valid M_User salesman, or Reject the load.</t>
  </si>
  <si>
    <t xml:space="preserve">  AGING — Open Loads by Days Outstanding (Threshold: 7 days from M_Config)</t>
  </si>
  <si>
    <t>Age Bucket</t>
  </si>
  <si>
    <t>Pending Loads</t>
  </si>
  <si>
    <t>Total Qty</t>
  </si>
  <si>
    <t>% of Total</t>
  </si>
  <si>
    <t>Same day (0 days)</t>
  </si>
  <si>
    <t>1-2 days</t>
  </si>
  <si>
    <t>3-6 days</t>
  </si>
  <si>
    <t>7+ days (ALERT)</t>
  </si>
  <si>
    <t xml:space="preserve">  VARIANCE REASON SLA — Quick Overview</t>
  </si>
  <si>
    <t>Count</t>
  </si>
  <si>
    <t>Within SLA</t>
  </si>
  <si>
    <t>Reason logged within 24 hours</t>
  </si>
  <si>
    <t>Pending</t>
  </si>
  <si>
    <t>Not yet logged; still within deadline</t>
  </si>
  <si>
    <t>BREACHED</t>
  </si>
  <si>
    <t>Past 24h deadline — escalation needed</t>
  </si>
  <si>
    <t>This report aggregates live data from T_Load, T_ROP, T_DefaultOutletPosting, and T_VarianceReasons. Press F9 to recalculate.</t>
  </si>
  <si>
    <t>R_SettlementSheet — Daily Salesman Settlement</t>
  </si>
  <si>
    <t>Salesman Display (helper)</t>
  </si>
  <si>
    <t>SAP Code (helper)</t>
  </si>
  <si>
    <t>Helper: Match Rank</t>
  </si>
  <si>
    <t>Dynamic template: select a salesman from the dropdown to populate all figures. Printable per day, per salesman.</t>
  </si>
  <si>
    <t>Alice Jonathan Mfuru (MOS100823)</t>
  </si>
  <si>
    <t>Deodat Francis Materu (MOS100180)</t>
  </si>
  <si>
    <t>SELECT SALESMAN:</t>
  </si>
  <si>
    <t>Riziki Rajabu Mghamba (MOS100645)</t>
  </si>
  <si>
    <t>Selected SAP:</t>
  </si>
  <si>
    <t>Doglas E. Shirima (ARS000069)</t>
  </si>
  <si>
    <t>Erick K. Mkama (MOS100209)</t>
  </si>
  <si>
    <t>Salesman Name:</t>
  </si>
  <si>
    <t>Gastory S Msaki (MOS100624)</t>
  </si>
  <si>
    <t>SAP Code:</t>
  </si>
  <si>
    <t>Reporting Officer:</t>
  </si>
  <si>
    <t>George Gibson Mmary (MOS100200)</t>
  </si>
  <si>
    <t>Settlement Date:</t>
  </si>
  <si>
    <t>Generated On:</t>
  </si>
  <si>
    <t>James Tegemea Ndosi (UNMAPPED) (MOS100801)</t>
  </si>
  <si>
    <t>Jonas Steven Michael (MOS100501)</t>
  </si>
  <si>
    <t>Joyline J Lyimo (MOS100802)</t>
  </si>
  <si>
    <t xml:space="preserve">  PAGE 1 — SETTLEMENT BY SKU (40 SKUs in Canonical Category Order)</t>
  </si>
  <si>
    <t>Masunga Mwala Ramadhani (MOS100788)</t>
  </si>
  <si>
    <t>Load Qty</t>
  </si>
  <si>
    <t>Sales Qty</t>
  </si>
  <si>
    <t>Actual ROP</t>
  </si>
  <si>
    <t>Action</t>
  </si>
  <si>
    <t>Meshack Jeremiah (MOS100079)</t>
  </si>
  <si>
    <t xml:space="preserve">  RGB</t>
  </si>
  <si>
    <t>Omary O. Seif (DSM300140)</t>
  </si>
  <si>
    <t>Piniel Julius Singo (MOS100654)</t>
  </si>
  <si>
    <t>Raymond P Sangawe (MOS100716)</t>
  </si>
  <si>
    <t>Samson Felix Ngowi (MOS100842)</t>
  </si>
  <si>
    <t>Zawadi Jastin Laizer (MOS100744)</t>
  </si>
  <si>
    <t>Zefania Julius Ngoma (MOS100144)</t>
  </si>
  <si>
    <t xml:space="preserve">  PET 500</t>
  </si>
  <si>
    <t xml:space="preserve">  PET 300</t>
  </si>
  <si>
    <t xml:space="preserve">  PET 1250</t>
  </si>
  <si>
    <t xml:space="preserve">  KNMW</t>
  </si>
  <si>
    <t xml:space="preserve">  SUBTOTALS BY CATEGORY</t>
  </si>
  <si>
    <t>SKUs Loaded</t>
  </si>
  <si>
    <t>Total Load Qty</t>
  </si>
  <si>
    <t>Total Sales Qty</t>
  </si>
  <si>
    <t>Sale Value</t>
  </si>
  <si>
    <t>RGB</t>
  </si>
  <si>
    <t>PET 500</t>
  </si>
  <si>
    <t>PET 300</t>
  </si>
  <si>
    <t>PET 1250</t>
  </si>
  <si>
    <t>GRAND TOTAL</t>
  </si>
  <si>
    <t xml:space="preserve">  CASH SETTLEMENT</t>
  </si>
  <si>
    <t>Total Sales Value (Mobile-recorded sales to outlets):</t>
  </si>
  <si>
    <t>Default Outlet Posting Value (Shortage — Salesman accountable):</t>
  </si>
  <si>
    <t>TOTAL CASH SALESMAN MUST DEPOSIT AT DEPOT (TZS):</t>
  </si>
  <si>
    <t xml:space="preserve">  SIGNATURES</t>
  </si>
  <si>
    <t>Salesman Signature:</t>
  </si>
  <si>
    <t>__________________________</t>
  </si>
  <si>
    <t>Depot In-charge:</t>
  </si>
  <si>
    <t>Date:</t>
  </si>
  <si>
    <t>Cash Received (TZS):</t>
  </si>
  <si>
    <t xml:space="preserve">  PAGE 2 — VARIANCE DETAIL (Per-Batch Breakdown)</t>
  </si>
  <si>
    <t>Lists every batch where Variance is non-zero. Up to 30 rows shown; sourced from T_ROP filtered by selected salesman.</t>
  </si>
  <si>
    <t>#</t>
  </si>
  <si>
    <t>Reason Logged?</t>
  </si>
  <si>
    <t>Reason</t>
  </si>
  <si>
    <t>R_VarianceReport — Supervisor Daily Variance Dashboard</t>
  </si>
  <si>
    <t>Fleet-level view of all variances across MOS / DAR / ARS depots. Aggregated from T_ROP, T_DefaultOutletPosting, and T_VarianceReasons.</t>
  </si>
  <si>
    <t>Report Date:</t>
  </si>
  <si>
    <t xml:space="preserve">  KEY VARIANCE METRICS</t>
  </si>
  <si>
    <t>Total Shortage Value</t>
  </si>
  <si>
    <t>Total Excess Units</t>
  </si>
  <si>
    <t>Reasons Pending</t>
  </si>
  <si>
    <t>TZS to recover from salesmen</t>
  </si>
  <si>
    <t>Units to add to Unload</t>
  </si>
  <si>
    <t>Variances awaiting supervisor reason</t>
  </si>
  <si>
    <t>Past 24h deadline — escalate</t>
  </si>
  <si>
    <t xml:space="preserve">  PER-DEPOT VARIANCE ROLLUP</t>
  </si>
  <si>
    <t>Total Variance Rows</t>
  </si>
  <si>
    <t>Shortage Count</t>
  </si>
  <si>
    <t>Shortage Value (TZS)</t>
  </si>
  <si>
    <t>Excess Count</t>
  </si>
  <si>
    <t>Excess Units</t>
  </si>
  <si>
    <t>CLEAN Count</t>
  </si>
  <si>
    <t>Force-Push Count</t>
  </si>
  <si>
    <t>Reasons Logged</t>
  </si>
  <si>
    <t>UNMAPPED</t>
  </si>
  <si>
    <t>TOTAL</t>
  </si>
  <si>
    <t xml:space="preserve">  PER-SALESMAN VARIANCE RANKING (Top Contributors)</t>
  </si>
  <si>
    <t>Rank</t>
  </si>
  <si>
    <t>Shortage Rows</t>
  </si>
  <si>
    <t>Excess Rows</t>
  </si>
  <si>
    <t xml:space="preserve">  SUPERVISOR ACTION CHECKLIST</t>
  </si>
  <si>
    <t>1. Call the top-ranked salesman immediately to discuss shortage variance.</t>
  </si>
  <si>
    <t xml:space="preserve">     Salesman with highest Shortage Value should be the first call of the day.</t>
  </si>
  <si>
    <t>2. Log reasons for any BREACHED rows (24h+ old).</t>
  </si>
  <si>
    <t xml:space="preserve">     See SLA Breaches column above; navigate to T_VarianceReasons to log.</t>
  </si>
  <si>
    <t>3. Investigate excess units with no logged reason.</t>
  </si>
  <si>
    <t xml:space="preserve">     Excess Rows column shows over-recording on mobile; needs reason within 24h.</t>
  </si>
  <si>
    <t>4. Approve Force-Push items in T_Load if SAP master data has been fixed.</t>
  </si>
  <si>
    <t xml:space="preserve">     Force-Push Count column shows blocked loads.</t>
  </si>
  <si>
    <t>5. Sign off on Default Outlet postings ready for SAP push.</t>
  </si>
  <si>
    <t xml:space="preserve">     These represent cash to be collected from salesmen.</t>
  </si>
  <si>
    <t>R_AgingView — Open Load Aging</t>
  </si>
  <si>
    <t>Every SAP-pushed load currently pending Clerk action. Sorted by Days Outstanding (oldest first). Live data — recalculates with TODAY().</t>
  </si>
  <si>
    <t>Aging Threshold (from M_Config):</t>
  </si>
  <si>
    <t>days</t>
  </si>
  <si>
    <t xml:space="preserve">  AGING BUCKET SUMMARY</t>
  </si>
  <si>
    <t>Same Day (0)</t>
  </si>
  <si>
    <t>7+ days ALERT</t>
  </si>
  <si>
    <t>0 days outstanding</t>
  </si>
  <si>
    <t>Recent loads</t>
  </si>
  <si>
    <t>Approaching threshold</t>
  </si>
  <si>
    <t>Past M_Config threshold</t>
  </si>
  <si>
    <t xml:space="preserve">  LOAD AGING DETAIL (One Row per SAP Invoice / Load ID)</t>
  </si>
  <si>
    <t>Days Out</t>
  </si>
  <si>
    <t>Aging Bucket</t>
  </si>
  <si>
    <t>Salesman SAP</t>
  </si>
  <si>
    <t>SKUs</t>
  </si>
  <si>
    <t>Action Needed</t>
  </si>
  <si>
    <t>UNMAPPED — Force-Push Required</t>
  </si>
  <si>
    <t>FORCE-PUSH</t>
  </si>
  <si>
    <t>20 Pending Loads</t>
  </si>
  <si>
    <t>All Pending Confirmation</t>
  </si>
  <si>
    <t>Repeated here purely for Excel-model convenience.</t>
  </si>
  <si>
    <t>FG - Finished Goods — RGB CSD (Returnable Glass Bottles, Carbonated Soda)</t>
  </si>
  <si>
    <t>KD - KNMW — Kilimanjaro Natural Mineral Water (PET and Bulk)</t>
  </si>
  <si>
    <t>PH - PET 500ml CSD</t>
  </si>
  <si>
    <t>PO - PET 300ml CSD (small-format)</t>
  </si>
  <si>
    <t>PT - PET 1250ml CSD (large-format / tall)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</si>
</sst>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00"/>
    <numFmt numFmtId="166" formatCode="0.0%"/>
    <numFmt numFmtId="167" formatCode="_(* #,##0_);_(* \(#,##0\);_(* &quot;-&quot;??_);_(@_)"/>
  </numFmts>
  <fonts count="57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1F4E79"/>
      <name val="Calibri"/>
      <charset val="1"/>
    </font>
    <font>
      <b/>
      <sz val="18"/>
      <name val="Calibri"/>
      <charset val="1"/>
    </font>
    <font>
      <i/>
      <sz val="10"/>
      <color rgb="FF595959"/>
      <name val="Calibri"/>
      <charset val="1"/>
    </font>
    <font>
      <b/>
      <sz val="13"/>
      <color rgb="FF1F4E79"/>
      <name val="Calibri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b/>
      <sz val="11"/>
      <color rgb="FF548235"/>
      <name val="Calibri"/>
      <charset val="1"/>
    </font>
    <font>
      <b/>
      <sz val="12"/>
      <color rgb="FF1F4E79"/>
      <name val="Calibri"/>
      <charset val="1"/>
    </font>
    <font>
      <b/>
      <sz val="16"/>
      <color rgb="FF1F4E79"/>
      <name val="Calibri"/>
      <charset val="1"/>
    </font>
    <font>
      <b/>
      <sz val="11"/>
      <name val="Calibri"/>
      <charset val="1"/>
    </font>
    <font>
      <b/>
      <sz val="11"/>
      <color rgb="FF1F4E79"/>
      <name val="Calibri"/>
      <charset val="1"/>
    </font>
    <font>
      <b/>
      <sz val="10"/>
      <color rgb="FF1F4E79"/>
      <name val="Calibri"/>
      <charset val="1"/>
    </font>
    <font>
      <i/>
      <sz val="11"/>
      <color rgb="FF2E75B6"/>
      <name val="Calibri"/>
      <charset val="1"/>
    </font>
    <font>
      <b/>
      <i/>
      <sz val="11"/>
      <color rgb="FFBF8F00"/>
      <name val="Calibri"/>
      <charset val="1"/>
    </font>
    <font>
      <b/>
      <sz val="11"/>
      <color rgb="FFBF8F00"/>
      <name val="Calibri"/>
      <charset val="1"/>
    </font>
    <font>
      <b/>
      <sz val="11"/>
      <color rgb="FF0000FF"/>
      <name val="Calibri"/>
      <charset val="1"/>
    </font>
    <font>
      <i/>
      <sz val="11"/>
      <color rgb="FFBF8F00"/>
      <name val="Calibri"/>
      <charset val="1"/>
    </font>
    <font>
      <b/>
      <sz val="11"/>
      <color rgb="FFC00000"/>
      <name val="Calibri"/>
      <charset val="1"/>
    </font>
    <font>
      <b/>
      <sz val="10"/>
      <color rgb="FFFFFFFF"/>
      <name val="Calibri"/>
      <charset val="1"/>
    </font>
    <font>
      <b/>
      <sz val="10"/>
      <color rgb="FF262626"/>
      <name val="Calibri"/>
      <charset val="1"/>
    </font>
    <font>
      <sz val="10"/>
      <name val="Calibri"/>
      <charset val="1"/>
    </font>
    <font>
      <i/>
      <sz val="10"/>
      <color rgb="FF2E75B6"/>
      <name val="Calibri"/>
      <charset val="1"/>
    </font>
    <font>
      <b/>
      <sz val="10"/>
      <color rgb="FFBF8F00"/>
      <name val="Calibri"/>
      <charset val="1"/>
    </font>
    <font>
      <b/>
      <sz val="12"/>
      <color rgb="FF1F4E79"/>
      <name val="Cambria"/>
      <charset val="1"/>
    </font>
    <font>
      <b/>
      <sz val="11"/>
      <color rgb="FFED7D31"/>
      <name val="Calibri"/>
      <charset val="1"/>
    </font>
    <font>
      <b/>
      <i/>
      <sz val="10"/>
      <color rgb="FFC00000"/>
      <name val="Calibri"/>
      <charset val="1"/>
    </font>
    <font>
      <b/>
      <i/>
      <sz val="10"/>
      <color rgb="FF1F4E79"/>
      <name val="Calibri"/>
      <charset val="1"/>
    </font>
    <font>
      <sz val="10"/>
      <color rgb="FF262626"/>
      <name val="Calibri"/>
      <charset val="1"/>
    </font>
    <font>
      <b/>
      <sz val="10"/>
      <color rgb="FFC00000"/>
      <name val="Calibri"/>
      <charset val="1"/>
    </font>
    <font>
      <b/>
      <sz val="10"/>
      <color rgb="FF0000FF"/>
      <name val="Calibri"/>
      <charset val="1"/>
    </font>
    <font>
      <b/>
      <sz val="10"/>
      <color rgb="FF7F0000"/>
      <name val="Calibri"/>
      <charset val="1"/>
    </font>
    <font>
      <b/>
      <sz val="11"/>
      <color rgb="FF7F0000"/>
      <name val="Calibri"/>
      <charset val="1"/>
    </font>
    <font>
      <b/>
      <sz val="18"/>
      <color rgb="FF1F4E79"/>
      <name val="Calibri"/>
      <charset val="1"/>
    </font>
    <font>
      <b/>
      <sz val="12"/>
      <color rgb="FFFFFFFF"/>
      <name val="Calibri"/>
      <charset val="1"/>
    </font>
    <font>
      <b/>
      <sz val="24"/>
      <color rgb="FFFFFFFF"/>
      <name val="Calibri"/>
      <charset val="1"/>
    </font>
    <font>
      <i/>
      <sz val="9"/>
      <color rgb="FF1F4E79"/>
      <name val="Calibri"/>
      <charset val="1"/>
    </font>
    <font>
      <i/>
      <sz val="9"/>
      <color rgb="FF808080"/>
      <name val="Calibri"/>
      <charset val="1"/>
    </font>
    <font>
      <i/>
      <sz val="11"/>
      <color rgb="FF595959"/>
      <name val="Calibri"/>
      <charset val="1"/>
    </font>
    <font>
      <sz val="9"/>
      <color rgb="FF808080"/>
      <name val="Calibri"/>
      <charset val="1"/>
    </font>
    <font>
      <sz val="8"/>
      <color rgb="FF808080"/>
      <name val="Calibri"/>
      <charset val="1"/>
    </font>
    <font>
      <b/>
      <sz val="12"/>
      <color rgb="FFC00000"/>
      <name val="Calibri"/>
      <charset val="1"/>
    </font>
    <font>
      <sz val="11"/>
      <color rgb="FF1F4E79"/>
      <name val="Calibri"/>
      <charset val="1"/>
    </font>
    <font>
      <b/>
      <sz val="10"/>
      <name val="Calibri"/>
      <charset val="1"/>
    </font>
    <font>
      <sz val="11"/>
      <color rgb="FFC00000"/>
      <name val="Calibri"/>
      <charset val="1"/>
    </font>
    <font>
      <b/>
      <sz val="14"/>
      <color rgb="FFC00000"/>
      <name val="Calibri"/>
      <charset val="1"/>
    </font>
    <font>
      <b/>
      <sz val="10"/>
      <color rgb="FF808080"/>
      <name val="Calibri"/>
      <charset val="1"/>
    </font>
    <font>
      <i/>
      <sz val="9"/>
      <color rgb="FF595959"/>
      <name val="Calibri"/>
      <charset val="1"/>
    </font>
    <font>
      <b/>
      <sz val="22"/>
      <color rgb="FFFFFFFF"/>
      <name val="Calibri"/>
      <charset val="1"/>
    </font>
    <font>
      <b/>
      <sz val="10"/>
      <color rgb="FF548235"/>
      <name val="Calibri"/>
      <charset val="1"/>
    </font>
    <font>
      <i/>
      <sz val="10"/>
      <color rgb="FFFFFFFF"/>
      <name val="Calibri"/>
      <charset val="1"/>
    </font>
    <font>
      <b/>
      <i/>
      <sz val="10"/>
      <color rgb="FF595959"/>
      <name val="Calibri"/>
      <family val="2"/>
    </font>
    <font>
      <b/>
      <sz val="10"/>
      <color rgb="FF1F4E79"/>
      <name val="Calibri"/>
      <family val="2"/>
    </font>
    <font>
      <sz val="10"/>
      <name val="Arial"/>
      <family val="2"/>
    </font>
    <font>
      <b/>
      <sz val="11"/>
      <color rgb="FF0000FF"/>
      <name val="Calibri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AFAF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E6CC"/>
      </patternFill>
    </fill>
    <fill>
      <patternFill patternType="solid">
        <fgColor rgb="FFFFE6CC"/>
        <bgColor rgb="FFFCE4D6"/>
      </patternFill>
    </fill>
    <fill>
      <patternFill patternType="solid">
        <fgColor rgb="FFFFFFCC"/>
        <bgColor rgb="FFFFF2CC"/>
      </patternFill>
    </fill>
    <fill>
      <patternFill patternType="solid">
        <fgColor rgb="FF7F7F7F"/>
        <bgColor rgb="FF808080"/>
      </patternFill>
    </fill>
    <fill>
      <patternFill patternType="solid">
        <fgColor rgb="FF5B9BD5"/>
        <bgColor rgb="FF2E75B6"/>
      </patternFill>
    </fill>
    <fill>
      <patternFill patternType="solid">
        <fgColor rgb="FF70AD47"/>
        <bgColor rgb="FF548235"/>
      </patternFill>
    </fill>
    <fill>
      <patternFill patternType="solid">
        <fgColor rgb="FFFFC000"/>
        <bgColor rgb="FFF4B084"/>
      </patternFill>
    </fill>
    <fill>
      <patternFill patternType="solid">
        <fgColor rgb="FFED7D31"/>
        <bgColor rgb="FFBF8F00"/>
      </patternFill>
    </fill>
    <fill>
      <patternFill patternType="solid">
        <fgColor rgb="FF8064A2"/>
        <bgColor rgb="FF7F7F7F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E6CC"/>
      </patternFill>
    </fill>
    <fill>
      <patternFill patternType="solid">
        <fgColor rgb="FFE4D8EC"/>
        <bgColor rgb="FFDDEBF7"/>
      </patternFill>
    </fill>
    <fill>
      <patternFill patternType="solid">
        <fgColor rgb="FFBF8F00"/>
        <bgColor rgb="FFED7D31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595959"/>
      </patternFill>
    </fill>
    <fill>
      <patternFill patternType="solid">
        <fgColor rgb="FFF4CCCC"/>
        <bgColor rgb="FFE4D8EC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E4D8EC"/>
      </patternFill>
    </fill>
    <fill>
      <patternFill patternType="solid">
        <fgColor rgb="FFF4B084"/>
        <bgColor rgb="FFF4CCCC"/>
      </patternFill>
    </fill>
    <fill>
      <patternFill patternType="solid">
        <fgColor rgb="FFFFE699"/>
        <bgColor rgb="FFFFE6CC"/>
      </patternFill>
    </fill>
    <fill>
      <patternFill patternType="solid">
        <fgColor rgb="FF7030A0"/>
        <bgColor rgb="FF800080"/>
      </patternFill>
    </fill>
    <fill>
      <patternFill patternType="solid">
        <fgColor rgb="FFA9D08E"/>
        <bgColor rgb="FFBFBFBF"/>
      </patternFill>
    </fill>
    <fill>
      <patternFill patternType="solid">
        <fgColor rgb="FFB4A7D6"/>
        <bgColor rgb="FFBFBFBF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83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4" fontId="14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right" vertical="center"/>
    </xf>
    <xf numFmtId="9" fontId="6" fillId="3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3" fontId="12" fillId="0" borderId="0" xfId="0" applyNumberFormat="1" applyFont="1"/>
    <xf numFmtId="0" fontId="14" fillId="0" borderId="0" xfId="0" applyFont="1"/>
    <xf numFmtId="0" fontId="6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9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7" fillId="7" borderId="1" xfId="0" applyFont="1" applyFill="1" applyBorder="1"/>
    <xf numFmtId="0" fontId="20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4" fontId="22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/>
    </xf>
    <xf numFmtId="14" fontId="22" fillId="14" borderId="1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4" fontId="22" fillId="14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4" fontId="22" fillId="5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left" vertical="center"/>
    </xf>
    <xf numFmtId="0" fontId="23" fillId="16" borderId="1" xfId="0" applyFont="1" applyFill="1" applyBorder="1" applyAlignment="1">
      <alignment horizontal="left" vertical="center"/>
    </xf>
    <xf numFmtId="0" fontId="25" fillId="0" borderId="0" xfId="0" applyFont="1"/>
    <xf numFmtId="0" fontId="22" fillId="0" borderId="0" xfId="0" applyFont="1"/>
    <xf numFmtId="0" fontId="26" fillId="0" borderId="0" xfId="0" applyFont="1"/>
    <xf numFmtId="4" fontId="12" fillId="0" borderId="0" xfId="0" applyNumberFormat="1" applyFont="1"/>
    <xf numFmtId="0" fontId="27" fillId="0" borderId="0" xfId="0" applyFont="1"/>
    <xf numFmtId="0" fontId="20" fillId="17" borderId="0" xfId="0" applyFont="1" applyFill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right" vertical="center"/>
    </xf>
    <xf numFmtId="4" fontId="23" fillId="0" borderId="1" xfId="0" applyNumberFormat="1" applyFont="1" applyBorder="1" applyAlignment="1">
      <alignment horizontal="right" vertical="center"/>
    </xf>
    <xf numFmtId="0" fontId="22" fillId="14" borderId="1" xfId="0" applyFont="1" applyFill="1" applyBorder="1" applyAlignment="1">
      <alignment horizontal="left" vertical="center"/>
    </xf>
    <xf numFmtId="165" fontId="22" fillId="14" borderId="1" xfId="0" applyNumberFormat="1" applyFont="1" applyFill="1" applyBorder="1" applyAlignment="1">
      <alignment horizontal="right" vertical="center"/>
    </xf>
    <xf numFmtId="4" fontId="23" fillId="5" borderId="1" xfId="0" applyNumberFormat="1" applyFont="1" applyFill="1" applyBorder="1" applyAlignment="1">
      <alignment horizontal="right" vertical="center"/>
    </xf>
    <xf numFmtId="4" fontId="22" fillId="5" borderId="1" xfId="0" applyNumberFormat="1" applyFont="1" applyFill="1" applyBorder="1" applyAlignment="1">
      <alignment horizontal="right" vertical="center"/>
    </xf>
    <xf numFmtId="0" fontId="28" fillId="0" borderId="0" xfId="0" applyFont="1"/>
    <xf numFmtId="0" fontId="29" fillId="0" borderId="1" xfId="0" applyFont="1" applyBorder="1" applyAlignment="1">
      <alignment horizontal="left" vertical="center"/>
    </xf>
    <xf numFmtId="165" fontId="23" fillId="0" borderId="1" xfId="0" applyNumberFormat="1" applyFont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  <xf numFmtId="0" fontId="29" fillId="16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/>
    </xf>
    <xf numFmtId="165" fontId="23" fillId="14" borderId="1" xfId="0" applyNumberFormat="1" applyFont="1" applyFill="1" applyBorder="1" applyAlignment="1">
      <alignment horizontal="right" vertical="center"/>
    </xf>
    <xf numFmtId="165" fontId="13" fillId="14" borderId="1" xfId="0" applyNumberFormat="1" applyFont="1" applyFill="1" applyBorder="1" applyAlignment="1">
      <alignment horizontal="right" vertical="center"/>
    </xf>
    <xf numFmtId="0" fontId="30" fillId="5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3" fillId="0" borderId="0" xfId="0" applyFont="1"/>
    <xf numFmtId="0" fontId="20" fillId="18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165" fontId="31" fillId="5" borderId="1" xfId="0" applyNumberFormat="1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left" vertical="center"/>
    </xf>
    <xf numFmtId="165" fontId="13" fillId="16" borderId="1" xfId="0" applyNumberFormat="1" applyFont="1" applyFill="1" applyBorder="1" applyAlignment="1">
      <alignment horizontal="right" vertical="center"/>
    </xf>
    <xf numFmtId="0" fontId="30" fillId="20" borderId="1" xfId="0" applyFont="1" applyFill="1" applyBorder="1" applyAlignment="1">
      <alignment horizontal="center" vertical="center"/>
    </xf>
    <xf numFmtId="165" fontId="22" fillId="20" borderId="1" xfId="0" applyNumberFormat="1" applyFont="1" applyFill="1" applyBorder="1" applyAlignment="1">
      <alignment horizontal="right" vertical="center"/>
    </xf>
    <xf numFmtId="0" fontId="24" fillId="21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14" fontId="22" fillId="21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right" vertical="center"/>
    </xf>
    <xf numFmtId="0" fontId="22" fillId="16" borderId="1" xfId="0" applyFont="1" applyFill="1" applyBorder="1" applyAlignment="1">
      <alignment horizontal="right" vertical="center"/>
    </xf>
    <xf numFmtId="0" fontId="22" fillId="20" borderId="1" xfId="0" applyFont="1" applyFill="1" applyBorder="1" applyAlignment="1">
      <alignment horizontal="right" vertical="center"/>
    </xf>
    <xf numFmtId="0" fontId="30" fillId="21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4" fontId="19" fillId="0" borderId="0" xfId="0" applyNumberFormat="1" applyFont="1"/>
    <xf numFmtId="4" fontId="16" fillId="0" borderId="0" xfId="0" applyNumberFormat="1" applyFont="1"/>
    <xf numFmtId="0" fontId="4" fillId="0" borderId="1" xfId="0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right" vertical="center"/>
    </xf>
    <xf numFmtId="4" fontId="30" fillId="0" borderId="1" xfId="0" applyNumberFormat="1" applyFont="1" applyBorder="1" applyAlignment="1">
      <alignment horizontal="right" vertical="center"/>
    </xf>
    <xf numFmtId="0" fontId="4" fillId="20" borderId="1" xfId="0" applyFont="1" applyFill="1" applyBorder="1" applyAlignment="1">
      <alignment horizontal="center" vertical="center"/>
    </xf>
    <xf numFmtId="14" fontId="22" fillId="20" borderId="1" xfId="0" applyNumberFormat="1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165" fontId="30" fillId="20" borderId="1" xfId="0" applyNumberFormat="1" applyFont="1" applyFill="1" applyBorder="1" applyAlignment="1">
      <alignment horizontal="right" vertical="center"/>
    </xf>
    <xf numFmtId="4" fontId="30" fillId="5" borderId="1" xfId="0" applyNumberFormat="1" applyFont="1" applyFill="1" applyBorder="1" applyAlignment="1">
      <alignment horizontal="right" vertical="center"/>
    </xf>
    <xf numFmtId="3" fontId="19" fillId="0" borderId="0" xfId="0" applyNumberFormat="1" applyFont="1"/>
    <xf numFmtId="0" fontId="23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 wrapText="1"/>
    </xf>
    <xf numFmtId="14" fontId="22" fillId="7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left" vertical="center" wrapText="1"/>
    </xf>
    <xf numFmtId="14" fontId="31" fillId="7" borderId="1" xfId="0" applyNumberFormat="1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0" xfId="0" applyFont="1"/>
    <xf numFmtId="14" fontId="12" fillId="0" borderId="0" xfId="0" applyNumberFormat="1" applyFont="1" applyAlignment="1">
      <alignment horizontal="left" vertical="center" wrapText="1"/>
    </xf>
    <xf numFmtId="0" fontId="35" fillId="18" borderId="0" xfId="0" applyFont="1" applyFill="1" applyAlignment="1">
      <alignment horizontal="left" vertical="center" wrapText="1"/>
    </xf>
    <xf numFmtId="0" fontId="20" fillId="18" borderId="1" xfId="0" applyFont="1" applyFill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0" fillId="17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166" fontId="12" fillId="0" borderId="1" xfId="0" applyNumberFormat="1" applyFont="1" applyBorder="1" applyAlignment="1">
      <alignment horizontal="right" vertical="center"/>
    </xf>
    <xf numFmtId="0" fontId="30" fillId="20" borderId="1" xfId="0" applyFont="1" applyFill="1" applyBorder="1" applyAlignment="1">
      <alignment horizontal="left" vertical="center" wrapText="1"/>
    </xf>
    <xf numFmtId="0" fontId="19" fillId="20" borderId="1" xfId="0" applyFont="1" applyFill="1" applyBorder="1" applyAlignment="1">
      <alignment horizontal="right" vertical="center"/>
    </xf>
    <xf numFmtId="4" fontId="19" fillId="20" borderId="1" xfId="0" applyNumberFormat="1" applyFont="1" applyFill="1" applyBorder="1" applyAlignment="1">
      <alignment horizontal="right" vertical="center"/>
    </xf>
    <xf numFmtId="166" fontId="19" fillId="20" borderId="1" xfId="0" applyNumberFormat="1" applyFont="1" applyFill="1" applyBorder="1" applyAlignment="1">
      <alignment horizontal="right" vertical="center"/>
    </xf>
    <xf numFmtId="0" fontId="20" fillId="2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right" vertical="center"/>
    </xf>
    <xf numFmtId="0" fontId="38" fillId="0" borderId="0" xfId="0" applyFont="1"/>
    <xf numFmtId="0" fontId="40" fillId="0" borderId="0" xfId="0" applyFont="1"/>
    <xf numFmtId="0" fontId="41" fillId="0" borderId="0" xfId="0" applyFont="1"/>
    <xf numFmtId="0" fontId="13" fillId="0" borderId="0" xfId="0" applyFont="1" applyAlignment="1">
      <alignment horizontal="right" vertical="center"/>
    </xf>
    <xf numFmtId="0" fontId="19" fillId="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20" fillId="9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3" fontId="23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0" fontId="44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165" fontId="23" fillId="3" borderId="1" xfId="0" applyNumberFormat="1" applyFont="1" applyFill="1" applyBorder="1" applyAlignment="1">
      <alignment horizontal="right" vertical="center"/>
    </xf>
    <xf numFmtId="165" fontId="13" fillId="3" borderId="1" xfId="0" applyNumberFormat="1" applyFont="1" applyFill="1" applyBorder="1" applyAlignment="1">
      <alignment horizontal="right" vertical="center"/>
    </xf>
    <xf numFmtId="3" fontId="23" fillId="3" borderId="1" xfId="0" applyNumberFormat="1" applyFont="1" applyFill="1" applyBorder="1" applyAlignment="1">
      <alignment horizontal="right" vertical="center"/>
    </xf>
    <xf numFmtId="3" fontId="13" fillId="3" borderId="1" xfId="0" applyNumberFormat="1" applyFont="1" applyFill="1" applyBorder="1" applyAlignment="1">
      <alignment horizontal="right" vertical="center"/>
    </xf>
    <xf numFmtId="0" fontId="44" fillId="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/>
    <xf numFmtId="3" fontId="12" fillId="0" borderId="1" xfId="0" applyNumberFormat="1" applyFont="1" applyBorder="1" applyAlignment="1">
      <alignment horizontal="right" vertical="center"/>
    </xf>
    <xf numFmtId="0" fontId="42" fillId="11" borderId="3" xfId="0" applyFont="1" applyFill="1" applyBorder="1" applyAlignment="1">
      <alignment horizontal="left" vertical="center" wrapText="1"/>
    </xf>
    <xf numFmtId="3" fontId="42" fillId="11" borderId="3" xfId="0" applyNumberFormat="1" applyFont="1" applyFill="1" applyBorder="1" applyAlignment="1">
      <alignment horizontal="right" vertical="center"/>
    </xf>
    <xf numFmtId="4" fontId="42" fillId="11" borderId="3" xfId="0" applyNumberFormat="1" applyFont="1" applyFill="1" applyBorder="1" applyAlignment="1">
      <alignment horizontal="right" vertical="center"/>
    </xf>
    <xf numFmtId="0" fontId="0" fillId="11" borderId="3" xfId="0" applyFill="1" applyBorder="1"/>
    <xf numFmtId="3" fontId="40" fillId="0" borderId="0" xfId="0" applyNumberFormat="1" applyFont="1"/>
    <xf numFmtId="0" fontId="47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/>
    </xf>
    <xf numFmtId="165" fontId="22" fillId="3" borderId="1" xfId="0" applyNumberFormat="1" applyFont="1" applyFill="1" applyBorder="1" applyAlignment="1">
      <alignment horizontal="right" vertical="center"/>
    </xf>
    <xf numFmtId="165" fontId="30" fillId="3" borderId="1" xfId="0" applyNumberFormat="1" applyFont="1" applyFill="1" applyBorder="1" applyAlignment="1">
      <alignment horizontal="right" vertical="center"/>
    </xf>
    <xf numFmtId="0" fontId="30" fillId="3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right" vertical="center"/>
    </xf>
    <xf numFmtId="3" fontId="24" fillId="0" borderId="1" xfId="0" applyNumberFormat="1" applyFont="1" applyBorder="1" applyAlignment="1">
      <alignment horizontal="right" vertical="center"/>
    </xf>
    <xf numFmtId="4" fontId="24" fillId="0" borderId="1" xfId="0" applyNumberFormat="1" applyFont="1" applyBorder="1" applyAlignment="1">
      <alignment horizontal="right" vertical="center"/>
    </xf>
    <xf numFmtId="3" fontId="50" fillId="0" borderId="1" xfId="0" applyNumberFormat="1" applyFont="1" applyBorder="1" applyAlignment="1">
      <alignment horizontal="right" vertical="center"/>
    </xf>
    <xf numFmtId="3" fontId="32" fillId="0" borderId="1" xfId="0" applyNumberFormat="1" applyFont="1" applyBorder="1" applyAlignment="1">
      <alignment horizontal="right" vertical="center"/>
    </xf>
    <xf numFmtId="0" fontId="12" fillId="14" borderId="1" xfId="0" applyFont="1" applyFill="1" applyBorder="1" applyAlignment="1">
      <alignment horizontal="center" vertical="center" wrapText="1"/>
    </xf>
    <xf numFmtId="3" fontId="12" fillId="14" borderId="1" xfId="0" applyNumberFormat="1" applyFont="1" applyFill="1" applyBorder="1" applyAlignment="1">
      <alignment horizontal="right" vertical="center"/>
    </xf>
    <xf numFmtId="3" fontId="30" fillId="14" borderId="1" xfId="0" applyNumberFormat="1" applyFont="1" applyFill="1" applyBorder="1" applyAlignment="1">
      <alignment horizontal="right" vertical="center"/>
    </xf>
    <xf numFmtId="3" fontId="24" fillId="14" borderId="1" xfId="0" applyNumberFormat="1" applyFont="1" applyFill="1" applyBorder="1" applyAlignment="1">
      <alignment horizontal="right" vertical="center"/>
    </xf>
    <xf numFmtId="4" fontId="24" fillId="14" borderId="1" xfId="0" applyNumberFormat="1" applyFont="1" applyFill="1" applyBorder="1" applyAlignment="1">
      <alignment horizontal="right" vertical="center"/>
    </xf>
    <xf numFmtId="3" fontId="50" fillId="14" borderId="1" xfId="0" applyNumberFormat="1" applyFont="1" applyFill="1" applyBorder="1" applyAlignment="1">
      <alignment horizontal="right" vertical="center"/>
    </xf>
    <xf numFmtId="3" fontId="32" fillId="14" borderId="1" xfId="0" applyNumberFormat="1" applyFont="1" applyFill="1" applyBorder="1" applyAlignment="1">
      <alignment horizontal="right" vertical="center"/>
    </xf>
    <xf numFmtId="0" fontId="19" fillId="20" borderId="1" xfId="0" applyFont="1" applyFill="1" applyBorder="1" applyAlignment="1">
      <alignment horizontal="center" vertical="center" wrapText="1"/>
    </xf>
    <xf numFmtId="3" fontId="19" fillId="20" borderId="1" xfId="0" applyNumberFormat="1" applyFont="1" applyFill="1" applyBorder="1" applyAlignment="1">
      <alignment horizontal="right" vertical="center"/>
    </xf>
    <xf numFmtId="3" fontId="30" fillId="20" borderId="1" xfId="0" applyNumberFormat="1" applyFont="1" applyFill="1" applyBorder="1" applyAlignment="1">
      <alignment horizontal="right" vertical="center"/>
    </xf>
    <xf numFmtId="3" fontId="24" fillId="20" borderId="1" xfId="0" applyNumberFormat="1" applyFont="1" applyFill="1" applyBorder="1" applyAlignment="1">
      <alignment horizontal="right" vertical="center"/>
    </xf>
    <xf numFmtId="4" fontId="24" fillId="20" borderId="1" xfId="0" applyNumberFormat="1" applyFont="1" applyFill="1" applyBorder="1" applyAlignment="1">
      <alignment horizontal="right" vertical="center"/>
    </xf>
    <xf numFmtId="3" fontId="50" fillId="20" borderId="1" xfId="0" applyNumberFormat="1" applyFont="1" applyFill="1" applyBorder="1" applyAlignment="1">
      <alignment horizontal="right" vertical="center"/>
    </xf>
    <xf numFmtId="3" fontId="33" fillId="20" borderId="1" xfId="0" applyNumberFormat="1" applyFont="1" applyFill="1" applyBorder="1" applyAlignment="1">
      <alignment horizontal="right" vertical="center"/>
    </xf>
    <xf numFmtId="0" fontId="35" fillId="2" borderId="3" xfId="0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right" vertical="center"/>
    </xf>
    <xf numFmtId="4" fontId="7" fillId="2" borderId="3" xfId="0" applyNumberFormat="1" applyFont="1" applyFill="1" applyBorder="1" applyAlignment="1">
      <alignment horizontal="right" vertical="center"/>
    </xf>
    <xf numFmtId="1" fontId="12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" fontId="12" fillId="15" borderId="1" xfId="0" applyNumberFormat="1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3" fontId="30" fillId="15" borderId="1" xfId="0" applyNumberFormat="1" applyFont="1" applyFill="1" applyBorder="1" applyAlignment="1">
      <alignment horizontal="right" vertical="center"/>
    </xf>
    <xf numFmtId="3" fontId="24" fillId="15" borderId="1" xfId="0" applyNumberFormat="1" applyFont="1" applyFill="1" applyBorder="1" applyAlignment="1">
      <alignment horizontal="right" vertical="center"/>
    </xf>
    <xf numFmtId="4" fontId="24" fillId="15" borderId="1" xfId="0" applyNumberFormat="1" applyFont="1" applyFill="1" applyBorder="1" applyAlignment="1">
      <alignment horizontal="right" vertical="center"/>
    </xf>
    <xf numFmtId="3" fontId="50" fillId="15" borderId="1" xfId="0" applyNumberFormat="1" applyFont="1" applyFill="1" applyBorder="1" applyAlignment="1">
      <alignment horizontal="right" vertical="center"/>
    </xf>
    <xf numFmtId="0" fontId="48" fillId="0" borderId="0" xfId="0" applyFont="1" applyAlignment="1">
      <alignment horizontal="left" vertical="center" wrapText="1"/>
    </xf>
    <xf numFmtId="3" fontId="19" fillId="0" borderId="0" xfId="0" applyNumberFormat="1" applyFont="1" applyAlignment="1">
      <alignment horizontal="left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 wrapText="1"/>
    </xf>
    <xf numFmtId="1" fontId="22" fillId="3" borderId="1" xfId="0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right" vertical="center"/>
    </xf>
    <xf numFmtId="0" fontId="23" fillId="3" borderId="1" xfId="0" applyFont="1" applyFill="1" applyBorder="1" applyAlignment="1">
      <alignment horizontal="center" vertical="center" wrapText="1"/>
    </xf>
    <xf numFmtId="3" fontId="12" fillId="3" borderId="1" xfId="0" applyNumberFormat="1" applyFont="1" applyFill="1" applyBorder="1" applyAlignment="1">
      <alignment horizontal="right" vertical="center"/>
    </xf>
    <xf numFmtId="4" fontId="12" fillId="3" borderId="1" xfId="0" applyNumberFormat="1" applyFont="1" applyFill="1" applyBorder="1" applyAlignment="1">
      <alignment horizontal="right" vertical="center"/>
    </xf>
    <xf numFmtId="0" fontId="24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52" fillId="0" borderId="0" xfId="0" applyFont="1"/>
    <xf numFmtId="0" fontId="53" fillId="0" borderId="0" xfId="0" applyFont="1" applyAlignment="1">
      <alignment horizontal="left" vertical="center"/>
    </xf>
    <xf numFmtId="0" fontId="15" fillId="5" borderId="0" xfId="0" applyFont="1" applyFill="1" applyAlignment="1">
      <alignment vertical="center"/>
    </xf>
    <xf numFmtId="167" fontId="1" fillId="0" borderId="0" xfId="1" applyNumberFormat="1"/>
    <xf numFmtId="167" fontId="54" fillId="0" borderId="0" xfId="1" quotePrefix="1" applyNumberFormat="1" applyFont="1"/>
    <xf numFmtId="0" fontId="55" fillId="0" borderId="0" xfId="0" applyFont="1"/>
    <xf numFmtId="3" fontId="17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164" fontId="1" fillId="0" borderId="1" xfId="1" applyBorder="1" applyAlignment="1">
      <alignment horizontal="right" vertical="center"/>
    </xf>
    <xf numFmtId="164" fontId="1" fillId="0" borderId="0" xfId="1"/>
    <xf numFmtId="164" fontId="56" fillId="0" borderId="0" xfId="1" applyFont="1"/>
    <xf numFmtId="0" fontId="35" fillId="17" borderId="0" xfId="0" applyFont="1" applyFill="1" applyAlignment="1">
      <alignment vertical="center"/>
    </xf>
    <xf numFmtId="0" fontId="35" fillId="25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5" fillId="2" borderId="14" xfId="0" applyFont="1" applyFill="1" applyBorder="1" applyAlignment="1">
      <alignment vertical="center" wrapText="1"/>
    </xf>
    <xf numFmtId="0" fontId="35" fillId="18" borderId="0" xfId="0" applyFont="1" applyFill="1" applyAlignment="1">
      <alignment vertical="center" wrapText="1"/>
    </xf>
    <xf numFmtId="0" fontId="35" fillId="18" borderId="0" xfId="0" applyFont="1" applyFill="1" applyAlignment="1">
      <alignment vertical="center"/>
    </xf>
    <xf numFmtId="0" fontId="20" fillId="18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30" fillId="15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22" fillId="15" borderId="1" xfId="0" applyFont="1" applyFill="1" applyBorder="1" applyAlignment="1">
      <alignment vertical="center"/>
    </xf>
    <xf numFmtId="0" fontId="23" fillId="15" borderId="1" xfId="0" applyFont="1" applyFill="1" applyBorder="1" applyAlignment="1">
      <alignment vertical="center"/>
    </xf>
    <xf numFmtId="0" fontId="20" fillId="18" borderId="1" xfId="0" applyFont="1" applyFill="1" applyBorder="1" applyAlignment="1">
      <alignment horizontal="center" vertical="center"/>
    </xf>
    <xf numFmtId="1" fontId="22" fillId="15" borderId="1" xfId="0" applyNumberFormat="1" applyFont="1" applyFill="1" applyBorder="1" applyAlignment="1">
      <alignment horizontal="center" vertical="center"/>
    </xf>
    <xf numFmtId="4" fontId="22" fillId="0" borderId="1" xfId="0" applyNumberFormat="1" applyFont="1" applyBorder="1" applyAlignment="1">
      <alignment horizontal="center" vertical="center"/>
    </xf>
    <xf numFmtId="4" fontId="22" fillId="15" borderId="1" xfId="0" applyNumberFormat="1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0" fillId="13" borderId="15" xfId="0" applyFont="1" applyFill="1" applyBorder="1" applyAlignment="1">
      <alignment vertical="center" wrapText="1"/>
    </xf>
    <xf numFmtId="0" fontId="20" fillId="13" borderId="16" xfId="0" applyFont="1" applyFill="1" applyBorder="1" applyAlignment="1">
      <alignment vertical="center" wrapText="1"/>
    </xf>
    <xf numFmtId="0" fontId="20" fillId="13" borderId="17" xfId="0" applyFont="1" applyFill="1" applyBorder="1" applyAlignment="1">
      <alignment vertical="center" wrapText="1"/>
    </xf>
    <xf numFmtId="0" fontId="53" fillId="0" borderId="0" xfId="0" applyFont="1" applyAlignment="1">
      <alignment horizontal="center" vertical="center" wrapText="1"/>
    </xf>
    <xf numFmtId="165" fontId="19" fillId="0" borderId="1" xfId="0" applyNumberFormat="1" applyFont="1" applyBorder="1" applyAlignment="1">
      <alignment horizontal="right" vertical="center"/>
    </xf>
    <xf numFmtId="165" fontId="42" fillId="11" borderId="3" xfId="0" applyNumberFormat="1" applyFont="1" applyFill="1" applyBorder="1" applyAlignment="1">
      <alignment horizontal="right" vertical="center"/>
    </xf>
    <xf numFmtId="0" fontId="4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36" fillId="22" borderId="2" xfId="0" applyFont="1" applyFill="1" applyBorder="1" applyAlignment="1">
      <alignment horizontal="center" vertical="center" wrapText="1"/>
    </xf>
    <xf numFmtId="0" fontId="36" fillId="22" borderId="13" xfId="0" applyFont="1" applyFill="1" applyBorder="1" applyAlignment="1">
      <alignment horizontal="center" vertical="center" wrapText="1"/>
    </xf>
    <xf numFmtId="0" fontId="37" fillId="22" borderId="2" xfId="0" applyFont="1" applyFill="1" applyBorder="1" applyAlignment="1">
      <alignment horizontal="center" vertical="center" wrapText="1"/>
    </xf>
    <xf numFmtId="0" fontId="37" fillId="22" borderId="13" xfId="0" applyFont="1" applyFill="1" applyBorder="1" applyAlignment="1">
      <alignment horizontal="center" vertical="center" wrapText="1"/>
    </xf>
    <xf numFmtId="0" fontId="36" fillId="23" borderId="2" xfId="0" applyFont="1" applyFill="1" applyBorder="1" applyAlignment="1">
      <alignment horizontal="center" vertical="center" wrapText="1"/>
    </xf>
    <xf numFmtId="0" fontId="36" fillId="23" borderId="13" xfId="0" applyFont="1" applyFill="1" applyBorder="1" applyAlignment="1">
      <alignment horizontal="center" vertical="center" wrapText="1"/>
    </xf>
    <xf numFmtId="0" fontId="37" fillId="23" borderId="2" xfId="0" applyFont="1" applyFill="1" applyBorder="1" applyAlignment="1">
      <alignment horizontal="center" vertical="center" wrapText="1"/>
    </xf>
    <xf numFmtId="0" fontId="37" fillId="23" borderId="13" xfId="0" applyFont="1" applyFill="1" applyBorder="1" applyAlignment="1">
      <alignment horizontal="center" vertical="center" wrapText="1"/>
    </xf>
    <xf numFmtId="0" fontId="36" fillId="24" borderId="2" xfId="0" applyFont="1" applyFill="1" applyBorder="1" applyAlignment="1">
      <alignment horizontal="center" vertical="center" wrapText="1"/>
    </xf>
    <xf numFmtId="0" fontId="36" fillId="24" borderId="13" xfId="0" applyFont="1" applyFill="1" applyBorder="1" applyAlignment="1">
      <alignment horizontal="center" vertical="center" wrapText="1"/>
    </xf>
    <xf numFmtId="0" fontId="37" fillId="24" borderId="2" xfId="0" applyFont="1" applyFill="1" applyBorder="1" applyAlignment="1">
      <alignment horizontal="center" vertical="center" wrapText="1"/>
    </xf>
    <xf numFmtId="0" fontId="37" fillId="24" borderId="13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 wrapText="1"/>
    </xf>
    <xf numFmtId="0" fontId="36" fillId="20" borderId="2" xfId="0" applyFont="1" applyFill="1" applyBorder="1" applyAlignment="1">
      <alignment horizontal="center" vertical="center" wrapText="1"/>
    </xf>
    <xf numFmtId="0" fontId="36" fillId="20" borderId="13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36" fillId="26" borderId="2" xfId="0" applyFont="1" applyFill="1" applyBorder="1" applyAlignment="1">
      <alignment horizontal="center" vertical="center" wrapText="1"/>
    </xf>
    <xf numFmtId="0" fontId="36" fillId="26" borderId="13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7" fillId="25" borderId="13" xfId="0" applyFont="1" applyFill="1" applyBorder="1" applyAlignment="1">
      <alignment horizontal="center" vertical="center" wrapText="1"/>
    </xf>
    <xf numFmtId="0" fontId="36" fillId="27" borderId="2" xfId="0" applyFont="1" applyFill="1" applyBorder="1" applyAlignment="1">
      <alignment horizontal="center" vertical="center" wrapText="1"/>
    </xf>
    <xf numFmtId="0" fontId="36" fillId="27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37" fillId="20" borderId="2" xfId="0" applyFont="1" applyFill="1" applyBorder="1" applyAlignment="1">
      <alignment horizontal="center" vertical="center" wrapText="1"/>
    </xf>
    <xf numFmtId="0" fontId="37" fillId="20" borderId="13" xfId="0" applyFont="1" applyFill="1" applyBorder="1" applyAlignment="1">
      <alignment horizontal="center" vertical="center" wrapText="1"/>
    </xf>
    <xf numFmtId="0" fontId="37" fillId="26" borderId="2" xfId="0" applyFont="1" applyFill="1" applyBorder="1" applyAlignment="1">
      <alignment horizontal="center" vertical="center" wrapText="1"/>
    </xf>
    <xf numFmtId="0" fontId="37" fillId="26" borderId="13" xfId="0" applyFont="1" applyFill="1" applyBorder="1" applyAlignment="1">
      <alignment horizontal="center" vertical="center" wrapText="1"/>
    </xf>
    <xf numFmtId="0" fontId="37" fillId="27" borderId="2" xfId="0" applyFont="1" applyFill="1" applyBorder="1" applyAlignment="1">
      <alignment horizontal="center" vertical="center" wrapText="1"/>
    </xf>
    <xf numFmtId="0" fontId="37" fillId="27" borderId="13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5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left" vertical="center" wrapText="1"/>
    </xf>
    <xf numFmtId="14" fontId="43" fillId="0" borderId="1" xfId="0" applyNumberFormat="1" applyFont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35" fillId="19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45" fillId="0" borderId="1" xfId="0" applyFont="1" applyBorder="1" applyAlignment="1">
      <alignment horizontal="right" vertical="center"/>
    </xf>
    <xf numFmtId="3" fontId="42" fillId="0" borderId="1" xfId="0" applyNumberFormat="1" applyFont="1" applyBorder="1" applyAlignment="1">
      <alignment horizontal="right" vertical="center"/>
    </xf>
    <xf numFmtId="0" fontId="22" fillId="0" borderId="0" xfId="0" applyFont="1" applyAlignment="1">
      <alignment horizontal="center" vertical="center" wrapText="1"/>
    </xf>
    <xf numFmtId="0" fontId="35" fillId="18" borderId="0" xfId="0" applyFont="1" applyFill="1" applyAlignment="1">
      <alignment horizontal="left" vertical="center" wrapText="1"/>
    </xf>
    <xf numFmtId="0" fontId="42" fillId="0" borderId="1" xfId="0" applyFont="1" applyBorder="1" applyAlignment="1">
      <alignment horizontal="right" vertical="center"/>
    </xf>
    <xf numFmtId="3" fontId="46" fillId="24" borderId="3" xfId="0" applyNumberFormat="1" applyFont="1" applyFill="1" applyBorder="1" applyAlignment="1">
      <alignment horizontal="right" vertical="center"/>
    </xf>
    <xf numFmtId="0" fontId="22" fillId="0" borderId="4" xfId="0" applyFont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3" fontId="49" fillId="20" borderId="2" xfId="0" applyNumberFormat="1" applyFont="1" applyFill="1" applyBorder="1" applyAlignment="1">
      <alignment horizontal="center" vertical="center" wrapText="1"/>
    </xf>
    <xf numFmtId="4" fontId="49" fillId="24" borderId="2" xfId="0" applyNumberFormat="1" applyFont="1" applyFill="1" applyBorder="1" applyAlignment="1">
      <alignment horizontal="center" vertical="center" wrapText="1"/>
    </xf>
    <xf numFmtId="3" fontId="49" fillId="24" borderId="2" xfId="0" applyNumberFormat="1" applyFont="1" applyFill="1" applyBorder="1" applyAlignment="1">
      <alignment horizontal="center" vertical="center" wrapText="1"/>
    </xf>
    <xf numFmtId="3" fontId="49" fillId="27" borderId="2" xfId="0" applyNumberFormat="1" applyFont="1" applyFill="1" applyBorder="1" applyAlignment="1">
      <alignment horizontal="center" vertical="center" wrapText="1"/>
    </xf>
    <xf numFmtId="0" fontId="35" fillId="9" borderId="0" xfId="0" applyFont="1" applyFill="1" applyAlignment="1">
      <alignment horizontal="left" vertical="center" wrapText="1"/>
    </xf>
    <xf numFmtId="0" fontId="0" fillId="0" borderId="0" xfId="0"/>
    <xf numFmtId="0" fontId="13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center" vertical="center" wrapText="1"/>
    </xf>
    <xf numFmtId="3" fontId="49" fillId="21" borderId="2" xfId="0" applyNumberFormat="1" applyFont="1" applyFill="1" applyBorder="1" applyAlignment="1">
      <alignment horizontal="center" vertical="center" wrapText="1"/>
    </xf>
    <xf numFmtId="3" fontId="49" fillId="14" borderId="2" xfId="0" applyNumberFormat="1" applyFont="1" applyFill="1" applyBorder="1" applyAlignment="1">
      <alignment horizontal="center" vertical="center" wrapText="1"/>
    </xf>
    <xf numFmtId="0" fontId="37" fillId="21" borderId="2" xfId="0" applyFont="1" applyFill="1" applyBorder="1" applyAlignment="1">
      <alignment horizontal="center" vertical="center" wrapText="1"/>
    </xf>
    <xf numFmtId="0" fontId="37" fillId="14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7"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1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BF8F00"/>
        <name val="Calibri"/>
        <charset val="1"/>
      </font>
      <fill>
        <patternFill>
          <bgColor rgb="FFFFE699"/>
        </patternFill>
      </fill>
    </dxf>
    <dxf>
      <font>
        <b/>
        <sz val="10"/>
        <color rgb="FF1F4E79"/>
        <name val="Calibri"/>
        <charset val="1"/>
      </font>
      <fill>
        <patternFill>
          <bgColor rgb="FFDDEBF7"/>
        </patternFill>
      </fill>
    </dxf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ont>
        <b/>
        <sz val="11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1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2"/>
        <color rgb="FFFFFFFF"/>
        <name val="Calibri"/>
        <charset val="1"/>
      </font>
      <fill>
        <patternFill>
          <bgColor rgb="FFFFC000"/>
        </patternFill>
      </fill>
    </dxf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ont>
        <b/>
        <sz val="10"/>
        <color rgb="FFBF8F00"/>
        <name val="Calibri"/>
        <charset val="1"/>
      </font>
      <fill>
        <patternFill>
          <bgColor rgb="FFFFE699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ont>
        <i/>
        <sz val="10"/>
        <color rgb="FFBFBFBF"/>
        <name val="Calibri"/>
        <charset val="1"/>
      </font>
      <fill>
        <patternFill>
          <bgColor rgb="FFFAFAFA"/>
        </patternFill>
      </fill>
    </dxf>
    <dxf>
      <font>
        <b/>
        <sz val="10"/>
        <color rgb="FFBF8F00"/>
        <name val="Calibri"/>
        <charset val="1"/>
      </font>
      <fill>
        <patternFill>
          <bgColor rgb="FFFFF2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ont>
        <b/>
        <sz val="10"/>
        <color rgb="FFBF8F00"/>
        <name val="Calibri"/>
        <charset val="1"/>
      </font>
      <fill>
        <patternFill>
          <bgColor rgb="FFFFE699"/>
        </patternFill>
      </fill>
    </dxf>
    <dxf>
      <font>
        <b/>
        <sz val="10"/>
        <color rgb="FFC00000"/>
        <name val="Calibri"/>
        <charset val="1"/>
      </font>
      <fill>
        <patternFill>
          <bgColor rgb="FFFCE4D6"/>
        </patternFill>
      </fill>
    </dxf>
    <dxf>
      <font>
        <b/>
        <sz val="10"/>
        <color rgb="FF548235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sz val="10"/>
        <color rgb="FFC00000"/>
        <name val="Calibri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FAFAFA"/>
      <rgbColor rgb="FF7F0000"/>
      <rgbColor rgb="FF008000"/>
      <rgbColor rgb="FF000080"/>
      <rgbColor rgb="FF548235"/>
      <rgbColor rgb="FF800080"/>
      <rgbColor rgb="FF008080"/>
      <rgbColor rgb="FFBFBFBF"/>
      <rgbColor rgb="FF808080"/>
      <rgbColor rgb="FF5B9BD5"/>
      <rgbColor rgb="FF7030A0"/>
      <rgbColor rgb="FFFFFFCC"/>
      <rgbColor rgb="FFDDEBF7"/>
      <rgbColor rgb="FF660066"/>
      <rgbColor rgb="FFE4D8EC"/>
      <rgbColor rgb="FF0066CC"/>
      <rgbColor rgb="FFBDD7EE"/>
      <rgbColor rgb="FF000080"/>
      <rgbColor rgb="FFFF00FF"/>
      <rgbColor rgb="FFFFE6C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A9D08E"/>
      <rgbColor rgb="FFF4B084"/>
      <rgbColor rgb="FFB4A7D6"/>
      <rgbColor rgb="FFF4CCCC"/>
      <rgbColor rgb="FF2E75B6"/>
      <rgbColor rgb="FFF2F2F2"/>
      <rgbColor rgb="FFFCE4D6"/>
      <rgbColor rgb="FFFFC000"/>
      <rgbColor rgb="FFBF8F00"/>
      <rgbColor rgb="FFED7D31"/>
      <rgbColor rgb="FF8064A2"/>
      <rgbColor rgb="FF7F7F7F"/>
      <rgbColor rgb="FF003366"/>
      <rgbColor rgb="FF70AD47"/>
      <rgbColor rgb="FF003300"/>
      <rgbColor rgb="FF333300"/>
      <rgbColor rgb="FF993300"/>
      <rgbColor rgb="FF595959"/>
      <rgbColor rgb="FF1F4E7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14" customWidth="1"/>
    <col min="3" max="3" width="65" customWidth="1"/>
  </cols>
  <sheetData>
    <row r="1" spans="1:3" ht="17.25" customHeight="1" x14ac:dyDescent="0.35">
      <c r="A1" s="2" t="s">
        <v>0</v>
      </c>
    </row>
    <row r="2" spans="1:3" ht="21.75" customHeight="1" x14ac:dyDescent="0.45">
      <c r="A2" s="3" t="s">
        <v>1</v>
      </c>
    </row>
    <row r="3" spans="1:3" ht="15" customHeight="1" x14ac:dyDescent="0.45">
      <c r="A3" s="3"/>
    </row>
    <row r="4" spans="1:3" ht="15.75" customHeight="1" x14ac:dyDescent="0.35">
      <c r="A4" s="4" t="s">
        <v>2</v>
      </c>
    </row>
    <row r="5" spans="1:3" ht="15" customHeight="1" x14ac:dyDescent="0.3">
      <c r="A5" s="5" t="s">
        <v>3</v>
      </c>
    </row>
    <row r="6" spans="1:3" ht="15" customHeight="1" x14ac:dyDescent="0.3">
      <c r="A6" s="5" t="s">
        <v>4</v>
      </c>
    </row>
    <row r="8" spans="1:3" ht="15.75" customHeight="1" x14ac:dyDescent="0.35">
      <c r="A8" s="4" t="s">
        <v>5</v>
      </c>
    </row>
    <row r="9" spans="1:3" ht="15" customHeight="1" x14ac:dyDescent="0.3">
      <c r="A9" s="258" t="s">
        <v>6</v>
      </c>
      <c r="B9" s="259" t="s">
        <v>7</v>
      </c>
      <c r="C9" s="260" t="s">
        <v>8</v>
      </c>
    </row>
    <row r="10" spans="1:3" ht="15" customHeight="1" x14ac:dyDescent="0.3">
      <c r="A10" s="261" t="s">
        <v>10</v>
      </c>
      <c r="B10" s="7" t="s">
        <v>11</v>
      </c>
      <c r="C10" s="262" t="s">
        <v>12</v>
      </c>
    </row>
    <row r="11" spans="1:3" ht="15" customHeight="1" x14ac:dyDescent="0.3">
      <c r="A11" s="263" t="s">
        <v>13</v>
      </c>
      <c r="B11" s="9" t="s">
        <v>14</v>
      </c>
      <c r="C11" s="264" t="s">
        <v>15</v>
      </c>
    </row>
    <row r="12" spans="1:3" ht="15" customHeight="1" x14ac:dyDescent="0.3">
      <c r="A12" s="261" t="s">
        <v>16</v>
      </c>
      <c r="B12" s="7" t="s">
        <v>14</v>
      </c>
      <c r="C12" s="262" t="s">
        <v>17</v>
      </c>
    </row>
    <row r="13" spans="1:3" ht="15" customHeight="1" x14ac:dyDescent="0.3">
      <c r="A13" s="263" t="s">
        <v>18</v>
      </c>
      <c r="B13" s="9" t="s">
        <v>14</v>
      </c>
      <c r="C13" s="264" t="s">
        <v>19</v>
      </c>
    </row>
    <row r="14" spans="1:3" ht="15" customHeight="1" x14ac:dyDescent="0.3">
      <c r="A14" s="261" t="s">
        <v>20</v>
      </c>
      <c r="B14" s="7" t="s">
        <v>14</v>
      </c>
      <c r="C14" s="262" t="s">
        <v>21</v>
      </c>
    </row>
    <row r="15" spans="1:3" ht="15" customHeight="1" x14ac:dyDescent="0.3">
      <c r="A15" s="263" t="s">
        <v>22</v>
      </c>
      <c r="B15" s="9" t="s">
        <v>14</v>
      </c>
      <c r="C15" s="264" t="s">
        <v>23</v>
      </c>
    </row>
    <row r="16" spans="1:3" ht="15" customHeight="1" x14ac:dyDescent="0.3">
      <c r="A16" s="261" t="s">
        <v>24</v>
      </c>
      <c r="B16" s="7" t="s">
        <v>25</v>
      </c>
      <c r="C16" s="262" t="s">
        <v>26</v>
      </c>
    </row>
    <row r="17" spans="1:3" ht="15" customHeight="1" x14ac:dyDescent="0.3">
      <c r="A17" s="263" t="s">
        <v>27</v>
      </c>
      <c r="B17" s="9" t="s">
        <v>25</v>
      </c>
      <c r="C17" s="264" t="s">
        <v>28</v>
      </c>
    </row>
    <row r="18" spans="1:3" ht="15" customHeight="1" x14ac:dyDescent="0.3">
      <c r="A18" s="261" t="s">
        <v>29</v>
      </c>
      <c r="B18" s="7" t="s">
        <v>25</v>
      </c>
      <c r="C18" s="262" t="s">
        <v>30</v>
      </c>
    </row>
    <row r="19" spans="1:3" ht="15" customHeight="1" x14ac:dyDescent="0.3">
      <c r="A19" s="263" t="s">
        <v>31</v>
      </c>
      <c r="B19" s="9" t="s">
        <v>25</v>
      </c>
      <c r="C19" s="264" t="s">
        <v>32</v>
      </c>
    </row>
    <row r="20" spans="1:3" ht="15" customHeight="1" x14ac:dyDescent="0.3">
      <c r="A20" s="261" t="s">
        <v>33</v>
      </c>
      <c r="B20" s="7" t="s">
        <v>25</v>
      </c>
      <c r="C20" s="262" t="s">
        <v>34</v>
      </c>
    </row>
    <row r="21" spans="1:3" ht="15" customHeight="1" x14ac:dyDescent="0.3">
      <c r="A21" s="263" t="s">
        <v>35</v>
      </c>
      <c r="B21" s="9" t="s">
        <v>25</v>
      </c>
      <c r="C21" s="264" t="s">
        <v>36</v>
      </c>
    </row>
    <row r="22" spans="1:3" ht="15" customHeight="1" x14ac:dyDescent="0.3">
      <c r="A22" s="261" t="s">
        <v>37</v>
      </c>
      <c r="B22" s="7" t="s">
        <v>38</v>
      </c>
      <c r="C22" s="262" t="s">
        <v>39</v>
      </c>
    </row>
    <row r="23" spans="1:3" ht="15" customHeight="1" x14ac:dyDescent="0.3">
      <c r="A23" s="263" t="s">
        <v>40</v>
      </c>
      <c r="B23" s="9" t="s">
        <v>38</v>
      </c>
      <c r="C23" s="264" t="s">
        <v>41</v>
      </c>
    </row>
    <row r="24" spans="1:3" ht="15" customHeight="1" x14ac:dyDescent="0.3">
      <c r="A24" s="261" t="s">
        <v>42</v>
      </c>
      <c r="B24" s="7" t="s">
        <v>38</v>
      </c>
      <c r="C24" s="262" t="s">
        <v>43</v>
      </c>
    </row>
    <row r="25" spans="1:3" ht="15" customHeight="1" x14ac:dyDescent="0.3">
      <c r="A25" s="265" t="s">
        <v>44</v>
      </c>
      <c r="B25" s="266" t="s">
        <v>38</v>
      </c>
      <c r="C25" s="267" t="s">
        <v>45</v>
      </c>
    </row>
    <row r="27" spans="1:3" ht="15.75" customHeight="1" x14ac:dyDescent="0.35">
      <c r="A27" s="4" t="s">
        <v>46</v>
      </c>
    </row>
    <row r="28" spans="1:3" ht="15" customHeight="1" x14ac:dyDescent="0.3">
      <c r="A28" s="5" t="s">
        <v>47</v>
      </c>
    </row>
    <row r="29" spans="1:3" ht="15" customHeight="1" x14ac:dyDescent="0.3">
      <c r="A29" s="5" t="s">
        <v>48</v>
      </c>
    </row>
    <row r="30" spans="1:3" ht="15" customHeight="1" x14ac:dyDescent="0.3">
      <c r="A30" s="5" t="s">
        <v>49</v>
      </c>
    </row>
    <row r="31" spans="1:3" ht="15" customHeight="1" x14ac:dyDescent="0.3">
      <c r="A31" s="5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zoomScaleNormal="100" workbookViewId="0">
      <pane ySplit="6" topLeftCell="A7" activePane="bottomLeft" state="frozen"/>
      <selection activeCell="F9" sqref="F9"/>
      <selection pane="bottomLeft" activeCell="A7" sqref="A7"/>
    </sheetView>
  </sheetViews>
  <sheetFormatPr defaultColWidth="8.6640625" defaultRowHeight="14.4" x14ac:dyDescent="0.3"/>
  <cols>
    <col min="1" max="1" width="12.44140625" bestFit="1" customWidth="1"/>
    <col min="2" max="2" width="10.88671875" bestFit="1" customWidth="1"/>
    <col min="3" max="3" width="17.77734375" bestFit="1" customWidth="1"/>
    <col min="4" max="4" width="19.5546875" bestFit="1" customWidth="1"/>
    <col min="5" max="5" width="14.44140625" bestFit="1" customWidth="1"/>
    <col min="6" max="6" width="10.77734375" customWidth="1"/>
  </cols>
  <sheetData>
    <row r="1" spans="1:6" ht="19.5" customHeight="1" x14ac:dyDescent="0.4">
      <c r="A1" s="13" t="s">
        <v>51</v>
      </c>
    </row>
    <row r="2" spans="1:6" ht="15" customHeight="1" x14ac:dyDescent="0.3">
      <c r="A2" s="1" t="s">
        <v>52</v>
      </c>
    </row>
    <row r="3" spans="1:6" ht="15" customHeight="1" x14ac:dyDescent="0.3">
      <c r="A3" s="1" t="s">
        <v>53</v>
      </c>
    </row>
    <row r="4" spans="1:6" ht="15" customHeight="1" x14ac:dyDescent="0.3">
      <c r="A4" s="268" t="s">
        <v>3775</v>
      </c>
    </row>
    <row r="6" spans="1:6" ht="15" customHeight="1" x14ac:dyDescent="0.3">
      <c r="A6" s="6" t="s">
        <v>54</v>
      </c>
      <c r="B6" s="6" t="s">
        <v>55</v>
      </c>
      <c r="C6" s="6" t="s">
        <v>56</v>
      </c>
      <c r="D6" s="6" t="s">
        <v>57</v>
      </c>
      <c r="E6" s="6" t="s">
        <v>58</v>
      </c>
      <c r="F6" s="6" t="s">
        <v>9</v>
      </c>
    </row>
    <row r="7" spans="1:6" ht="15" customHeight="1" x14ac:dyDescent="0.3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  <c r="F7" s="8" t="s">
        <v>64</v>
      </c>
    </row>
    <row r="8" spans="1:6" ht="15" customHeight="1" x14ac:dyDescent="0.3">
      <c r="A8" s="9" t="s">
        <v>65</v>
      </c>
      <c r="B8" s="9" t="s">
        <v>66</v>
      </c>
      <c r="C8" s="9" t="s">
        <v>67</v>
      </c>
      <c r="D8" s="9" t="s">
        <v>68</v>
      </c>
      <c r="E8" s="9" t="s">
        <v>69</v>
      </c>
      <c r="F8" s="10" t="s">
        <v>64</v>
      </c>
    </row>
    <row r="9" spans="1:6" ht="15" customHeight="1" x14ac:dyDescent="0.3">
      <c r="A9" s="7" t="s">
        <v>70</v>
      </c>
      <c r="B9" s="7" t="s">
        <v>71</v>
      </c>
      <c r="C9" s="7" t="s">
        <v>72</v>
      </c>
      <c r="D9" s="7" t="s">
        <v>73</v>
      </c>
      <c r="E9" s="7" t="s">
        <v>74</v>
      </c>
      <c r="F9" s="8" t="s">
        <v>64</v>
      </c>
    </row>
    <row r="10" spans="1:6" ht="15" customHeight="1" x14ac:dyDescent="0.3">
      <c r="A10" s="9" t="s">
        <v>75</v>
      </c>
      <c r="B10" s="9" t="s">
        <v>76</v>
      </c>
      <c r="C10" s="9" t="s">
        <v>77</v>
      </c>
      <c r="D10" s="9" t="s">
        <v>78</v>
      </c>
      <c r="E10" s="9" t="s">
        <v>79</v>
      </c>
      <c r="F10" s="10" t="s">
        <v>64</v>
      </c>
    </row>
    <row r="11" spans="1:6" ht="15" customHeight="1" x14ac:dyDescent="0.3">
      <c r="A11" s="7" t="s">
        <v>80</v>
      </c>
      <c r="B11" s="7" t="s">
        <v>81</v>
      </c>
      <c r="C11" s="7" t="s">
        <v>82</v>
      </c>
      <c r="D11" s="7" t="s">
        <v>83</v>
      </c>
      <c r="E11" s="7" t="s">
        <v>84</v>
      </c>
      <c r="F11" s="8" t="s">
        <v>64</v>
      </c>
    </row>
    <row r="12" spans="1:6" ht="15" customHeight="1" x14ac:dyDescent="0.3">
      <c r="A12" s="9" t="s">
        <v>85</v>
      </c>
      <c r="B12" s="9" t="s">
        <v>86</v>
      </c>
      <c r="C12" s="9" t="s">
        <v>87</v>
      </c>
      <c r="D12" s="9" t="s">
        <v>88</v>
      </c>
      <c r="E12" s="9" t="s">
        <v>89</v>
      </c>
      <c r="F12" s="10" t="s">
        <v>64</v>
      </c>
    </row>
    <row r="13" spans="1:6" ht="15" customHeight="1" x14ac:dyDescent="0.3">
      <c r="A13" s="7" t="s">
        <v>90</v>
      </c>
      <c r="B13" s="7" t="s">
        <v>91</v>
      </c>
      <c r="C13" s="7" t="s">
        <v>92</v>
      </c>
      <c r="D13" s="7" t="s">
        <v>93</v>
      </c>
      <c r="E13" s="7" t="s">
        <v>94</v>
      </c>
      <c r="F13" s="8" t="s">
        <v>64</v>
      </c>
    </row>
    <row r="14" spans="1:6" ht="15" customHeight="1" x14ac:dyDescent="0.3">
      <c r="A14" s="9" t="s">
        <v>95</v>
      </c>
      <c r="B14" s="9" t="s">
        <v>96</v>
      </c>
      <c r="C14" s="9" t="s">
        <v>97</v>
      </c>
      <c r="D14" s="9" t="s">
        <v>98</v>
      </c>
      <c r="E14" s="9" t="s">
        <v>99</v>
      </c>
      <c r="F14" s="10" t="s">
        <v>64</v>
      </c>
    </row>
    <row r="15" spans="1:6" ht="15" customHeight="1" x14ac:dyDescent="0.3">
      <c r="A15" s="7" t="s">
        <v>100</v>
      </c>
      <c r="B15" s="7" t="s">
        <v>101</v>
      </c>
      <c r="C15" s="7" t="s">
        <v>102</v>
      </c>
      <c r="D15" s="7" t="s">
        <v>103</v>
      </c>
      <c r="E15" s="7" t="s">
        <v>104</v>
      </c>
      <c r="F15" s="8" t="s">
        <v>64</v>
      </c>
    </row>
    <row r="16" spans="1:6" ht="15" customHeight="1" x14ac:dyDescent="0.3">
      <c r="A16" s="9" t="s">
        <v>105</v>
      </c>
      <c r="B16" s="9" t="s">
        <v>106</v>
      </c>
      <c r="C16" s="9" t="s">
        <v>107</v>
      </c>
      <c r="D16" s="9" t="s">
        <v>108</v>
      </c>
      <c r="E16" s="9" t="s">
        <v>109</v>
      </c>
      <c r="F16" s="10" t="s">
        <v>64</v>
      </c>
    </row>
    <row r="17" spans="1:6" ht="15" customHeight="1" x14ac:dyDescent="0.3">
      <c r="A17" s="7" t="s">
        <v>110</v>
      </c>
      <c r="B17" s="7" t="s">
        <v>111</v>
      </c>
      <c r="C17" s="7" t="s">
        <v>112</v>
      </c>
      <c r="D17" s="7" t="s">
        <v>113</v>
      </c>
      <c r="E17" s="7" t="s">
        <v>114</v>
      </c>
      <c r="F17" s="8" t="s">
        <v>64</v>
      </c>
    </row>
    <row r="18" spans="1:6" ht="15" customHeight="1" x14ac:dyDescent="0.3">
      <c r="A18" s="9" t="s">
        <v>115</v>
      </c>
      <c r="B18" s="9" t="s">
        <v>116</v>
      </c>
      <c r="C18" s="9" t="s">
        <v>117</v>
      </c>
      <c r="D18" s="9" t="s">
        <v>118</v>
      </c>
      <c r="E18" s="9" t="s">
        <v>119</v>
      </c>
      <c r="F18" s="10" t="s">
        <v>64</v>
      </c>
    </row>
    <row r="19" spans="1:6" ht="15" customHeight="1" x14ac:dyDescent="0.3">
      <c r="A19" s="7" t="s">
        <v>120</v>
      </c>
      <c r="B19" s="7" t="s">
        <v>121</v>
      </c>
      <c r="C19" s="7" t="s">
        <v>122</v>
      </c>
      <c r="D19" s="7" t="s">
        <v>123</v>
      </c>
      <c r="E19" s="7" t="s">
        <v>124</v>
      </c>
      <c r="F19" s="8" t="s">
        <v>64</v>
      </c>
    </row>
    <row r="20" spans="1:6" ht="15" customHeight="1" x14ac:dyDescent="0.3">
      <c r="A20" s="9" t="s">
        <v>125</v>
      </c>
      <c r="B20" s="9" t="s">
        <v>126</v>
      </c>
      <c r="C20" s="9" t="s">
        <v>127</v>
      </c>
      <c r="D20" s="9" t="s">
        <v>128</v>
      </c>
      <c r="E20" s="9" t="s">
        <v>129</v>
      </c>
      <c r="F20" s="10" t="s">
        <v>64</v>
      </c>
    </row>
    <row r="21" spans="1:6" ht="15" customHeight="1" x14ac:dyDescent="0.3">
      <c r="A21" s="7" t="s">
        <v>130</v>
      </c>
      <c r="B21" s="7" t="s">
        <v>131</v>
      </c>
      <c r="C21" s="7" t="s">
        <v>132</v>
      </c>
      <c r="D21" s="7" t="s">
        <v>133</v>
      </c>
      <c r="E21" s="7" t="s">
        <v>134</v>
      </c>
      <c r="F21" s="8" t="s">
        <v>64</v>
      </c>
    </row>
    <row r="22" spans="1:6" ht="15" customHeight="1" x14ac:dyDescent="0.3">
      <c r="A22" s="9" t="s">
        <v>135</v>
      </c>
      <c r="B22" s="9" t="s">
        <v>136</v>
      </c>
      <c r="C22" s="9" t="s">
        <v>137</v>
      </c>
      <c r="D22" s="9" t="s">
        <v>138</v>
      </c>
      <c r="E22" s="9" t="s">
        <v>139</v>
      </c>
      <c r="F22" s="10" t="s">
        <v>64</v>
      </c>
    </row>
    <row r="23" spans="1:6" ht="15" customHeight="1" x14ac:dyDescent="0.3">
      <c r="A23" s="7" t="s">
        <v>140</v>
      </c>
      <c r="B23" s="7" t="s">
        <v>141</v>
      </c>
      <c r="C23" s="7" t="s">
        <v>142</v>
      </c>
      <c r="D23" s="7" t="s">
        <v>143</v>
      </c>
      <c r="E23" s="7" t="s">
        <v>144</v>
      </c>
      <c r="F23" s="8" t="s">
        <v>64</v>
      </c>
    </row>
    <row r="24" spans="1:6" ht="15" customHeight="1" x14ac:dyDescent="0.3">
      <c r="A24" s="9" t="s">
        <v>145</v>
      </c>
      <c r="B24" s="9" t="s">
        <v>146</v>
      </c>
      <c r="C24" s="9" t="s">
        <v>147</v>
      </c>
      <c r="D24" s="9" t="s">
        <v>148</v>
      </c>
      <c r="E24" s="9" t="s">
        <v>149</v>
      </c>
      <c r="F24" s="10" t="s">
        <v>64</v>
      </c>
    </row>
    <row r="26" spans="1:6" ht="15" customHeight="1" x14ac:dyDescent="0.3">
      <c r="A26" s="14" t="s">
        <v>150</v>
      </c>
      <c r="B26" s="15">
        <f>COUNTIF(F7:F24,"Active")</f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2" width="9" customWidth="1"/>
    <col min="3" max="3" width="35.88671875" bestFit="1" customWidth="1"/>
    <col min="4" max="4" width="30.6640625" bestFit="1" customWidth="1"/>
    <col min="5" max="5" width="22" customWidth="1"/>
    <col min="6" max="6" width="9" customWidth="1"/>
    <col min="7" max="9" width="10" customWidth="1"/>
    <col min="10" max="10" width="14" customWidth="1"/>
  </cols>
  <sheetData>
    <row r="1" spans="1:2" ht="19.5" customHeight="1" x14ac:dyDescent="0.4">
      <c r="A1" s="13" t="s">
        <v>151</v>
      </c>
    </row>
    <row r="2" spans="1:2" ht="15" customHeight="1" x14ac:dyDescent="0.3">
      <c r="A2" s="1" t="s">
        <v>152</v>
      </c>
    </row>
    <row r="4" spans="1:2" ht="15" customHeight="1" x14ac:dyDescent="0.3">
      <c r="A4" s="15" t="s">
        <v>153</v>
      </c>
    </row>
    <row r="5" spans="1:2" ht="15" customHeight="1" x14ac:dyDescent="0.3">
      <c r="A5" s="269" t="s">
        <v>3776</v>
      </c>
      <c r="B5" s="1"/>
    </row>
    <row r="6" spans="1:2" ht="15" customHeight="1" x14ac:dyDescent="0.3">
      <c r="A6" s="269" t="s">
        <v>3777</v>
      </c>
      <c r="B6" s="1"/>
    </row>
    <row r="7" spans="1:2" ht="15" customHeight="1" x14ac:dyDescent="0.3">
      <c r="A7" s="269" t="s">
        <v>3778</v>
      </c>
      <c r="B7" s="1"/>
    </row>
    <row r="8" spans="1:2" ht="15" customHeight="1" x14ac:dyDescent="0.3">
      <c r="A8" s="269" t="s">
        <v>3779</v>
      </c>
      <c r="B8" s="1"/>
    </row>
    <row r="9" spans="1:2" ht="15" customHeight="1" x14ac:dyDescent="0.3">
      <c r="A9" s="269" t="s">
        <v>3780</v>
      </c>
      <c r="B9" s="1"/>
    </row>
    <row r="11" spans="1:2" ht="15" customHeight="1" x14ac:dyDescent="0.3">
      <c r="A11" s="15" t="s">
        <v>154</v>
      </c>
    </row>
    <row r="12" spans="1:2" ht="15" customHeight="1" x14ac:dyDescent="0.3">
      <c r="A12" s="1" t="s">
        <v>155</v>
      </c>
    </row>
    <row r="13" spans="1:2" ht="15" customHeight="1" x14ac:dyDescent="0.3">
      <c r="A13" s="1" t="s">
        <v>156</v>
      </c>
    </row>
    <row r="14" spans="1:2" ht="15" customHeight="1" x14ac:dyDescent="0.3">
      <c r="A14" s="1" t="s">
        <v>157</v>
      </c>
    </row>
    <row r="15" spans="1:2" ht="15" customHeight="1" x14ac:dyDescent="0.3">
      <c r="A15" s="1" t="s">
        <v>158</v>
      </c>
    </row>
    <row r="17" spans="1:10" ht="31.5" customHeight="1" x14ac:dyDescent="0.3">
      <c r="A17" s="16" t="s">
        <v>159</v>
      </c>
      <c r="B17" s="16" t="s">
        <v>160</v>
      </c>
      <c r="C17" s="16" t="s">
        <v>161</v>
      </c>
      <c r="D17" s="16" t="s">
        <v>162</v>
      </c>
      <c r="E17" s="16" t="s">
        <v>163</v>
      </c>
      <c r="F17" s="16" t="s">
        <v>164</v>
      </c>
      <c r="G17" s="16" t="s">
        <v>165</v>
      </c>
      <c r="H17" s="16" t="s">
        <v>166</v>
      </c>
      <c r="I17" s="16" t="s">
        <v>167</v>
      </c>
      <c r="J17" s="16" t="s">
        <v>168</v>
      </c>
    </row>
    <row r="18" spans="1:10" ht="15" customHeight="1" x14ac:dyDescent="0.3">
      <c r="A18" s="7" t="s">
        <v>169</v>
      </c>
      <c r="B18" s="17" t="s">
        <v>170</v>
      </c>
      <c r="C18" s="7" t="s">
        <v>171</v>
      </c>
      <c r="D18" s="7" t="s">
        <v>172</v>
      </c>
      <c r="E18" s="7" t="s">
        <v>173</v>
      </c>
      <c r="F18" s="17" t="s">
        <v>174</v>
      </c>
      <c r="G18" s="17" t="s">
        <v>175</v>
      </c>
      <c r="H18" s="17">
        <v>24</v>
      </c>
      <c r="I18" s="8" t="s">
        <v>176</v>
      </c>
      <c r="J18" s="18" t="str">
        <f t="shared" ref="J18:J57" si="0">IF(F18=G18,"No","Yes")</f>
        <v>Yes</v>
      </c>
    </row>
    <row r="19" spans="1:10" ht="15" customHeight="1" x14ac:dyDescent="0.3">
      <c r="A19" s="9" t="s">
        <v>177</v>
      </c>
      <c r="B19" s="19" t="s">
        <v>178</v>
      </c>
      <c r="C19" s="9" t="s">
        <v>171</v>
      </c>
      <c r="D19" s="9" t="s">
        <v>172</v>
      </c>
      <c r="E19" s="9" t="s">
        <v>179</v>
      </c>
      <c r="F19" s="19" t="s">
        <v>174</v>
      </c>
      <c r="G19" s="19" t="s">
        <v>175</v>
      </c>
      <c r="H19" s="19">
        <v>24</v>
      </c>
      <c r="I19" s="10" t="s">
        <v>176</v>
      </c>
      <c r="J19" s="20" t="str">
        <f t="shared" si="0"/>
        <v>Yes</v>
      </c>
    </row>
    <row r="20" spans="1:10" ht="15" customHeight="1" x14ac:dyDescent="0.3">
      <c r="A20" s="7" t="s">
        <v>180</v>
      </c>
      <c r="B20" s="17" t="s">
        <v>181</v>
      </c>
      <c r="C20" s="7" t="s">
        <v>171</v>
      </c>
      <c r="D20" s="7" t="s">
        <v>172</v>
      </c>
      <c r="E20" s="7" t="s">
        <v>179</v>
      </c>
      <c r="F20" s="17" t="s">
        <v>174</v>
      </c>
      <c r="G20" s="17" t="s">
        <v>175</v>
      </c>
      <c r="H20" s="17">
        <v>24</v>
      </c>
      <c r="I20" s="8" t="s">
        <v>176</v>
      </c>
      <c r="J20" s="18" t="str">
        <f t="shared" si="0"/>
        <v>Yes</v>
      </c>
    </row>
    <row r="21" spans="1:10" ht="15" customHeight="1" x14ac:dyDescent="0.3">
      <c r="A21" s="9" t="s">
        <v>182</v>
      </c>
      <c r="B21" s="19" t="s">
        <v>183</v>
      </c>
      <c r="C21" s="9" t="s">
        <v>171</v>
      </c>
      <c r="D21" s="9" t="s">
        <v>172</v>
      </c>
      <c r="E21" s="9" t="s">
        <v>179</v>
      </c>
      <c r="F21" s="19" t="s">
        <v>174</v>
      </c>
      <c r="G21" s="19" t="s">
        <v>175</v>
      </c>
      <c r="H21" s="19">
        <v>24</v>
      </c>
      <c r="I21" s="10" t="s">
        <v>176</v>
      </c>
      <c r="J21" s="20" t="str">
        <f t="shared" si="0"/>
        <v>Yes</v>
      </c>
    </row>
    <row r="22" spans="1:10" ht="15" customHeight="1" x14ac:dyDescent="0.3">
      <c r="A22" s="7" t="s">
        <v>184</v>
      </c>
      <c r="B22" s="17" t="s">
        <v>185</v>
      </c>
      <c r="C22" s="7" t="s">
        <v>171</v>
      </c>
      <c r="D22" s="7" t="s">
        <v>172</v>
      </c>
      <c r="E22" s="7" t="s">
        <v>179</v>
      </c>
      <c r="F22" s="17" t="s">
        <v>174</v>
      </c>
      <c r="G22" s="17" t="s">
        <v>175</v>
      </c>
      <c r="H22" s="17">
        <v>24</v>
      </c>
      <c r="I22" s="8" t="s">
        <v>176</v>
      </c>
      <c r="J22" s="18" t="str">
        <f t="shared" si="0"/>
        <v>Yes</v>
      </c>
    </row>
    <row r="23" spans="1:10" ht="15" customHeight="1" x14ac:dyDescent="0.3">
      <c r="A23" s="9" t="s">
        <v>186</v>
      </c>
      <c r="B23" s="19" t="s">
        <v>187</v>
      </c>
      <c r="C23" s="9" t="s">
        <v>171</v>
      </c>
      <c r="D23" s="9" t="s">
        <v>172</v>
      </c>
      <c r="E23" s="9" t="s">
        <v>188</v>
      </c>
      <c r="F23" s="19" t="s">
        <v>174</v>
      </c>
      <c r="G23" s="19" t="s">
        <v>175</v>
      </c>
      <c r="H23" s="19">
        <v>24</v>
      </c>
      <c r="I23" s="10" t="s">
        <v>176</v>
      </c>
      <c r="J23" s="20" t="str">
        <f t="shared" si="0"/>
        <v>Yes</v>
      </c>
    </row>
    <row r="24" spans="1:10" ht="15" customHeight="1" x14ac:dyDescent="0.3">
      <c r="A24" s="7" t="s">
        <v>189</v>
      </c>
      <c r="B24" s="17" t="s">
        <v>190</v>
      </c>
      <c r="C24" s="7" t="s">
        <v>171</v>
      </c>
      <c r="D24" s="7" t="s">
        <v>172</v>
      </c>
      <c r="E24" s="7" t="s">
        <v>191</v>
      </c>
      <c r="F24" s="17" t="s">
        <v>174</v>
      </c>
      <c r="G24" s="17" t="s">
        <v>175</v>
      </c>
      <c r="H24" s="17">
        <v>24</v>
      </c>
      <c r="I24" s="8" t="s">
        <v>176</v>
      </c>
      <c r="J24" s="18" t="str">
        <f t="shared" si="0"/>
        <v>Yes</v>
      </c>
    </row>
    <row r="25" spans="1:10" ht="15" customHeight="1" x14ac:dyDescent="0.3">
      <c r="A25" s="9" t="s">
        <v>192</v>
      </c>
      <c r="B25" s="19" t="s">
        <v>193</v>
      </c>
      <c r="C25" s="9" t="s">
        <v>171</v>
      </c>
      <c r="D25" s="9" t="s">
        <v>172</v>
      </c>
      <c r="E25" s="9" t="s">
        <v>194</v>
      </c>
      <c r="F25" s="19" t="s">
        <v>174</v>
      </c>
      <c r="G25" s="19" t="s">
        <v>175</v>
      </c>
      <c r="H25" s="19">
        <v>24</v>
      </c>
      <c r="I25" s="10" t="s">
        <v>176</v>
      </c>
      <c r="J25" s="20" t="str">
        <f t="shared" si="0"/>
        <v>Yes</v>
      </c>
    </row>
    <row r="26" spans="1:10" ht="15" customHeight="1" x14ac:dyDescent="0.3">
      <c r="A26" s="7" t="s">
        <v>195</v>
      </c>
      <c r="B26" s="17" t="s">
        <v>196</v>
      </c>
      <c r="C26" s="7" t="s">
        <v>171</v>
      </c>
      <c r="D26" s="7" t="s">
        <v>172</v>
      </c>
      <c r="E26" s="7" t="s">
        <v>197</v>
      </c>
      <c r="F26" s="17" t="s">
        <v>174</v>
      </c>
      <c r="G26" s="17" t="s">
        <v>175</v>
      </c>
      <c r="H26" s="17">
        <v>24</v>
      </c>
      <c r="I26" s="8" t="s">
        <v>176</v>
      </c>
      <c r="J26" s="18" t="str">
        <f t="shared" si="0"/>
        <v>Yes</v>
      </c>
    </row>
    <row r="27" spans="1:10" ht="15" customHeight="1" x14ac:dyDescent="0.3">
      <c r="A27" s="9" t="s">
        <v>198</v>
      </c>
      <c r="B27" s="19" t="s">
        <v>199</v>
      </c>
      <c r="C27" s="9" t="s">
        <v>171</v>
      </c>
      <c r="D27" s="9" t="s">
        <v>172</v>
      </c>
      <c r="E27" s="9" t="s">
        <v>197</v>
      </c>
      <c r="F27" s="19" t="s">
        <v>174</v>
      </c>
      <c r="G27" s="19" t="s">
        <v>175</v>
      </c>
      <c r="H27" s="19">
        <v>24</v>
      </c>
      <c r="I27" s="10" t="s">
        <v>176</v>
      </c>
      <c r="J27" s="20" t="str">
        <f t="shared" si="0"/>
        <v>Yes</v>
      </c>
    </row>
    <row r="28" spans="1:10" ht="15" customHeight="1" x14ac:dyDescent="0.3">
      <c r="A28" s="7" t="s">
        <v>200</v>
      </c>
      <c r="B28" s="17" t="s">
        <v>201</v>
      </c>
      <c r="C28" s="7" t="s">
        <v>171</v>
      </c>
      <c r="D28" s="7" t="s">
        <v>172</v>
      </c>
      <c r="E28" s="7" t="s">
        <v>197</v>
      </c>
      <c r="F28" s="17" t="s">
        <v>174</v>
      </c>
      <c r="G28" s="17" t="s">
        <v>175</v>
      </c>
      <c r="H28" s="17">
        <v>24</v>
      </c>
      <c r="I28" s="8" t="s">
        <v>176</v>
      </c>
      <c r="J28" s="18" t="str">
        <f t="shared" si="0"/>
        <v>Yes</v>
      </c>
    </row>
    <row r="29" spans="1:10" ht="15" customHeight="1" x14ac:dyDescent="0.3">
      <c r="A29" s="9" t="s">
        <v>202</v>
      </c>
      <c r="B29" s="19" t="s">
        <v>203</v>
      </c>
      <c r="C29" s="9" t="s">
        <v>171</v>
      </c>
      <c r="D29" s="9" t="s">
        <v>172</v>
      </c>
      <c r="E29" s="9" t="s">
        <v>197</v>
      </c>
      <c r="F29" s="19" t="s">
        <v>174</v>
      </c>
      <c r="G29" s="19" t="s">
        <v>175</v>
      </c>
      <c r="H29" s="19">
        <v>24</v>
      </c>
      <c r="I29" s="10" t="s">
        <v>176</v>
      </c>
      <c r="J29" s="20" t="str">
        <f t="shared" si="0"/>
        <v>Yes</v>
      </c>
    </row>
    <row r="30" spans="1:10" ht="15" customHeight="1" x14ac:dyDescent="0.3">
      <c r="A30" s="7" t="s">
        <v>204</v>
      </c>
      <c r="B30" s="17" t="s">
        <v>205</v>
      </c>
      <c r="C30" s="7" t="s">
        <v>171</v>
      </c>
      <c r="D30" s="7" t="s">
        <v>172</v>
      </c>
      <c r="E30" s="7" t="s">
        <v>173</v>
      </c>
      <c r="F30" s="17" t="s">
        <v>174</v>
      </c>
      <c r="G30" s="17" t="s">
        <v>175</v>
      </c>
      <c r="H30" s="17">
        <v>24</v>
      </c>
      <c r="I30" s="8" t="s">
        <v>176</v>
      </c>
      <c r="J30" s="18" t="str">
        <f t="shared" si="0"/>
        <v>Yes</v>
      </c>
    </row>
    <row r="31" spans="1:10" ht="15" customHeight="1" x14ac:dyDescent="0.3">
      <c r="A31" s="9" t="s">
        <v>206</v>
      </c>
      <c r="B31" s="19" t="s">
        <v>207</v>
      </c>
      <c r="C31" s="9" t="s">
        <v>171</v>
      </c>
      <c r="D31" s="9" t="s">
        <v>172</v>
      </c>
      <c r="E31" s="9" t="s">
        <v>179</v>
      </c>
      <c r="F31" s="19" t="s">
        <v>174</v>
      </c>
      <c r="G31" s="19" t="s">
        <v>175</v>
      </c>
      <c r="H31" s="19">
        <v>24</v>
      </c>
      <c r="I31" s="10" t="s">
        <v>176</v>
      </c>
      <c r="J31" s="20" t="str">
        <f t="shared" si="0"/>
        <v>Yes</v>
      </c>
    </row>
    <row r="32" spans="1:10" ht="15" customHeight="1" x14ac:dyDescent="0.3">
      <c r="A32" s="7" t="s">
        <v>208</v>
      </c>
      <c r="B32" s="17" t="s">
        <v>209</v>
      </c>
      <c r="C32" s="7" t="s">
        <v>171</v>
      </c>
      <c r="D32" s="7" t="s">
        <v>172</v>
      </c>
      <c r="E32" s="7" t="s">
        <v>194</v>
      </c>
      <c r="F32" s="17" t="s">
        <v>174</v>
      </c>
      <c r="G32" s="17" t="s">
        <v>175</v>
      </c>
      <c r="H32" s="17">
        <v>24</v>
      </c>
      <c r="I32" s="8" t="s">
        <v>176</v>
      </c>
      <c r="J32" s="18" t="str">
        <f t="shared" si="0"/>
        <v>Yes</v>
      </c>
    </row>
    <row r="33" spans="1:10" ht="15" customHeight="1" x14ac:dyDescent="0.3">
      <c r="A33" s="9" t="s">
        <v>210</v>
      </c>
      <c r="B33" s="19" t="s">
        <v>211</v>
      </c>
      <c r="C33" s="9" t="s">
        <v>212</v>
      </c>
      <c r="D33" s="9" t="s">
        <v>213</v>
      </c>
      <c r="E33" s="9" t="s">
        <v>214</v>
      </c>
      <c r="F33" s="19" t="s">
        <v>215</v>
      </c>
      <c r="G33" s="19" t="s">
        <v>215</v>
      </c>
      <c r="H33" s="19">
        <v>1</v>
      </c>
      <c r="I33" s="10" t="s">
        <v>176</v>
      </c>
      <c r="J33" s="20" t="str">
        <f t="shared" si="0"/>
        <v>No</v>
      </c>
    </row>
    <row r="34" spans="1:10" ht="15" customHeight="1" x14ac:dyDescent="0.3">
      <c r="A34" s="7" t="s">
        <v>216</v>
      </c>
      <c r="B34" s="17" t="s">
        <v>217</v>
      </c>
      <c r="C34" s="7" t="s">
        <v>212</v>
      </c>
      <c r="D34" s="7" t="s">
        <v>213</v>
      </c>
      <c r="E34" s="7" t="s">
        <v>214</v>
      </c>
      <c r="F34" s="17" t="s">
        <v>215</v>
      </c>
      <c r="G34" s="17" t="s">
        <v>215</v>
      </c>
      <c r="H34" s="17">
        <v>1</v>
      </c>
      <c r="I34" s="8" t="s">
        <v>176</v>
      </c>
      <c r="J34" s="18" t="str">
        <f t="shared" si="0"/>
        <v>No</v>
      </c>
    </row>
    <row r="35" spans="1:10" ht="15" customHeight="1" x14ac:dyDescent="0.3">
      <c r="A35" s="9" t="s">
        <v>218</v>
      </c>
      <c r="B35" s="19" t="s">
        <v>219</v>
      </c>
      <c r="C35" s="9" t="s">
        <v>212</v>
      </c>
      <c r="D35" s="9" t="s">
        <v>220</v>
      </c>
      <c r="E35" s="9" t="s">
        <v>214</v>
      </c>
      <c r="F35" s="19" t="s">
        <v>215</v>
      </c>
      <c r="G35" s="19" t="s">
        <v>215</v>
      </c>
      <c r="H35" s="19">
        <v>1</v>
      </c>
      <c r="I35" s="10" t="s">
        <v>176</v>
      </c>
      <c r="J35" s="20" t="str">
        <f t="shared" si="0"/>
        <v>No</v>
      </c>
    </row>
    <row r="36" spans="1:10" ht="15" customHeight="1" x14ac:dyDescent="0.3">
      <c r="A36" s="7" t="s">
        <v>221</v>
      </c>
      <c r="B36" s="17" t="s">
        <v>222</v>
      </c>
      <c r="C36" s="7" t="s">
        <v>212</v>
      </c>
      <c r="D36" s="7" t="s">
        <v>220</v>
      </c>
      <c r="E36" s="7" t="s">
        <v>214</v>
      </c>
      <c r="F36" s="17" t="s">
        <v>223</v>
      </c>
      <c r="G36" s="17" t="s">
        <v>223</v>
      </c>
      <c r="H36" s="17">
        <v>1</v>
      </c>
      <c r="I36" s="8" t="s">
        <v>176</v>
      </c>
      <c r="J36" s="18" t="str">
        <f t="shared" si="0"/>
        <v>No</v>
      </c>
    </row>
    <row r="37" spans="1:10" ht="15" customHeight="1" x14ac:dyDescent="0.3">
      <c r="A37" s="9" t="s">
        <v>224</v>
      </c>
      <c r="B37" s="19" t="s">
        <v>225</v>
      </c>
      <c r="C37" s="9" t="s">
        <v>212</v>
      </c>
      <c r="D37" s="9" t="s">
        <v>220</v>
      </c>
      <c r="E37" s="9" t="s">
        <v>214</v>
      </c>
      <c r="F37" s="19" t="s">
        <v>223</v>
      </c>
      <c r="G37" s="19" t="s">
        <v>223</v>
      </c>
      <c r="H37" s="19">
        <v>1</v>
      </c>
      <c r="I37" s="10" t="s">
        <v>176</v>
      </c>
      <c r="J37" s="20" t="str">
        <f t="shared" si="0"/>
        <v>No</v>
      </c>
    </row>
    <row r="38" spans="1:10" ht="15" customHeight="1" x14ac:dyDescent="0.3">
      <c r="A38" s="7" t="s">
        <v>226</v>
      </c>
      <c r="B38" s="17" t="s">
        <v>227</v>
      </c>
      <c r="C38" s="7" t="s">
        <v>212</v>
      </c>
      <c r="D38" s="7" t="s">
        <v>213</v>
      </c>
      <c r="E38" s="7" t="s">
        <v>214</v>
      </c>
      <c r="F38" s="17" t="s">
        <v>223</v>
      </c>
      <c r="G38" s="17" t="s">
        <v>223</v>
      </c>
      <c r="H38" s="17">
        <v>1</v>
      </c>
      <c r="I38" s="8" t="s">
        <v>176</v>
      </c>
      <c r="J38" s="18" t="str">
        <f t="shared" si="0"/>
        <v>No</v>
      </c>
    </row>
    <row r="39" spans="1:10" ht="15" customHeight="1" x14ac:dyDescent="0.3">
      <c r="A39" s="9" t="s">
        <v>228</v>
      </c>
      <c r="B39" s="19" t="s">
        <v>229</v>
      </c>
      <c r="C39" s="9" t="s">
        <v>171</v>
      </c>
      <c r="D39" s="9" t="s">
        <v>230</v>
      </c>
      <c r="E39" s="9" t="s">
        <v>173</v>
      </c>
      <c r="F39" s="19" t="s">
        <v>215</v>
      </c>
      <c r="G39" s="19" t="s">
        <v>215</v>
      </c>
      <c r="H39" s="19">
        <v>1</v>
      </c>
      <c r="I39" s="10" t="s">
        <v>176</v>
      </c>
      <c r="J39" s="20" t="str">
        <f t="shared" si="0"/>
        <v>No</v>
      </c>
    </row>
    <row r="40" spans="1:10" ht="15" customHeight="1" x14ac:dyDescent="0.3">
      <c r="A40" s="7" t="s">
        <v>231</v>
      </c>
      <c r="B40" s="17" t="s">
        <v>232</v>
      </c>
      <c r="C40" s="7" t="s">
        <v>171</v>
      </c>
      <c r="D40" s="7" t="s">
        <v>230</v>
      </c>
      <c r="E40" s="7" t="s">
        <v>188</v>
      </c>
      <c r="F40" s="17" t="s">
        <v>215</v>
      </c>
      <c r="G40" s="17" t="s">
        <v>215</v>
      </c>
      <c r="H40" s="17">
        <v>1</v>
      </c>
      <c r="I40" s="8" t="s">
        <v>176</v>
      </c>
      <c r="J40" s="18" t="str">
        <f t="shared" si="0"/>
        <v>No</v>
      </c>
    </row>
    <row r="41" spans="1:10" ht="15" customHeight="1" x14ac:dyDescent="0.3">
      <c r="A41" s="9" t="s">
        <v>233</v>
      </c>
      <c r="B41" s="19" t="s">
        <v>234</v>
      </c>
      <c r="C41" s="9" t="s">
        <v>171</v>
      </c>
      <c r="D41" s="9" t="s">
        <v>230</v>
      </c>
      <c r="E41" s="9" t="s">
        <v>179</v>
      </c>
      <c r="F41" s="19" t="s">
        <v>215</v>
      </c>
      <c r="G41" s="19" t="s">
        <v>215</v>
      </c>
      <c r="H41" s="19">
        <v>1</v>
      </c>
      <c r="I41" s="10" t="s">
        <v>176</v>
      </c>
      <c r="J41" s="20" t="str">
        <f t="shared" si="0"/>
        <v>No</v>
      </c>
    </row>
    <row r="42" spans="1:10" ht="15" customHeight="1" x14ac:dyDescent="0.3">
      <c r="A42" s="7" t="s">
        <v>235</v>
      </c>
      <c r="B42" s="17" t="s">
        <v>236</v>
      </c>
      <c r="C42" s="7" t="s">
        <v>171</v>
      </c>
      <c r="D42" s="7" t="s">
        <v>230</v>
      </c>
      <c r="E42" s="7" t="s">
        <v>179</v>
      </c>
      <c r="F42" s="17" t="s">
        <v>215</v>
      </c>
      <c r="G42" s="17" t="s">
        <v>215</v>
      </c>
      <c r="H42" s="17">
        <v>1</v>
      </c>
      <c r="I42" s="8" t="s">
        <v>176</v>
      </c>
      <c r="J42" s="18" t="str">
        <f t="shared" si="0"/>
        <v>No</v>
      </c>
    </row>
    <row r="43" spans="1:10" ht="15" customHeight="1" x14ac:dyDescent="0.3">
      <c r="A43" s="9" t="s">
        <v>237</v>
      </c>
      <c r="B43" s="19" t="s">
        <v>238</v>
      </c>
      <c r="C43" s="9" t="s">
        <v>171</v>
      </c>
      <c r="D43" s="9" t="s">
        <v>230</v>
      </c>
      <c r="E43" s="9" t="s">
        <v>179</v>
      </c>
      <c r="F43" s="19" t="s">
        <v>215</v>
      </c>
      <c r="G43" s="19" t="s">
        <v>215</v>
      </c>
      <c r="H43" s="19">
        <v>1</v>
      </c>
      <c r="I43" s="10" t="s">
        <v>176</v>
      </c>
      <c r="J43" s="20" t="str">
        <f t="shared" si="0"/>
        <v>No</v>
      </c>
    </row>
    <row r="44" spans="1:10" ht="15" customHeight="1" x14ac:dyDescent="0.3">
      <c r="A44" s="7" t="s">
        <v>239</v>
      </c>
      <c r="B44" s="17" t="s">
        <v>240</v>
      </c>
      <c r="C44" s="7" t="s">
        <v>171</v>
      </c>
      <c r="D44" s="7" t="s">
        <v>230</v>
      </c>
      <c r="E44" s="7" t="s">
        <v>179</v>
      </c>
      <c r="F44" s="17" t="s">
        <v>215</v>
      </c>
      <c r="G44" s="17" t="s">
        <v>215</v>
      </c>
      <c r="H44" s="17">
        <v>1</v>
      </c>
      <c r="I44" s="8" t="s">
        <v>176</v>
      </c>
      <c r="J44" s="18" t="str">
        <f t="shared" si="0"/>
        <v>No</v>
      </c>
    </row>
    <row r="45" spans="1:10" ht="15" customHeight="1" x14ac:dyDescent="0.3">
      <c r="A45" s="9" t="s">
        <v>241</v>
      </c>
      <c r="B45" s="19" t="s">
        <v>242</v>
      </c>
      <c r="C45" s="9" t="s">
        <v>171</v>
      </c>
      <c r="D45" s="9" t="s">
        <v>230</v>
      </c>
      <c r="E45" s="9" t="s">
        <v>191</v>
      </c>
      <c r="F45" s="19" t="s">
        <v>215</v>
      </c>
      <c r="G45" s="19" t="s">
        <v>215</v>
      </c>
      <c r="H45" s="19">
        <v>1</v>
      </c>
      <c r="I45" s="10" t="s">
        <v>176</v>
      </c>
      <c r="J45" s="20" t="str">
        <f t="shared" si="0"/>
        <v>No</v>
      </c>
    </row>
    <row r="46" spans="1:10" ht="15" customHeight="1" x14ac:dyDescent="0.3">
      <c r="A46" s="7" t="s">
        <v>243</v>
      </c>
      <c r="B46" s="17" t="s">
        <v>244</v>
      </c>
      <c r="C46" s="7" t="s">
        <v>171</v>
      </c>
      <c r="D46" s="7" t="s">
        <v>230</v>
      </c>
      <c r="E46" s="7" t="s">
        <v>194</v>
      </c>
      <c r="F46" s="17" t="s">
        <v>215</v>
      </c>
      <c r="G46" s="17" t="s">
        <v>215</v>
      </c>
      <c r="H46" s="17">
        <v>1</v>
      </c>
      <c r="I46" s="8" t="s">
        <v>176</v>
      </c>
      <c r="J46" s="18" t="str">
        <f t="shared" si="0"/>
        <v>No</v>
      </c>
    </row>
    <row r="47" spans="1:10" ht="15" customHeight="1" x14ac:dyDescent="0.3">
      <c r="A47" s="9" t="s">
        <v>245</v>
      </c>
      <c r="B47" s="19" t="s">
        <v>246</v>
      </c>
      <c r="C47" s="9" t="s">
        <v>171</v>
      </c>
      <c r="D47" s="9" t="s">
        <v>230</v>
      </c>
      <c r="E47" s="9" t="s">
        <v>173</v>
      </c>
      <c r="F47" s="19" t="s">
        <v>215</v>
      </c>
      <c r="G47" s="19" t="s">
        <v>215</v>
      </c>
      <c r="H47" s="19">
        <v>1</v>
      </c>
      <c r="I47" s="10" t="s">
        <v>176</v>
      </c>
      <c r="J47" s="20" t="str">
        <f t="shared" si="0"/>
        <v>No</v>
      </c>
    </row>
    <row r="48" spans="1:10" ht="15" customHeight="1" x14ac:dyDescent="0.3">
      <c r="A48" s="7" t="s">
        <v>247</v>
      </c>
      <c r="B48" s="17" t="s">
        <v>248</v>
      </c>
      <c r="C48" s="7" t="s">
        <v>171</v>
      </c>
      <c r="D48" s="7" t="s">
        <v>230</v>
      </c>
      <c r="E48" s="7" t="s">
        <v>173</v>
      </c>
      <c r="F48" s="17" t="s">
        <v>215</v>
      </c>
      <c r="G48" s="17" t="s">
        <v>215</v>
      </c>
      <c r="H48" s="17">
        <v>1</v>
      </c>
      <c r="I48" s="8" t="s">
        <v>176</v>
      </c>
      <c r="J48" s="18" t="str">
        <f t="shared" si="0"/>
        <v>No</v>
      </c>
    </row>
    <row r="49" spans="1:10" ht="15" customHeight="1" x14ac:dyDescent="0.3">
      <c r="A49" s="9" t="s">
        <v>249</v>
      </c>
      <c r="B49" s="19" t="s">
        <v>250</v>
      </c>
      <c r="C49" s="9" t="s">
        <v>171</v>
      </c>
      <c r="D49" s="9" t="s">
        <v>230</v>
      </c>
      <c r="E49" s="9" t="s">
        <v>173</v>
      </c>
      <c r="F49" s="19" t="s">
        <v>215</v>
      </c>
      <c r="G49" s="19" t="s">
        <v>215</v>
      </c>
      <c r="H49" s="19">
        <v>1</v>
      </c>
      <c r="I49" s="10" t="s">
        <v>176</v>
      </c>
      <c r="J49" s="20" t="str">
        <f t="shared" si="0"/>
        <v>No</v>
      </c>
    </row>
    <row r="50" spans="1:10" ht="15" customHeight="1" x14ac:dyDescent="0.3">
      <c r="A50" s="7" t="s">
        <v>251</v>
      </c>
      <c r="B50" s="17" t="s">
        <v>252</v>
      </c>
      <c r="C50" s="7" t="s">
        <v>171</v>
      </c>
      <c r="D50" s="7" t="s">
        <v>230</v>
      </c>
      <c r="E50" s="7" t="s">
        <v>188</v>
      </c>
      <c r="F50" s="17" t="s">
        <v>215</v>
      </c>
      <c r="G50" s="17" t="s">
        <v>215</v>
      </c>
      <c r="H50" s="17">
        <v>1</v>
      </c>
      <c r="I50" s="8" t="s">
        <v>176</v>
      </c>
      <c r="J50" s="18" t="str">
        <f t="shared" si="0"/>
        <v>No</v>
      </c>
    </row>
    <row r="51" spans="1:10" ht="15" customHeight="1" x14ac:dyDescent="0.3">
      <c r="A51" s="9" t="s">
        <v>253</v>
      </c>
      <c r="B51" s="19" t="s">
        <v>254</v>
      </c>
      <c r="C51" s="9" t="s">
        <v>171</v>
      </c>
      <c r="D51" s="9" t="s">
        <v>230</v>
      </c>
      <c r="E51" s="9" t="s">
        <v>179</v>
      </c>
      <c r="F51" s="19" t="s">
        <v>215</v>
      </c>
      <c r="G51" s="19" t="s">
        <v>215</v>
      </c>
      <c r="H51" s="19">
        <v>1</v>
      </c>
      <c r="I51" s="10" t="s">
        <v>176</v>
      </c>
      <c r="J51" s="20" t="str">
        <f t="shared" si="0"/>
        <v>No</v>
      </c>
    </row>
    <row r="52" spans="1:10" ht="15" customHeight="1" x14ac:dyDescent="0.3">
      <c r="A52" s="7" t="s">
        <v>255</v>
      </c>
      <c r="B52" s="17" t="s">
        <v>256</v>
      </c>
      <c r="C52" s="7" t="s">
        <v>171</v>
      </c>
      <c r="D52" s="7" t="s">
        <v>230</v>
      </c>
      <c r="E52" s="7" t="s">
        <v>194</v>
      </c>
      <c r="F52" s="17" t="s">
        <v>215</v>
      </c>
      <c r="G52" s="17" t="s">
        <v>215</v>
      </c>
      <c r="H52" s="17">
        <v>1</v>
      </c>
      <c r="I52" s="8" t="s">
        <v>176</v>
      </c>
      <c r="J52" s="18" t="str">
        <f t="shared" si="0"/>
        <v>No</v>
      </c>
    </row>
    <row r="53" spans="1:10" ht="15" customHeight="1" x14ac:dyDescent="0.3">
      <c r="A53" s="9" t="s">
        <v>257</v>
      </c>
      <c r="B53" s="19" t="s">
        <v>258</v>
      </c>
      <c r="C53" s="9" t="s">
        <v>171</v>
      </c>
      <c r="D53" s="9" t="s">
        <v>230</v>
      </c>
      <c r="E53" s="9" t="s">
        <v>259</v>
      </c>
      <c r="F53" s="19" t="s">
        <v>215</v>
      </c>
      <c r="G53" s="19" t="s">
        <v>215</v>
      </c>
      <c r="H53" s="19">
        <v>1</v>
      </c>
      <c r="I53" s="10" t="s">
        <v>176</v>
      </c>
      <c r="J53" s="20" t="str">
        <f t="shared" si="0"/>
        <v>No</v>
      </c>
    </row>
    <row r="54" spans="1:10" ht="15" customHeight="1" x14ac:dyDescent="0.3">
      <c r="A54" s="7" t="s">
        <v>260</v>
      </c>
      <c r="B54" s="17" t="s">
        <v>261</v>
      </c>
      <c r="C54" s="7" t="s">
        <v>171</v>
      </c>
      <c r="D54" s="7" t="s">
        <v>230</v>
      </c>
      <c r="E54" s="7" t="s">
        <v>194</v>
      </c>
      <c r="F54" s="17" t="s">
        <v>215</v>
      </c>
      <c r="G54" s="17" t="s">
        <v>215</v>
      </c>
      <c r="H54" s="17">
        <v>1</v>
      </c>
      <c r="I54" s="8" t="s">
        <v>176</v>
      </c>
      <c r="J54" s="18" t="str">
        <f t="shared" si="0"/>
        <v>No</v>
      </c>
    </row>
    <row r="55" spans="1:10" ht="15" customHeight="1" x14ac:dyDescent="0.3">
      <c r="A55" s="9" t="s">
        <v>262</v>
      </c>
      <c r="B55" s="19" t="s">
        <v>263</v>
      </c>
      <c r="C55" s="9" t="s">
        <v>171</v>
      </c>
      <c r="D55" s="9" t="s">
        <v>230</v>
      </c>
      <c r="E55" s="9" t="s">
        <v>173</v>
      </c>
      <c r="F55" s="19" t="s">
        <v>215</v>
      </c>
      <c r="G55" s="19" t="s">
        <v>215</v>
      </c>
      <c r="H55" s="19">
        <v>1</v>
      </c>
      <c r="I55" s="10" t="s">
        <v>176</v>
      </c>
      <c r="J55" s="20" t="str">
        <f t="shared" si="0"/>
        <v>No</v>
      </c>
    </row>
    <row r="56" spans="1:10" ht="15" customHeight="1" x14ac:dyDescent="0.3">
      <c r="A56" s="7" t="s">
        <v>264</v>
      </c>
      <c r="B56" s="17" t="s">
        <v>265</v>
      </c>
      <c r="C56" s="7" t="s">
        <v>171</v>
      </c>
      <c r="D56" s="7" t="s">
        <v>230</v>
      </c>
      <c r="E56" s="7" t="s">
        <v>188</v>
      </c>
      <c r="F56" s="17" t="s">
        <v>215</v>
      </c>
      <c r="G56" s="17" t="s">
        <v>215</v>
      </c>
      <c r="H56" s="17">
        <v>1</v>
      </c>
      <c r="I56" s="8" t="s">
        <v>176</v>
      </c>
      <c r="J56" s="18" t="str">
        <f t="shared" si="0"/>
        <v>No</v>
      </c>
    </row>
    <row r="57" spans="1:10" ht="15" customHeight="1" x14ac:dyDescent="0.3">
      <c r="A57" s="9" t="s">
        <v>266</v>
      </c>
      <c r="B57" s="19" t="s">
        <v>267</v>
      </c>
      <c r="C57" s="9" t="s">
        <v>171</v>
      </c>
      <c r="D57" s="9" t="s">
        <v>230</v>
      </c>
      <c r="E57" s="9" t="s">
        <v>179</v>
      </c>
      <c r="F57" s="19" t="s">
        <v>215</v>
      </c>
      <c r="G57" s="19" t="s">
        <v>215</v>
      </c>
      <c r="H57" s="19">
        <v>1</v>
      </c>
      <c r="I57" s="10" t="s">
        <v>176</v>
      </c>
      <c r="J57" s="20" t="str">
        <f t="shared" si="0"/>
        <v>No</v>
      </c>
    </row>
    <row r="59" spans="1:10" ht="15" customHeight="1" x14ac:dyDescent="0.3">
      <c r="A59" s="14" t="s">
        <v>268</v>
      </c>
      <c r="B59" s="15">
        <f>COUNTIF(I18:I57,"Y")</f>
        <v>40</v>
      </c>
    </row>
    <row r="60" spans="1:10" ht="15" customHeight="1" x14ac:dyDescent="0.3">
      <c r="A60" s="14" t="s">
        <v>269</v>
      </c>
      <c r="B60" s="15">
        <f>COUNTIF(J18:J57,"Yes")</f>
        <v>15</v>
      </c>
    </row>
    <row r="61" spans="1:10" ht="15" customHeight="1" x14ac:dyDescent="0.3">
      <c r="A61" s="14" t="s">
        <v>270</v>
      </c>
      <c r="B61" s="15">
        <f>COUNTIF(J18:J57,"No")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showGridLines="0" zoomScaleNormal="100" workbookViewId="0"/>
  </sheetViews>
  <sheetFormatPr defaultColWidth="8.6640625" defaultRowHeight="14.4" x14ac:dyDescent="0.3"/>
  <cols>
    <col min="1" max="1" width="9" customWidth="1"/>
    <col min="2" max="2" width="38" customWidth="1"/>
    <col min="3" max="3" width="12" customWidth="1"/>
    <col min="4" max="4" width="10" customWidth="1"/>
    <col min="5" max="5" width="13" customWidth="1"/>
    <col min="6" max="6" width="8" customWidth="1"/>
    <col min="7" max="7" width="11" customWidth="1"/>
    <col min="8" max="8" width="16" customWidth="1"/>
  </cols>
  <sheetData>
    <row r="1" spans="1:8" ht="19.5" customHeight="1" x14ac:dyDescent="0.4">
      <c r="A1" s="13" t="s">
        <v>271</v>
      </c>
    </row>
    <row r="2" spans="1:8" ht="15" customHeight="1" x14ac:dyDescent="0.3">
      <c r="A2" s="1" t="s">
        <v>272</v>
      </c>
    </row>
    <row r="4" spans="1:8" ht="15" customHeight="1" x14ac:dyDescent="0.3">
      <c r="A4" s="15" t="s">
        <v>273</v>
      </c>
    </row>
    <row r="5" spans="1:8" ht="15" customHeight="1" x14ac:dyDescent="0.3">
      <c r="A5" s="1" t="s">
        <v>274</v>
      </c>
    </row>
    <row r="6" spans="1:8" ht="15" customHeight="1" x14ac:dyDescent="0.3">
      <c r="A6" s="1" t="s">
        <v>275</v>
      </c>
    </row>
    <row r="7" spans="1:8" ht="15" customHeight="1" x14ac:dyDescent="0.3">
      <c r="A7" s="1" t="s">
        <v>276</v>
      </c>
    </row>
    <row r="9" spans="1:8" ht="31.5" customHeight="1" x14ac:dyDescent="0.3">
      <c r="A9" s="16" t="s">
        <v>160</v>
      </c>
      <c r="B9" s="16" t="s">
        <v>277</v>
      </c>
      <c r="C9" s="16" t="s">
        <v>278</v>
      </c>
      <c r="D9" s="16" t="s">
        <v>166</v>
      </c>
      <c r="E9" s="16" t="s">
        <v>279</v>
      </c>
      <c r="F9" s="16" t="s">
        <v>280</v>
      </c>
      <c r="G9" s="16" t="s">
        <v>281</v>
      </c>
      <c r="H9" s="16" t="s">
        <v>282</v>
      </c>
    </row>
    <row r="10" spans="1:8" ht="15" customHeight="1" x14ac:dyDescent="0.3">
      <c r="A10" s="17" t="s">
        <v>170</v>
      </c>
      <c r="B10" s="21" t="str">
        <f>M_SKU!A18</f>
        <v>Coke RGB 350ml</v>
      </c>
      <c r="C10" s="22">
        <v>11780</v>
      </c>
      <c r="D10" s="18">
        <f>M_SKU!H18</f>
        <v>24</v>
      </c>
      <c r="E10" s="23">
        <f t="shared" ref="E10:E49" si="0">IF(D10=1,"",ROUND(C10/D10,2))</f>
        <v>490.83</v>
      </c>
      <c r="F10" s="24">
        <v>0.18</v>
      </c>
      <c r="G10" s="25" t="s">
        <v>283</v>
      </c>
      <c r="H10" s="17" t="s">
        <v>284</v>
      </c>
    </row>
    <row r="11" spans="1:8" ht="15" customHeight="1" x14ac:dyDescent="0.3">
      <c r="A11" s="19" t="s">
        <v>178</v>
      </c>
      <c r="B11" s="26" t="str">
        <f>M_SKU!A19</f>
        <v>Fanta Orange RGB 350ml</v>
      </c>
      <c r="C11" s="27">
        <v>11780</v>
      </c>
      <c r="D11" s="20">
        <f>M_SKU!H19</f>
        <v>24</v>
      </c>
      <c r="E11" s="28">
        <f t="shared" si="0"/>
        <v>490.83</v>
      </c>
      <c r="F11" s="29">
        <v>0.18</v>
      </c>
      <c r="G11" s="25" t="s">
        <v>283</v>
      </c>
      <c r="H11" s="19" t="s">
        <v>284</v>
      </c>
    </row>
    <row r="12" spans="1:8" ht="15" customHeight="1" x14ac:dyDescent="0.3">
      <c r="A12" s="17" t="s">
        <v>181</v>
      </c>
      <c r="B12" s="21" t="str">
        <f>M_SKU!A20</f>
        <v>Fanta Passion RGB 350ml</v>
      </c>
      <c r="C12" s="22">
        <v>11780</v>
      </c>
      <c r="D12" s="18">
        <f>M_SKU!H20</f>
        <v>24</v>
      </c>
      <c r="E12" s="23">
        <f t="shared" si="0"/>
        <v>490.83</v>
      </c>
      <c r="F12" s="24">
        <v>0.18</v>
      </c>
      <c r="G12" s="25" t="s">
        <v>283</v>
      </c>
      <c r="H12" s="17" t="s">
        <v>284</v>
      </c>
    </row>
    <row r="13" spans="1:8" ht="15" customHeight="1" x14ac:dyDescent="0.3">
      <c r="A13" s="19" t="s">
        <v>183</v>
      </c>
      <c r="B13" s="26" t="str">
        <f>M_SKU!A21</f>
        <v>Fanta Pineapple RGB 350ml</v>
      </c>
      <c r="C13" s="27">
        <v>11780</v>
      </c>
      <c r="D13" s="20">
        <f>M_SKU!H21</f>
        <v>24</v>
      </c>
      <c r="E13" s="28">
        <f t="shared" si="0"/>
        <v>490.83</v>
      </c>
      <c r="F13" s="29">
        <v>0.18</v>
      </c>
      <c r="G13" s="25" t="s">
        <v>283</v>
      </c>
      <c r="H13" s="19" t="s">
        <v>284</v>
      </c>
    </row>
    <row r="14" spans="1:8" ht="15" customHeight="1" x14ac:dyDescent="0.3">
      <c r="A14" s="17" t="s">
        <v>185</v>
      </c>
      <c r="B14" s="21" t="str">
        <f>M_SKU!A22</f>
        <v>Fanta Fruit Blast RGB 350 ml</v>
      </c>
      <c r="C14" s="22">
        <v>11780</v>
      </c>
      <c r="D14" s="18">
        <f>M_SKU!H22</f>
        <v>24</v>
      </c>
      <c r="E14" s="23">
        <f t="shared" si="0"/>
        <v>490.83</v>
      </c>
      <c r="F14" s="24">
        <v>0.18</v>
      </c>
      <c r="G14" s="25" t="s">
        <v>283</v>
      </c>
      <c r="H14" s="17" t="s">
        <v>284</v>
      </c>
    </row>
    <row r="15" spans="1:8" ht="15" customHeight="1" x14ac:dyDescent="0.3">
      <c r="A15" s="19" t="s">
        <v>187</v>
      </c>
      <c r="B15" s="26" t="str">
        <f>M_SKU!A23</f>
        <v>Sprite 350ml</v>
      </c>
      <c r="C15" s="27">
        <v>11780</v>
      </c>
      <c r="D15" s="20">
        <f>M_SKU!H23</f>
        <v>24</v>
      </c>
      <c r="E15" s="28">
        <f t="shared" si="0"/>
        <v>490.83</v>
      </c>
      <c r="F15" s="29">
        <v>0.18</v>
      </c>
      <c r="G15" s="25" t="s">
        <v>283</v>
      </c>
      <c r="H15" s="19" t="s">
        <v>284</v>
      </c>
    </row>
    <row r="16" spans="1:8" ht="15" customHeight="1" x14ac:dyDescent="0.3">
      <c r="A16" s="17" t="s">
        <v>190</v>
      </c>
      <c r="B16" s="21" t="str">
        <f>M_SKU!A24</f>
        <v>Stoney Tangawizi RGB 350ml</v>
      </c>
      <c r="C16" s="22">
        <v>11780</v>
      </c>
      <c r="D16" s="18">
        <f>M_SKU!H24</f>
        <v>24</v>
      </c>
      <c r="E16" s="23">
        <f t="shared" si="0"/>
        <v>490.83</v>
      </c>
      <c r="F16" s="24">
        <v>0.18</v>
      </c>
      <c r="G16" s="25" t="s">
        <v>283</v>
      </c>
      <c r="H16" s="17" t="s">
        <v>284</v>
      </c>
    </row>
    <row r="17" spans="1:8" ht="15" customHeight="1" x14ac:dyDescent="0.3">
      <c r="A17" s="19" t="s">
        <v>193</v>
      </c>
      <c r="B17" s="26" t="str">
        <f>M_SKU!A25</f>
        <v>Sparletta Pinenut RGB 350ml</v>
      </c>
      <c r="C17" s="27">
        <v>11780</v>
      </c>
      <c r="D17" s="20">
        <f>M_SKU!H25</f>
        <v>24</v>
      </c>
      <c r="E17" s="28">
        <f t="shared" si="0"/>
        <v>490.83</v>
      </c>
      <c r="F17" s="29">
        <v>0.18</v>
      </c>
      <c r="G17" s="25" t="s">
        <v>283</v>
      </c>
      <c r="H17" s="19" t="s">
        <v>284</v>
      </c>
    </row>
    <row r="18" spans="1:8" ht="15" customHeight="1" x14ac:dyDescent="0.3">
      <c r="A18" s="17" t="s">
        <v>196</v>
      </c>
      <c r="B18" s="21" t="str">
        <f>M_SKU!A26</f>
        <v>Krest Bitter Lemon RGB 300ml</v>
      </c>
      <c r="C18" s="22">
        <v>11780</v>
      </c>
      <c r="D18" s="18">
        <f>M_SKU!H26</f>
        <v>24</v>
      </c>
      <c r="E18" s="23">
        <f t="shared" si="0"/>
        <v>490.83</v>
      </c>
      <c r="F18" s="24">
        <v>0.18</v>
      </c>
      <c r="G18" s="25" t="s">
        <v>283</v>
      </c>
      <c r="H18" s="17" t="s">
        <v>284</v>
      </c>
    </row>
    <row r="19" spans="1:8" ht="15" customHeight="1" x14ac:dyDescent="0.3">
      <c r="A19" s="19" t="s">
        <v>199</v>
      </c>
      <c r="B19" s="26" t="str">
        <f>M_SKU!A27</f>
        <v>Krest Club Soda RGB 300ml</v>
      </c>
      <c r="C19" s="27">
        <v>11780</v>
      </c>
      <c r="D19" s="20">
        <f>M_SKU!H27</f>
        <v>24</v>
      </c>
      <c r="E19" s="28">
        <f t="shared" si="0"/>
        <v>490.83</v>
      </c>
      <c r="F19" s="29">
        <v>0.18</v>
      </c>
      <c r="G19" s="25" t="s">
        <v>283</v>
      </c>
      <c r="H19" s="19" t="s">
        <v>284</v>
      </c>
    </row>
    <row r="20" spans="1:8" ht="15" customHeight="1" x14ac:dyDescent="0.3">
      <c r="A20" s="17" t="s">
        <v>201</v>
      </c>
      <c r="B20" s="21" t="str">
        <f>M_SKU!A28</f>
        <v>Krest Tonic Water RGB 300ml</v>
      </c>
      <c r="C20" s="22">
        <v>11780</v>
      </c>
      <c r="D20" s="18">
        <f>M_SKU!H28</f>
        <v>24</v>
      </c>
      <c r="E20" s="23">
        <f t="shared" si="0"/>
        <v>490.83</v>
      </c>
      <c r="F20" s="24">
        <v>0.18</v>
      </c>
      <c r="G20" s="25" t="s">
        <v>283</v>
      </c>
      <c r="H20" s="17" t="s">
        <v>284</v>
      </c>
    </row>
    <row r="21" spans="1:8" ht="15" customHeight="1" x14ac:dyDescent="0.3">
      <c r="A21" s="19" t="s">
        <v>203</v>
      </c>
      <c r="B21" s="26" t="str">
        <f>M_SKU!A29</f>
        <v>Krest Ginger Ale RGB 300ml</v>
      </c>
      <c r="C21" s="27">
        <v>11780</v>
      </c>
      <c r="D21" s="20">
        <f>M_SKU!H29</f>
        <v>24</v>
      </c>
      <c r="E21" s="28">
        <f t="shared" si="0"/>
        <v>490.83</v>
      </c>
      <c r="F21" s="29">
        <v>0.18</v>
      </c>
      <c r="G21" s="25" t="s">
        <v>283</v>
      </c>
      <c r="H21" s="19" t="s">
        <v>284</v>
      </c>
    </row>
    <row r="22" spans="1:8" ht="15" customHeight="1" x14ac:dyDescent="0.3">
      <c r="A22" s="17" t="s">
        <v>205</v>
      </c>
      <c r="B22" s="21" t="str">
        <f>M_SKU!A30</f>
        <v>Coke RGB 250ml</v>
      </c>
      <c r="C22" s="22">
        <v>8475</v>
      </c>
      <c r="D22" s="18">
        <f>M_SKU!H30</f>
        <v>24</v>
      </c>
      <c r="E22" s="23">
        <f t="shared" si="0"/>
        <v>353.13</v>
      </c>
      <c r="F22" s="24">
        <v>0.18</v>
      </c>
      <c r="G22" s="25" t="s">
        <v>283</v>
      </c>
      <c r="H22" s="17" t="s">
        <v>284</v>
      </c>
    </row>
    <row r="23" spans="1:8" ht="15" customHeight="1" x14ac:dyDescent="0.3">
      <c r="A23" s="19" t="s">
        <v>207</v>
      </c>
      <c r="B23" s="26" t="str">
        <f>M_SKU!A31</f>
        <v>Fanta Orange RGB 250ml</v>
      </c>
      <c r="C23" s="27">
        <v>8475</v>
      </c>
      <c r="D23" s="20">
        <f>M_SKU!H31</f>
        <v>24</v>
      </c>
      <c r="E23" s="28">
        <f t="shared" si="0"/>
        <v>353.13</v>
      </c>
      <c r="F23" s="29">
        <v>0.18</v>
      </c>
      <c r="G23" s="25" t="s">
        <v>283</v>
      </c>
      <c r="H23" s="19" t="s">
        <v>284</v>
      </c>
    </row>
    <row r="24" spans="1:8" ht="15" customHeight="1" x14ac:dyDescent="0.3">
      <c r="A24" s="17" t="s">
        <v>209</v>
      </c>
      <c r="B24" s="21" t="str">
        <f>M_SKU!A32</f>
        <v>Sparletta Red Apple RGB 350ml</v>
      </c>
      <c r="C24" s="22">
        <v>11780</v>
      </c>
      <c r="D24" s="18">
        <f>M_SKU!H32</f>
        <v>24</v>
      </c>
      <c r="E24" s="23">
        <f t="shared" si="0"/>
        <v>490.83</v>
      </c>
      <c r="F24" s="24">
        <v>0.18</v>
      </c>
      <c r="G24" s="25" t="s">
        <v>283</v>
      </c>
      <c r="H24" s="17" t="s">
        <v>284</v>
      </c>
    </row>
    <row r="25" spans="1:8" ht="15" customHeight="1" x14ac:dyDescent="0.3">
      <c r="A25" s="19" t="s">
        <v>211</v>
      </c>
      <c r="B25" s="26" t="str">
        <f>M_SKU!A33</f>
        <v>KNMW 500ml</v>
      </c>
      <c r="C25" s="27">
        <v>3559</v>
      </c>
      <c r="D25" s="20">
        <f>M_SKU!H33</f>
        <v>1</v>
      </c>
      <c r="E25" s="28" t="str">
        <f t="shared" si="0"/>
        <v/>
      </c>
      <c r="F25" s="29">
        <v>0.18</v>
      </c>
      <c r="G25" s="25" t="s">
        <v>283</v>
      </c>
      <c r="H25" s="19" t="s">
        <v>284</v>
      </c>
    </row>
    <row r="26" spans="1:8" ht="15" customHeight="1" x14ac:dyDescent="0.3">
      <c r="A26" s="17" t="s">
        <v>217</v>
      </c>
      <c r="B26" s="21" t="str">
        <f>M_SKU!A34</f>
        <v>KNMW 1500ml</v>
      </c>
      <c r="C26" s="22">
        <v>3983</v>
      </c>
      <c r="D26" s="18">
        <f>M_SKU!H34</f>
        <v>1</v>
      </c>
      <c r="E26" s="23" t="str">
        <f t="shared" si="0"/>
        <v/>
      </c>
      <c r="F26" s="24">
        <v>0.18</v>
      </c>
      <c r="G26" s="25" t="s">
        <v>283</v>
      </c>
      <c r="H26" s="17" t="s">
        <v>284</v>
      </c>
    </row>
    <row r="27" spans="1:8" ht="15" customHeight="1" x14ac:dyDescent="0.3">
      <c r="A27" s="19" t="s">
        <v>219</v>
      </c>
      <c r="B27" s="26" t="str">
        <f>M_SKU!A35</f>
        <v>Kilimanjaro Drinking Water 6000 ML</v>
      </c>
      <c r="C27" s="27">
        <v>2119</v>
      </c>
      <c r="D27" s="20">
        <f>M_SKU!H35</f>
        <v>1</v>
      </c>
      <c r="E27" s="28" t="str">
        <f t="shared" si="0"/>
        <v/>
      </c>
      <c r="F27" s="29">
        <v>0.18</v>
      </c>
      <c r="G27" s="25" t="s">
        <v>283</v>
      </c>
      <c r="H27" s="19" t="s">
        <v>284</v>
      </c>
    </row>
    <row r="28" spans="1:8" ht="15" customHeight="1" x14ac:dyDescent="0.3">
      <c r="A28" s="17" t="s">
        <v>222</v>
      </c>
      <c r="B28" s="21" t="str">
        <f>M_SKU!A36</f>
        <v>Kilimanjaro Drinking Water 12000 ML</v>
      </c>
      <c r="C28" s="22">
        <v>3559</v>
      </c>
      <c r="D28" s="18">
        <f>M_SKU!H36</f>
        <v>1</v>
      </c>
      <c r="E28" s="23" t="str">
        <f t="shared" si="0"/>
        <v/>
      </c>
      <c r="F28" s="24">
        <v>0.18</v>
      </c>
      <c r="G28" s="25" t="s">
        <v>283</v>
      </c>
      <c r="H28" s="17" t="s">
        <v>284</v>
      </c>
    </row>
    <row r="29" spans="1:8" ht="15" customHeight="1" x14ac:dyDescent="0.3">
      <c r="A29" s="19" t="s">
        <v>225</v>
      </c>
      <c r="B29" s="26" t="str">
        <f>M_SKU!A37</f>
        <v>Kilimanjaro Drinking Water 18900 ML</v>
      </c>
      <c r="C29" s="27">
        <v>5932</v>
      </c>
      <c r="D29" s="20">
        <f>M_SKU!H37</f>
        <v>1</v>
      </c>
      <c r="E29" s="28" t="str">
        <f t="shared" si="0"/>
        <v/>
      </c>
      <c r="F29" s="29">
        <v>0.18</v>
      </c>
      <c r="G29" s="25" t="s">
        <v>283</v>
      </c>
      <c r="H29" s="19" t="s">
        <v>284</v>
      </c>
    </row>
    <row r="30" spans="1:8" ht="15" customHeight="1" x14ac:dyDescent="0.3">
      <c r="A30" s="17" t="s">
        <v>227</v>
      </c>
      <c r="B30" s="21" t="str">
        <f>M_SKU!A38</f>
        <v>KNMW 1000ml(6 Pack)</v>
      </c>
      <c r="C30" s="22">
        <v>3178</v>
      </c>
      <c r="D30" s="18">
        <f>M_SKU!H38</f>
        <v>1</v>
      </c>
      <c r="E30" s="23" t="str">
        <f t="shared" si="0"/>
        <v/>
      </c>
      <c r="F30" s="24">
        <v>0.18</v>
      </c>
      <c r="G30" s="25" t="s">
        <v>283</v>
      </c>
      <c r="H30" s="17" t="s">
        <v>284</v>
      </c>
    </row>
    <row r="31" spans="1:8" ht="15" customHeight="1" x14ac:dyDescent="0.3">
      <c r="A31" s="19" t="s">
        <v>229</v>
      </c>
      <c r="B31" s="26" t="str">
        <f>M_SKU!A39</f>
        <v>Coke Pet 500ML ( x12)</v>
      </c>
      <c r="C31" s="27">
        <v>8898</v>
      </c>
      <c r="D31" s="20">
        <f>M_SKU!H39</f>
        <v>1</v>
      </c>
      <c r="E31" s="28" t="str">
        <f t="shared" si="0"/>
        <v/>
      </c>
      <c r="F31" s="29">
        <v>0.18</v>
      </c>
      <c r="G31" s="25" t="s">
        <v>283</v>
      </c>
      <c r="H31" s="19" t="s">
        <v>284</v>
      </c>
    </row>
    <row r="32" spans="1:8" ht="15" customHeight="1" x14ac:dyDescent="0.3">
      <c r="A32" s="17" t="s">
        <v>232</v>
      </c>
      <c r="B32" s="21" t="str">
        <f>M_SKU!A40</f>
        <v>Sprite Pet 500ML (x 12)</v>
      </c>
      <c r="C32" s="22">
        <v>8898</v>
      </c>
      <c r="D32" s="18">
        <f>M_SKU!H40</f>
        <v>1</v>
      </c>
      <c r="E32" s="23" t="str">
        <f t="shared" si="0"/>
        <v/>
      </c>
      <c r="F32" s="24">
        <v>0.18</v>
      </c>
      <c r="G32" s="25" t="s">
        <v>283</v>
      </c>
      <c r="H32" s="17" t="s">
        <v>284</v>
      </c>
    </row>
    <row r="33" spans="1:8" ht="15" customHeight="1" x14ac:dyDescent="0.3">
      <c r="A33" s="19" t="s">
        <v>234</v>
      </c>
      <c r="B33" s="26" t="str">
        <f>M_SKU!A41</f>
        <v>Fanta Orange Pet 500ML ( x 12)</v>
      </c>
      <c r="C33" s="27">
        <v>8898</v>
      </c>
      <c r="D33" s="20">
        <f>M_SKU!H41</f>
        <v>1</v>
      </c>
      <c r="E33" s="28" t="str">
        <f t="shared" si="0"/>
        <v/>
      </c>
      <c r="F33" s="29">
        <v>0.18</v>
      </c>
      <c r="G33" s="25" t="s">
        <v>283</v>
      </c>
      <c r="H33" s="19" t="s">
        <v>284</v>
      </c>
    </row>
    <row r="34" spans="1:8" ht="15" customHeight="1" x14ac:dyDescent="0.3">
      <c r="A34" s="17" t="s">
        <v>236</v>
      </c>
      <c r="B34" s="21" t="str">
        <f>M_SKU!A42</f>
        <v>Fanta Passion Pet 500ML ( x12)</v>
      </c>
      <c r="C34" s="22">
        <v>8898</v>
      </c>
      <c r="D34" s="18">
        <f>M_SKU!H42</f>
        <v>1</v>
      </c>
      <c r="E34" s="23" t="str">
        <f t="shared" si="0"/>
        <v/>
      </c>
      <c r="F34" s="24">
        <v>0.18</v>
      </c>
      <c r="G34" s="25" t="s">
        <v>283</v>
      </c>
      <c r="H34" s="17" t="s">
        <v>284</v>
      </c>
    </row>
    <row r="35" spans="1:8" ht="15" customHeight="1" x14ac:dyDescent="0.3">
      <c r="A35" s="19" t="s">
        <v>238</v>
      </c>
      <c r="B35" s="26" t="str">
        <f>M_SKU!A43</f>
        <v>Fanta Pineapple Pet 500ml ( x12)</v>
      </c>
      <c r="C35" s="27">
        <v>8898</v>
      </c>
      <c r="D35" s="20">
        <f>M_SKU!H43</f>
        <v>1</v>
      </c>
      <c r="E35" s="28" t="str">
        <f t="shared" si="0"/>
        <v/>
      </c>
      <c r="F35" s="29">
        <v>0.18</v>
      </c>
      <c r="G35" s="25" t="s">
        <v>283</v>
      </c>
      <c r="H35" s="19" t="s">
        <v>284</v>
      </c>
    </row>
    <row r="36" spans="1:8" ht="15" customHeight="1" x14ac:dyDescent="0.3">
      <c r="A36" s="17" t="s">
        <v>240</v>
      </c>
      <c r="B36" s="21" t="str">
        <f>M_SKU!A44</f>
        <v>Fanta Fruit Blast Pet 500ML (x12)</v>
      </c>
      <c r="C36" s="22">
        <v>8898</v>
      </c>
      <c r="D36" s="18">
        <f>M_SKU!H44</f>
        <v>1</v>
      </c>
      <c r="E36" s="23" t="str">
        <f t="shared" si="0"/>
        <v/>
      </c>
      <c r="F36" s="24">
        <v>0.18</v>
      </c>
      <c r="G36" s="25" t="s">
        <v>283</v>
      </c>
      <c r="H36" s="17" t="s">
        <v>284</v>
      </c>
    </row>
    <row r="37" spans="1:8" ht="15" customHeight="1" x14ac:dyDescent="0.3">
      <c r="A37" s="19" t="s">
        <v>242</v>
      </c>
      <c r="B37" s="26" t="str">
        <f>M_SKU!A45</f>
        <v>Stoney Tangawizi Pet 500 ml ( x12)</v>
      </c>
      <c r="C37" s="27">
        <v>8898</v>
      </c>
      <c r="D37" s="20">
        <f>M_SKU!H45</f>
        <v>1</v>
      </c>
      <c r="E37" s="28" t="str">
        <f t="shared" si="0"/>
        <v/>
      </c>
      <c r="F37" s="29">
        <v>0.18</v>
      </c>
      <c r="G37" s="25" t="s">
        <v>283</v>
      </c>
      <c r="H37" s="19" t="s">
        <v>284</v>
      </c>
    </row>
    <row r="38" spans="1:8" ht="15" customHeight="1" x14ac:dyDescent="0.3">
      <c r="A38" s="17" t="s">
        <v>244</v>
      </c>
      <c r="B38" s="21" t="str">
        <f>M_SKU!A46</f>
        <v>Sparletta Pinenut Pet 500 ml ( x12)</v>
      </c>
      <c r="C38" s="22">
        <v>8898</v>
      </c>
      <c r="D38" s="18">
        <f>M_SKU!H46</f>
        <v>1</v>
      </c>
      <c r="E38" s="23" t="str">
        <f t="shared" si="0"/>
        <v/>
      </c>
      <c r="F38" s="24">
        <v>0.18</v>
      </c>
      <c r="G38" s="25" t="s">
        <v>283</v>
      </c>
      <c r="H38" s="17" t="s">
        <v>284</v>
      </c>
    </row>
    <row r="39" spans="1:8" ht="15" customHeight="1" x14ac:dyDescent="0.3">
      <c r="A39" s="19" t="s">
        <v>246</v>
      </c>
      <c r="B39" s="26" t="str">
        <f>M_SKU!A47</f>
        <v>Coke Zero Pet 500ML ( X 12)</v>
      </c>
      <c r="C39" s="27">
        <v>8898</v>
      </c>
      <c r="D39" s="20">
        <f>M_SKU!H47</f>
        <v>1</v>
      </c>
      <c r="E39" s="28" t="str">
        <f t="shared" si="0"/>
        <v/>
      </c>
      <c r="F39" s="29">
        <v>0.18</v>
      </c>
      <c r="G39" s="25" t="s">
        <v>283</v>
      </c>
      <c r="H39" s="19" t="s">
        <v>284</v>
      </c>
    </row>
    <row r="40" spans="1:8" ht="15" customHeight="1" x14ac:dyDescent="0.3">
      <c r="A40" s="17" t="s">
        <v>248</v>
      </c>
      <c r="B40" s="21" t="str">
        <f>M_SKU!A48</f>
        <v>Coke Pet 300ML(x 12)</v>
      </c>
      <c r="C40" s="22">
        <v>5085</v>
      </c>
      <c r="D40" s="18">
        <f>M_SKU!H48</f>
        <v>1</v>
      </c>
      <c r="E40" s="23" t="str">
        <f t="shared" si="0"/>
        <v/>
      </c>
      <c r="F40" s="24">
        <v>0.18</v>
      </c>
      <c r="G40" s="25" t="s">
        <v>283</v>
      </c>
      <c r="H40" s="17" t="s">
        <v>284</v>
      </c>
    </row>
    <row r="41" spans="1:8" ht="15" customHeight="1" x14ac:dyDescent="0.3">
      <c r="A41" s="19" t="s">
        <v>250</v>
      </c>
      <c r="B41" s="26" t="str">
        <f>M_SKU!A49</f>
        <v>Coke Zero Pet 300ML (x 12)</v>
      </c>
      <c r="C41" s="27">
        <v>5085</v>
      </c>
      <c r="D41" s="20">
        <f>M_SKU!H49</f>
        <v>1</v>
      </c>
      <c r="E41" s="28" t="str">
        <f t="shared" si="0"/>
        <v/>
      </c>
      <c r="F41" s="29">
        <v>0.18</v>
      </c>
      <c r="G41" s="25" t="s">
        <v>283</v>
      </c>
      <c r="H41" s="19" t="s">
        <v>284</v>
      </c>
    </row>
    <row r="42" spans="1:8" ht="15" customHeight="1" x14ac:dyDescent="0.3">
      <c r="A42" s="17" t="s">
        <v>252</v>
      </c>
      <c r="B42" s="21" t="str">
        <f>M_SKU!A50</f>
        <v>Sprite Zero Pet 300ML (x 12)</v>
      </c>
      <c r="C42" s="22">
        <v>5085</v>
      </c>
      <c r="D42" s="18">
        <f>M_SKU!H50</f>
        <v>1</v>
      </c>
      <c r="E42" s="23" t="str">
        <f t="shared" si="0"/>
        <v/>
      </c>
      <c r="F42" s="24">
        <v>0.18</v>
      </c>
      <c r="G42" s="25" t="s">
        <v>283</v>
      </c>
      <c r="H42" s="17" t="s">
        <v>284</v>
      </c>
    </row>
    <row r="43" spans="1:8" ht="15" customHeight="1" x14ac:dyDescent="0.3">
      <c r="A43" s="19" t="s">
        <v>254</v>
      </c>
      <c r="B43" s="26" t="str">
        <f>M_SKU!A51</f>
        <v>Fanta Zero Pet 300ML (x 12)</v>
      </c>
      <c r="C43" s="27">
        <v>5085</v>
      </c>
      <c r="D43" s="20">
        <f>M_SKU!H51</f>
        <v>1</v>
      </c>
      <c r="E43" s="28" t="str">
        <f t="shared" si="0"/>
        <v/>
      </c>
      <c r="F43" s="29">
        <v>0.18</v>
      </c>
      <c r="G43" s="25" t="s">
        <v>283</v>
      </c>
      <c r="H43" s="19" t="s">
        <v>284</v>
      </c>
    </row>
    <row r="44" spans="1:8" ht="15" customHeight="1" x14ac:dyDescent="0.3">
      <c r="A44" s="17" t="s">
        <v>256</v>
      </c>
      <c r="B44" s="21" t="str">
        <f>M_SKU!A52</f>
        <v>Sparletta Red Apple Pet 300ML(x 12)</v>
      </c>
      <c r="C44" s="22">
        <v>5085</v>
      </c>
      <c r="D44" s="18">
        <f>M_SKU!H52</f>
        <v>1</v>
      </c>
      <c r="E44" s="23" t="str">
        <f t="shared" si="0"/>
        <v/>
      </c>
      <c r="F44" s="24">
        <v>0.18</v>
      </c>
      <c r="G44" s="25" t="s">
        <v>283</v>
      </c>
      <c r="H44" s="17" t="s">
        <v>284</v>
      </c>
    </row>
    <row r="45" spans="1:8" ht="15" customHeight="1" x14ac:dyDescent="0.3">
      <c r="A45" s="19" t="s">
        <v>258</v>
      </c>
      <c r="B45" s="26" t="str">
        <f>M_SKU!A53</f>
        <v>Novida Pineapple 300ML (x 12)</v>
      </c>
      <c r="C45" s="27">
        <v>5085</v>
      </c>
      <c r="D45" s="20">
        <f>M_SKU!H53</f>
        <v>1</v>
      </c>
      <c r="E45" s="28" t="str">
        <f t="shared" si="0"/>
        <v/>
      </c>
      <c r="F45" s="29">
        <v>0.18</v>
      </c>
      <c r="G45" s="25" t="s">
        <v>283</v>
      </c>
      <c r="H45" s="19" t="s">
        <v>284</v>
      </c>
    </row>
    <row r="46" spans="1:8" ht="15" customHeight="1" x14ac:dyDescent="0.3">
      <c r="A46" s="17" t="s">
        <v>261</v>
      </c>
      <c r="B46" s="21" t="str">
        <f>M_SKU!A54</f>
        <v>Sparletta Pine Apple Pet 300ML (x 12)</v>
      </c>
      <c r="C46" s="22">
        <v>5085</v>
      </c>
      <c r="D46" s="18">
        <f>M_SKU!H54</f>
        <v>1</v>
      </c>
      <c r="E46" s="23" t="str">
        <f t="shared" si="0"/>
        <v/>
      </c>
      <c r="F46" s="24">
        <v>0.18</v>
      </c>
      <c r="G46" s="25" t="s">
        <v>283</v>
      </c>
      <c r="H46" s="17" t="s">
        <v>284</v>
      </c>
    </row>
    <row r="47" spans="1:8" ht="15" customHeight="1" x14ac:dyDescent="0.3">
      <c r="A47" s="19" t="s">
        <v>263</v>
      </c>
      <c r="B47" s="26" t="str">
        <f>M_SKU!A55</f>
        <v>Coke 1250 Pet ML</v>
      </c>
      <c r="C47" s="27">
        <v>8305</v>
      </c>
      <c r="D47" s="20">
        <f>M_SKU!H55</f>
        <v>1</v>
      </c>
      <c r="E47" s="28" t="str">
        <f t="shared" si="0"/>
        <v/>
      </c>
      <c r="F47" s="29">
        <v>0.18</v>
      </c>
      <c r="G47" s="25" t="s">
        <v>283</v>
      </c>
      <c r="H47" s="19" t="s">
        <v>284</v>
      </c>
    </row>
    <row r="48" spans="1:8" ht="15" customHeight="1" x14ac:dyDescent="0.3">
      <c r="A48" s="17" t="s">
        <v>265</v>
      </c>
      <c r="B48" s="21" t="str">
        <f>M_SKU!A56</f>
        <v>Sprite Pet 1250 ML</v>
      </c>
      <c r="C48" s="22">
        <v>8305</v>
      </c>
      <c r="D48" s="18">
        <f>M_SKU!H56</f>
        <v>1</v>
      </c>
      <c r="E48" s="23" t="str">
        <f t="shared" si="0"/>
        <v/>
      </c>
      <c r="F48" s="24">
        <v>0.18</v>
      </c>
      <c r="G48" s="25" t="s">
        <v>283</v>
      </c>
      <c r="H48" s="17" t="s">
        <v>284</v>
      </c>
    </row>
    <row r="49" spans="1:8" ht="15" customHeight="1" x14ac:dyDescent="0.3">
      <c r="A49" s="19" t="s">
        <v>267</v>
      </c>
      <c r="B49" s="26" t="str">
        <f>M_SKU!A57</f>
        <v>Fanta Orange Pet 1250 ML</v>
      </c>
      <c r="C49" s="27">
        <v>8305</v>
      </c>
      <c r="D49" s="20">
        <f>M_SKU!H57</f>
        <v>1</v>
      </c>
      <c r="E49" s="28" t="str">
        <f t="shared" si="0"/>
        <v/>
      </c>
      <c r="F49" s="29">
        <v>0.18</v>
      </c>
      <c r="G49" s="25" t="s">
        <v>283</v>
      </c>
      <c r="H49" s="19" t="s">
        <v>284</v>
      </c>
    </row>
    <row r="50" spans="1:8" ht="15" customHeight="1" x14ac:dyDescent="0.3">
      <c r="A50" s="270" t="s">
        <v>285</v>
      </c>
      <c r="B50" s="270"/>
      <c r="C50" s="270"/>
      <c r="D50" s="270"/>
      <c r="E50" s="270"/>
      <c r="F50" s="270"/>
      <c r="G50" s="270"/>
      <c r="H50" s="270"/>
    </row>
    <row r="51" spans="1:8" ht="15" customHeight="1" x14ac:dyDescent="0.3">
      <c r="A51" s="17" t="s">
        <v>217</v>
      </c>
      <c r="B51" s="21" t="str">
        <f>M_SKU!A34</f>
        <v>KNMW 1500ml</v>
      </c>
      <c r="C51" s="22">
        <v>3559</v>
      </c>
      <c r="D51" s="18">
        <f>M_SKU!H34</f>
        <v>1</v>
      </c>
      <c r="E51" s="23" t="str">
        <f>IF(D51=1,"",ROUND(C51/D51,2))</f>
        <v/>
      </c>
      <c r="F51" s="24">
        <v>0.18</v>
      </c>
      <c r="G51" s="30" t="s">
        <v>286</v>
      </c>
      <c r="H51" s="31" t="s">
        <v>75</v>
      </c>
    </row>
    <row r="52" spans="1:8" ht="15" customHeight="1" x14ac:dyDescent="0.3">
      <c r="A52" s="19" t="s">
        <v>227</v>
      </c>
      <c r="B52" s="26" t="str">
        <f>M_SKU!A38</f>
        <v>KNMW 1000ml(6 Pack)</v>
      </c>
      <c r="C52" s="27">
        <v>2119</v>
      </c>
      <c r="D52" s="20">
        <f>M_SKU!H38</f>
        <v>1</v>
      </c>
      <c r="E52" s="28" t="str">
        <f>IF(D52=1,"",ROUND(C52/D52,2))</f>
        <v/>
      </c>
      <c r="F52" s="29">
        <v>0.18</v>
      </c>
      <c r="G52" s="30" t="s">
        <v>286</v>
      </c>
      <c r="H52" s="32" t="s">
        <v>75</v>
      </c>
    </row>
    <row r="54" spans="1:8" ht="15" customHeight="1" x14ac:dyDescent="0.3">
      <c r="A54" s="14" t="s">
        <v>287</v>
      </c>
      <c r="C54" s="15">
        <f>COUNTIF(G10:G52,"Default")</f>
        <v>40</v>
      </c>
    </row>
    <row r="55" spans="1:8" ht="15" customHeight="1" x14ac:dyDescent="0.3">
      <c r="A55" s="14" t="s">
        <v>288</v>
      </c>
      <c r="C55" s="33">
        <f>COUNTIF(G10:G52,"Special")</f>
        <v>2</v>
      </c>
    </row>
    <row r="57" spans="1:8" ht="15" customHeight="1" x14ac:dyDescent="0.3">
      <c r="A57" s="11" t="s">
        <v>289</v>
      </c>
    </row>
    <row r="58" spans="1:8" ht="15" customHeight="1" x14ac:dyDescent="0.3">
      <c r="A58" s="1" t="s">
        <v>290</v>
      </c>
    </row>
    <row r="60" spans="1:8" ht="15" customHeight="1" x14ac:dyDescent="0.3">
      <c r="A60" s="14" t="s">
        <v>291</v>
      </c>
      <c r="C60" s="273" t="s">
        <v>227</v>
      </c>
    </row>
    <row r="61" spans="1:8" ht="15" customHeight="1" x14ac:dyDescent="0.3">
      <c r="A61" s="14" t="s">
        <v>292</v>
      </c>
      <c r="C61" s="34" t="s">
        <v>75</v>
      </c>
    </row>
    <row r="62" spans="1:8" ht="15" customHeight="1" x14ac:dyDescent="0.3">
      <c r="A62" s="14" t="s">
        <v>293</v>
      </c>
      <c r="C62" s="35" cm="1">
        <f t="array" ref="C62">IFERROR(INDEX(C10:C52,MATCH(1,(A10:A52=C60)*(H10:H52=C61)*(G10:G52="Special"),0)),INDEX(C10:C52,MATCH(1,(A10:A52=C60)*(G10:G52="Default"),0)))</f>
        <v>2119</v>
      </c>
      <c r="D62" s="35" cm="1">
        <f t="array" ref="D62">_xlfn.LET(_xlpm.Special,_xlfn._xlws.FILTER($C$10:$C$52,($A$10:$A$52=C60)*($G$10:$G$52="Special")*($H$10:$H$52=C61),""),_xlpm.Default,_xlfn._xlws.FILTER($C$10:$C$52,($A$10:$A$52=C60)*($G$10:$G$52="Default"),""),IF(_xlpm.Special&lt;&gt;"",_xlpm.Special,_xlpm.Default))</f>
        <v>2119</v>
      </c>
      <c r="E62" s="272"/>
    </row>
    <row r="63" spans="1:8" ht="15" customHeight="1" x14ac:dyDescent="0.3">
      <c r="A63" s="14" t="s">
        <v>294</v>
      </c>
      <c r="B63" s="36" t="str">
        <f>IFERROR(IF(INDEX(G10:G52,MATCH(1,(A10:A52=C60)*(H10:H52=C61)*(G10:G52="Special"),0))="Special","Special (depot override)","Default"),"Default")</f>
        <v>Default</v>
      </c>
      <c r="E63" s="271"/>
    </row>
    <row r="65" spans="1:8" ht="15" customHeight="1" x14ac:dyDescent="0.3">
      <c r="A65" s="310" t="s">
        <v>295</v>
      </c>
      <c r="B65" s="310"/>
      <c r="C65" s="310"/>
      <c r="D65" s="310"/>
      <c r="E65" s="310"/>
      <c r="F65" s="310"/>
      <c r="G65" s="310"/>
      <c r="H65" s="310"/>
    </row>
  </sheetData>
  <mergeCells count="1">
    <mergeCell ref="A65:H6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9"/>
  <sheetViews>
    <sheetView showGridLines="0" zoomScaleNormal="100" workbookViewId="0"/>
  </sheetViews>
  <sheetFormatPr defaultColWidth="8.6640625" defaultRowHeight="14.4" x14ac:dyDescent="0.3"/>
  <cols>
    <col min="1" max="1" width="9" customWidth="1"/>
    <col min="2" max="2" width="13" customWidth="1"/>
    <col min="3" max="3" width="28" customWidth="1"/>
    <col min="4" max="4" width="12" customWidth="1"/>
    <col min="5" max="5" width="11" customWidth="1"/>
    <col min="6" max="6" width="16" customWidth="1"/>
    <col min="7" max="7" width="25" customWidth="1"/>
    <col min="8" max="8" width="12" customWidth="1"/>
    <col min="9" max="9" width="28" customWidth="1"/>
    <col min="10" max="10" width="9" customWidth="1"/>
  </cols>
  <sheetData>
    <row r="1" spans="1:10" ht="19.5" customHeight="1" x14ac:dyDescent="0.4">
      <c r="A1" s="13" t="s">
        <v>296</v>
      </c>
    </row>
    <row r="2" spans="1:10" ht="15" customHeight="1" x14ac:dyDescent="0.3">
      <c r="A2" s="1" t="s">
        <v>297</v>
      </c>
    </row>
    <row r="4" spans="1:10" ht="15" customHeight="1" x14ac:dyDescent="0.3">
      <c r="A4" s="15" t="s">
        <v>298</v>
      </c>
    </row>
    <row r="5" spans="1:10" ht="15" customHeight="1" x14ac:dyDescent="0.3">
      <c r="A5" s="1" t="s">
        <v>299</v>
      </c>
    </row>
    <row r="6" spans="1:10" ht="15" customHeight="1" x14ac:dyDescent="0.3">
      <c r="A6" s="1" t="s">
        <v>300</v>
      </c>
    </row>
    <row r="7" spans="1:10" ht="15" customHeight="1" x14ac:dyDescent="0.3">
      <c r="A7" s="1" t="s">
        <v>301</v>
      </c>
    </row>
    <row r="8" spans="1:10" ht="15" customHeight="1" x14ac:dyDescent="0.3">
      <c r="A8" s="1" t="s">
        <v>302</v>
      </c>
    </row>
    <row r="9" spans="1:10" ht="15" customHeight="1" x14ac:dyDescent="0.3">
      <c r="A9" s="1" t="s">
        <v>303</v>
      </c>
    </row>
    <row r="11" spans="1:10" ht="31.5" customHeight="1" x14ac:dyDescent="0.3">
      <c r="A11" s="16" t="s">
        <v>304</v>
      </c>
      <c r="B11" s="16" t="s">
        <v>305</v>
      </c>
      <c r="C11" s="16" t="s">
        <v>306</v>
      </c>
      <c r="D11" s="16" t="s">
        <v>307</v>
      </c>
      <c r="E11" s="16" t="s">
        <v>55</v>
      </c>
      <c r="F11" s="16" t="s">
        <v>308</v>
      </c>
      <c r="G11" s="16" t="s">
        <v>309</v>
      </c>
      <c r="H11" s="16" t="s">
        <v>310</v>
      </c>
      <c r="I11" s="16" t="s">
        <v>311</v>
      </c>
      <c r="J11" s="16" t="s">
        <v>167</v>
      </c>
    </row>
    <row r="12" spans="1:10" ht="15" customHeight="1" x14ac:dyDescent="0.3">
      <c r="A12" s="17">
        <v>89</v>
      </c>
      <c r="B12" s="17" t="s">
        <v>312</v>
      </c>
      <c r="C12" s="7" t="s">
        <v>313</v>
      </c>
      <c r="D12" s="17" t="s">
        <v>314</v>
      </c>
      <c r="E12" s="17" t="s">
        <v>76</v>
      </c>
      <c r="F12" s="17" t="s">
        <v>315</v>
      </c>
      <c r="G12" s="7" t="s">
        <v>316</v>
      </c>
      <c r="H12" s="17">
        <v>86</v>
      </c>
      <c r="I12" s="7" t="s">
        <v>317</v>
      </c>
      <c r="J12" s="8" t="s">
        <v>176</v>
      </c>
    </row>
    <row r="13" spans="1:10" ht="15" customHeight="1" x14ac:dyDescent="0.3">
      <c r="A13" s="19">
        <v>88</v>
      </c>
      <c r="B13" s="19" t="s">
        <v>318</v>
      </c>
      <c r="C13" s="9" t="s">
        <v>319</v>
      </c>
      <c r="D13" s="19" t="s">
        <v>320</v>
      </c>
      <c r="E13" s="19" t="s">
        <v>141</v>
      </c>
      <c r="F13" s="19" t="s">
        <v>315</v>
      </c>
      <c r="G13" s="9" t="s">
        <v>321</v>
      </c>
      <c r="H13" s="19">
        <v>79</v>
      </c>
      <c r="I13" s="9" t="s">
        <v>322</v>
      </c>
      <c r="J13" s="10" t="s">
        <v>176</v>
      </c>
    </row>
    <row r="14" spans="1:10" ht="15" customHeight="1" x14ac:dyDescent="0.3">
      <c r="A14" s="17">
        <v>76</v>
      </c>
      <c r="B14" s="17" t="s">
        <v>323</v>
      </c>
      <c r="C14" s="7" t="s">
        <v>324</v>
      </c>
      <c r="D14" s="17" t="s">
        <v>325</v>
      </c>
      <c r="E14" s="17" t="s">
        <v>146</v>
      </c>
      <c r="F14" s="17" t="s">
        <v>315</v>
      </c>
      <c r="G14" s="7" t="s">
        <v>326</v>
      </c>
      <c r="H14" s="17">
        <v>57</v>
      </c>
      <c r="I14" s="7" t="s">
        <v>327</v>
      </c>
      <c r="J14" s="8" t="s">
        <v>176</v>
      </c>
    </row>
    <row r="15" spans="1:10" ht="15" customHeight="1" x14ac:dyDescent="0.3">
      <c r="A15" s="19">
        <v>75</v>
      </c>
      <c r="B15" s="19" t="s">
        <v>328</v>
      </c>
      <c r="C15" s="9" t="s">
        <v>329</v>
      </c>
      <c r="D15" s="19" t="s">
        <v>330</v>
      </c>
      <c r="E15" s="19" t="s">
        <v>146</v>
      </c>
      <c r="F15" s="19" t="s">
        <v>315</v>
      </c>
      <c r="G15" s="9" t="s">
        <v>326</v>
      </c>
      <c r="H15" s="19">
        <v>57</v>
      </c>
      <c r="I15" s="9" t="s">
        <v>327</v>
      </c>
      <c r="J15" s="10" t="s">
        <v>176</v>
      </c>
    </row>
    <row r="16" spans="1:10" ht="15" customHeight="1" x14ac:dyDescent="0.3">
      <c r="A16" s="17">
        <v>74</v>
      </c>
      <c r="B16" s="17" t="s">
        <v>331</v>
      </c>
      <c r="C16" s="7" t="s">
        <v>332</v>
      </c>
      <c r="D16" s="17" t="s">
        <v>333</v>
      </c>
      <c r="E16" s="17" t="s">
        <v>146</v>
      </c>
      <c r="F16" s="17" t="s">
        <v>315</v>
      </c>
      <c r="G16" s="7" t="s">
        <v>326</v>
      </c>
      <c r="H16" s="17">
        <v>57</v>
      </c>
      <c r="I16" s="7" t="s">
        <v>327</v>
      </c>
      <c r="J16" s="8" t="s">
        <v>176</v>
      </c>
    </row>
    <row r="17" spans="1:10" ht="15" customHeight="1" x14ac:dyDescent="0.3">
      <c r="A17" s="19">
        <v>73</v>
      </c>
      <c r="B17" s="19" t="s">
        <v>334</v>
      </c>
      <c r="C17" s="9" t="s">
        <v>335</v>
      </c>
      <c r="D17" s="19" t="s">
        <v>336</v>
      </c>
      <c r="E17" s="19" t="s">
        <v>146</v>
      </c>
      <c r="F17" s="19" t="s">
        <v>315</v>
      </c>
      <c r="G17" s="9" t="s">
        <v>326</v>
      </c>
      <c r="H17" s="19">
        <v>57</v>
      </c>
      <c r="I17" s="9" t="s">
        <v>327</v>
      </c>
      <c r="J17" s="10" t="s">
        <v>176</v>
      </c>
    </row>
    <row r="18" spans="1:10" ht="15" customHeight="1" x14ac:dyDescent="0.3">
      <c r="A18" s="17">
        <v>72</v>
      </c>
      <c r="B18" s="17" t="s">
        <v>337</v>
      </c>
      <c r="C18" s="7" t="s">
        <v>338</v>
      </c>
      <c r="D18" s="17" t="s">
        <v>339</v>
      </c>
      <c r="E18" s="17" t="s">
        <v>146</v>
      </c>
      <c r="F18" s="17" t="s">
        <v>315</v>
      </c>
      <c r="G18" s="7" t="s">
        <v>326</v>
      </c>
      <c r="H18" s="17">
        <v>57</v>
      </c>
      <c r="I18" s="7" t="s">
        <v>327</v>
      </c>
      <c r="J18" s="8" t="s">
        <v>176</v>
      </c>
    </row>
    <row r="19" spans="1:10" ht="15" customHeight="1" x14ac:dyDescent="0.3">
      <c r="A19" s="19">
        <v>71</v>
      </c>
      <c r="B19" s="19" t="s">
        <v>340</v>
      </c>
      <c r="C19" s="9" t="s">
        <v>341</v>
      </c>
      <c r="D19" s="19" t="s">
        <v>342</v>
      </c>
      <c r="E19" s="19" t="s">
        <v>146</v>
      </c>
      <c r="F19" s="19" t="s">
        <v>315</v>
      </c>
      <c r="G19" s="9" t="s">
        <v>326</v>
      </c>
      <c r="H19" s="19">
        <v>57</v>
      </c>
      <c r="I19" s="9" t="s">
        <v>327</v>
      </c>
      <c r="J19" s="10" t="s">
        <v>176</v>
      </c>
    </row>
    <row r="20" spans="1:10" ht="15" customHeight="1" x14ac:dyDescent="0.3">
      <c r="A20" s="17">
        <v>70</v>
      </c>
      <c r="B20" s="17" t="s">
        <v>343</v>
      </c>
      <c r="C20" s="7" t="s">
        <v>344</v>
      </c>
      <c r="D20" s="17" t="s">
        <v>345</v>
      </c>
      <c r="E20" s="17" t="s">
        <v>146</v>
      </c>
      <c r="F20" s="17" t="s">
        <v>315</v>
      </c>
      <c r="G20" s="7" t="s">
        <v>346</v>
      </c>
      <c r="H20" s="17">
        <v>56</v>
      </c>
      <c r="I20" s="7" t="s">
        <v>347</v>
      </c>
      <c r="J20" s="8" t="s">
        <v>176</v>
      </c>
    </row>
    <row r="21" spans="1:10" ht="15" customHeight="1" x14ac:dyDescent="0.3">
      <c r="A21" s="19">
        <v>69</v>
      </c>
      <c r="B21" s="19" t="s">
        <v>348</v>
      </c>
      <c r="C21" s="9" t="s">
        <v>349</v>
      </c>
      <c r="D21" s="19" t="s">
        <v>350</v>
      </c>
      <c r="E21" s="19" t="s">
        <v>146</v>
      </c>
      <c r="F21" s="19" t="s">
        <v>315</v>
      </c>
      <c r="G21" s="9" t="s">
        <v>346</v>
      </c>
      <c r="H21" s="19">
        <v>56</v>
      </c>
      <c r="I21" s="9" t="s">
        <v>347</v>
      </c>
      <c r="J21" s="10" t="s">
        <v>176</v>
      </c>
    </row>
    <row r="22" spans="1:10" ht="15" customHeight="1" x14ac:dyDescent="0.3">
      <c r="A22" s="17">
        <v>68</v>
      </c>
      <c r="B22" s="17" t="s">
        <v>351</v>
      </c>
      <c r="C22" s="7" t="s">
        <v>352</v>
      </c>
      <c r="D22" s="17" t="s">
        <v>353</v>
      </c>
      <c r="E22" s="17" t="s">
        <v>146</v>
      </c>
      <c r="F22" s="17" t="s">
        <v>315</v>
      </c>
      <c r="G22" s="7" t="s">
        <v>354</v>
      </c>
      <c r="H22" s="17">
        <v>55</v>
      </c>
      <c r="I22" s="7" t="s">
        <v>355</v>
      </c>
      <c r="J22" s="8" t="s">
        <v>176</v>
      </c>
    </row>
    <row r="23" spans="1:10" ht="15" customHeight="1" x14ac:dyDescent="0.3">
      <c r="A23" s="19">
        <v>67</v>
      </c>
      <c r="B23" s="19" t="s">
        <v>356</v>
      </c>
      <c r="C23" s="9" t="s">
        <v>357</v>
      </c>
      <c r="D23" s="19" t="s">
        <v>358</v>
      </c>
      <c r="E23" s="19" t="s">
        <v>146</v>
      </c>
      <c r="F23" s="19" t="s">
        <v>315</v>
      </c>
      <c r="G23" s="9" t="s">
        <v>346</v>
      </c>
      <c r="H23" s="19">
        <v>56</v>
      </c>
      <c r="I23" s="9" t="s">
        <v>347</v>
      </c>
      <c r="J23" s="10" t="s">
        <v>176</v>
      </c>
    </row>
    <row r="24" spans="1:10" ht="15" customHeight="1" x14ac:dyDescent="0.3">
      <c r="A24" s="17">
        <v>66</v>
      </c>
      <c r="B24" s="17" t="s">
        <v>359</v>
      </c>
      <c r="C24" s="7" t="s">
        <v>360</v>
      </c>
      <c r="D24" s="17" t="s">
        <v>361</v>
      </c>
      <c r="E24" s="17" t="s">
        <v>146</v>
      </c>
      <c r="F24" s="17" t="s">
        <v>315</v>
      </c>
      <c r="G24" s="7" t="s">
        <v>354</v>
      </c>
      <c r="H24" s="17">
        <v>55</v>
      </c>
      <c r="I24" s="7" t="s">
        <v>355</v>
      </c>
      <c r="J24" s="8" t="s">
        <v>176</v>
      </c>
    </row>
    <row r="25" spans="1:10" ht="15" customHeight="1" x14ac:dyDescent="0.3">
      <c r="A25" s="19">
        <v>65</v>
      </c>
      <c r="B25" s="19" t="s">
        <v>362</v>
      </c>
      <c r="C25" s="9" t="s">
        <v>363</v>
      </c>
      <c r="D25" s="19" t="s">
        <v>364</v>
      </c>
      <c r="E25" s="19" t="s">
        <v>146</v>
      </c>
      <c r="F25" s="19" t="s">
        <v>315</v>
      </c>
      <c r="G25" s="9" t="s">
        <v>354</v>
      </c>
      <c r="H25" s="19">
        <v>55</v>
      </c>
      <c r="I25" s="9" t="s">
        <v>355</v>
      </c>
      <c r="J25" s="10" t="s">
        <v>176</v>
      </c>
    </row>
    <row r="26" spans="1:10" ht="15" customHeight="1" x14ac:dyDescent="0.3">
      <c r="A26" s="17">
        <v>64</v>
      </c>
      <c r="B26" s="17" t="s">
        <v>365</v>
      </c>
      <c r="C26" s="7" t="s">
        <v>366</v>
      </c>
      <c r="D26" s="17" t="s">
        <v>367</v>
      </c>
      <c r="E26" s="17" t="s">
        <v>146</v>
      </c>
      <c r="F26" s="17" t="s">
        <v>315</v>
      </c>
      <c r="G26" s="7" t="s">
        <v>354</v>
      </c>
      <c r="H26" s="17">
        <v>55</v>
      </c>
      <c r="I26" s="7" t="s">
        <v>355</v>
      </c>
      <c r="J26" s="8" t="s">
        <v>176</v>
      </c>
    </row>
    <row r="27" spans="1:10" ht="15" customHeight="1" x14ac:dyDescent="0.3">
      <c r="A27" s="19">
        <v>63</v>
      </c>
      <c r="B27" s="19" t="s">
        <v>368</v>
      </c>
      <c r="C27" s="9" t="s">
        <v>369</v>
      </c>
      <c r="D27" s="19" t="s">
        <v>370</v>
      </c>
      <c r="E27" s="19" t="s">
        <v>146</v>
      </c>
      <c r="F27" s="19" t="s">
        <v>315</v>
      </c>
      <c r="G27" s="9" t="s">
        <v>354</v>
      </c>
      <c r="H27" s="19">
        <v>55</v>
      </c>
      <c r="I27" s="9" t="s">
        <v>355</v>
      </c>
      <c r="J27" s="10" t="s">
        <v>176</v>
      </c>
    </row>
    <row r="28" spans="1:10" ht="15" customHeight="1" x14ac:dyDescent="0.3">
      <c r="A28" s="17">
        <v>62</v>
      </c>
      <c r="B28" s="17" t="s">
        <v>371</v>
      </c>
      <c r="C28" s="7" t="s">
        <v>372</v>
      </c>
      <c r="D28" s="17" t="s">
        <v>373</v>
      </c>
      <c r="E28" s="17" t="s">
        <v>146</v>
      </c>
      <c r="F28" s="17" t="s">
        <v>315</v>
      </c>
      <c r="G28" s="7" t="s">
        <v>354</v>
      </c>
      <c r="H28" s="17">
        <v>55</v>
      </c>
      <c r="I28" s="7" t="s">
        <v>355</v>
      </c>
      <c r="J28" s="8" t="s">
        <v>176</v>
      </c>
    </row>
    <row r="29" spans="1:10" ht="15" customHeight="1" x14ac:dyDescent="0.3">
      <c r="A29" s="19">
        <v>61</v>
      </c>
      <c r="B29" s="19" t="s">
        <v>374</v>
      </c>
      <c r="C29" s="9" t="s">
        <v>375</v>
      </c>
      <c r="D29" s="19" t="s">
        <v>376</v>
      </c>
      <c r="E29" s="19" t="s">
        <v>146</v>
      </c>
      <c r="F29" s="19" t="s">
        <v>315</v>
      </c>
      <c r="G29" s="9" t="s">
        <v>377</v>
      </c>
      <c r="H29" s="19">
        <v>47</v>
      </c>
      <c r="I29" s="9" t="s">
        <v>378</v>
      </c>
      <c r="J29" s="10" t="s">
        <v>176</v>
      </c>
    </row>
    <row r="30" spans="1:10" ht="15" customHeight="1" x14ac:dyDescent="0.3">
      <c r="A30" s="17">
        <v>60</v>
      </c>
      <c r="B30" s="17" t="s">
        <v>379</v>
      </c>
      <c r="C30" s="7" t="s">
        <v>380</v>
      </c>
      <c r="D30" s="17" t="s">
        <v>381</v>
      </c>
      <c r="E30" s="17" t="s">
        <v>146</v>
      </c>
      <c r="F30" s="17" t="s">
        <v>315</v>
      </c>
      <c r="G30" s="7" t="s">
        <v>377</v>
      </c>
      <c r="H30" s="17">
        <v>47</v>
      </c>
      <c r="I30" s="7" t="s">
        <v>378</v>
      </c>
      <c r="J30" s="8" t="s">
        <v>176</v>
      </c>
    </row>
    <row r="31" spans="1:10" ht="15" customHeight="1" x14ac:dyDescent="0.3">
      <c r="A31" s="19">
        <v>59</v>
      </c>
      <c r="B31" s="19" t="s">
        <v>382</v>
      </c>
      <c r="C31" s="9" t="s">
        <v>383</v>
      </c>
      <c r="D31" s="19" t="s">
        <v>384</v>
      </c>
      <c r="E31" s="19" t="s">
        <v>146</v>
      </c>
      <c r="F31" s="19" t="s">
        <v>315</v>
      </c>
      <c r="G31" s="9" t="s">
        <v>377</v>
      </c>
      <c r="H31" s="19">
        <v>47</v>
      </c>
      <c r="I31" s="9" t="s">
        <v>378</v>
      </c>
      <c r="J31" s="10" t="s">
        <v>176</v>
      </c>
    </row>
    <row r="32" spans="1:10" ht="15" customHeight="1" x14ac:dyDescent="0.3">
      <c r="A32" s="17">
        <v>58</v>
      </c>
      <c r="B32" s="17" t="s">
        <v>385</v>
      </c>
      <c r="C32" s="7" t="s">
        <v>386</v>
      </c>
      <c r="D32" s="17" t="s">
        <v>387</v>
      </c>
      <c r="E32" s="17" t="s">
        <v>146</v>
      </c>
      <c r="F32" s="17" t="s">
        <v>315</v>
      </c>
      <c r="G32" s="7" t="s">
        <v>377</v>
      </c>
      <c r="H32" s="17">
        <v>47</v>
      </c>
      <c r="I32" s="7" t="s">
        <v>378</v>
      </c>
      <c r="J32" s="8" t="s">
        <v>176</v>
      </c>
    </row>
    <row r="33" spans="1:10" ht="15" customHeight="1" x14ac:dyDescent="0.3">
      <c r="A33" s="19">
        <v>54</v>
      </c>
      <c r="B33" s="19" t="s">
        <v>388</v>
      </c>
      <c r="C33" s="9" t="s">
        <v>389</v>
      </c>
      <c r="D33" s="19" t="s">
        <v>390</v>
      </c>
      <c r="E33" s="19" t="s">
        <v>146</v>
      </c>
      <c r="F33" s="19" t="s">
        <v>315</v>
      </c>
      <c r="G33" s="9" t="s">
        <v>391</v>
      </c>
      <c r="H33" s="19">
        <v>46</v>
      </c>
      <c r="I33" s="9" t="s">
        <v>392</v>
      </c>
      <c r="J33" s="10" t="s">
        <v>176</v>
      </c>
    </row>
    <row r="34" spans="1:10" ht="15" customHeight="1" x14ac:dyDescent="0.3">
      <c r="A34" s="17">
        <v>53</v>
      </c>
      <c r="B34" s="17" t="s">
        <v>393</v>
      </c>
      <c r="C34" s="7" t="s">
        <v>394</v>
      </c>
      <c r="D34" s="17" t="s">
        <v>395</v>
      </c>
      <c r="E34" s="17" t="s">
        <v>146</v>
      </c>
      <c r="F34" s="17" t="s">
        <v>315</v>
      </c>
      <c r="G34" s="7" t="s">
        <v>391</v>
      </c>
      <c r="H34" s="17">
        <v>46</v>
      </c>
      <c r="I34" s="7" t="s">
        <v>392</v>
      </c>
      <c r="J34" s="8" t="s">
        <v>176</v>
      </c>
    </row>
    <row r="35" spans="1:10" ht="15" customHeight="1" x14ac:dyDescent="0.3">
      <c r="A35" s="19">
        <v>52</v>
      </c>
      <c r="B35" s="19" t="s">
        <v>396</v>
      </c>
      <c r="C35" s="9" t="s">
        <v>397</v>
      </c>
      <c r="D35" s="19" t="s">
        <v>398</v>
      </c>
      <c r="E35" s="19" t="s">
        <v>146</v>
      </c>
      <c r="F35" s="19" t="s">
        <v>315</v>
      </c>
      <c r="G35" s="9" t="s">
        <v>391</v>
      </c>
      <c r="H35" s="19">
        <v>46</v>
      </c>
      <c r="I35" s="9" t="s">
        <v>392</v>
      </c>
      <c r="J35" s="10" t="s">
        <v>176</v>
      </c>
    </row>
    <row r="36" spans="1:10" ht="15" customHeight="1" x14ac:dyDescent="0.3">
      <c r="A36" s="17">
        <v>51</v>
      </c>
      <c r="B36" s="17" t="s">
        <v>399</v>
      </c>
      <c r="C36" s="7" t="s">
        <v>400</v>
      </c>
      <c r="D36" s="17" t="s">
        <v>401</v>
      </c>
      <c r="E36" s="17" t="s">
        <v>146</v>
      </c>
      <c r="F36" s="17" t="s">
        <v>315</v>
      </c>
      <c r="G36" s="7" t="s">
        <v>391</v>
      </c>
      <c r="H36" s="17">
        <v>46</v>
      </c>
      <c r="I36" s="7" t="s">
        <v>392</v>
      </c>
      <c r="J36" s="8" t="s">
        <v>176</v>
      </c>
    </row>
    <row r="37" spans="1:10" ht="15" customHeight="1" x14ac:dyDescent="0.3">
      <c r="A37" s="19">
        <v>50</v>
      </c>
      <c r="B37" s="19" t="s">
        <v>402</v>
      </c>
      <c r="C37" s="9" t="s">
        <v>403</v>
      </c>
      <c r="D37" s="19" t="s">
        <v>404</v>
      </c>
      <c r="E37" s="19" t="s">
        <v>146</v>
      </c>
      <c r="F37" s="19" t="s">
        <v>315</v>
      </c>
      <c r="G37" s="9" t="s">
        <v>391</v>
      </c>
      <c r="H37" s="19">
        <v>46</v>
      </c>
      <c r="I37" s="9" t="s">
        <v>392</v>
      </c>
      <c r="J37" s="10" t="s">
        <v>176</v>
      </c>
    </row>
    <row r="38" spans="1:10" ht="15" customHeight="1" x14ac:dyDescent="0.3">
      <c r="A38" s="17">
        <v>49</v>
      </c>
      <c r="B38" s="17" t="s">
        <v>405</v>
      </c>
      <c r="C38" s="7" t="s">
        <v>406</v>
      </c>
      <c r="D38" s="17" t="s">
        <v>407</v>
      </c>
      <c r="E38" s="17" t="s">
        <v>146</v>
      </c>
      <c r="F38" s="17" t="s">
        <v>315</v>
      </c>
      <c r="G38" s="7" t="s">
        <v>408</v>
      </c>
      <c r="H38" s="17">
        <v>28</v>
      </c>
      <c r="I38" s="7" t="s">
        <v>409</v>
      </c>
      <c r="J38" s="8" t="s">
        <v>176</v>
      </c>
    </row>
    <row r="39" spans="1:10" ht="15" customHeight="1" x14ac:dyDescent="0.3">
      <c r="A39" s="19">
        <v>48</v>
      </c>
      <c r="B39" s="19" t="s">
        <v>410</v>
      </c>
      <c r="C39" s="9" t="s">
        <v>411</v>
      </c>
      <c r="D39" s="19" t="s">
        <v>412</v>
      </c>
      <c r="E39" s="19" t="s">
        <v>146</v>
      </c>
      <c r="F39" s="19" t="s">
        <v>315</v>
      </c>
      <c r="G39" s="9" t="s">
        <v>408</v>
      </c>
      <c r="H39" s="19">
        <v>28</v>
      </c>
      <c r="I39" s="9" t="s">
        <v>409</v>
      </c>
      <c r="J39" s="10" t="s">
        <v>176</v>
      </c>
    </row>
    <row r="40" spans="1:10" ht="15" customHeight="1" x14ac:dyDescent="0.3">
      <c r="A40" s="17">
        <v>45</v>
      </c>
      <c r="B40" s="17" t="s">
        <v>413</v>
      </c>
      <c r="C40" s="7" t="s">
        <v>414</v>
      </c>
      <c r="D40" s="17" t="s">
        <v>415</v>
      </c>
      <c r="E40" s="17" t="s">
        <v>146</v>
      </c>
      <c r="F40" s="17" t="s">
        <v>315</v>
      </c>
      <c r="G40" s="7" t="s">
        <v>408</v>
      </c>
      <c r="H40" s="17">
        <v>28</v>
      </c>
      <c r="I40" s="7" t="s">
        <v>409</v>
      </c>
      <c r="J40" s="8" t="s">
        <v>176</v>
      </c>
    </row>
    <row r="41" spans="1:10" ht="15" customHeight="1" x14ac:dyDescent="0.3">
      <c r="A41" s="19">
        <v>44</v>
      </c>
      <c r="B41" s="19" t="s">
        <v>416</v>
      </c>
      <c r="C41" s="9" t="s">
        <v>417</v>
      </c>
      <c r="D41" s="19" t="s">
        <v>418</v>
      </c>
      <c r="E41" s="19" t="s">
        <v>146</v>
      </c>
      <c r="F41" s="19" t="s">
        <v>315</v>
      </c>
      <c r="G41" s="9" t="s">
        <v>408</v>
      </c>
      <c r="H41" s="19">
        <v>28</v>
      </c>
      <c r="I41" s="9" t="s">
        <v>409</v>
      </c>
      <c r="J41" s="10" t="s">
        <v>176</v>
      </c>
    </row>
    <row r="42" spans="1:10" ht="15" customHeight="1" x14ac:dyDescent="0.3">
      <c r="A42" s="17">
        <v>42</v>
      </c>
      <c r="B42" s="17" t="s">
        <v>419</v>
      </c>
      <c r="C42" s="7" t="s">
        <v>420</v>
      </c>
      <c r="D42" s="17" t="s">
        <v>421</v>
      </c>
      <c r="E42" s="17" t="s">
        <v>146</v>
      </c>
      <c r="F42" s="17" t="s">
        <v>315</v>
      </c>
      <c r="G42" s="7" t="s">
        <v>408</v>
      </c>
      <c r="H42" s="17">
        <v>28</v>
      </c>
      <c r="I42" s="7" t="s">
        <v>409</v>
      </c>
      <c r="J42" s="8" t="s">
        <v>176</v>
      </c>
    </row>
    <row r="43" spans="1:10" ht="15" customHeight="1" x14ac:dyDescent="0.3">
      <c r="A43" s="19">
        <v>33</v>
      </c>
      <c r="B43" s="19" t="s">
        <v>422</v>
      </c>
      <c r="C43" s="9" t="s">
        <v>423</v>
      </c>
      <c r="D43" s="19" t="s">
        <v>424</v>
      </c>
      <c r="E43" s="19" t="s">
        <v>146</v>
      </c>
      <c r="F43" s="19" t="s">
        <v>315</v>
      </c>
      <c r="G43" s="9" t="s">
        <v>346</v>
      </c>
      <c r="H43" s="19">
        <v>56</v>
      </c>
      <c r="I43" s="9" t="s">
        <v>347</v>
      </c>
      <c r="J43" s="10" t="s">
        <v>176</v>
      </c>
    </row>
    <row r="44" spans="1:10" ht="15" customHeight="1" x14ac:dyDescent="0.3">
      <c r="A44" s="17">
        <v>29</v>
      </c>
      <c r="B44" s="17" t="s">
        <v>425</v>
      </c>
      <c r="C44" s="7" t="s">
        <v>426</v>
      </c>
      <c r="D44" s="17" t="s">
        <v>427</v>
      </c>
      <c r="E44" s="17" t="s">
        <v>146</v>
      </c>
      <c r="F44" s="17" t="s">
        <v>315</v>
      </c>
      <c r="G44" s="7" t="s">
        <v>408</v>
      </c>
      <c r="H44" s="17">
        <v>28</v>
      </c>
      <c r="I44" s="7" t="s">
        <v>409</v>
      </c>
      <c r="J44" s="8" t="s">
        <v>176</v>
      </c>
    </row>
    <row r="45" spans="1:10" ht="15" customHeight="1" x14ac:dyDescent="0.3">
      <c r="A45" s="37">
        <v>28</v>
      </c>
      <c r="B45" s="38" t="s">
        <v>428</v>
      </c>
      <c r="C45" s="39" t="s">
        <v>408</v>
      </c>
      <c r="D45" s="37"/>
      <c r="E45" s="37" t="s">
        <v>146</v>
      </c>
      <c r="F45" s="37" t="s">
        <v>429</v>
      </c>
      <c r="G45" s="39"/>
      <c r="H45" s="37"/>
      <c r="I45" s="39" t="s">
        <v>409</v>
      </c>
      <c r="J45" s="40" t="s">
        <v>176</v>
      </c>
    </row>
    <row r="46" spans="1:10" ht="15" customHeight="1" x14ac:dyDescent="0.3">
      <c r="A46" s="37">
        <v>46</v>
      </c>
      <c r="B46" s="38" t="s">
        <v>430</v>
      </c>
      <c r="C46" s="39" t="s">
        <v>391</v>
      </c>
      <c r="D46" s="37"/>
      <c r="E46" s="37" t="s">
        <v>146</v>
      </c>
      <c r="F46" s="37" t="s">
        <v>429</v>
      </c>
      <c r="G46" s="39"/>
      <c r="H46" s="37"/>
      <c r="I46" s="39" t="s">
        <v>392</v>
      </c>
      <c r="J46" s="40" t="s">
        <v>176</v>
      </c>
    </row>
    <row r="47" spans="1:10" ht="15" customHeight="1" x14ac:dyDescent="0.3">
      <c r="A47" s="37">
        <v>47</v>
      </c>
      <c r="B47" s="38" t="s">
        <v>431</v>
      </c>
      <c r="C47" s="39" t="s">
        <v>377</v>
      </c>
      <c r="D47" s="37"/>
      <c r="E47" s="37" t="s">
        <v>146</v>
      </c>
      <c r="F47" s="37" t="s">
        <v>429</v>
      </c>
      <c r="G47" s="39"/>
      <c r="H47" s="37"/>
      <c r="I47" s="39" t="s">
        <v>378</v>
      </c>
      <c r="J47" s="40" t="s">
        <v>176</v>
      </c>
    </row>
    <row r="48" spans="1:10" ht="15" customHeight="1" x14ac:dyDescent="0.3">
      <c r="A48" s="37">
        <v>55</v>
      </c>
      <c r="B48" s="38" t="s">
        <v>432</v>
      </c>
      <c r="C48" s="39" t="s">
        <v>354</v>
      </c>
      <c r="D48" s="37"/>
      <c r="E48" s="37" t="s">
        <v>146</v>
      </c>
      <c r="F48" s="37" t="s">
        <v>429</v>
      </c>
      <c r="G48" s="39"/>
      <c r="H48" s="37"/>
      <c r="I48" s="39" t="s">
        <v>355</v>
      </c>
      <c r="J48" s="40" t="s">
        <v>176</v>
      </c>
    </row>
    <row r="49" spans="1:10" ht="15" customHeight="1" x14ac:dyDescent="0.3">
      <c r="A49" s="37">
        <v>56</v>
      </c>
      <c r="B49" s="38" t="s">
        <v>433</v>
      </c>
      <c r="C49" s="39" t="s">
        <v>346</v>
      </c>
      <c r="D49" s="37"/>
      <c r="E49" s="37" t="s">
        <v>146</v>
      </c>
      <c r="F49" s="37" t="s">
        <v>429</v>
      </c>
      <c r="G49" s="39"/>
      <c r="H49" s="37"/>
      <c r="I49" s="39" t="s">
        <v>347</v>
      </c>
      <c r="J49" s="40" t="s">
        <v>176</v>
      </c>
    </row>
    <row r="50" spans="1:10" ht="15" customHeight="1" x14ac:dyDescent="0.3">
      <c r="A50" s="37">
        <v>57</v>
      </c>
      <c r="B50" s="38" t="s">
        <v>434</v>
      </c>
      <c r="C50" s="39" t="s">
        <v>326</v>
      </c>
      <c r="D50" s="37"/>
      <c r="E50" s="37" t="s">
        <v>146</v>
      </c>
      <c r="F50" s="37" t="s">
        <v>429</v>
      </c>
      <c r="G50" s="39"/>
      <c r="H50" s="37"/>
      <c r="I50" s="39" t="s">
        <v>327</v>
      </c>
      <c r="J50" s="40" t="s">
        <v>176</v>
      </c>
    </row>
    <row r="51" spans="1:10" ht="15" customHeight="1" x14ac:dyDescent="0.3">
      <c r="A51" s="37">
        <v>79</v>
      </c>
      <c r="B51" s="38" t="s">
        <v>435</v>
      </c>
      <c r="C51" s="39" t="s">
        <v>321</v>
      </c>
      <c r="D51" s="37"/>
      <c r="E51" s="37" t="s">
        <v>141</v>
      </c>
      <c r="F51" s="37" t="s">
        <v>429</v>
      </c>
      <c r="G51" s="39"/>
      <c r="H51" s="37"/>
      <c r="I51" s="39" t="s">
        <v>322</v>
      </c>
      <c r="J51" s="40" t="s">
        <v>176</v>
      </c>
    </row>
    <row r="52" spans="1:10" ht="15" customHeight="1" x14ac:dyDescent="0.3">
      <c r="A52" s="37">
        <v>86</v>
      </c>
      <c r="B52" s="38" t="s">
        <v>436</v>
      </c>
      <c r="C52" s="39" t="s">
        <v>316</v>
      </c>
      <c r="D52" s="37"/>
      <c r="E52" s="37" t="s">
        <v>76</v>
      </c>
      <c r="F52" s="37" t="s">
        <v>429</v>
      </c>
      <c r="G52" s="39"/>
      <c r="H52" s="37"/>
      <c r="I52" s="39" t="s">
        <v>317</v>
      </c>
      <c r="J52" s="40" t="s">
        <v>176</v>
      </c>
    </row>
    <row r="53" spans="1:10" ht="15" customHeight="1" x14ac:dyDescent="0.3">
      <c r="A53" s="41" t="s">
        <v>437</v>
      </c>
      <c r="B53" s="41" t="s">
        <v>438</v>
      </c>
      <c r="C53" s="42" t="s">
        <v>439</v>
      </c>
      <c r="D53" s="43"/>
      <c r="E53" s="43" t="s">
        <v>76</v>
      </c>
      <c r="F53" s="43" t="s">
        <v>440</v>
      </c>
      <c r="G53" s="42"/>
      <c r="H53" s="43"/>
      <c r="I53" s="42"/>
      <c r="J53" s="25" t="s">
        <v>176</v>
      </c>
    </row>
    <row r="54" spans="1:10" ht="15" customHeight="1" x14ac:dyDescent="0.3">
      <c r="A54" s="41" t="s">
        <v>441</v>
      </c>
      <c r="B54" s="41" t="s">
        <v>442</v>
      </c>
      <c r="C54" s="42" t="s">
        <v>443</v>
      </c>
      <c r="D54" s="43"/>
      <c r="E54" s="43" t="s">
        <v>141</v>
      </c>
      <c r="F54" s="43" t="s">
        <v>440</v>
      </c>
      <c r="G54" s="42"/>
      <c r="H54" s="43"/>
      <c r="I54" s="42"/>
      <c r="J54" s="25" t="s">
        <v>176</v>
      </c>
    </row>
    <row r="55" spans="1:10" ht="15" customHeight="1" x14ac:dyDescent="0.3">
      <c r="A55" s="41" t="s">
        <v>444</v>
      </c>
      <c r="B55" s="41" t="s">
        <v>445</v>
      </c>
      <c r="C55" s="42" t="s">
        <v>446</v>
      </c>
      <c r="D55" s="43"/>
      <c r="E55" s="43" t="s">
        <v>146</v>
      </c>
      <c r="F55" s="43" t="s">
        <v>440</v>
      </c>
      <c r="G55" s="42"/>
      <c r="H55" s="43"/>
      <c r="I55" s="42"/>
      <c r="J55" s="25" t="s">
        <v>176</v>
      </c>
    </row>
    <row r="57" spans="1:10" ht="15" customHeight="1" x14ac:dyDescent="0.3">
      <c r="A57" s="14" t="s">
        <v>447</v>
      </c>
      <c r="C57" s="15">
        <f>COUNTA(A12:A55)</f>
        <v>44</v>
      </c>
    </row>
    <row r="58" spans="1:10" ht="15" customHeight="1" x14ac:dyDescent="0.3">
      <c r="A58" s="5" t="s">
        <v>448</v>
      </c>
      <c r="C58" s="15">
        <f>COUNTIF(F12:F55,"Salesman")</f>
        <v>33</v>
      </c>
    </row>
    <row r="59" spans="1:10" ht="15" customHeight="1" x14ac:dyDescent="0.3">
      <c r="A59" s="5" t="s">
        <v>449</v>
      </c>
      <c r="C59" s="33">
        <f>COUNTIF(F12:F55,"Sales Supervisor")</f>
        <v>8</v>
      </c>
    </row>
    <row r="60" spans="1:10" ht="15" customHeight="1" x14ac:dyDescent="0.3">
      <c r="A60" s="5" t="s">
        <v>450</v>
      </c>
      <c r="C60" s="12">
        <f>COUNTIF(F12:F55,"Clerk")</f>
        <v>3</v>
      </c>
    </row>
    <row r="62" spans="1:10" ht="15" customHeight="1" x14ac:dyDescent="0.3">
      <c r="A62" s="14" t="s">
        <v>451</v>
      </c>
      <c r="C62" s="15">
        <f>COUNTIF(J12:J55,"Y")</f>
        <v>44</v>
      </c>
    </row>
    <row r="64" spans="1:10" ht="15" customHeight="1" x14ac:dyDescent="0.3">
      <c r="A64" s="11" t="s">
        <v>452</v>
      </c>
    </row>
    <row r="65" spans="1:3" ht="15" customHeight="1" x14ac:dyDescent="0.3">
      <c r="A65" s="5" t="s">
        <v>453</v>
      </c>
      <c r="C65" s="44">
        <f>SUMPRODUCT((D12:D55&lt;&gt;"")*(COUNTIF(D12:D55,D12:D55)&gt;1))</f>
        <v>0</v>
      </c>
    </row>
    <row r="66" spans="1:3" ht="15" customHeight="1" x14ac:dyDescent="0.3">
      <c r="A66" s="5" t="s">
        <v>454</v>
      </c>
      <c r="C66" s="44">
        <f>SUMPRODUCT((A12:A55&lt;&gt;"")*(COUNTIF(A12:A55,A12:A55)&gt;1))</f>
        <v>0</v>
      </c>
    </row>
    <row r="67" spans="1:3" ht="15" customHeight="1" x14ac:dyDescent="0.3">
      <c r="A67" s="5" t="s">
        <v>455</v>
      </c>
      <c r="C67" s="44">
        <f>SUMPRODUCT((F12:F55="Salesman")*(D12:D55=""))</f>
        <v>0</v>
      </c>
    </row>
    <row r="69" spans="1:3" ht="15" customHeight="1" x14ac:dyDescent="0.3">
      <c r="A69" s="1" t="s">
        <v>456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showGridLines="0" zoomScaleNormal="100" workbookViewId="0">
      <selection activeCell="A7" sqref="A7"/>
    </sheetView>
  </sheetViews>
  <sheetFormatPr defaultColWidth="8.6640625" defaultRowHeight="14.4" x14ac:dyDescent="0.3"/>
  <cols>
    <col min="1" max="1" width="38" customWidth="1"/>
    <col min="2" max="2" width="14" customWidth="1"/>
    <col min="3" max="3" width="12" customWidth="1"/>
    <col min="4" max="4" width="50" customWidth="1"/>
  </cols>
  <sheetData>
    <row r="1" spans="1:4" ht="19.95" customHeight="1" x14ac:dyDescent="0.4">
      <c r="A1" s="13" t="s">
        <v>457</v>
      </c>
    </row>
    <row r="2" spans="1:4" ht="15" customHeight="1" x14ac:dyDescent="0.3">
      <c r="A2" s="1" t="s">
        <v>458</v>
      </c>
    </row>
    <row r="3" spans="1:4" ht="15" customHeight="1" x14ac:dyDescent="0.3">
      <c r="A3" s="1" t="s">
        <v>459</v>
      </c>
    </row>
    <row r="5" spans="1:4" ht="15" customHeight="1" x14ac:dyDescent="0.3">
      <c r="A5" s="11" t="s">
        <v>460</v>
      </c>
    </row>
    <row r="6" spans="1:4" ht="30" customHeight="1" x14ac:dyDescent="0.3">
      <c r="A6" s="6" t="s">
        <v>461</v>
      </c>
      <c r="B6" s="6" t="s">
        <v>462</v>
      </c>
      <c r="C6" s="6" t="s">
        <v>164</v>
      </c>
      <c r="D6" s="6" t="s">
        <v>298</v>
      </c>
    </row>
    <row r="7" spans="1:4" ht="27.6" x14ac:dyDescent="0.3">
      <c r="A7" s="7" t="s">
        <v>463</v>
      </c>
      <c r="B7" s="274">
        <v>24</v>
      </c>
      <c r="C7" s="17" t="s">
        <v>464</v>
      </c>
      <c r="D7" s="45" t="s">
        <v>465</v>
      </c>
    </row>
    <row r="8" spans="1:4" ht="27.6" x14ac:dyDescent="0.3">
      <c r="A8" s="9" t="s">
        <v>466</v>
      </c>
      <c r="B8" s="274">
        <v>7</v>
      </c>
      <c r="C8" s="19" t="s">
        <v>467</v>
      </c>
      <c r="D8" s="46" t="s">
        <v>468</v>
      </c>
    </row>
    <row r="9" spans="1:4" ht="27.6" x14ac:dyDescent="0.3">
      <c r="A9" s="7" t="s">
        <v>469</v>
      </c>
      <c r="B9" s="275" t="s">
        <v>470</v>
      </c>
      <c r="C9" s="17"/>
      <c r="D9" s="45" t="s">
        <v>471</v>
      </c>
    </row>
    <row r="10" spans="1:4" ht="27.6" x14ac:dyDescent="0.3">
      <c r="A10" s="9" t="s">
        <v>472</v>
      </c>
      <c r="B10" s="274">
        <v>100</v>
      </c>
      <c r="C10" s="19" t="s">
        <v>473</v>
      </c>
      <c r="D10" s="46" t="s">
        <v>474</v>
      </c>
    </row>
    <row r="11" spans="1:4" ht="27.6" x14ac:dyDescent="0.3">
      <c r="A11" s="7" t="s">
        <v>475</v>
      </c>
      <c r="B11" s="274">
        <v>0</v>
      </c>
      <c r="C11" s="17" t="s">
        <v>476</v>
      </c>
      <c r="D11" s="45" t="s">
        <v>477</v>
      </c>
    </row>
    <row r="12" spans="1:4" ht="28.8" x14ac:dyDescent="0.3">
      <c r="A12" s="9" t="s">
        <v>478</v>
      </c>
      <c r="B12" s="275" t="s">
        <v>479</v>
      </c>
      <c r="C12" s="19"/>
      <c r="D12" s="46" t="s">
        <v>480</v>
      </c>
    </row>
    <row r="13" spans="1:4" ht="28.8" x14ac:dyDescent="0.3">
      <c r="A13" s="7" t="s">
        <v>481</v>
      </c>
      <c r="B13" s="275" t="s">
        <v>482</v>
      </c>
      <c r="C13" s="17"/>
      <c r="D13" s="45" t="s">
        <v>483</v>
      </c>
    </row>
    <row r="14" spans="1:4" ht="27.6" x14ac:dyDescent="0.3">
      <c r="A14" s="9" t="s">
        <v>484</v>
      </c>
      <c r="B14" s="275" t="s">
        <v>485</v>
      </c>
      <c r="C14" s="19"/>
      <c r="D14" s="46" t="s">
        <v>486</v>
      </c>
    </row>
    <row r="16" spans="1:4" ht="15" customHeight="1" x14ac:dyDescent="0.3">
      <c r="A16" s="11" t="s">
        <v>487</v>
      </c>
    </row>
    <row r="17" spans="1:2" ht="15" customHeight="1" x14ac:dyDescent="0.3">
      <c r="A17" s="47" t="s">
        <v>488</v>
      </c>
      <c r="B17" s="1" t="s">
        <v>489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57"/>
  <sheetViews>
    <sheetView showGridLines="0" zoomScaleNormal="100" workbookViewId="0">
      <pane xSplit="5" ySplit="8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8.6640625" defaultRowHeight="14.4" x14ac:dyDescent="0.3"/>
  <cols>
    <col min="1" max="1" width="9" customWidth="1"/>
    <col min="2" max="4" width="12" customWidth="1"/>
    <col min="5" max="5" width="22" customWidth="1"/>
    <col min="6" max="6" width="14" bestFit="1" customWidth="1"/>
    <col min="7" max="7" width="24" customWidth="1"/>
    <col min="8" max="8" width="10.88671875" bestFit="1" customWidth="1"/>
    <col min="9" max="9" width="12.77734375" customWidth="1"/>
    <col min="10" max="10" width="16.109375" bestFit="1" customWidth="1"/>
    <col min="11" max="11" width="32" customWidth="1"/>
    <col min="12" max="12" width="12" customWidth="1"/>
    <col min="13" max="14" width="11" customWidth="1"/>
    <col min="15" max="15" width="10" customWidth="1"/>
    <col min="16" max="16" width="18.21875" bestFit="1" customWidth="1"/>
    <col min="17" max="17" width="10" customWidth="1"/>
    <col min="18" max="18" width="12" customWidth="1"/>
    <col min="19" max="20" width="22" customWidth="1"/>
    <col min="21" max="21" width="28" customWidth="1"/>
  </cols>
  <sheetData>
    <row r="1" spans="1:21" ht="19.5" customHeight="1" x14ac:dyDescent="0.4">
      <c r="A1" s="13" t="s">
        <v>490</v>
      </c>
    </row>
    <row r="2" spans="1:21" ht="15" customHeight="1" x14ac:dyDescent="0.3">
      <c r="A2" s="1" t="s">
        <v>491</v>
      </c>
    </row>
    <row r="3" spans="1:21" ht="15" customHeight="1" x14ac:dyDescent="0.3">
      <c r="A3" s="1" t="s">
        <v>492</v>
      </c>
    </row>
    <row r="4" spans="1:21" ht="15" customHeight="1" x14ac:dyDescent="0.3">
      <c r="A4" s="1" t="s">
        <v>493</v>
      </c>
    </row>
    <row r="6" spans="1:21" ht="15" customHeight="1" x14ac:dyDescent="0.3">
      <c r="A6" s="15" t="s">
        <v>494</v>
      </c>
      <c r="B6" s="48" t="s">
        <v>495</v>
      </c>
      <c r="D6" s="49" t="s">
        <v>496</v>
      </c>
      <c r="F6" s="50" t="s">
        <v>497</v>
      </c>
      <c r="H6" s="51" t="s">
        <v>498</v>
      </c>
      <c r="J6" s="52" t="s">
        <v>499</v>
      </c>
      <c r="L6" s="53" t="s">
        <v>500</v>
      </c>
    </row>
    <row r="8" spans="1:21" ht="43.2" x14ac:dyDescent="0.3">
      <c r="A8" s="54" t="s">
        <v>501</v>
      </c>
      <c r="B8" s="54" t="s">
        <v>502</v>
      </c>
      <c r="C8" s="55" t="s">
        <v>503</v>
      </c>
      <c r="D8" s="55" t="s">
        <v>307</v>
      </c>
      <c r="E8" s="55" t="s">
        <v>504</v>
      </c>
      <c r="F8" s="56" t="s">
        <v>505</v>
      </c>
      <c r="G8" s="56" t="s">
        <v>506</v>
      </c>
      <c r="H8" s="56" t="s">
        <v>507</v>
      </c>
      <c r="I8" s="55" t="s">
        <v>508</v>
      </c>
      <c r="J8" s="55" t="s">
        <v>509</v>
      </c>
      <c r="K8" s="56" t="s">
        <v>277</v>
      </c>
      <c r="L8" s="55" t="s">
        <v>510</v>
      </c>
      <c r="M8" s="55" t="s">
        <v>511</v>
      </c>
      <c r="N8" s="55" t="s">
        <v>512</v>
      </c>
      <c r="O8" s="55" t="s">
        <v>513</v>
      </c>
      <c r="P8" s="57" t="s">
        <v>9</v>
      </c>
      <c r="Q8" s="57" t="s">
        <v>514</v>
      </c>
      <c r="R8" s="57" t="s">
        <v>515</v>
      </c>
      <c r="S8" s="58" t="s">
        <v>516</v>
      </c>
      <c r="T8" s="58" t="s">
        <v>517</v>
      </c>
      <c r="U8" s="59" t="s">
        <v>518</v>
      </c>
    </row>
    <row r="9" spans="1:21" ht="15" customHeight="1" x14ac:dyDescent="0.3">
      <c r="A9" s="60" t="s">
        <v>519</v>
      </c>
      <c r="B9" s="61">
        <v>166147</v>
      </c>
      <c r="C9" s="62">
        <v>46179</v>
      </c>
      <c r="D9" s="63" t="s">
        <v>415</v>
      </c>
      <c r="E9" s="64" t="s">
        <v>414</v>
      </c>
      <c r="F9" s="65">
        <f>IFERROR(INDEX(M_User!$A$12:$J$67,MATCH(D9,M_User!$D$12:$D$67,0),1),"UNMAPPED")</f>
        <v>45</v>
      </c>
      <c r="G9" s="66" t="str">
        <f>IFERROR(INDEX(M_User!$A$12:$J$67,MATCH(D9,M_User!$D$12:$D$67,0),3),"UNMAPPED")</f>
        <v>Joyline J Lyimo</v>
      </c>
      <c r="H9" s="65" t="str">
        <f>IFERROR(INDEX(M_User!$A$12:$J$67,MATCH(D9,M_User!$D$12:$D$67,0),5),"UNMAPPED")</f>
        <v>MOS</v>
      </c>
      <c r="I9" s="63" t="s">
        <v>149</v>
      </c>
      <c r="J9" s="63" t="s">
        <v>229</v>
      </c>
      <c r="K9" s="66" t="str">
        <f>IFERROR(INDEX(M_SKU!$A$18:$J$57,MATCH(J9,M_SKU!$B$18:$B$57,0),1),"UNKNOWN SKU")</f>
        <v>Coke Pet 500ML ( x12)</v>
      </c>
      <c r="L9" s="63" t="s">
        <v>520</v>
      </c>
      <c r="M9" s="62">
        <v>46177</v>
      </c>
      <c r="N9" s="62">
        <v>46288</v>
      </c>
      <c r="O9" s="67">
        <v>70</v>
      </c>
      <c r="P9" s="68" t="s">
        <v>521</v>
      </c>
      <c r="Q9" s="63"/>
      <c r="R9" s="62"/>
      <c r="S9" s="69"/>
      <c r="T9" s="69"/>
      <c r="U9" s="66" t="str">
        <f t="shared" ref="U9:U72" si="0">D9 &amp; "|" &amp; J9 &amp; "|" &amp; L9</f>
        <v>MOS100802|PH001|CK6-33411</v>
      </c>
    </row>
    <row r="10" spans="1:21" ht="15" customHeight="1" x14ac:dyDescent="0.3">
      <c r="A10" s="70" t="s">
        <v>519</v>
      </c>
      <c r="B10" s="71">
        <v>166147</v>
      </c>
      <c r="C10" s="72">
        <v>46179</v>
      </c>
      <c r="D10" s="73" t="s">
        <v>415</v>
      </c>
      <c r="E10" s="74" t="s">
        <v>414</v>
      </c>
      <c r="F10" s="75">
        <f>IFERROR(INDEX(M_User!$A$12:$J$67,MATCH(D10,M_User!$D$12:$D$67,0),1),"UNMAPPED")</f>
        <v>45</v>
      </c>
      <c r="G10" s="76" t="str">
        <f>IFERROR(INDEX(M_User!$A$12:$J$67,MATCH(D10,M_User!$D$12:$D$67,0),3),"UNMAPPED")</f>
        <v>Joyline J Lyimo</v>
      </c>
      <c r="H10" s="75" t="str">
        <f>IFERROR(INDEX(M_User!$A$12:$J$67,MATCH(D10,M_User!$D$12:$D$67,0),5),"UNMAPPED")</f>
        <v>MOS</v>
      </c>
      <c r="I10" s="73" t="s">
        <v>149</v>
      </c>
      <c r="J10" s="73" t="s">
        <v>232</v>
      </c>
      <c r="K10" s="76" t="str">
        <f>IFERROR(INDEX(M_SKU!$A$18:$J$57,MATCH(J10,M_SKU!$B$18:$B$57,0),1),"UNKNOWN SKU")</f>
        <v>Sprite Pet 500ML (x 12)</v>
      </c>
      <c r="L10" s="73" t="s">
        <v>522</v>
      </c>
      <c r="M10" s="72">
        <v>46158</v>
      </c>
      <c r="N10" s="72">
        <v>46269</v>
      </c>
      <c r="O10" s="77">
        <v>15</v>
      </c>
      <c r="P10" s="78" t="s">
        <v>521</v>
      </c>
      <c r="Q10" s="79"/>
      <c r="R10" s="80"/>
      <c r="S10" s="81"/>
      <c r="T10" s="81"/>
      <c r="U10" s="82" t="str">
        <f t="shared" si="0"/>
        <v>MOS100802|PH002|CK6-33362</v>
      </c>
    </row>
    <row r="11" spans="1:21" ht="15" customHeight="1" x14ac:dyDescent="0.3">
      <c r="A11" s="60" t="s">
        <v>519</v>
      </c>
      <c r="B11" s="61">
        <v>166147</v>
      </c>
      <c r="C11" s="62">
        <v>46179</v>
      </c>
      <c r="D11" s="63" t="s">
        <v>415</v>
      </c>
      <c r="E11" s="64" t="s">
        <v>414</v>
      </c>
      <c r="F11" s="65">
        <f>IFERROR(INDEX(M_User!$A$12:$J$67,MATCH(D11,M_User!$D$12:$D$67,0),1),"UNMAPPED")</f>
        <v>45</v>
      </c>
      <c r="G11" s="66" t="str">
        <f>IFERROR(INDEX(M_User!$A$12:$J$67,MATCH(D11,M_User!$D$12:$D$67,0),3),"UNMAPPED")</f>
        <v>Joyline J Lyimo</v>
      </c>
      <c r="H11" s="65" t="str">
        <f>IFERROR(INDEX(M_User!$A$12:$J$67,MATCH(D11,M_User!$D$12:$D$67,0),5),"UNMAPPED")</f>
        <v>MOS</v>
      </c>
      <c r="I11" s="63" t="s">
        <v>149</v>
      </c>
      <c r="J11" s="63" t="s">
        <v>234</v>
      </c>
      <c r="K11" s="66" t="str">
        <f>IFERROR(INDEX(M_SKU!$A$18:$J$57,MATCH(J11,M_SKU!$B$18:$B$57,0),1),"UNKNOWN SKU")</f>
        <v>Fanta Orange Pet 500ML ( x 12)</v>
      </c>
      <c r="L11" s="63" t="s">
        <v>523</v>
      </c>
      <c r="M11" s="62">
        <v>46172</v>
      </c>
      <c r="N11" s="62">
        <v>46283</v>
      </c>
      <c r="O11" s="67">
        <v>40</v>
      </c>
      <c r="P11" s="68" t="s">
        <v>521</v>
      </c>
      <c r="Q11" s="63"/>
      <c r="R11" s="62"/>
      <c r="S11" s="69"/>
      <c r="T11" s="69"/>
      <c r="U11" s="66" t="str">
        <f t="shared" si="0"/>
        <v>MOS100802|PH003|CK6-33405</v>
      </c>
    </row>
    <row r="12" spans="1:21" ht="15" customHeight="1" x14ac:dyDescent="0.3">
      <c r="A12" s="70" t="s">
        <v>519</v>
      </c>
      <c r="B12" s="71">
        <v>166147</v>
      </c>
      <c r="C12" s="72">
        <v>46179</v>
      </c>
      <c r="D12" s="73" t="s">
        <v>415</v>
      </c>
      <c r="E12" s="74" t="s">
        <v>414</v>
      </c>
      <c r="F12" s="75">
        <f>IFERROR(INDEX(M_User!$A$12:$J$67,MATCH(D12,M_User!$D$12:$D$67,0),1),"UNMAPPED")</f>
        <v>45</v>
      </c>
      <c r="G12" s="76" t="str">
        <f>IFERROR(INDEX(M_User!$A$12:$J$67,MATCH(D12,M_User!$D$12:$D$67,0),3),"UNMAPPED")</f>
        <v>Joyline J Lyimo</v>
      </c>
      <c r="H12" s="75" t="str">
        <f>IFERROR(INDEX(M_User!$A$12:$J$67,MATCH(D12,M_User!$D$12:$D$67,0),5),"UNMAPPED")</f>
        <v>MOS</v>
      </c>
      <c r="I12" s="73" t="s">
        <v>149</v>
      </c>
      <c r="J12" s="73" t="s">
        <v>236</v>
      </c>
      <c r="K12" s="76" t="str">
        <f>IFERROR(INDEX(M_SKU!$A$18:$J$57,MATCH(J12,M_SKU!$B$18:$B$57,0),1),"UNKNOWN SKU")</f>
        <v>Fanta Passion Pet 500ML ( x12)</v>
      </c>
      <c r="L12" s="73" t="s">
        <v>524</v>
      </c>
      <c r="M12" s="72">
        <v>46151</v>
      </c>
      <c r="N12" s="72">
        <v>46262</v>
      </c>
      <c r="O12" s="77">
        <v>15</v>
      </c>
      <c r="P12" s="78" t="s">
        <v>521</v>
      </c>
      <c r="Q12" s="79"/>
      <c r="R12" s="80"/>
      <c r="S12" s="81"/>
      <c r="T12" s="81"/>
      <c r="U12" s="82" t="str">
        <f t="shared" si="0"/>
        <v>MOS100802|PH004|CK5-33334</v>
      </c>
    </row>
    <row r="13" spans="1:21" ht="15" customHeight="1" x14ac:dyDescent="0.3">
      <c r="A13" s="60" t="s">
        <v>519</v>
      </c>
      <c r="B13" s="61">
        <v>166147</v>
      </c>
      <c r="C13" s="62">
        <v>46179</v>
      </c>
      <c r="D13" s="63" t="s">
        <v>415</v>
      </c>
      <c r="E13" s="64" t="s">
        <v>414</v>
      </c>
      <c r="F13" s="65">
        <f>IFERROR(INDEX(M_User!$A$12:$J$67,MATCH(D13,M_User!$D$12:$D$67,0),1),"UNMAPPED")</f>
        <v>45</v>
      </c>
      <c r="G13" s="66" t="str">
        <f>IFERROR(INDEX(M_User!$A$12:$J$67,MATCH(D13,M_User!$D$12:$D$67,0),3),"UNMAPPED")</f>
        <v>Joyline J Lyimo</v>
      </c>
      <c r="H13" s="65" t="str">
        <f>IFERROR(INDEX(M_User!$A$12:$J$67,MATCH(D13,M_User!$D$12:$D$67,0),5),"UNMAPPED")</f>
        <v>MOS</v>
      </c>
      <c r="I13" s="63" t="s">
        <v>149</v>
      </c>
      <c r="J13" s="63" t="s">
        <v>242</v>
      </c>
      <c r="K13" s="66" t="str">
        <f>IFERROR(INDEX(M_SKU!$A$18:$J$57,MATCH(J13,M_SKU!$B$18:$B$57,0),1),"UNKNOWN SKU")</f>
        <v>Stoney Tangawizi Pet 500 ml ( x12)</v>
      </c>
      <c r="L13" s="63" t="s">
        <v>525</v>
      </c>
      <c r="M13" s="62">
        <v>46161</v>
      </c>
      <c r="N13" s="62">
        <v>46272</v>
      </c>
      <c r="O13" s="67">
        <v>5</v>
      </c>
      <c r="P13" s="68" t="s">
        <v>521</v>
      </c>
      <c r="Q13" s="63"/>
      <c r="R13" s="62"/>
      <c r="S13" s="69"/>
      <c r="T13" s="69"/>
      <c r="U13" s="66" t="str">
        <f t="shared" si="0"/>
        <v>MOS100802|PH007|CK6-33375</v>
      </c>
    </row>
    <row r="14" spans="1:21" ht="15" customHeight="1" x14ac:dyDescent="0.3">
      <c r="A14" s="70" t="s">
        <v>519</v>
      </c>
      <c r="B14" s="71">
        <v>166147</v>
      </c>
      <c r="C14" s="72">
        <v>46179</v>
      </c>
      <c r="D14" s="73" t="s">
        <v>415</v>
      </c>
      <c r="E14" s="74" t="s">
        <v>414</v>
      </c>
      <c r="F14" s="75">
        <f>IFERROR(INDEX(M_User!$A$12:$J$67,MATCH(D14,M_User!$D$12:$D$67,0),1),"UNMAPPED")</f>
        <v>45</v>
      </c>
      <c r="G14" s="76" t="str">
        <f>IFERROR(INDEX(M_User!$A$12:$J$67,MATCH(D14,M_User!$D$12:$D$67,0),3),"UNMAPPED")</f>
        <v>Joyline J Lyimo</v>
      </c>
      <c r="H14" s="75" t="str">
        <f>IFERROR(INDEX(M_User!$A$12:$J$67,MATCH(D14,M_User!$D$12:$D$67,0),5),"UNMAPPED")</f>
        <v>MOS</v>
      </c>
      <c r="I14" s="73" t="s">
        <v>149</v>
      </c>
      <c r="J14" s="73" t="s">
        <v>244</v>
      </c>
      <c r="K14" s="76" t="str">
        <f>IFERROR(INDEX(M_SKU!$A$18:$J$57,MATCH(J14,M_SKU!$B$18:$B$57,0),1),"UNKNOWN SKU")</f>
        <v>Sparletta Pinenut Pet 500 ml ( x12)</v>
      </c>
      <c r="L14" s="73" t="s">
        <v>526</v>
      </c>
      <c r="M14" s="72">
        <v>46161</v>
      </c>
      <c r="N14" s="72">
        <v>46272</v>
      </c>
      <c r="O14" s="77">
        <v>5</v>
      </c>
      <c r="P14" s="78" t="s">
        <v>521</v>
      </c>
      <c r="Q14" s="79"/>
      <c r="R14" s="80"/>
      <c r="S14" s="81"/>
      <c r="T14" s="81"/>
      <c r="U14" s="82" t="str">
        <f t="shared" si="0"/>
        <v>MOS100802|PH008|CK5-33370</v>
      </c>
    </row>
    <row r="15" spans="1:21" ht="15" customHeight="1" x14ac:dyDescent="0.3">
      <c r="A15" s="60" t="s">
        <v>527</v>
      </c>
      <c r="B15" s="61">
        <v>166148</v>
      </c>
      <c r="C15" s="62">
        <v>46179</v>
      </c>
      <c r="D15" s="63" t="s">
        <v>404</v>
      </c>
      <c r="E15" s="64" t="s">
        <v>528</v>
      </c>
      <c r="F15" s="65">
        <f>IFERROR(INDEX(M_User!$A$12:$J$67,MATCH(D15,M_User!$D$12:$D$67,0),1),"UNMAPPED")</f>
        <v>50</v>
      </c>
      <c r="G15" s="66" t="str">
        <f>IFERROR(INDEX(M_User!$A$12:$J$67,MATCH(D15,M_User!$D$12:$D$67,0),3),"UNMAPPED")</f>
        <v>Riziki Rajabu Mghamba</v>
      </c>
      <c r="H15" s="65" t="str">
        <f>IFERROR(INDEX(M_User!$A$12:$J$67,MATCH(D15,M_User!$D$12:$D$67,0),5),"UNMAPPED")</f>
        <v>MOS</v>
      </c>
      <c r="I15" s="63" t="s">
        <v>149</v>
      </c>
      <c r="J15" s="63" t="s">
        <v>170</v>
      </c>
      <c r="K15" s="66" t="str">
        <f>IFERROR(INDEX(M_SKU!$A$18:$J$57,MATCH(J15,M_SKU!$B$18:$B$57,0),1),"UNKNOWN SKU")</f>
        <v>Coke RGB 350ml</v>
      </c>
      <c r="L15" s="63" t="s">
        <v>529</v>
      </c>
      <c r="M15" s="62">
        <v>46175</v>
      </c>
      <c r="N15" s="62">
        <v>46539</v>
      </c>
      <c r="O15" s="67">
        <v>15.58</v>
      </c>
      <c r="P15" s="68" t="s">
        <v>521</v>
      </c>
      <c r="Q15" s="63"/>
      <c r="R15" s="62"/>
      <c r="S15" s="69"/>
      <c r="T15" s="69"/>
      <c r="U15" s="66" t="str">
        <f t="shared" si="0"/>
        <v>MOS100645|FG001|CK3-33408</v>
      </c>
    </row>
    <row r="16" spans="1:21" ht="15" customHeight="1" x14ac:dyDescent="0.3">
      <c r="A16" s="70" t="s">
        <v>527</v>
      </c>
      <c r="B16" s="71">
        <v>166148</v>
      </c>
      <c r="C16" s="72">
        <v>46179</v>
      </c>
      <c r="D16" s="73" t="s">
        <v>404</v>
      </c>
      <c r="E16" s="74" t="s">
        <v>528</v>
      </c>
      <c r="F16" s="75">
        <f>IFERROR(INDEX(M_User!$A$12:$J$67,MATCH(D16,M_User!$D$12:$D$67,0),1),"UNMAPPED")</f>
        <v>50</v>
      </c>
      <c r="G16" s="76" t="str">
        <f>IFERROR(INDEX(M_User!$A$12:$J$67,MATCH(D16,M_User!$D$12:$D$67,0),3),"UNMAPPED")</f>
        <v>Riziki Rajabu Mghamba</v>
      </c>
      <c r="H16" s="75" t="str">
        <f>IFERROR(INDEX(M_User!$A$12:$J$67,MATCH(D16,M_User!$D$12:$D$67,0),5),"UNMAPPED")</f>
        <v>MOS</v>
      </c>
      <c r="I16" s="73" t="s">
        <v>149</v>
      </c>
      <c r="J16" s="73" t="s">
        <v>170</v>
      </c>
      <c r="K16" s="76" t="str">
        <f>IFERROR(INDEX(M_SKU!$A$18:$J$57,MATCH(J16,M_SKU!$B$18:$B$57,0),1),"UNKNOWN SKU")</f>
        <v>Coke RGB 350ml</v>
      </c>
      <c r="L16" s="73" t="s">
        <v>530</v>
      </c>
      <c r="M16" s="72">
        <v>46175</v>
      </c>
      <c r="N16" s="72">
        <v>46539</v>
      </c>
      <c r="O16" s="77">
        <v>64.42</v>
      </c>
      <c r="P16" s="78" t="s">
        <v>521</v>
      </c>
      <c r="Q16" s="79"/>
      <c r="R16" s="80"/>
      <c r="S16" s="81"/>
      <c r="T16" s="81"/>
      <c r="U16" s="82" t="str">
        <f t="shared" si="0"/>
        <v>MOS100645|FG001|CK3-33409</v>
      </c>
    </row>
    <row r="17" spans="1:21" ht="15" customHeight="1" x14ac:dyDescent="0.3">
      <c r="A17" s="60" t="s">
        <v>527</v>
      </c>
      <c r="B17" s="61">
        <v>166148</v>
      </c>
      <c r="C17" s="62">
        <v>46179</v>
      </c>
      <c r="D17" s="63" t="s">
        <v>404</v>
      </c>
      <c r="E17" s="64" t="s">
        <v>528</v>
      </c>
      <c r="F17" s="65">
        <f>IFERROR(INDEX(M_User!$A$12:$J$67,MATCH(D17,M_User!$D$12:$D$67,0),1),"UNMAPPED")</f>
        <v>50</v>
      </c>
      <c r="G17" s="66" t="str">
        <f>IFERROR(INDEX(M_User!$A$12:$J$67,MATCH(D17,M_User!$D$12:$D$67,0),3),"UNMAPPED")</f>
        <v>Riziki Rajabu Mghamba</v>
      </c>
      <c r="H17" s="65" t="str">
        <f>IFERROR(INDEX(M_User!$A$12:$J$67,MATCH(D17,M_User!$D$12:$D$67,0),5),"UNMAPPED")</f>
        <v>MOS</v>
      </c>
      <c r="I17" s="63" t="s">
        <v>149</v>
      </c>
      <c r="J17" s="63" t="s">
        <v>178</v>
      </c>
      <c r="K17" s="66" t="str">
        <f>IFERROR(INDEX(M_SKU!$A$18:$J$57,MATCH(J17,M_SKU!$B$18:$B$57,0),1),"UNKNOWN SKU")</f>
        <v>Fanta Orange RGB 350ml</v>
      </c>
      <c r="L17" s="63" t="s">
        <v>531</v>
      </c>
      <c r="M17" s="62">
        <v>46174</v>
      </c>
      <c r="N17" s="62">
        <v>46538</v>
      </c>
      <c r="O17" s="67">
        <v>30</v>
      </c>
      <c r="P17" s="68" t="s">
        <v>521</v>
      </c>
      <c r="Q17" s="63"/>
      <c r="R17" s="62"/>
      <c r="S17" s="69"/>
      <c r="T17" s="69"/>
      <c r="U17" s="66" t="str">
        <f t="shared" si="0"/>
        <v>MOS100645|FG002|CK3-33407</v>
      </c>
    </row>
    <row r="18" spans="1:21" ht="15" customHeight="1" x14ac:dyDescent="0.3">
      <c r="A18" s="70" t="s">
        <v>527</v>
      </c>
      <c r="B18" s="71">
        <v>166148</v>
      </c>
      <c r="C18" s="72">
        <v>46179</v>
      </c>
      <c r="D18" s="73" t="s">
        <v>404</v>
      </c>
      <c r="E18" s="74" t="s">
        <v>528</v>
      </c>
      <c r="F18" s="75">
        <f>IFERROR(INDEX(M_User!$A$12:$J$67,MATCH(D18,M_User!$D$12:$D$67,0),1),"UNMAPPED")</f>
        <v>50</v>
      </c>
      <c r="G18" s="76" t="str">
        <f>IFERROR(INDEX(M_User!$A$12:$J$67,MATCH(D18,M_User!$D$12:$D$67,0),3),"UNMAPPED")</f>
        <v>Riziki Rajabu Mghamba</v>
      </c>
      <c r="H18" s="75" t="str">
        <f>IFERROR(INDEX(M_User!$A$12:$J$67,MATCH(D18,M_User!$D$12:$D$67,0),5),"UNMAPPED")</f>
        <v>MOS</v>
      </c>
      <c r="I18" s="73" t="s">
        <v>149</v>
      </c>
      <c r="J18" s="73" t="s">
        <v>181</v>
      </c>
      <c r="K18" s="76" t="str">
        <f>IFERROR(INDEX(M_SKU!$A$18:$J$57,MATCH(J18,M_SKU!$B$18:$B$57,0),1),"UNKNOWN SKU")</f>
        <v>Fanta Passion RGB 350ml</v>
      </c>
      <c r="L18" s="73" t="s">
        <v>532</v>
      </c>
      <c r="M18" s="72">
        <v>46164</v>
      </c>
      <c r="N18" s="72">
        <v>46528</v>
      </c>
      <c r="O18" s="77">
        <v>15</v>
      </c>
      <c r="P18" s="78" t="s">
        <v>521</v>
      </c>
      <c r="Q18" s="79"/>
      <c r="R18" s="80"/>
      <c r="S18" s="81"/>
      <c r="T18" s="81"/>
      <c r="U18" s="82" t="str">
        <f t="shared" si="0"/>
        <v>MOS100645|FG003|CK3-33387</v>
      </c>
    </row>
    <row r="19" spans="1:21" ht="15" customHeight="1" x14ac:dyDescent="0.3">
      <c r="A19" s="60" t="s">
        <v>527</v>
      </c>
      <c r="B19" s="61">
        <v>166148</v>
      </c>
      <c r="C19" s="62">
        <v>46179</v>
      </c>
      <c r="D19" s="63" t="s">
        <v>404</v>
      </c>
      <c r="E19" s="64" t="s">
        <v>528</v>
      </c>
      <c r="F19" s="65">
        <f>IFERROR(INDEX(M_User!$A$12:$J$67,MATCH(D19,M_User!$D$12:$D$67,0),1),"UNMAPPED")</f>
        <v>50</v>
      </c>
      <c r="G19" s="66" t="str">
        <f>IFERROR(INDEX(M_User!$A$12:$J$67,MATCH(D19,M_User!$D$12:$D$67,0),3),"UNMAPPED")</f>
        <v>Riziki Rajabu Mghamba</v>
      </c>
      <c r="H19" s="65" t="str">
        <f>IFERROR(INDEX(M_User!$A$12:$J$67,MATCH(D19,M_User!$D$12:$D$67,0),5),"UNMAPPED")</f>
        <v>MOS</v>
      </c>
      <c r="I19" s="63" t="s">
        <v>149</v>
      </c>
      <c r="J19" s="63" t="s">
        <v>183</v>
      </c>
      <c r="K19" s="66" t="str">
        <f>IFERROR(INDEX(M_SKU!$A$18:$J$57,MATCH(J19,M_SKU!$B$18:$B$57,0),1),"UNKNOWN SKU")</f>
        <v>Fanta Pineapple RGB 350ml</v>
      </c>
      <c r="L19" s="63" t="s">
        <v>533</v>
      </c>
      <c r="M19" s="62">
        <v>46163</v>
      </c>
      <c r="N19" s="62">
        <v>46527</v>
      </c>
      <c r="O19" s="67">
        <v>15</v>
      </c>
      <c r="P19" s="68" t="s">
        <v>521</v>
      </c>
      <c r="Q19" s="63"/>
      <c r="R19" s="62"/>
      <c r="S19" s="69"/>
      <c r="T19" s="69"/>
      <c r="U19" s="66" t="str">
        <f t="shared" si="0"/>
        <v>MOS100645|FG004|CK3-33385</v>
      </c>
    </row>
    <row r="20" spans="1:21" ht="15" customHeight="1" x14ac:dyDescent="0.3">
      <c r="A20" s="70" t="s">
        <v>527</v>
      </c>
      <c r="B20" s="71">
        <v>166148</v>
      </c>
      <c r="C20" s="72">
        <v>46179</v>
      </c>
      <c r="D20" s="73" t="s">
        <v>404</v>
      </c>
      <c r="E20" s="74" t="s">
        <v>528</v>
      </c>
      <c r="F20" s="75">
        <f>IFERROR(INDEX(M_User!$A$12:$J$67,MATCH(D20,M_User!$D$12:$D$67,0),1),"UNMAPPED")</f>
        <v>50</v>
      </c>
      <c r="G20" s="76" t="str">
        <f>IFERROR(INDEX(M_User!$A$12:$J$67,MATCH(D20,M_User!$D$12:$D$67,0),3),"UNMAPPED")</f>
        <v>Riziki Rajabu Mghamba</v>
      </c>
      <c r="H20" s="75" t="str">
        <f>IFERROR(INDEX(M_User!$A$12:$J$67,MATCH(D20,M_User!$D$12:$D$67,0),5),"UNMAPPED")</f>
        <v>MOS</v>
      </c>
      <c r="I20" s="73" t="s">
        <v>149</v>
      </c>
      <c r="J20" s="73" t="s">
        <v>185</v>
      </c>
      <c r="K20" s="76" t="str">
        <f>IFERROR(INDEX(M_SKU!$A$18:$J$57,MATCH(J20,M_SKU!$B$18:$B$57,0),1),"UNKNOWN SKU")</f>
        <v>Fanta Fruit Blast RGB 350 ml</v>
      </c>
      <c r="L20" s="73" t="s">
        <v>534</v>
      </c>
      <c r="M20" s="72">
        <v>46171</v>
      </c>
      <c r="N20" s="72">
        <v>46535</v>
      </c>
      <c r="O20" s="77">
        <v>12</v>
      </c>
      <c r="P20" s="78" t="s">
        <v>521</v>
      </c>
      <c r="Q20" s="79"/>
      <c r="R20" s="80"/>
      <c r="S20" s="81"/>
      <c r="T20" s="81"/>
      <c r="U20" s="82" t="str">
        <f t="shared" si="0"/>
        <v>MOS100645|FG005|CK3-33402</v>
      </c>
    </row>
    <row r="21" spans="1:21" ht="15" customHeight="1" x14ac:dyDescent="0.3">
      <c r="A21" s="60" t="s">
        <v>527</v>
      </c>
      <c r="B21" s="61">
        <v>166148</v>
      </c>
      <c r="C21" s="62">
        <v>46179</v>
      </c>
      <c r="D21" s="63" t="s">
        <v>404</v>
      </c>
      <c r="E21" s="64" t="s">
        <v>528</v>
      </c>
      <c r="F21" s="65">
        <f>IFERROR(INDEX(M_User!$A$12:$J$67,MATCH(D21,M_User!$D$12:$D$67,0),1),"UNMAPPED")</f>
        <v>50</v>
      </c>
      <c r="G21" s="66" t="str">
        <f>IFERROR(INDEX(M_User!$A$12:$J$67,MATCH(D21,M_User!$D$12:$D$67,0),3),"UNMAPPED")</f>
        <v>Riziki Rajabu Mghamba</v>
      </c>
      <c r="H21" s="65" t="str">
        <f>IFERROR(INDEX(M_User!$A$12:$J$67,MATCH(D21,M_User!$D$12:$D$67,0),5),"UNMAPPED")</f>
        <v>MOS</v>
      </c>
      <c r="I21" s="63" t="s">
        <v>149</v>
      </c>
      <c r="J21" s="63" t="s">
        <v>187</v>
      </c>
      <c r="K21" s="66" t="str">
        <f>IFERROR(INDEX(M_SKU!$A$18:$J$57,MATCH(J21,M_SKU!$B$18:$B$57,0),1),"UNKNOWN SKU")</f>
        <v>Sprite 350ml</v>
      </c>
      <c r="L21" s="63" t="s">
        <v>535</v>
      </c>
      <c r="M21" s="62">
        <v>46177</v>
      </c>
      <c r="N21" s="62">
        <v>46541</v>
      </c>
      <c r="O21" s="67">
        <v>15</v>
      </c>
      <c r="P21" s="68" t="s">
        <v>521</v>
      </c>
      <c r="Q21" s="63"/>
      <c r="R21" s="62"/>
      <c r="S21" s="69"/>
      <c r="T21" s="69"/>
      <c r="U21" s="66" t="str">
        <f t="shared" si="0"/>
        <v>MOS100645|FG006|CK3-33414</v>
      </c>
    </row>
    <row r="22" spans="1:21" ht="15" customHeight="1" x14ac:dyDescent="0.3">
      <c r="A22" s="70" t="s">
        <v>527</v>
      </c>
      <c r="B22" s="71">
        <v>166148</v>
      </c>
      <c r="C22" s="72">
        <v>46179</v>
      </c>
      <c r="D22" s="73" t="s">
        <v>404</v>
      </c>
      <c r="E22" s="74" t="s">
        <v>528</v>
      </c>
      <c r="F22" s="75">
        <f>IFERROR(INDEX(M_User!$A$12:$J$67,MATCH(D22,M_User!$D$12:$D$67,0),1),"UNMAPPED")</f>
        <v>50</v>
      </c>
      <c r="G22" s="76" t="str">
        <f>IFERROR(INDEX(M_User!$A$12:$J$67,MATCH(D22,M_User!$D$12:$D$67,0),3),"UNMAPPED")</f>
        <v>Riziki Rajabu Mghamba</v>
      </c>
      <c r="H22" s="75" t="str">
        <f>IFERROR(INDEX(M_User!$A$12:$J$67,MATCH(D22,M_User!$D$12:$D$67,0),5),"UNMAPPED")</f>
        <v>MOS</v>
      </c>
      <c r="I22" s="73" t="s">
        <v>149</v>
      </c>
      <c r="J22" s="73" t="s">
        <v>190</v>
      </c>
      <c r="K22" s="76" t="str">
        <f>IFERROR(INDEX(M_SKU!$A$18:$J$57,MATCH(J22,M_SKU!$B$18:$B$57,0),1),"UNKNOWN SKU")</f>
        <v>Stoney Tangawizi RGB 350ml</v>
      </c>
      <c r="L22" s="73" t="s">
        <v>536</v>
      </c>
      <c r="M22" s="72">
        <v>46172</v>
      </c>
      <c r="N22" s="72">
        <v>46353</v>
      </c>
      <c r="O22" s="77">
        <v>5</v>
      </c>
      <c r="P22" s="78" t="s">
        <v>521</v>
      </c>
      <c r="Q22" s="79"/>
      <c r="R22" s="80"/>
      <c r="S22" s="81"/>
      <c r="T22" s="81"/>
      <c r="U22" s="82" t="str">
        <f t="shared" si="0"/>
        <v>MOS100645|FG007|CK3-33404</v>
      </c>
    </row>
    <row r="23" spans="1:21" ht="15" customHeight="1" x14ac:dyDescent="0.3">
      <c r="A23" s="60" t="s">
        <v>527</v>
      </c>
      <c r="B23" s="61">
        <v>166148</v>
      </c>
      <c r="C23" s="62">
        <v>46179</v>
      </c>
      <c r="D23" s="63" t="s">
        <v>404</v>
      </c>
      <c r="E23" s="64" t="s">
        <v>528</v>
      </c>
      <c r="F23" s="65">
        <f>IFERROR(INDEX(M_User!$A$12:$J$67,MATCH(D23,M_User!$D$12:$D$67,0),1),"UNMAPPED")</f>
        <v>50</v>
      </c>
      <c r="G23" s="66" t="str">
        <f>IFERROR(INDEX(M_User!$A$12:$J$67,MATCH(D23,M_User!$D$12:$D$67,0),3),"UNMAPPED")</f>
        <v>Riziki Rajabu Mghamba</v>
      </c>
      <c r="H23" s="65" t="str">
        <f>IFERROR(INDEX(M_User!$A$12:$J$67,MATCH(D23,M_User!$D$12:$D$67,0),5),"UNMAPPED")</f>
        <v>MOS</v>
      </c>
      <c r="I23" s="63" t="s">
        <v>149</v>
      </c>
      <c r="J23" s="63" t="s">
        <v>193</v>
      </c>
      <c r="K23" s="66" t="str">
        <f>IFERROR(INDEX(M_SKU!$A$18:$J$57,MATCH(J23,M_SKU!$B$18:$B$57,0),1),"UNKNOWN SKU")</f>
        <v>Sparletta Pinenut RGB 350ml</v>
      </c>
      <c r="L23" s="63" t="s">
        <v>537</v>
      </c>
      <c r="M23" s="62">
        <v>46158</v>
      </c>
      <c r="N23" s="62">
        <v>46522</v>
      </c>
      <c r="O23" s="67">
        <v>5</v>
      </c>
      <c r="P23" s="68" t="s">
        <v>521</v>
      </c>
      <c r="Q23" s="63"/>
      <c r="R23" s="62"/>
      <c r="S23" s="69"/>
      <c r="T23" s="69"/>
      <c r="U23" s="66" t="str">
        <f t="shared" si="0"/>
        <v>MOS100645|FG008|CK3-33365</v>
      </c>
    </row>
    <row r="24" spans="1:21" ht="15" customHeight="1" x14ac:dyDescent="0.3">
      <c r="A24" s="70" t="s">
        <v>527</v>
      </c>
      <c r="B24" s="71">
        <v>166148</v>
      </c>
      <c r="C24" s="72">
        <v>46179</v>
      </c>
      <c r="D24" s="73" t="s">
        <v>404</v>
      </c>
      <c r="E24" s="74" t="s">
        <v>528</v>
      </c>
      <c r="F24" s="75">
        <f>IFERROR(INDEX(M_User!$A$12:$J$67,MATCH(D24,M_User!$D$12:$D$67,0),1),"UNMAPPED")</f>
        <v>50</v>
      </c>
      <c r="G24" s="76" t="str">
        <f>IFERROR(INDEX(M_User!$A$12:$J$67,MATCH(D24,M_User!$D$12:$D$67,0),3),"UNMAPPED")</f>
        <v>Riziki Rajabu Mghamba</v>
      </c>
      <c r="H24" s="75" t="str">
        <f>IFERROR(INDEX(M_User!$A$12:$J$67,MATCH(D24,M_User!$D$12:$D$67,0),5),"UNMAPPED")</f>
        <v>MOS</v>
      </c>
      <c r="I24" s="73" t="s">
        <v>149</v>
      </c>
      <c r="J24" s="73" t="s">
        <v>196</v>
      </c>
      <c r="K24" s="76" t="str">
        <f>IFERROR(INDEX(M_SKU!$A$18:$J$57,MATCH(J24,M_SKU!$B$18:$B$57,0),1),"UNKNOWN SKU")</f>
        <v>Krest Bitter Lemon RGB 300ml</v>
      </c>
      <c r="L24" s="73" t="s">
        <v>538</v>
      </c>
      <c r="M24" s="72">
        <v>46154</v>
      </c>
      <c r="N24" s="72">
        <v>46518</v>
      </c>
      <c r="O24" s="77">
        <v>2</v>
      </c>
      <c r="P24" s="78" t="s">
        <v>521</v>
      </c>
      <c r="Q24" s="79"/>
      <c r="R24" s="80"/>
      <c r="S24" s="81"/>
      <c r="T24" s="81"/>
      <c r="U24" s="82" t="str">
        <f t="shared" si="0"/>
        <v>MOS100645|FG009|CK3-33348</v>
      </c>
    </row>
    <row r="25" spans="1:21" ht="15" customHeight="1" x14ac:dyDescent="0.3">
      <c r="A25" s="60" t="s">
        <v>527</v>
      </c>
      <c r="B25" s="61">
        <v>166148</v>
      </c>
      <c r="C25" s="62">
        <v>46179</v>
      </c>
      <c r="D25" s="63" t="s">
        <v>404</v>
      </c>
      <c r="E25" s="64" t="s">
        <v>528</v>
      </c>
      <c r="F25" s="65">
        <f>IFERROR(INDEX(M_User!$A$12:$J$67,MATCH(D25,M_User!$D$12:$D$67,0),1),"UNMAPPED")</f>
        <v>50</v>
      </c>
      <c r="G25" s="66" t="str">
        <f>IFERROR(INDEX(M_User!$A$12:$J$67,MATCH(D25,M_User!$D$12:$D$67,0),3),"UNMAPPED")</f>
        <v>Riziki Rajabu Mghamba</v>
      </c>
      <c r="H25" s="65" t="str">
        <f>IFERROR(INDEX(M_User!$A$12:$J$67,MATCH(D25,M_User!$D$12:$D$67,0),5),"UNMAPPED")</f>
        <v>MOS</v>
      </c>
      <c r="I25" s="63" t="s">
        <v>149</v>
      </c>
      <c r="J25" s="63" t="s">
        <v>199</v>
      </c>
      <c r="K25" s="66" t="str">
        <f>IFERROR(INDEX(M_SKU!$A$18:$J$57,MATCH(J25,M_SKU!$B$18:$B$57,0),1),"UNKNOWN SKU")</f>
        <v>Krest Club Soda RGB 300ml</v>
      </c>
      <c r="L25" s="63" t="s">
        <v>539</v>
      </c>
      <c r="M25" s="62">
        <v>46140</v>
      </c>
      <c r="N25" s="62">
        <v>46504</v>
      </c>
      <c r="O25" s="67">
        <v>2</v>
      </c>
      <c r="P25" s="68" t="s">
        <v>521</v>
      </c>
      <c r="Q25" s="63"/>
      <c r="R25" s="62"/>
      <c r="S25" s="69"/>
      <c r="T25" s="69"/>
      <c r="U25" s="66" t="str">
        <f t="shared" si="0"/>
        <v>MOS100645|FG010|CK3-33301</v>
      </c>
    </row>
    <row r="26" spans="1:21" ht="15" customHeight="1" x14ac:dyDescent="0.3">
      <c r="A26" s="70" t="s">
        <v>527</v>
      </c>
      <c r="B26" s="71">
        <v>166148</v>
      </c>
      <c r="C26" s="72">
        <v>46179</v>
      </c>
      <c r="D26" s="73" t="s">
        <v>404</v>
      </c>
      <c r="E26" s="74" t="s">
        <v>528</v>
      </c>
      <c r="F26" s="75">
        <f>IFERROR(INDEX(M_User!$A$12:$J$67,MATCH(D26,M_User!$D$12:$D$67,0),1),"UNMAPPED")</f>
        <v>50</v>
      </c>
      <c r="G26" s="76" t="str">
        <f>IFERROR(INDEX(M_User!$A$12:$J$67,MATCH(D26,M_User!$D$12:$D$67,0),3),"UNMAPPED")</f>
        <v>Riziki Rajabu Mghamba</v>
      </c>
      <c r="H26" s="75" t="str">
        <f>IFERROR(INDEX(M_User!$A$12:$J$67,MATCH(D26,M_User!$D$12:$D$67,0),5),"UNMAPPED")</f>
        <v>MOS</v>
      </c>
      <c r="I26" s="73" t="s">
        <v>149</v>
      </c>
      <c r="J26" s="73" t="s">
        <v>201</v>
      </c>
      <c r="K26" s="76" t="str">
        <f>IFERROR(INDEX(M_SKU!$A$18:$J$57,MATCH(J26,M_SKU!$B$18:$B$57,0),1),"UNKNOWN SKU")</f>
        <v>Krest Tonic Water RGB 300ml</v>
      </c>
      <c r="L26" s="73" t="s">
        <v>540</v>
      </c>
      <c r="M26" s="72">
        <v>46154</v>
      </c>
      <c r="N26" s="72">
        <v>46518</v>
      </c>
      <c r="O26" s="77">
        <v>2</v>
      </c>
      <c r="P26" s="78" t="s">
        <v>521</v>
      </c>
      <c r="Q26" s="79"/>
      <c r="R26" s="80"/>
      <c r="S26" s="81"/>
      <c r="T26" s="81"/>
      <c r="U26" s="82" t="str">
        <f t="shared" si="0"/>
        <v>MOS100645|FG011|CK3-33347</v>
      </c>
    </row>
    <row r="27" spans="1:21" ht="15" customHeight="1" x14ac:dyDescent="0.3">
      <c r="A27" s="60" t="s">
        <v>527</v>
      </c>
      <c r="B27" s="61">
        <v>166148</v>
      </c>
      <c r="C27" s="62">
        <v>46179</v>
      </c>
      <c r="D27" s="63" t="s">
        <v>404</v>
      </c>
      <c r="E27" s="64" t="s">
        <v>528</v>
      </c>
      <c r="F27" s="65">
        <f>IFERROR(INDEX(M_User!$A$12:$J$67,MATCH(D27,M_User!$D$12:$D$67,0),1),"UNMAPPED")</f>
        <v>50</v>
      </c>
      <c r="G27" s="66" t="str">
        <f>IFERROR(INDEX(M_User!$A$12:$J$67,MATCH(D27,M_User!$D$12:$D$67,0),3),"UNMAPPED")</f>
        <v>Riziki Rajabu Mghamba</v>
      </c>
      <c r="H27" s="65" t="str">
        <f>IFERROR(INDEX(M_User!$A$12:$J$67,MATCH(D27,M_User!$D$12:$D$67,0),5),"UNMAPPED")</f>
        <v>MOS</v>
      </c>
      <c r="I27" s="63" t="s">
        <v>149</v>
      </c>
      <c r="J27" s="63" t="s">
        <v>203</v>
      </c>
      <c r="K27" s="66" t="str">
        <f>IFERROR(INDEX(M_SKU!$A$18:$J$57,MATCH(J27,M_SKU!$B$18:$B$57,0),1),"UNKNOWN SKU")</f>
        <v>Krest Ginger Ale RGB 300ml</v>
      </c>
      <c r="L27" s="63" t="s">
        <v>541</v>
      </c>
      <c r="M27" s="62">
        <v>46088</v>
      </c>
      <c r="N27" s="62">
        <v>46452</v>
      </c>
      <c r="O27" s="67">
        <v>1</v>
      </c>
      <c r="P27" s="68" t="s">
        <v>521</v>
      </c>
      <c r="Q27" s="63"/>
      <c r="R27" s="62"/>
      <c r="S27" s="69"/>
      <c r="T27" s="69"/>
      <c r="U27" s="66" t="str">
        <f t="shared" si="0"/>
        <v>MOS100645|FG012|CK3-33126</v>
      </c>
    </row>
    <row r="28" spans="1:21" ht="15" customHeight="1" x14ac:dyDescent="0.3">
      <c r="A28" s="70" t="s">
        <v>527</v>
      </c>
      <c r="B28" s="71">
        <v>166148</v>
      </c>
      <c r="C28" s="72">
        <v>46179</v>
      </c>
      <c r="D28" s="73" t="s">
        <v>404</v>
      </c>
      <c r="E28" s="74" t="s">
        <v>528</v>
      </c>
      <c r="F28" s="75">
        <f>IFERROR(INDEX(M_User!$A$12:$J$67,MATCH(D28,M_User!$D$12:$D$67,0),1),"UNMAPPED")</f>
        <v>50</v>
      </c>
      <c r="G28" s="76" t="str">
        <f>IFERROR(INDEX(M_User!$A$12:$J$67,MATCH(D28,M_User!$D$12:$D$67,0),3),"UNMAPPED")</f>
        <v>Riziki Rajabu Mghamba</v>
      </c>
      <c r="H28" s="75" t="str">
        <f>IFERROR(INDEX(M_User!$A$12:$J$67,MATCH(D28,M_User!$D$12:$D$67,0),5),"UNMAPPED")</f>
        <v>MOS</v>
      </c>
      <c r="I28" s="73" t="s">
        <v>149</v>
      </c>
      <c r="J28" s="73" t="s">
        <v>209</v>
      </c>
      <c r="K28" s="76" t="str">
        <f>IFERROR(INDEX(M_SKU!$A$18:$J$57,MATCH(J28,M_SKU!$B$18:$B$57,0),1),"UNKNOWN SKU")</f>
        <v>Sparletta Red Apple RGB 350ml</v>
      </c>
      <c r="L28" s="73" t="s">
        <v>542</v>
      </c>
      <c r="M28" s="72">
        <v>46010</v>
      </c>
      <c r="N28" s="72">
        <v>46374</v>
      </c>
      <c r="O28" s="77">
        <v>2</v>
      </c>
      <c r="P28" s="78" t="s">
        <v>521</v>
      </c>
      <c r="Q28" s="79"/>
      <c r="R28" s="80"/>
      <c r="S28" s="81"/>
      <c r="T28" s="81"/>
      <c r="U28" s="82" t="str">
        <f t="shared" si="0"/>
        <v>MOS100645|FG024|CK3-32758</v>
      </c>
    </row>
    <row r="29" spans="1:21" ht="15" customHeight="1" x14ac:dyDescent="0.3">
      <c r="A29" s="60" t="s">
        <v>527</v>
      </c>
      <c r="B29" s="61">
        <v>166148</v>
      </c>
      <c r="C29" s="62">
        <v>46179</v>
      </c>
      <c r="D29" s="63" t="s">
        <v>404</v>
      </c>
      <c r="E29" s="64" t="s">
        <v>528</v>
      </c>
      <c r="F29" s="65">
        <f>IFERROR(INDEX(M_User!$A$12:$J$67,MATCH(D29,M_User!$D$12:$D$67,0),1),"UNMAPPED")</f>
        <v>50</v>
      </c>
      <c r="G29" s="66" t="str">
        <f>IFERROR(INDEX(M_User!$A$12:$J$67,MATCH(D29,M_User!$D$12:$D$67,0),3),"UNMAPPED")</f>
        <v>Riziki Rajabu Mghamba</v>
      </c>
      <c r="H29" s="65" t="str">
        <f>IFERROR(INDEX(M_User!$A$12:$J$67,MATCH(D29,M_User!$D$12:$D$67,0),5),"UNMAPPED")</f>
        <v>MOS</v>
      </c>
      <c r="I29" s="63" t="s">
        <v>149</v>
      </c>
      <c r="J29" s="63" t="s">
        <v>211</v>
      </c>
      <c r="K29" s="66" t="str">
        <f>IFERROR(INDEX(M_SKU!$A$18:$J$57,MATCH(J29,M_SKU!$B$18:$B$57,0),1),"UNKNOWN SKU")</f>
        <v>KNMW 500ml</v>
      </c>
      <c r="L29" s="63" t="s">
        <v>543</v>
      </c>
      <c r="M29" s="62">
        <v>46177</v>
      </c>
      <c r="N29" s="62">
        <v>46541</v>
      </c>
      <c r="O29" s="67">
        <v>150</v>
      </c>
      <c r="P29" s="68" t="s">
        <v>521</v>
      </c>
      <c r="Q29" s="63"/>
      <c r="R29" s="62"/>
      <c r="S29" s="69"/>
      <c r="T29" s="69"/>
      <c r="U29" s="66" t="str">
        <f t="shared" si="0"/>
        <v>MOS100645|KD001|CK6-986</v>
      </c>
    </row>
    <row r="30" spans="1:21" ht="15" customHeight="1" x14ac:dyDescent="0.3">
      <c r="A30" s="70" t="s">
        <v>527</v>
      </c>
      <c r="B30" s="71">
        <v>166148</v>
      </c>
      <c r="C30" s="72">
        <v>46179</v>
      </c>
      <c r="D30" s="73" t="s">
        <v>404</v>
      </c>
      <c r="E30" s="74" t="s">
        <v>528</v>
      </c>
      <c r="F30" s="75">
        <f>IFERROR(INDEX(M_User!$A$12:$J$67,MATCH(D30,M_User!$D$12:$D$67,0),1),"UNMAPPED")</f>
        <v>50</v>
      </c>
      <c r="G30" s="76" t="str">
        <f>IFERROR(INDEX(M_User!$A$12:$J$67,MATCH(D30,M_User!$D$12:$D$67,0),3),"UNMAPPED")</f>
        <v>Riziki Rajabu Mghamba</v>
      </c>
      <c r="H30" s="75" t="str">
        <f>IFERROR(INDEX(M_User!$A$12:$J$67,MATCH(D30,M_User!$D$12:$D$67,0),5),"UNMAPPED")</f>
        <v>MOS</v>
      </c>
      <c r="I30" s="73" t="s">
        <v>149</v>
      </c>
      <c r="J30" s="73" t="s">
        <v>217</v>
      </c>
      <c r="K30" s="76" t="str">
        <f>IFERROR(INDEX(M_SKU!$A$18:$J$57,MATCH(J30,M_SKU!$B$18:$B$57,0),1),"UNKNOWN SKU")</f>
        <v>KNMW 1500ml</v>
      </c>
      <c r="L30" s="73" t="s">
        <v>544</v>
      </c>
      <c r="M30" s="72">
        <v>46176</v>
      </c>
      <c r="N30" s="72">
        <v>46540</v>
      </c>
      <c r="O30" s="77">
        <v>90</v>
      </c>
      <c r="P30" s="78" t="s">
        <v>521</v>
      </c>
      <c r="Q30" s="79"/>
      <c r="R30" s="80"/>
      <c r="S30" s="81"/>
      <c r="T30" s="81"/>
      <c r="U30" s="82" t="str">
        <f t="shared" si="0"/>
        <v>MOS100645|KD003|CK4-841</v>
      </c>
    </row>
    <row r="31" spans="1:21" ht="15" customHeight="1" x14ac:dyDescent="0.3">
      <c r="A31" s="60" t="s">
        <v>527</v>
      </c>
      <c r="B31" s="61">
        <v>166148</v>
      </c>
      <c r="C31" s="62">
        <v>46179</v>
      </c>
      <c r="D31" s="63" t="s">
        <v>404</v>
      </c>
      <c r="E31" s="64" t="s">
        <v>528</v>
      </c>
      <c r="F31" s="65">
        <f>IFERROR(INDEX(M_User!$A$12:$J$67,MATCH(D31,M_User!$D$12:$D$67,0),1),"UNMAPPED")</f>
        <v>50</v>
      </c>
      <c r="G31" s="66" t="str">
        <f>IFERROR(INDEX(M_User!$A$12:$J$67,MATCH(D31,M_User!$D$12:$D$67,0),3),"UNMAPPED")</f>
        <v>Riziki Rajabu Mghamba</v>
      </c>
      <c r="H31" s="65" t="str">
        <f>IFERROR(INDEX(M_User!$A$12:$J$67,MATCH(D31,M_User!$D$12:$D$67,0),5),"UNMAPPED")</f>
        <v>MOS</v>
      </c>
      <c r="I31" s="63" t="s">
        <v>149</v>
      </c>
      <c r="J31" s="63" t="s">
        <v>229</v>
      </c>
      <c r="K31" s="66" t="str">
        <f>IFERROR(INDEX(M_SKU!$A$18:$J$57,MATCH(J31,M_SKU!$B$18:$B$57,0),1),"UNKNOWN SKU")</f>
        <v>Coke Pet 500ML ( x12)</v>
      </c>
      <c r="L31" s="63" t="s">
        <v>520</v>
      </c>
      <c r="M31" s="62">
        <v>46177</v>
      </c>
      <c r="N31" s="62">
        <v>46288</v>
      </c>
      <c r="O31" s="67">
        <v>85</v>
      </c>
      <c r="P31" s="68" t="s">
        <v>521</v>
      </c>
      <c r="Q31" s="63"/>
      <c r="R31" s="62"/>
      <c r="S31" s="69"/>
      <c r="T31" s="69"/>
      <c r="U31" s="66" t="str">
        <f t="shared" si="0"/>
        <v>MOS100645|PH001|CK6-33411</v>
      </c>
    </row>
    <row r="32" spans="1:21" ht="15" customHeight="1" x14ac:dyDescent="0.3">
      <c r="A32" s="70" t="s">
        <v>527</v>
      </c>
      <c r="B32" s="71">
        <v>166148</v>
      </c>
      <c r="C32" s="72">
        <v>46179</v>
      </c>
      <c r="D32" s="73" t="s">
        <v>404</v>
      </c>
      <c r="E32" s="74" t="s">
        <v>528</v>
      </c>
      <c r="F32" s="75">
        <f>IFERROR(INDEX(M_User!$A$12:$J$67,MATCH(D32,M_User!$D$12:$D$67,0),1),"UNMAPPED")</f>
        <v>50</v>
      </c>
      <c r="G32" s="76" t="str">
        <f>IFERROR(INDEX(M_User!$A$12:$J$67,MATCH(D32,M_User!$D$12:$D$67,0),3),"UNMAPPED")</f>
        <v>Riziki Rajabu Mghamba</v>
      </c>
      <c r="H32" s="75" t="str">
        <f>IFERROR(INDEX(M_User!$A$12:$J$67,MATCH(D32,M_User!$D$12:$D$67,0),5),"UNMAPPED")</f>
        <v>MOS</v>
      </c>
      <c r="I32" s="73" t="s">
        <v>149</v>
      </c>
      <c r="J32" s="73" t="s">
        <v>232</v>
      </c>
      <c r="K32" s="76" t="str">
        <f>IFERROR(INDEX(M_SKU!$A$18:$J$57,MATCH(J32,M_SKU!$B$18:$B$57,0),1),"UNKNOWN SKU")</f>
        <v>Sprite Pet 500ML (x 12)</v>
      </c>
      <c r="L32" s="73" t="s">
        <v>522</v>
      </c>
      <c r="M32" s="72">
        <v>46158</v>
      </c>
      <c r="N32" s="72">
        <v>46269</v>
      </c>
      <c r="O32" s="77">
        <v>25</v>
      </c>
      <c r="P32" s="78" t="s">
        <v>521</v>
      </c>
      <c r="Q32" s="79"/>
      <c r="R32" s="80"/>
      <c r="S32" s="81"/>
      <c r="T32" s="81"/>
      <c r="U32" s="82" t="str">
        <f t="shared" si="0"/>
        <v>MOS100645|PH002|CK6-33362</v>
      </c>
    </row>
    <row r="33" spans="1:21" ht="15" customHeight="1" x14ac:dyDescent="0.3">
      <c r="A33" s="60" t="s">
        <v>527</v>
      </c>
      <c r="B33" s="61">
        <v>166148</v>
      </c>
      <c r="C33" s="62">
        <v>46179</v>
      </c>
      <c r="D33" s="63" t="s">
        <v>404</v>
      </c>
      <c r="E33" s="64" t="s">
        <v>528</v>
      </c>
      <c r="F33" s="65">
        <f>IFERROR(INDEX(M_User!$A$12:$J$67,MATCH(D33,M_User!$D$12:$D$67,0),1),"UNMAPPED")</f>
        <v>50</v>
      </c>
      <c r="G33" s="66" t="str">
        <f>IFERROR(INDEX(M_User!$A$12:$J$67,MATCH(D33,M_User!$D$12:$D$67,0),3),"UNMAPPED")</f>
        <v>Riziki Rajabu Mghamba</v>
      </c>
      <c r="H33" s="65" t="str">
        <f>IFERROR(INDEX(M_User!$A$12:$J$67,MATCH(D33,M_User!$D$12:$D$67,0),5),"UNMAPPED")</f>
        <v>MOS</v>
      </c>
      <c r="I33" s="63" t="s">
        <v>149</v>
      </c>
      <c r="J33" s="63" t="s">
        <v>234</v>
      </c>
      <c r="K33" s="66" t="str">
        <f>IFERROR(INDEX(M_SKU!$A$18:$J$57,MATCH(J33,M_SKU!$B$18:$B$57,0),1),"UNKNOWN SKU")</f>
        <v>Fanta Orange Pet 500ML ( x 12)</v>
      </c>
      <c r="L33" s="63" t="s">
        <v>523</v>
      </c>
      <c r="M33" s="62">
        <v>46172</v>
      </c>
      <c r="N33" s="62">
        <v>46283</v>
      </c>
      <c r="O33" s="67">
        <v>65</v>
      </c>
      <c r="P33" s="68" t="s">
        <v>521</v>
      </c>
      <c r="Q33" s="63"/>
      <c r="R33" s="62"/>
      <c r="S33" s="69"/>
      <c r="T33" s="69"/>
      <c r="U33" s="66" t="str">
        <f t="shared" si="0"/>
        <v>MOS100645|PH003|CK6-33405</v>
      </c>
    </row>
    <row r="34" spans="1:21" ht="15" customHeight="1" x14ac:dyDescent="0.3">
      <c r="A34" s="70" t="s">
        <v>527</v>
      </c>
      <c r="B34" s="71">
        <v>166148</v>
      </c>
      <c r="C34" s="72">
        <v>46179</v>
      </c>
      <c r="D34" s="73" t="s">
        <v>404</v>
      </c>
      <c r="E34" s="74" t="s">
        <v>528</v>
      </c>
      <c r="F34" s="75">
        <f>IFERROR(INDEX(M_User!$A$12:$J$67,MATCH(D34,M_User!$D$12:$D$67,0),1),"UNMAPPED")</f>
        <v>50</v>
      </c>
      <c r="G34" s="76" t="str">
        <f>IFERROR(INDEX(M_User!$A$12:$J$67,MATCH(D34,M_User!$D$12:$D$67,0),3),"UNMAPPED")</f>
        <v>Riziki Rajabu Mghamba</v>
      </c>
      <c r="H34" s="75" t="str">
        <f>IFERROR(INDEX(M_User!$A$12:$J$67,MATCH(D34,M_User!$D$12:$D$67,0),5),"UNMAPPED")</f>
        <v>MOS</v>
      </c>
      <c r="I34" s="73" t="s">
        <v>149</v>
      </c>
      <c r="J34" s="73" t="s">
        <v>236</v>
      </c>
      <c r="K34" s="76" t="str">
        <f>IFERROR(INDEX(M_SKU!$A$18:$J$57,MATCH(J34,M_SKU!$B$18:$B$57,0),1),"UNKNOWN SKU")</f>
        <v>Fanta Passion Pet 500ML ( x12)</v>
      </c>
      <c r="L34" s="73" t="s">
        <v>524</v>
      </c>
      <c r="M34" s="72">
        <v>46151</v>
      </c>
      <c r="N34" s="72">
        <v>46262</v>
      </c>
      <c r="O34" s="77">
        <v>40</v>
      </c>
      <c r="P34" s="78" t="s">
        <v>521</v>
      </c>
      <c r="Q34" s="79"/>
      <c r="R34" s="80"/>
      <c r="S34" s="81"/>
      <c r="T34" s="81"/>
      <c r="U34" s="82" t="str">
        <f t="shared" si="0"/>
        <v>MOS100645|PH004|CK5-33334</v>
      </c>
    </row>
    <row r="35" spans="1:21" ht="15" customHeight="1" x14ac:dyDescent="0.3">
      <c r="A35" s="60" t="s">
        <v>527</v>
      </c>
      <c r="B35" s="61">
        <v>166148</v>
      </c>
      <c r="C35" s="62">
        <v>46179</v>
      </c>
      <c r="D35" s="63" t="s">
        <v>404</v>
      </c>
      <c r="E35" s="64" t="s">
        <v>528</v>
      </c>
      <c r="F35" s="65">
        <f>IFERROR(INDEX(M_User!$A$12:$J$67,MATCH(D35,M_User!$D$12:$D$67,0),1),"UNMAPPED")</f>
        <v>50</v>
      </c>
      <c r="G35" s="66" t="str">
        <f>IFERROR(INDEX(M_User!$A$12:$J$67,MATCH(D35,M_User!$D$12:$D$67,0),3),"UNMAPPED")</f>
        <v>Riziki Rajabu Mghamba</v>
      </c>
      <c r="H35" s="65" t="str">
        <f>IFERROR(INDEX(M_User!$A$12:$J$67,MATCH(D35,M_User!$D$12:$D$67,0),5),"UNMAPPED")</f>
        <v>MOS</v>
      </c>
      <c r="I35" s="63" t="s">
        <v>149</v>
      </c>
      <c r="J35" s="63" t="s">
        <v>242</v>
      </c>
      <c r="K35" s="66" t="str">
        <f>IFERROR(INDEX(M_SKU!$A$18:$J$57,MATCH(J35,M_SKU!$B$18:$B$57,0),1),"UNKNOWN SKU")</f>
        <v>Stoney Tangawizi Pet 500 ml ( x12)</v>
      </c>
      <c r="L35" s="63" t="s">
        <v>525</v>
      </c>
      <c r="M35" s="62">
        <v>46161</v>
      </c>
      <c r="N35" s="62">
        <v>46272</v>
      </c>
      <c r="O35" s="67">
        <v>10</v>
      </c>
      <c r="P35" s="68" t="s">
        <v>521</v>
      </c>
      <c r="Q35" s="63"/>
      <c r="R35" s="62"/>
      <c r="S35" s="69"/>
      <c r="T35" s="69"/>
      <c r="U35" s="66" t="str">
        <f t="shared" si="0"/>
        <v>MOS100645|PH007|CK6-33375</v>
      </c>
    </row>
    <row r="36" spans="1:21" ht="15" customHeight="1" x14ac:dyDescent="0.3">
      <c r="A36" s="70" t="s">
        <v>527</v>
      </c>
      <c r="B36" s="71">
        <v>166148</v>
      </c>
      <c r="C36" s="72">
        <v>46179</v>
      </c>
      <c r="D36" s="73" t="s">
        <v>404</v>
      </c>
      <c r="E36" s="74" t="s">
        <v>528</v>
      </c>
      <c r="F36" s="75">
        <f>IFERROR(INDEX(M_User!$A$12:$J$67,MATCH(D36,M_User!$D$12:$D$67,0),1),"UNMAPPED")</f>
        <v>50</v>
      </c>
      <c r="G36" s="76" t="str">
        <f>IFERROR(INDEX(M_User!$A$12:$J$67,MATCH(D36,M_User!$D$12:$D$67,0),3),"UNMAPPED")</f>
        <v>Riziki Rajabu Mghamba</v>
      </c>
      <c r="H36" s="75" t="str">
        <f>IFERROR(INDEX(M_User!$A$12:$J$67,MATCH(D36,M_User!$D$12:$D$67,0),5),"UNMAPPED")</f>
        <v>MOS</v>
      </c>
      <c r="I36" s="73" t="s">
        <v>149</v>
      </c>
      <c r="J36" s="73" t="s">
        <v>244</v>
      </c>
      <c r="K36" s="76" t="str">
        <f>IFERROR(INDEX(M_SKU!$A$18:$J$57,MATCH(J36,M_SKU!$B$18:$B$57,0),1),"UNKNOWN SKU")</f>
        <v>Sparletta Pinenut Pet 500 ml ( x12)</v>
      </c>
      <c r="L36" s="73" t="s">
        <v>526</v>
      </c>
      <c r="M36" s="72">
        <v>46161</v>
      </c>
      <c r="N36" s="72">
        <v>46272</v>
      </c>
      <c r="O36" s="77">
        <v>10</v>
      </c>
      <c r="P36" s="78" t="s">
        <v>521</v>
      </c>
      <c r="Q36" s="79"/>
      <c r="R36" s="80"/>
      <c r="S36" s="81"/>
      <c r="T36" s="81"/>
      <c r="U36" s="82" t="str">
        <f t="shared" si="0"/>
        <v>MOS100645|PH008|CK5-33370</v>
      </c>
    </row>
    <row r="37" spans="1:21" ht="15" customHeight="1" x14ac:dyDescent="0.3">
      <c r="A37" s="60" t="s">
        <v>527</v>
      </c>
      <c r="B37" s="61">
        <v>166148</v>
      </c>
      <c r="C37" s="62">
        <v>46179</v>
      </c>
      <c r="D37" s="63" t="s">
        <v>404</v>
      </c>
      <c r="E37" s="64" t="s">
        <v>528</v>
      </c>
      <c r="F37" s="65">
        <f>IFERROR(INDEX(M_User!$A$12:$J$67,MATCH(D37,M_User!$D$12:$D$67,0),1),"UNMAPPED")</f>
        <v>50</v>
      </c>
      <c r="G37" s="66" t="str">
        <f>IFERROR(INDEX(M_User!$A$12:$J$67,MATCH(D37,M_User!$D$12:$D$67,0),3),"UNMAPPED")</f>
        <v>Riziki Rajabu Mghamba</v>
      </c>
      <c r="H37" s="65" t="str">
        <f>IFERROR(INDEX(M_User!$A$12:$J$67,MATCH(D37,M_User!$D$12:$D$67,0),5),"UNMAPPED")</f>
        <v>MOS</v>
      </c>
      <c r="I37" s="63" t="s">
        <v>149</v>
      </c>
      <c r="J37" s="63" t="s">
        <v>252</v>
      </c>
      <c r="K37" s="66" t="str">
        <f>IFERROR(INDEX(M_SKU!$A$18:$J$57,MATCH(J37,M_SKU!$B$18:$B$57,0),1),"UNKNOWN SKU")</f>
        <v>Sprite Zero Pet 300ML (x 12)</v>
      </c>
      <c r="L37" s="63" t="s">
        <v>545</v>
      </c>
      <c r="M37" s="62">
        <v>46158</v>
      </c>
      <c r="N37" s="62">
        <v>46241</v>
      </c>
      <c r="O37" s="67">
        <v>25</v>
      </c>
      <c r="P37" s="68" t="s">
        <v>521</v>
      </c>
      <c r="Q37" s="63"/>
      <c r="R37" s="62"/>
      <c r="S37" s="69"/>
      <c r="T37" s="69"/>
      <c r="U37" s="66" t="str">
        <f t="shared" si="0"/>
        <v>MOS100645|PO010|CK5-33360</v>
      </c>
    </row>
    <row r="38" spans="1:21" ht="15" customHeight="1" x14ac:dyDescent="0.3">
      <c r="A38" s="70" t="s">
        <v>527</v>
      </c>
      <c r="B38" s="71">
        <v>166148</v>
      </c>
      <c r="C38" s="72">
        <v>46179</v>
      </c>
      <c r="D38" s="73" t="s">
        <v>404</v>
      </c>
      <c r="E38" s="74" t="s">
        <v>528</v>
      </c>
      <c r="F38" s="75">
        <f>IFERROR(INDEX(M_User!$A$12:$J$67,MATCH(D38,M_User!$D$12:$D$67,0),1),"UNMAPPED")</f>
        <v>50</v>
      </c>
      <c r="G38" s="76" t="str">
        <f>IFERROR(INDEX(M_User!$A$12:$J$67,MATCH(D38,M_User!$D$12:$D$67,0),3),"UNMAPPED")</f>
        <v>Riziki Rajabu Mghamba</v>
      </c>
      <c r="H38" s="75" t="str">
        <f>IFERROR(INDEX(M_User!$A$12:$J$67,MATCH(D38,M_User!$D$12:$D$67,0),5),"UNMAPPED")</f>
        <v>MOS</v>
      </c>
      <c r="I38" s="73" t="s">
        <v>149</v>
      </c>
      <c r="J38" s="73" t="s">
        <v>254</v>
      </c>
      <c r="K38" s="76" t="str">
        <f>IFERROR(INDEX(M_SKU!$A$18:$J$57,MATCH(J38,M_SKU!$B$18:$B$57,0),1),"UNKNOWN SKU")</f>
        <v>Fanta Zero Pet 300ML (x 12)</v>
      </c>
      <c r="L38" s="73" t="s">
        <v>546</v>
      </c>
      <c r="M38" s="72">
        <v>46159</v>
      </c>
      <c r="N38" s="72">
        <v>46242</v>
      </c>
      <c r="O38" s="77">
        <v>10</v>
      </c>
      <c r="P38" s="78" t="s">
        <v>521</v>
      </c>
      <c r="Q38" s="79"/>
      <c r="R38" s="80"/>
      <c r="S38" s="81"/>
      <c r="T38" s="81"/>
      <c r="U38" s="82" t="str">
        <f t="shared" si="0"/>
        <v>MOS100645|PO012|CK5-33369</v>
      </c>
    </row>
    <row r="39" spans="1:21" ht="15" customHeight="1" x14ac:dyDescent="0.3">
      <c r="A39" s="60" t="s">
        <v>527</v>
      </c>
      <c r="B39" s="61">
        <v>166148</v>
      </c>
      <c r="C39" s="62">
        <v>46179</v>
      </c>
      <c r="D39" s="63" t="s">
        <v>404</v>
      </c>
      <c r="E39" s="64" t="s">
        <v>528</v>
      </c>
      <c r="F39" s="65">
        <f>IFERROR(INDEX(M_User!$A$12:$J$67,MATCH(D39,M_User!$D$12:$D$67,0),1),"UNMAPPED")</f>
        <v>50</v>
      </c>
      <c r="G39" s="66" t="str">
        <f>IFERROR(INDEX(M_User!$A$12:$J$67,MATCH(D39,M_User!$D$12:$D$67,0),3),"UNMAPPED")</f>
        <v>Riziki Rajabu Mghamba</v>
      </c>
      <c r="H39" s="65" t="str">
        <f>IFERROR(INDEX(M_User!$A$12:$J$67,MATCH(D39,M_User!$D$12:$D$67,0),5),"UNMAPPED")</f>
        <v>MOS</v>
      </c>
      <c r="I39" s="63" t="s">
        <v>149</v>
      </c>
      <c r="J39" s="63" t="s">
        <v>261</v>
      </c>
      <c r="K39" s="66" t="str">
        <f>IFERROR(INDEX(M_SKU!$A$18:$J$57,MATCH(J39,M_SKU!$B$18:$B$57,0),1),"UNKNOWN SKU")</f>
        <v>Sparletta Pine Apple Pet 300ML (x 12)</v>
      </c>
      <c r="L39" s="63" t="s">
        <v>547</v>
      </c>
      <c r="M39" s="62">
        <v>46158</v>
      </c>
      <c r="N39" s="62">
        <v>46241</v>
      </c>
      <c r="O39" s="67">
        <v>15</v>
      </c>
      <c r="P39" s="68" t="s">
        <v>521</v>
      </c>
      <c r="Q39" s="63"/>
      <c r="R39" s="62"/>
      <c r="S39" s="69"/>
      <c r="T39" s="69"/>
      <c r="U39" s="66" t="str">
        <f t="shared" si="0"/>
        <v>MOS100645|PO015|CK5-33366</v>
      </c>
    </row>
    <row r="40" spans="1:21" ht="15" customHeight="1" x14ac:dyDescent="0.3">
      <c r="A40" s="70" t="s">
        <v>548</v>
      </c>
      <c r="B40" s="71">
        <v>166149</v>
      </c>
      <c r="C40" s="72">
        <v>46179</v>
      </c>
      <c r="D40" s="73" t="s">
        <v>421</v>
      </c>
      <c r="E40" s="74" t="s">
        <v>549</v>
      </c>
      <c r="F40" s="75">
        <f>IFERROR(INDEX(M_User!$A$12:$J$67,MATCH(D40,M_User!$D$12:$D$67,0),1),"UNMAPPED")</f>
        <v>42</v>
      </c>
      <c r="G40" s="76" t="str">
        <f>IFERROR(INDEX(M_User!$A$12:$J$67,MATCH(D40,M_User!$D$12:$D$67,0),3),"UNMAPPED")</f>
        <v>Deodat Francis Materu</v>
      </c>
      <c r="H40" s="75" t="str">
        <f>IFERROR(INDEX(M_User!$A$12:$J$67,MATCH(D40,M_User!$D$12:$D$67,0),5),"UNMAPPED")</f>
        <v>MOS</v>
      </c>
      <c r="I40" s="73" t="s">
        <v>149</v>
      </c>
      <c r="J40" s="73" t="s">
        <v>170</v>
      </c>
      <c r="K40" s="76" t="str">
        <f>IFERROR(INDEX(M_SKU!$A$18:$J$57,MATCH(J40,M_SKU!$B$18:$B$57,0),1),"UNKNOWN SKU")</f>
        <v>Coke RGB 350ml</v>
      </c>
      <c r="L40" s="73" t="s">
        <v>530</v>
      </c>
      <c r="M40" s="72">
        <v>46175</v>
      </c>
      <c r="N40" s="72">
        <v>46539</v>
      </c>
      <c r="O40" s="77">
        <v>58</v>
      </c>
      <c r="P40" s="78" t="s">
        <v>521</v>
      </c>
      <c r="Q40" s="79"/>
      <c r="R40" s="80"/>
      <c r="S40" s="81"/>
      <c r="T40" s="81"/>
      <c r="U40" s="82" t="str">
        <f t="shared" si="0"/>
        <v>MOS100180|FG001|CK3-33409</v>
      </c>
    </row>
    <row r="41" spans="1:21" ht="15" customHeight="1" x14ac:dyDescent="0.3">
      <c r="A41" s="60" t="s">
        <v>548</v>
      </c>
      <c r="B41" s="61">
        <v>166149</v>
      </c>
      <c r="C41" s="62">
        <v>46179</v>
      </c>
      <c r="D41" s="63" t="s">
        <v>421</v>
      </c>
      <c r="E41" s="64" t="s">
        <v>549</v>
      </c>
      <c r="F41" s="65">
        <f>IFERROR(INDEX(M_User!$A$12:$J$67,MATCH(D41,M_User!$D$12:$D$67,0),1),"UNMAPPED")</f>
        <v>42</v>
      </c>
      <c r="G41" s="66" t="str">
        <f>IFERROR(INDEX(M_User!$A$12:$J$67,MATCH(D41,M_User!$D$12:$D$67,0),3),"UNMAPPED")</f>
        <v>Deodat Francis Materu</v>
      </c>
      <c r="H41" s="65" t="str">
        <f>IFERROR(INDEX(M_User!$A$12:$J$67,MATCH(D41,M_User!$D$12:$D$67,0),5),"UNMAPPED")</f>
        <v>MOS</v>
      </c>
      <c r="I41" s="63" t="s">
        <v>149</v>
      </c>
      <c r="J41" s="63" t="s">
        <v>178</v>
      </c>
      <c r="K41" s="66" t="str">
        <f>IFERROR(INDEX(M_SKU!$A$18:$J$57,MATCH(J41,M_SKU!$B$18:$B$57,0),1),"UNKNOWN SKU")</f>
        <v>Fanta Orange RGB 350ml</v>
      </c>
      <c r="L41" s="63" t="s">
        <v>531</v>
      </c>
      <c r="M41" s="62">
        <v>46174</v>
      </c>
      <c r="N41" s="62">
        <v>46538</v>
      </c>
      <c r="O41" s="67">
        <v>30</v>
      </c>
      <c r="P41" s="68" t="s">
        <v>521</v>
      </c>
      <c r="Q41" s="63"/>
      <c r="R41" s="62"/>
      <c r="S41" s="69"/>
      <c r="T41" s="69"/>
      <c r="U41" s="66" t="str">
        <f t="shared" si="0"/>
        <v>MOS100180|FG002|CK3-33407</v>
      </c>
    </row>
    <row r="42" spans="1:21" ht="15" customHeight="1" x14ac:dyDescent="0.3">
      <c r="A42" s="70" t="s">
        <v>548</v>
      </c>
      <c r="B42" s="71">
        <v>166149</v>
      </c>
      <c r="C42" s="72">
        <v>46179</v>
      </c>
      <c r="D42" s="73" t="s">
        <v>421</v>
      </c>
      <c r="E42" s="74" t="s">
        <v>549</v>
      </c>
      <c r="F42" s="75">
        <f>IFERROR(INDEX(M_User!$A$12:$J$67,MATCH(D42,M_User!$D$12:$D$67,0),1),"UNMAPPED")</f>
        <v>42</v>
      </c>
      <c r="G42" s="76" t="str">
        <f>IFERROR(INDEX(M_User!$A$12:$J$67,MATCH(D42,M_User!$D$12:$D$67,0),3),"UNMAPPED")</f>
        <v>Deodat Francis Materu</v>
      </c>
      <c r="H42" s="75" t="str">
        <f>IFERROR(INDEX(M_User!$A$12:$J$67,MATCH(D42,M_User!$D$12:$D$67,0),5),"UNMAPPED")</f>
        <v>MOS</v>
      </c>
      <c r="I42" s="73" t="s">
        <v>149</v>
      </c>
      <c r="J42" s="73" t="s">
        <v>181</v>
      </c>
      <c r="K42" s="76" t="str">
        <f>IFERROR(INDEX(M_SKU!$A$18:$J$57,MATCH(J42,M_SKU!$B$18:$B$57,0),1),"UNKNOWN SKU")</f>
        <v>Fanta Passion RGB 350ml</v>
      </c>
      <c r="L42" s="73" t="s">
        <v>550</v>
      </c>
      <c r="M42" s="72">
        <v>46158</v>
      </c>
      <c r="N42" s="72">
        <v>46521</v>
      </c>
      <c r="O42" s="77">
        <v>12</v>
      </c>
      <c r="P42" s="78" t="s">
        <v>521</v>
      </c>
      <c r="Q42" s="79"/>
      <c r="R42" s="80"/>
      <c r="S42" s="81"/>
      <c r="T42" s="81"/>
      <c r="U42" s="82" t="str">
        <f t="shared" si="0"/>
        <v>MOS100180|FG003|CK3-33356</v>
      </c>
    </row>
    <row r="43" spans="1:21" ht="15" customHeight="1" x14ac:dyDescent="0.3">
      <c r="A43" s="60" t="s">
        <v>548</v>
      </c>
      <c r="B43" s="61">
        <v>166149</v>
      </c>
      <c r="C43" s="62">
        <v>46179</v>
      </c>
      <c r="D43" s="63" t="s">
        <v>421</v>
      </c>
      <c r="E43" s="64" t="s">
        <v>549</v>
      </c>
      <c r="F43" s="65">
        <f>IFERROR(INDEX(M_User!$A$12:$J$67,MATCH(D43,M_User!$D$12:$D$67,0),1),"UNMAPPED")</f>
        <v>42</v>
      </c>
      <c r="G43" s="66" t="str">
        <f>IFERROR(INDEX(M_User!$A$12:$J$67,MATCH(D43,M_User!$D$12:$D$67,0),3),"UNMAPPED")</f>
        <v>Deodat Francis Materu</v>
      </c>
      <c r="H43" s="65" t="str">
        <f>IFERROR(INDEX(M_User!$A$12:$J$67,MATCH(D43,M_User!$D$12:$D$67,0),5),"UNMAPPED")</f>
        <v>MOS</v>
      </c>
      <c r="I43" s="63" t="s">
        <v>149</v>
      </c>
      <c r="J43" s="63" t="s">
        <v>183</v>
      </c>
      <c r="K43" s="66" t="str">
        <f>IFERROR(INDEX(M_SKU!$A$18:$J$57,MATCH(J43,M_SKU!$B$18:$B$57,0),1),"UNKNOWN SKU")</f>
        <v>Fanta Pineapple RGB 350ml</v>
      </c>
      <c r="L43" s="63" t="s">
        <v>533</v>
      </c>
      <c r="M43" s="62">
        <v>46163</v>
      </c>
      <c r="N43" s="62">
        <v>46527</v>
      </c>
      <c r="O43" s="67">
        <v>12</v>
      </c>
      <c r="P43" s="68" t="s">
        <v>521</v>
      </c>
      <c r="Q43" s="63"/>
      <c r="R43" s="62"/>
      <c r="S43" s="69"/>
      <c r="T43" s="69"/>
      <c r="U43" s="66" t="str">
        <f t="shared" si="0"/>
        <v>MOS100180|FG004|CK3-33385</v>
      </c>
    </row>
    <row r="44" spans="1:21" ht="15" customHeight="1" x14ac:dyDescent="0.3">
      <c r="A44" s="70" t="s">
        <v>548</v>
      </c>
      <c r="B44" s="71">
        <v>166149</v>
      </c>
      <c r="C44" s="72">
        <v>46179</v>
      </c>
      <c r="D44" s="73" t="s">
        <v>421</v>
      </c>
      <c r="E44" s="74" t="s">
        <v>549</v>
      </c>
      <c r="F44" s="75">
        <f>IFERROR(INDEX(M_User!$A$12:$J$67,MATCH(D44,M_User!$D$12:$D$67,0),1),"UNMAPPED")</f>
        <v>42</v>
      </c>
      <c r="G44" s="76" t="str">
        <f>IFERROR(INDEX(M_User!$A$12:$J$67,MATCH(D44,M_User!$D$12:$D$67,0),3),"UNMAPPED")</f>
        <v>Deodat Francis Materu</v>
      </c>
      <c r="H44" s="75" t="str">
        <f>IFERROR(INDEX(M_User!$A$12:$J$67,MATCH(D44,M_User!$D$12:$D$67,0),5),"UNMAPPED")</f>
        <v>MOS</v>
      </c>
      <c r="I44" s="73" t="s">
        <v>149</v>
      </c>
      <c r="J44" s="73" t="s">
        <v>185</v>
      </c>
      <c r="K44" s="76" t="str">
        <f>IFERROR(INDEX(M_SKU!$A$18:$J$57,MATCH(J44,M_SKU!$B$18:$B$57,0),1),"UNKNOWN SKU")</f>
        <v>Fanta Fruit Blast RGB 350 ml</v>
      </c>
      <c r="L44" s="73" t="s">
        <v>534</v>
      </c>
      <c r="M44" s="72">
        <v>46171</v>
      </c>
      <c r="N44" s="72">
        <v>46535</v>
      </c>
      <c r="O44" s="77">
        <v>6</v>
      </c>
      <c r="P44" s="78" t="s">
        <v>521</v>
      </c>
      <c r="Q44" s="79"/>
      <c r="R44" s="80"/>
      <c r="S44" s="81"/>
      <c r="T44" s="81"/>
      <c r="U44" s="82" t="str">
        <f t="shared" si="0"/>
        <v>MOS100180|FG005|CK3-33402</v>
      </c>
    </row>
    <row r="45" spans="1:21" ht="15" customHeight="1" x14ac:dyDescent="0.3">
      <c r="A45" s="60" t="s">
        <v>548</v>
      </c>
      <c r="B45" s="61">
        <v>166149</v>
      </c>
      <c r="C45" s="62">
        <v>46179</v>
      </c>
      <c r="D45" s="63" t="s">
        <v>421</v>
      </c>
      <c r="E45" s="64" t="s">
        <v>549</v>
      </c>
      <c r="F45" s="65">
        <f>IFERROR(INDEX(M_User!$A$12:$J$67,MATCH(D45,M_User!$D$12:$D$67,0),1),"UNMAPPED")</f>
        <v>42</v>
      </c>
      <c r="G45" s="66" t="str">
        <f>IFERROR(INDEX(M_User!$A$12:$J$67,MATCH(D45,M_User!$D$12:$D$67,0),3),"UNMAPPED")</f>
        <v>Deodat Francis Materu</v>
      </c>
      <c r="H45" s="65" t="str">
        <f>IFERROR(INDEX(M_User!$A$12:$J$67,MATCH(D45,M_User!$D$12:$D$67,0),5),"UNMAPPED")</f>
        <v>MOS</v>
      </c>
      <c r="I45" s="63" t="s">
        <v>149</v>
      </c>
      <c r="J45" s="63" t="s">
        <v>187</v>
      </c>
      <c r="K45" s="66" t="str">
        <f>IFERROR(INDEX(M_SKU!$A$18:$J$57,MATCH(J45,M_SKU!$B$18:$B$57,0),1),"UNKNOWN SKU")</f>
        <v>Sprite 350ml</v>
      </c>
      <c r="L45" s="63" t="s">
        <v>535</v>
      </c>
      <c r="M45" s="62">
        <v>46177</v>
      </c>
      <c r="N45" s="62">
        <v>46541</v>
      </c>
      <c r="O45" s="67">
        <v>18</v>
      </c>
      <c r="P45" s="68" t="s">
        <v>521</v>
      </c>
      <c r="Q45" s="63"/>
      <c r="R45" s="62"/>
      <c r="S45" s="69"/>
      <c r="T45" s="69"/>
      <c r="U45" s="66" t="str">
        <f t="shared" si="0"/>
        <v>MOS100180|FG006|CK3-33414</v>
      </c>
    </row>
    <row r="46" spans="1:21" ht="15" customHeight="1" x14ac:dyDescent="0.3">
      <c r="A46" s="70" t="s">
        <v>548</v>
      </c>
      <c r="B46" s="71">
        <v>166149</v>
      </c>
      <c r="C46" s="72">
        <v>46179</v>
      </c>
      <c r="D46" s="73" t="s">
        <v>421</v>
      </c>
      <c r="E46" s="74" t="s">
        <v>549</v>
      </c>
      <c r="F46" s="75">
        <f>IFERROR(INDEX(M_User!$A$12:$J$67,MATCH(D46,M_User!$D$12:$D$67,0),1),"UNMAPPED")</f>
        <v>42</v>
      </c>
      <c r="G46" s="76" t="str">
        <f>IFERROR(INDEX(M_User!$A$12:$J$67,MATCH(D46,M_User!$D$12:$D$67,0),3),"UNMAPPED")</f>
        <v>Deodat Francis Materu</v>
      </c>
      <c r="H46" s="75" t="str">
        <f>IFERROR(INDEX(M_User!$A$12:$J$67,MATCH(D46,M_User!$D$12:$D$67,0),5),"UNMAPPED")</f>
        <v>MOS</v>
      </c>
      <c r="I46" s="73" t="s">
        <v>149</v>
      </c>
      <c r="J46" s="73" t="s">
        <v>190</v>
      </c>
      <c r="K46" s="76" t="str">
        <f>IFERROR(INDEX(M_SKU!$A$18:$J$57,MATCH(J46,M_SKU!$B$18:$B$57,0),1),"UNKNOWN SKU")</f>
        <v>Stoney Tangawizi RGB 350ml</v>
      </c>
      <c r="L46" s="73" t="s">
        <v>536</v>
      </c>
      <c r="M46" s="72">
        <v>46172</v>
      </c>
      <c r="N46" s="72">
        <v>46353</v>
      </c>
      <c r="O46" s="77">
        <v>5</v>
      </c>
      <c r="P46" s="78" t="s">
        <v>521</v>
      </c>
      <c r="Q46" s="79"/>
      <c r="R46" s="80"/>
      <c r="S46" s="81"/>
      <c r="T46" s="81"/>
      <c r="U46" s="82" t="str">
        <f t="shared" si="0"/>
        <v>MOS100180|FG007|CK3-33404</v>
      </c>
    </row>
    <row r="47" spans="1:21" ht="15" customHeight="1" x14ac:dyDescent="0.3">
      <c r="A47" s="60" t="s">
        <v>548</v>
      </c>
      <c r="B47" s="61">
        <v>166149</v>
      </c>
      <c r="C47" s="62">
        <v>46179</v>
      </c>
      <c r="D47" s="63" t="s">
        <v>421</v>
      </c>
      <c r="E47" s="64" t="s">
        <v>549</v>
      </c>
      <c r="F47" s="65">
        <f>IFERROR(INDEX(M_User!$A$12:$J$67,MATCH(D47,M_User!$D$12:$D$67,0),1),"UNMAPPED")</f>
        <v>42</v>
      </c>
      <c r="G47" s="66" t="str">
        <f>IFERROR(INDEX(M_User!$A$12:$J$67,MATCH(D47,M_User!$D$12:$D$67,0),3),"UNMAPPED")</f>
        <v>Deodat Francis Materu</v>
      </c>
      <c r="H47" s="65" t="str">
        <f>IFERROR(INDEX(M_User!$A$12:$J$67,MATCH(D47,M_User!$D$12:$D$67,0),5),"UNMAPPED")</f>
        <v>MOS</v>
      </c>
      <c r="I47" s="63" t="s">
        <v>149</v>
      </c>
      <c r="J47" s="63" t="s">
        <v>193</v>
      </c>
      <c r="K47" s="66" t="str">
        <f>IFERROR(INDEX(M_SKU!$A$18:$J$57,MATCH(J47,M_SKU!$B$18:$B$57,0),1),"UNKNOWN SKU")</f>
        <v>Sparletta Pinenut RGB 350ml</v>
      </c>
      <c r="L47" s="63" t="s">
        <v>537</v>
      </c>
      <c r="M47" s="62">
        <v>46158</v>
      </c>
      <c r="N47" s="62">
        <v>46522</v>
      </c>
      <c r="O47" s="67">
        <v>5</v>
      </c>
      <c r="P47" s="68" t="s">
        <v>521</v>
      </c>
      <c r="Q47" s="63"/>
      <c r="R47" s="62"/>
      <c r="S47" s="69"/>
      <c r="T47" s="69"/>
      <c r="U47" s="66" t="str">
        <f t="shared" si="0"/>
        <v>MOS100180|FG008|CK3-33365</v>
      </c>
    </row>
    <row r="48" spans="1:21" ht="15" customHeight="1" x14ac:dyDescent="0.3">
      <c r="A48" s="70" t="s">
        <v>548</v>
      </c>
      <c r="B48" s="71">
        <v>166149</v>
      </c>
      <c r="C48" s="72">
        <v>46179</v>
      </c>
      <c r="D48" s="73" t="s">
        <v>421</v>
      </c>
      <c r="E48" s="74" t="s">
        <v>549</v>
      </c>
      <c r="F48" s="75">
        <f>IFERROR(INDEX(M_User!$A$12:$J$67,MATCH(D48,M_User!$D$12:$D$67,0),1),"UNMAPPED")</f>
        <v>42</v>
      </c>
      <c r="G48" s="76" t="str">
        <f>IFERROR(INDEX(M_User!$A$12:$J$67,MATCH(D48,M_User!$D$12:$D$67,0),3),"UNMAPPED")</f>
        <v>Deodat Francis Materu</v>
      </c>
      <c r="H48" s="75" t="str">
        <f>IFERROR(INDEX(M_User!$A$12:$J$67,MATCH(D48,M_User!$D$12:$D$67,0),5),"UNMAPPED")</f>
        <v>MOS</v>
      </c>
      <c r="I48" s="73" t="s">
        <v>149</v>
      </c>
      <c r="J48" s="73" t="s">
        <v>196</v>
      </c>
      <c r="K48" s="76" t="str">
        <f>IFERROR(INDEX(M_SKU!$A$18:$J$57,MATCH(J48,M_SKU!$B$18:$B$57,0),1),"UNKNOWN SKU")</f>
        <v>Krest Bitter Lemon RGB 300ml</v>
      </c>
      <c r="L48" s="73" t="s">
        <v>538</v>
      </c>
      <c r="M48" s="72">
        <v>46154</v>
      </c>
      <c r="N48" s="72">
        <v>46518</v>
      </c>
      <c r="O48" s="77">
        <v>4</v>
      </c>
      <c r="P48" s="78" t="s">
        <v>521</v>
      </c>
      <c r="Q48" s="79"/>
      <c r="R48" s="80"/>
      <c r="S48" s="81"/>
      <c r="T48" s="81"/>
      <c r="U48" s="82" t="str">
        <f t="shared" si="0"/>
        <v>MOS100180|FG009|CK3-33348</v>
      </c>
    </row>
    <row r="49" spans="1:21" ht="15" customHeight="1" x14ac:dyDescent="0.3">
      <c r="A49" s="60" t="s">
        <v>548</v>
      </c>
      <c r="B49" s="61">
        <v>166149</v>
      </c>
      <c r="C49" s="62">
        <v>46179</v>
      </c>
      <c r="D49" s="63" t="s">
        <v>421</v>
      </c>
      <c r="E49" s="64" t="s">
        <v>549</v>
      </c>
      <c r="F49" s="65">
        <f>IFERROR(INDEX(M_User!$A$12:$J$67,MATCH(D49,M_User!$D$12:$D$67,0),1),"UNMAPPED")</f>
        <v>42</v>
      </c>
      <c r="G49" s="66" t="str">
        <f>IFERROR(INDEX(M_User!$A$12:$J$67,MATCH(D49,M_User!$D$12:$D$67,0),3),"UNMAPPED")</f>
        <v>Deodat Francis Materu</v>
      </c>
      <c r="H49" s="65" t="str">
        <f>IFERROR(INDEX(M_User!$A$12:$J$67,MATCH(D49,M_User!$D$12:$D$67,0),5),"UNMAPPED")</f>
        <v>MOS</v>
      </c>
      <c r="I49" s="63" t="s">
        <v>149</v>
      </c>
      <c r="J49" s="63" t="s">
        <v>199</v>
      </c>
      <c r="K49" s="66" t="str">
        <f>IFERROR(INDEX(M_SKU!$A$18:$J$57,MATCH(J49,M_SKU!$B$18:$B$57,0),1),"UNKNOWN SKU")</f>
        <v>Krest Club Soda RGB 300ml</v>
      </c>
      <c r="L49" s="63" t="s">
        <v>539</v>
      </c>
      <c r="M49" s="62">
        <v>46140</v>
      </c>
      <c r="N49" s="62">
        <v>46504</v>
      </c>
      <c r="O49" s="67">
        <v>3</v>
      </c>
      <c r="P49" s="68" t="s">
        <v>521</v>
      </c>
      <c r="Q49" s="63"/>
      <c r="R49" s="62"/>
      <c r="S49" s="69"/>
      <c r="T49" s="69"/>
      <c r="U49" s="66" t="str">
        <f t="shared" si="0"/>
        <v>MOS100180|FG010|CK3-33301</v>
      </c>
    </row>
    <row r="50" spans="1:21" ht="15" customHeight="1" x14ac:dyDescent="0.3">
      <c r="A50" s="70" t="s">
        <v>548</v>
      </c>
      <c r="B50" s="71">
        <v>166149</v>
      </c>
      <c r="C50" s="72">
        <v>46179</v>
      </c>
      <c r="D50" s="73" t="s">
        <v>421</v>
      </c>
      <c r="E50" s="74" t="s">
        <v>549</v>
      </c>
      <c r="F50" s="75">
        <f>IFERROR(INDEX(M_User!$A$12:$J$67,MATCH(D50,M_User!$D$12:$D$67,0),1),"UNMAPPED")</f>
        <v>42</v>
      </c>
      <c r="G50" s="76" t="str">
        <f>IFERROR(INDEX(M_User!$A$12:$J$67,MATCH(D50,M_User!$D$12:$D$67,0),3),"UNMAPPED")</f>
        <v>Deodat Francis Materu</v>
      </c>
      <c r="H50" s="75" t="str">
        <f>IFERROR(INDEX(M_User!$A$12:$J$67,MATCH(D50,M_User!$D$12:$D$67,0),5),"UNMAPPED")</f>
        <v>MOS</v>
      </c>
      <c r="I50" s="73" t="s">
        <v>149</v>
      </c>
      <c r="J50" s="73" t="s">
        <v>201</v>
      </c>
      <c r="K50" s="76" t="str">
        <f>IFERROR(INDEX(M_SKU!$A$18:$J$57,MATCH(J50,M_SKU!$B$18:$B$57,0),1),"UNKNOWN SKU")</f>
        <v>Krest Tonic Water RGB 300ml</v>
      </c>
      <c r="L50" s="73" t="s">
        <v>540</v>
      </c>
      <c r="M50" s="72">
        <v>46154</v>
      </c>
      <c r="N50" s="72">
        <v>46518</v>
      </c>
      <c r="O50" s="77">
        <v>4</v>
      </c>
      <c r="P50" s="78" t="s">
        <v>521</v>
      </c>
      <c r="Q50" s="79"/>
      <c r="R50" s="80"/>
      <c r="S50" s="81"/>
      <c r="T50" s="81"/>
      <c r="U50" s="82" t="str">
        <f t="shared" si="0"/>
        <v>MOS100180|FG011|CK3-33347</v>
      </c>
    </row>
    <row r="51" spans="1:21" ht="15" customHeight="1" x14ac:dyDescent="0.3">
      <c r="A51" s="60" t="s">
        <v>548</v>
      </c>
      <c r="B51" s="61">
        <v>166149</v>
      </c>
      <c r="C51" s="62">
        <v>46179</v>
      </c>
      <c r="D51" s="63" t="s">
        <v>421</v>
      </c>
      <c r="E51" s="64" t="s">
        <v>549</v>
      </c>
      <c r="F51" s="65">
        <f>IFERROR(INDEX(M_User!$A$12:$J$67,MATCH(D51,M_User!$D$12:$D$67,0),1),"UNMAPPED")</f>
        <v>42</v>
      </c>
      <c r="G51" s="66" t="str">
        <f>IFERROR(INDEX(M_User!$A$12:$J$67,MATCH(D51,M_User!$D$12:$D$67,0),3),"UNMAPPED")</f>
        <v>Deodat Francis Materu</v>
      </c>
      <c r="H51" s="65" t="str">
        <f>IFERROR(INDEX(M_User!$A$12:$J$67,MATCH(D51,M_User!$D$12:$D$67,0),5),"UNMAPPED")</f>
        <v>MOS</v>
      </c>
      <c r="I51" s="63" t="s">
        <v>149</v>
      </c>
      <c r="J51" s="63" t="s">
        <v>203</v>
      </c>
      <c r="K51" s="66" t="str">
        <f>IFERROR(INDEX(M_SKU!$A$18:$J$57,MATCH(J51,M_SKU!$B$18:$B$57,0),1),"UNKNOWN SKU")</f>
        <v>Krest Ginger Ale RGB 300ml</v>
      </c>
      <c r="L51" s="63" t="s">
        <v>541</v>
      </c>
      <c r="M51" s="62">
        <v>46088</v>
      </c>
      <c r="N51" s="62">
        <v>46452</v>
      </c>
      <c r="O51" s="67">
        <v>3</v>
      </c>
      <c r="P51" s="68" t="s">
        <v>521</v>
      </c>
      <c r="Q51" s="63"/>
      <c r="R51" s="62"/>
      <c r="S51" s="69"/>
      <c r="T51" s="69"/>
      <c r="U51" s="66" t="str">
        <f t="shared" si="0"/>
        <v>MOS100180|FG012|CK3-33126</v>
      </c>
    </row>
    <row r="52" spans="1:21" ht="15" customHeight="1" x14ac:dyDescent="0.3">
      <c r="A52" s="70" t="s">
        <v>548</v>
      </c>
      <c r="B52" s="71">
        <v>166149</v>
      </c>
      <c r="C52" s="72">
        <v>46179</v>
      </c>
      <c r="D52" s="73" t="s">
        <v>421</v>
      </c>
      <c r="E52" s="74" t="s">
        <v>549</v>
      </c>
      <c r="F52" s="75">
        <f>IFERROR(INDEX(M_User!$A$12:$J$67,MATCH(D52,M_User!$D$12:$D$67,0),1),"UNMAPPED")</f>
        <v>42</v>
      </c>
      <c r="G52" s="76" t="str">
        <f>IFERROR(INDEX(M_User!$A$12:$J$67,MATCH(D52,M_User!$D$12:$D$67,0),3),"UNMAPPED")</f>
        <v>Deodat Francis Materu</v>
      </c>
      <c r="H52" s="75" t="str">
        <f>IFERROR(INDEX(M_User!$A$12:$J$67,MATCH(D52,M_User!$D$12:$D$67,0),5),"UNMAPPED")</f>
        <v>MOS</v>
      </c>
      <c r="I52" s="73" t="s">
        <v>149</v>
      </c>
      <c r="J52" s="73" t="s">
        <v>209</v>
      </c>
      <c r="K52" s="76" t="str">
        <f>IFERROR(INDEX(M_SKU!$A$18:$J$57,MATCH(J52,M_SKU!$B$18:$B$57,0),1),"UNKNOWN SKU")</f>
        <v>Sparletta Red Apple RGB 350ml</v>
      </c>
      <c r="L52" s="73" t="s">
        <v>542</v>
      </c>
      <c r="M52" s="72">
        <v>46010</v>
      </c>
      <c r="N52" s="72">
        <v>46374</v>
      </c>
      <c r="O52" s="77">
        <v>2</v>
      </c>
      <c r="P52" s="78" t="s">
        <v>521</v>
      </c>
      <c r="Q52" s="79"/>
      <c r="R52" s="80"/>
      <c r="S52" s="81"/>
      <c r="T52" s="81"/>
      <c r="U52" s="82" t="str">
        <f t="shared" si="0"/>
        <v>MOS100180|FG024|CK3-32758</v>
      </c>
    </row>
    <row r="53" spans="1:21" ht="15" customHeight="1" x14ac:dyDescent="0.3">
      <c r="A53" s="60" t="s">
        <v>548</v>
      </c>
      <c r="B53" s="61">
        <v>166149</v>
      </c>
      <c r="C53" s="62">
        <v>46179</v>
      </c>
      <c r="D53" s="63" t="s">
        <v>421</v>
      </c>
      <c r="E53" s="64" t="s">
        <v>549</v>
      </c>
      <c r="F53" s="65">
        <f>IFERROR(INDEX(M_User!$A$12:$J$67,MATCH(D53,M_User!$D$12:$D$67,0),1),"UNMAPPED")</f>
        <v>42</v>
      </c>
      <c r="G53" s="66" t="str">
        <f>IFERROR(INDEX(M_User!$A$12:$J$67,MATCH(D53,M_User!$D$12:$D$67,0),3),"UNMAPPED")</f>
        <v>Deodat Francis Materu</v>
      </c>
      <c r="H53" s="65" t="str">
        <f>IFERROR(INDEX(M_User!$A$12:$J$67,MATCH(D53,M_User!$D$12:$D$67,0),5),"UNMAPPED")</f>
        <v>MOS</v>
      </c>
      <c r="I53" s="63" t="s">
        <v>149</v>
      </c>
      <c r="J53" s="63" t="s">
        <v>211</v>
      </c>
      <c r="K53" s="66" t="str">
        <f>IFERROR(INDEX(M_SKU!$A$18:$J$57,MATCH(J53,M_SKU!$B$18:$B$57,0),1),"UNKNOWN SKU")</f>
        <v>KNMW 500ml</v>
      </c>
      <c r="L53" s="63" t="s">
        <v>543</v>
      </c>
      <c r="M53" s="62">
        <v>46177</v>
      </c>
      <c r="N53" s="62">
        <v>46541</v>
      </c>
      <c r="O53" s="67">
        <v>60</v>
      </c>
      <c r="P53" s="68" t="s">
        <v>521</v>
      </c>
      <c r="Q53" s="63"/>
      <c r="R53" s="62"/>
      <c r="S53" s="69"/>
      <c r="T53" s="69"/>
      <c r="U53" s="66" t="str">
        <f t="shared" si="0"/>
        <v>MOS100180|KD001|CK6-986</v>
      </c>
    </row>
    <row r="54" spans="1:21" ht="15" customHeight="1" x14ac:dyDescent="0.3">
      <c r="A54" s="70" t="s">
        <v>548</v>
      </c>
      <c r="B54" s="71">
        <v>166149</v>
      </c>
      <c r="C54" s="72">
        <v>46179</v>
      </c>
      <c r="D54" s="73" t="s">
        <v>421</v>
      </c>
      <c r="E54" s="74" t="s">
        <v>549</v>
      </c>
      <c r="F54" s="75">
        <f>IFERROR(INDEX(M_User!$A$12:$J$67,MATCH(D54,M_User!$D$12:$D$67,0),1),"UNMAPPED")</f>
        <v>42</v>
      </c>
      <c r="G54" s="76" t="str">
        <f>IFERROR(INDEX(M_User!$A$12:$J$67,MATCH(D54,M_User!$D$12:$D$67,0),3),"UNMAPPED")</f>
        <v>Deodat Francis Materu</v>
      </c>
      <c r="H54" s="75" t="str">
        <f>IFERROR(INDEX(M_User!$A$12:$J$67,MATCH(D54,M_User!$D$12:$D$67,0),5),"UNMAPPED")</f>
        <v>MOS</v>
      </c>
      <c r="I54" s="73" t="s">
        <v>149</v>
      </c>
      <c r="J54" s="73" t="s">
        <v>217</v>
      </c>
      <c r="K54" s="76" t="str">
        <f>IFERROR(INDEX(M_SKU!$A$18:$J$57,MATCH(J54,M_SKU!$B$18:$B$57,0),1),"UNKNOWN SKU")</f>
        <v>KNMW 1500ml</v>
      </c>
      <c r="L54" s="73" t="s">
        <v>551</v>
      </c>
      <c r="M54" s="72">
        <v>46177</v>
      </c>
      <c r="N54" s="72">
        <v>46541</v>
      </c>
      <c r="O54" s="77">
        <v>90</v>
      </c>
      <c r="P54" s="78" t="s">
        <v>521</v>
      </c>
      <c r="Q54" s="79"/>
      <c r="R54" s="80"/>
      <c r="S54" s="81"/>
      <c r="T54" s="81"/>
      <c r="U54" s="82" t="str">
        <f t="shared" si="0"/>
        <v>MOS100180|KD003|CK4-842</v>
      </c>
    </row>
    <row r="55" spans="1:21" ht="15" customHeight="1" x14ac:dyDescent="0.3">
      <c r="A55" s="60" t="s">
        <v>548</v>
      </c>
      <c r="B55" s="61">
        <v>166149</v>
      </c>
      <c r="C55" s="62">
        <v>46179</v>
      </c>
      <c r="D55" s="63" t="s">
        <v>421</v>
      </c>
      <c r="E55" s="64" t="s">
        <v>549</v>
      </c>
      <c r="F55" s="65">
        <f>IFERROR(INDEX(M_User!$A$12:$J$67,MATCH(D55,M_User!$D$12:$D$67,0),1),"UNMAPPED")</f>
        <v>42</v>
      </c>
      <c r="G55" s="66" t="str">
        <f>IFERROR(INDEX(M_User!$A$12:$J$67,MATCH(D55,M_User!$D$12:$D$67,0),3),"UNMAPPED")</f>
        <v>Deodat Francis Materu</v>
      </c>
      <c r="H55" s="65" t="str">
        <f>IFERROR(INDEX(M_User!$A$12:$J$67,MATCH(D55,M_User!$D$12:$D$67,0),5),"UNMAPPED")</f>
        <v>MOS</v>
      </c>
      <c r="I55" s="63" t="s">
        <v>149</v>
      </c>
      <c r="J55" s="63" t="s">
        <v>229</v>
      </c>
      <c r="K55" s="66" t="str">
        <f>IFERROR(INDEX(M_SKU!$A$18:$J$57,MATCH(J55,M_SKU!$B$18:$B$57,0),1),"UNKNOWN SKU")</f>
        <v>Coke Pet 500ML ( x12)</v>
      </c>
      <c r="L55" s="63" t="s">
        <v>520</v>
      </c>
      <c r="M55" s="62">
        <v>46177</v>
      </c>
      <c r="N55" s="62">
        <v>46288</v>
      </c>
      <c r="O55" s="67">
        <v>60</v>
      </c>
      <c r="P55" s="68" t="s">
        <v>521</v>
      </c>
      <c r="Q55" s="63"/>
      <c r="R55" s="62"/>
      <c r="S55" s="69"/>
      <c r="T55" s="69"/>
      <c r="U55" s="66" t="str">
        <f t="shared" si="0"/>
        <v>MOS100180|PH001|CK6-33411</v>
      </c>
    </row>
    <row r="56" spans="1:21" ht="15" customHeight="1" x14ac:dyDescent="0.3">
      <c r="A56" s="70" t="s">
        <v>548</v>
      </c>
      <c r="B56" s="71">
        <v>166149</v>
      </c>
      <c r="C56" s="72">
        <v>46179</v>
      </c>
      <c r="D56" s="73" t="s">
        <v>421</v>
      </c>
      <c r="E56" s="74" t="s">
        <v>549</v>
      </c>
      <c r="F56" s="75">
        <f>IFERROR(INDEX(M_User!$A$12:$J$67,MATCH(D56,M_User!$D$12:$D$67,0),1),"UNMAPPED")</f>
        <v>42</v>
      </c>
      <c r="G56" s="76" t="str">
        <f>IFERROR(INDEX(M_User!$A$12:$J$67,MATCH(D56,M_User!$D$12:$D$67,0),3),"UNMAPPED")</f>
        <v>Deodat Francis Materu</v>
      </c>
      <c r="H56" s="75" t="str">
        <f>IFERROR(INDEX(M_User!$A$12:$J$67,MATCH(D56,M_User!$D$12:$D$67,0),5),"UNMAPPED")</f>
        <v>MOS</v>
      </c>
      <c r="I56" s="73" t="s">
        <v>149</v>
      </c>
      <c r="J56" s="73" t="s">
        <v>232</v>
      </c>
      <c r="K56" s="76" t="str">
        <f>IFERROR(INDEX(M_SKU!$A$18:$J$57,MATCH(J56,M_SKU!$B$18:$B$57,0),1),"UNKNOWN SKU")</f>
        <v>Sprite Pet 500ML (x 12)</v>
      </c>
      <c r="L56" s="73" t="s">
        <v>522</v>
      </c>
      <c r="M56" s="72">
        <v>46158</v>
      </c>
      <c r="N56" s="72">
        <v>46269</v>
      </c>
      <c r="O56" s="77">
        <v>15</v>
      </c>
      <c r="P56" s="78" t="s">
        <v>521</v>
      </c>
      <c r="Q56" s="79"/>
      <c r="R56" s="80"/>
      <c r="S56" s="81"/>
      <c r="T56" s="81"/>
      <c r="U56" s="82" t="str">
        <f t="shared" si="0"/>
        <v>MOS100180|PH002|CK6-33362</v>
      </c>
    </row>
    <row r="57" spans="1:21" ht="15" customHeight="1" x14ac:dyDescent="0.3">
      <c r="A57" s="60" t="s">
        <v>548</v>
      </c>
      <c r="B57" s="61">
        <v>166149</v>
      </c>
      <c r="C57" s="62">
        <v>46179</v>
      </c>
      <c r="D57" s="63" t="s">
        <v>421</v>
      </c>
      <c r="E57" s="64" t="s">
        <v>549</v>
      </c>
      <c r="F57" s="65">
        <f>IFERROR(INDEX(M_User!$A$12:$J$67,MATCH(D57,M_User!$D$12:$D$67,0),1),"UNMAPPED")</f>
        <v>42</v>
      </c>
      <c r="G57" s="66" t="str">
        <f>IFERROR(INDEX(M_User!$A$12:$J$67,MATCH(D57,M_User!$D$12:$D$67,0),3),"UNMAPPED")</f>
        <v>Deodat Francis Materu</v>
      </c>
      <c r="H57" s="65" t="str">
        <f>IFERROR(INDEX(M_User!$A$12:$J$67,MATCH(D57,M_User!$D$12:$D$67,0),5),"UNMAPPED")</f>
        <v>MOS</v>
      </c>
      <c r="I57" s="63" t="s">
        <v>149</v>
      </c>
      <c r="J57" s="63" t="s">
        <v>234</v>
      </c>
      <c r="K57" s="66" t="str">
        <f>IFERROR(INDEX(M_SKU!$A$18:$J$57,MATCH(J57,M_SKU!$B$18:$B$57,0),1),"UNKNOWN SKU")</f>
        <v>Fanta Orange Pet 500ML ( x 12)</v>
      </c>
      <c r="L57" s="63" t="s">
        <v>523</v>
      </c>
      <c r="M57" s="62">
        <v>46172</v>
      </c>
      <c r="N57" s="62">
        <v>46283</v>
      </c>
      <c r="O57" s="67">
        <v>25</v>
      </c>
      <c r="P57" s="68" t="s">
        <v>521</v>
      </c>
      <c r="Q57" s="63"/>
      <c r="R57" s="62"/>
      <c r="S57" s="69"/>
      <c r="T57" s="69"/>
      <c r="U57" s="66" t="str">
        <f t="shared" si="0"/>
        <v>MOS100180|PH003|CK6-33405</v>
      </c>
    </row>
    <row r="58" spans="1:21" ht="15" customHeight="1" x14ac:dyDescent="0.3">
      <c r="A58" s="70" t="s">
        <v>548</v>
      </c>
      <c r="B58" s="71">
        <v>166149</v>
      </c>
      <c r="C58" s="72">
        <v>46179</v>
      </c>
      <c r="D58" s="73" t="s">
        <v>421</v>
      </c>
      <c r="E58" s="74" t="s">
        <v>549</v>
      </c>
      <c r="F58" s="75">
        <f>IFERROR(INDEX(M_User!$A$12:$J$67,MATCH(D58,M_User!$D$12:$D$67,0),1),"UNMAPPED")</f>
        <v>42</v>
      </c>
      <c r="G58" s="76" t="str">
        <f>IFERROR(INDEX(M_User!$A$12:$J$67,MATCH(D58,M_User!$D$12:$D$67,0),3),"UNMAPPED")</f>
        <v>Deodat Francis Materu</v>
      </c>
      <c r="H58" s="75" t="str">
        <f>IFERROR(INDEX(M_User!$A$12:$J$67,MATCH(D58,M_User!$D$12:$D$67,0),5),"UNMAPPED")</f>
        <v>MOS</v>
      </c>
      <c r="I58" s="73" t="s">
        <v>149</v>
      </c>
      <c r="J58" s="73" t="s">
        <v>236</v>
      </c>
      <c r="K58" s="76" t="str">
        <f>IFERROR(INDEX(M_SKU!$A$18:$J$57,MATCH(J58,M_SKU!$B$18:$B$57,0),1),"UNKNOWN SKU")</f>
        <v>Fanta Passion Pet 500ML ( x12)</v>
      </c>
      <c r="L58" s="73" t="s">
        <v>524</v>
      </c>
      <c r="M58" s="72">
        <v>46151</v>
      </c>
      <c r="N58" s="72">
        <v>46262</v>
      </c>
      <c r="O58" s="77">
        <v>10</v>
      </c>
      <c r="P58" s="78" t="s">
        <v>521</v>
      </c>
      <c r="Q58" s="79"/>
      <c r="R58" s="80"/>
      <c r="S58" s="81"/>
      <c r="T58" s="81"/>
      <c r="U58" s="82" t="str">
        <f t="shared" si="0"/>
        <v>MOS100180|PH004|CK5-33334</v>
      </c>
    </row>
    <row r="59" spans="1:21" ht="15" customHeight="1" x14ac:dyDescent="0.3">
      <c r="A59" s="60" t="s">
        <v>548</v>
      </c>
      <c r="B59" s="61">
        <v>166149</v>
      </c>
      <c r="C59" s="62">
        <v>46179</v>
      </c>
      <c r="D59" s="63" t="s">
        <v>421</v>
      </c>
      <c r="E59" s="64" t="s">
        <v>549</v>
      </c>
      <c r="F59" s="65">
        <f>IFERROR(INDEX(M_User!$A$12:$J$67,MATCH(D59,M_User!$D$12:$D$67,0),1),"UNMAPPED")</f>
        <v>42</v>
      </c>
      <c r="G59" s="66" t="str">
        <f>IFERROR(INDEX(M_User!$A$12:$J$67,MATCH(D59,M_User!$D$12:$D$67,0),3),"UNMAPPED")</f>
        <v>Deodat Francis Materu</v>
      </c>
      <c r="H59" s="65" t="str">
        <f>IFERROR(INDEX(M_User!$A$12:$J$67,MATCH(D59,M_User!$D$12:$D$67,0),5),"UNMAPPED")</f>
        <v>MOS</v>
      </c>
      <c r="I59" s="63" t="s">
        <v>149</v>
      </c>
      <c r="J59" s="63" t="s">
        <v>240</v>
      </c>
      <c r="K59" s="66" t="str">
        <f>IFERROR(INDEX(M_SKU!$A$18:$J$57,MATCH(J59,M_SKU!$B$18:$B$57,0),1),"UNKNOWN SKU")</f>
        <v>Fanta Fruit Blast Pet 500ML (x12)</v>
      </c>
      <c r="L59" s="63" t="s">
        <v>552</v>
      </c>
      <c r="M59" s="62">
        <v>46151</v>
      </c>
      <c r="N59" s="62">
        <v>46262</v>
      </c>
      <c r="O59" s="67">
        <v>4</v>
      </c>
      <c r="P59" s="68" t="s">
        <v>521</v>
      </c>
      <c r="Q59" s="63"/>
      <c r="R59" s="62"/>
      <c r="S59" s="69"/>
      <c r="T59" s="69"/>
      <c r="U59" s="66" t="str">
        <f t="shared" si="0"/>
        <v>MOS100180|PH006|CK6-33333</v>
      </c>
    </row>
    <row r="60" spans="1:21" ht="15" customHeight="1" x14ac:dyDescent="0.3">
      <c r="A60" s="70" t="s">
        <v>548</v>
      </c>
      <c r="B60" s="71">
        <v>166149</v>
      </c>
      <c r="C60" s="72">
        <v>46179</v>
      </c>
      <c r="D60" s="73" t="s">
        <v>421</v>
      </c>
      <c r="E60" s="74" t="s">
        <v>549</v>
      </c>
      <c r="F60" s="75">
        <f>IFERROR(INDEX(M_User!$A$12:$J$67,MATCH(D60,M_User!$D$12:$D$67,0),1),"UNMAPPED")</f>
        <v>42</v>
      </c>
      <c r="G60" s="76" t="str">
        <f>IFERROR(INDEX(M_User!$A$12:$J$67,MATCH(D60,M_User!$D$12:$D$67,0),3),"UNMAPPED")</f>
        <v>Deodat Francis Materu</v>
      </c>
      <c r="H60" s="75" t="str">
        <f>IFERROR(INDEX(M_User!$A$12:$J$67,MATCH(D60,M_User!$D$12:$D$67,0),5),"UNMAPPED")</f>
        <v>MOS</v>
      </c>
      <c r="I60" s="73" t="s">
        <v>149</v>
      </c>
      <c r="J60" s="73" t="s">
        <v>240</v>
      </c>
      <c r="K60" s="76" t="str">
        <f>IFERROR(INDEX(M_SKU!$A$18:$J$57,MATCH(J60,M_SKU!$B$18:$B$57,0),1),"UNKNOWN SKU")</f>
        <v>Fanta Fruit Blast Pet 500ML (x12)</v>
      </c>
      <c r="L60" s="73" t="s">
        <v>553</v>
      </c>
      <c r="M60" s="72">
        <v>46151</v>
      </c>
      <c r="N60" s="72">
        <v>46262</v>
      </c>
      <c r="O60" s="77">
        <v>1</v>
      </c>
      <c r="P60" s="78" t="s">
        <v>521</v>
      </c>
      <c r="Q60" s="79"/>
      <c r="R60" s="80"/>
      <c r="S60" s="81"/>
      <c r="T60" s="81"/>
      <c r="U60" s="82" t="str">
        <f t="shared" si="0"/>
        <v>MOS100180|PH006|CK6-33334</v>
      </c>
    </row>
    <row r="61" spans="1:21" ht="15" customHeight="1" x14ac:dyDescent="0.3">
      <c r="A61" s="60" t="s">
        <v>548</v>
      </c>
      <c r="B61" s="61">
        <v>166149</v>
      </c>
      <c r="C61" s="62">
        <v>46179</v>
      </c>
      <c r="D61" s="63" t="s">
        <v>421</v>
      </c>
      <c r="E61" s="64" t="s">
        <v>549</v>
      </c>
      <c r="F61" s="65">
        <f>IFERROR(INDEX(M_User!$A$12:$J$67,MATCH(D61,M_User!$D$12:$D$67,0),1),"UNMAPPED")</f>
        <v>42</v>
      </c>
      <c r="G61" s="66" t="str">
        <f>IFERROR(INDEX(M_User!$A$12:$J$67,MATCH(D61,M_User!$D$12:$D$67,0),3),"UNMAPPED")</f>
        <v>Deodat Francis Materu</v>
      </c>
      <c r="H61" s="65" t="str">
        <f>IFERROR(INDEX(M_User!$A$12:$J$67,MATCH(D61,M_User!$D$12:$D$67,0),5),"UNMAPPED")</f>
        <v>MOS</v>
      </c>
      <c r="I61" s="63" t="s">
        <v>149</v>
      </c>
      <c r="J61" s="63" t="s">
        <v>242</v>
      </c>
      <c r="K61" s="66" t="str">
        <f>IFERROR(INDEX(M_SKU!$A$18:$J$57,MATCH(J61,M_SKU!$B$18:$B$57,0),1),"UNKNOWN SKU")</f>
        <v>Stoney Tangawizi Pet 500 ml ( x12)</v>
      </c>
      <c r="L61" s="63" t="s">
        <v>525</v>
      </c>
      <c r="M61" s="62">
        <v>46161</v>
      </c>
      <c r="N61" s="62">
        <v>46272</v>
      </c>
      <c r="O61" s="67">
        <v>3</v>
      </c>
      <c r="P61" s="68" t="s">
        <v>521</v>
      </c>
      <c r="Q61" s="63"/>
      <c r="R61" s="62"/>
      <c r="S61" s="69"/>
      <c r="T61" s="69"/>
      <c r="U61" s="66" t="str">
        <f t="shared" si="0"/>
        <v>MOS100180|PH007|CK6-33375</v>
      </c>
    </row>
    <row r="62" spans="1:21" ht="15" customHeight="1" x14ac:dyDescent="0.3">
      <c r="A62" s="70" t="s">
        <v>548</v>
      </c>
      <c r="B62" s="71">
        <v>166149</v>
      </c>
      <c r="C62" s="72">
        <v>46179</v>
      </c>
      <c r="D62" s="73" t="s">
        <v>421</v>
      </c>
      <c r="E62" s="74" t="s">
        <v>549</v>
      </c>
      <c r="F62" s="75">
        <f>IFERROR(INDEX(M_User!$A$12:$J$67,MATCH(D62,M_User!$D$12:$D$67,0),1),"UNMAPPED")</f>
        <v>42</v>
      </c>
      <c r="G62" s="76" t="str">
        <f>IFERROR(INDEX(M_User!$A$12:$J$67,MATCH(D62,M_User!$D$12:$D$67,0),3),"UNMAPPED")</f>
        <v>Deodat Francis Materu</v>
      </c>
      <c r="H62" s="75" t="str">
        <f>IFERROR(INDEX(M_User!$A$12:$J$67,MATCH(D62,M_User!$D$12:$D$67,0),5),"UNMAPPED")</f>
        <v>MOS</v>
      </c>
      <c r="I62" s="73" t="s">
        <v>149</v>
      </c>
      <c r="J62" s="73" t="s">
        <v>244</v>
      </c>
      <c r="K62" s="76" t="str">
        <f>IFERROR(INDEX(M_SKU!$A$18:$J$57,MATCH(J62,M_SKU!$B$18:$B$57,0),1),"UNKNOWN SKU")</f>
        <v>Sparletta Pinenut Pet 500 ml ( x12)</v>
      </c>
      <c r="L62" s="73" t="s">
        <v>526</v>
      </c>
      <c r="M62" s="72">
        <v>46161</v>
      </c>
      <c r="N62" s="72">
        <v>46272</v>
      </c>
      <c r="O62" s="77">
        <v>3</v>
      </c>
      <c r="P62" s="78" t="s">
        <v>521</v>
      </c>
      <c r="Q62" s="79"/>
      <c r="R62" s="80"/>
      <c r="S62" s="81"/>
      <c r="T62" s="81"/>
      <c r="U62" s="82" t="str">
        <f t="shared" si="0"/>
        <v>MOS100180|PH008|CK5-33370</v>
      </c>
    </row>
    <row r="63" spans="1:21" ht="15" customHeight="1" x14ac:dyDescent="0.3">
      <c r="A63" s="60" t="s">
        <v>548</v>
      </c>
      <c r="B63" s="61">
        <v>166149</v>
      </c>
      <c r="C63" s="62">
        <v>46179</v>
      </c>
      <c r="D63" s="63" t="s">
        <v>421</v>
      </c>
      <c r="E63" s="64" t="s">
        <v>549</v>
      </c>
      <c r="F63" s="65">
        <f>IFERROR(INDEX(M_User!$A$12:$J$67,MATCH(D63,M_User!$D$12:$D$67,0),1),"UNMAPPED")</f>
        <v>42</v>
      </c>
      <c r="G63" s="66" t="str">
        <f>IFERROR(INDEX(M_User!$A$12:$J$67,MATCH(D63,M_User!$D$12:$D$67,0),3),"UNMAPPED")</f>
        <v>Deodat Francis Materu</v>
      </c>
      <c r="H63" s="65" t="str">
        <f>IFERROR(INDEX(M_User!$A$12:$J$67,MATCH(D63,M_User!$D$12:$D$67,0),5),"UNMAPPED")</f>
        <v>MOS</v>
      </c>
      <c r="I63" s="63" t="s">
        <v>149</v>
      </c>
      <c r="J63" s="63" t="s">
        <v>246</v>
      </c>
      <c r="K63" s="66" t="str">
        <f>IFERROR(INDEX(M_SKU!$A$18:$J$57,MATCH(J63,M_SKU!$B$18:$B$57,0),1),"UNKNOWN SKU")</f>
        <v>Coke Zero Pet 500ML ( X 12)</v>
      </c>
      <c r="L63" s="63" t="s">
        <v>554</v>
      </c>
      <c r="M63" s="62">
        <v>46154</v>
      </c>
      <c r="N63" s="62">
        <v>46265</v>
      </c>
      <c r="O63" s="67">
        <v>5</v>
      </c>
      <c r="P63" s="68" t="s">
        <v>521</v>
      </c>
      <c r="Q63" s="63"/>
      <c r="R63" s="62"/>
      <c r="S63" s="69"/>
      <c r="T63" s="69"/>
      <c r="U63" s="66" t="str">
        <f t="shared" si="0"/>
        <v>MOS100180|PH009|CK6-33241</v>
      </c>
    </row>
    <row r="64" spans="1:21" ht="15" customHeight="1" x14ac:dyDescent="0.3">
      <c r="A64" s="70" t="s">
        <v>548</v>
      </c>
      <c r="B64" s="71">
        <v>166149</v>
      </c>
      <c r="C64" s="72">
        <v>46179</v>
      </c>
      <c r="D64" s="73" t="s">
        <v>421</v>
      </c>
      <c r="E64" s="74" t="s">
        <v>549</v>
      </c>
      <c r="F64" s="75">
        <f>IFERROR(INDEX(M_User!$A$12:$J$67,MATCH(D64,M_User!$D$12:$D$67,0),1),"UNMAPPED")</f>
        <v>42</v>
      </c>
      <c r="G64" s="76" t="str">
        <f>IFERROR(INDEX(M_User!$A$12:$J$67,MATCH(D64,M_User!$D$12:$D$67,0),3),"UNMAPPED")</f>
        <v>Deodat Francis Materu</v>
      </c>
      <c r="H64" s="75" t="str">
        <f>IFERROR(INDEX(M_User!$A$12:$J$67,MATCH(D64,M_User!$D$12:$D$67,0),5),"UNMAPPED")</f>
        <v>MOS</v>
      </c>
      <c r="I64" s="73" t="s">
        <v>149</v>
      </c>
      <c r="J64" s="73" t="s">
        <v>252</v>
      </c>
      <c r="K64" s="76" t="str">
        <f>IFERROR(INDEX(M_SKU!$A$18:$J$57,MATCH(J64,M_SKU!$B$18:$B$57,0),1),"UNKNOWN SKU")</f>
        <v>Sprite Zero Pet 300ML (x 12)</v>
      </c>
      <c r="L64" s="73" t="s">
        <v>545</v>
      </c>
      <c r="M64" s="72">
        <v>46158</v>
      </c>
      <c r="N64" s="72">
        <v>46241</v>
      </c>
      <c r="O64" s="77">
        <v>5</v>
      </c>
      <c r="P64" s="78" t="s">
        <v>521</v>
      </c>
      <c r="Q64" s="79"/>
      <c r="R64" s="80"/>
      <c r="S64" s="81"/>
      <c r="T64" s="81"/>
      <c r="U64" s="82" t="str">
        <f t="shared" si="0"/>
        <v>MOS100180|PO010|CK5-33360</v>
      </c>
    </row>
    <row r="65" spans="1:21" ht="15" customHeight="1" x14ac:dyDescent="0.3">
      <c r="A65" s="60" t="s">
        <v>548</v>
      </c>
      <c r="B65" s="61">
        <v>166149</v>
      </c>
      <c r="C65" s="62">
        <v>46179</v>
      </c>
      <c r="D65" s="63" t="s">
        <v>421</v>
      </c>
      <c r="E65" s="64" t="s">
        <v>549</v>
      </c>
      <c r="F65" s="65">
        <f>IFERROR(INDEX(M_User!$A$12:$J$67,MATCH(D65,M_User!$D$12:$D$67,0),1),"UNMAPPED")</f>
        <v>42</v>
      </c>
      <c r="G65" s="66" t="str">
        <f>IFERROR(INDEX(M_User!$A$12:$J$67,MATCH(D65,M_User!$D$12:$D$67,0),3),"UNMAPPED")</f>
        <v>Deodat Francis Materu</v>
      </c>
      <c r="H65" s="65" t="str">
        <f>IFERROR(INDEX(M_User!$A$12:$J$67,MATCH(D65,M_User!$D$12:$D$67,0),5),"UNMAPPED")</f>
        <v>MOS</v>
      </c>
      <c r="I65" s="63" t="s">
        <v>149</v>
      </c>
      <c r="J65" s="63" t="s">
        <v>254</v>
      </c>
      <c r="K65" s="66" t="str">
        <f>IFERROR(INDEX(M_SKU!$A$18:$J$57,MATCH(J65,M_SKU!$B$18:$B$57,0),1),"UNKNOWN SKU")</f>
        <v>Fanta Zero Pet 300ML (x 12)</v>
      </c>
      <c r="L65" s="63" t="s">
        <v>546</v>
      </c>
      <c r="M65" s="62">
        <v>46159</v>
      </c>
      <c r="N65" s="62">
        <v>46242</v>
      </c>
      <c r="O65" s="67">
        <v>5</v>
      </c>
      <c r="P65" s="68" t="s">
        <v>521</v>
      </c>
      <c r="Q65" s="63"/>
      <c r="R65" s="62"/>
      <c r="S65" s="69"/>
      <c r="T65" s="69"/>
      <c r="U65" s="66" t="str">
        <f t="shared" si="0"/>
        <v>MOS100180|PO012|CK5-33369</v>
      </c>
    </row>
    <row r="66" spans="1:21" ht="15" customHeight="1" x14ac:dyDescent="0.3">
      <c r="A66" s="70" t="s">
        <v>548</v>
      </c>
      <c r="B66" s="71">
        <v>166149</v>
      </c>
      <c r="C66" s="72">
        <v>46179</v>
      </c>
      <c r="D66" s="73" t="s">
        <v>421</v>
      </c>
      <c r="E66" s="74" t="s">
        <v>549</v>
      </c>
      <c r="F66" s="75">
        <f>IFERROR(INDEX(M_User!$A$12:$J$67,MATCH(D66,M_User!$D$12:$D$67,0),1),"UNMAPPED")</f>
        <v>42</v>
      </c>
      <c r="G66" s="76" t="str">
        <f>IFERROR(INDEX(M_User!$A$12:$J$67,MATCH(D66,M_User!$D$12:$D$67,0),3),"UNMAPPED")</f>
        <v>Deodat Francis Materu</v>
      </c>
      <c r="H66" s="75" t="str">
        <f>IFERROR(INDEX(M_User!$A$12:$J$67,MATCH(D66,M_User!$D$12:$D$67,0),5),"UNMAPPED")</f>
        <v>MOS</v>
      </c>
      <c r="I66" s="73" t="s">
        <v>149</v>
      </c>
      <c r="J66" s="73" t="s">
        <v>256</v>
      </c>
      <c r="K66" s="76" t="str">
        <f>IFERROR(INDEX(M_SKU!$A$18:$J$57,MATCH(J66,M_SKU!$B$18:$B$57,0),1),"UNKNOWN SKU")</f>
        <v>Sparletta Red Apple Pet 300ML(x 12)</v>
      </c>
      <c r="L66" s="73" t="s">
        <v>555</v>
      </c>
      <c r="M66" s="72">
        <v>46159</v>
      </c>
      <c r="N66" s="72">
        <v>46242</v>
      </c>
      <c r="O66" s="77">
        <v>5</v>
      </c>
      <c r="P66" s="78" t="s">
        <v>521</v>
      </c>
      <c r="Q66" s="79"/>
      <c r="R66" s="80"/>
      <c r="S66" s="81"/>
      <c r="T66" s="81"/>
      <c r="U66" s="82" t="str">
        <f t="shared" si="0"/>
        <v>MOS100180|PO013|CK5-33368</v>
      </c>
    </row>
    <row r="67" spans="1:21" ht="15" customHeight="1" x14ac:dyDescent="0.3">
      <c r="A67" s="60" t="s">
        <v>548</v>
      </c>
      <c r="B67" s="61">
        <v>166149</v>
      </c>
      <c r="C67" s="62">
        <v>46179</v>
      </c>
      <c r="D67" s="63" t="s">
        <v>421</v>
      </c>
      <c r="E67" s="64" t="s">
        <v>549</v>
      </c>
      <c r="F67" s="65">
        <f>IFERROR(INDEX(M_User!$A$12:$J$67,MATCH(D67,M_User!$D$12:$D$67,0),1),"UNMAPPED")</f>
        <v>42</v>
      </c>
      <c r="G67" s="66" t="str">
        <f>IFERROR(INDEX(M_User!$A$12:$J$67,MATCH(D67,M_User!$D$12:$D$67,0),3),"UNMAPPED")</f>
        <v>Deodat Francis Materu</v>
      </c>
      <c r="H67" s="65" t="str">
        <f>IFERROR(INDEX(M_User!$A$12:$J$67,MATCH(D67,M_User!$D$12:$D$67,0),5),"UNMAPPED")</f>
        <v>MOS</v>
      </c>
      <c r="I67" s="63" t="s">
        <v>149</v>
      </c>
      <c r="J67" s="63" t="s">
        <v>261</v>
      </c>
      <c r="K67" s="66" t="str">
        <f>IFERROR(INDEX(M_SKU!$A$18:$J$57,MATCH(J67,M_SKU!$B$18:$B$57,0),1),"UNKNOWN SKU")</f>
        <v>Sparletta Pine Apple Pet 300ML (x 12)</v>
      </c>
      <c r="L67" s="63" t="s">
        <v>547</v>
      </c>
      <c r="M67" s="62">
        <v>46158</v>
      </c>
      <c r="N67" s="62">
        <v>46241</v>
      </c>
      <c r="O67" s="67">
        <v>5</v>
      </c>
      <c r="P67" s="68" t="s">
        <v>521</v>
      </c>
      <c r="Q67" s="63"/>
      <c r="R67" s="62"/>
      <c r="S67" s="69"/>
      <c r="T67" s="69"/>
      <c r="U67" s="66" t="str">
        <f t="shared" si="0"/>
        <v>MOS100180|PO015|CK5-33366</v>
      </c>
    </row>
    <row r="68" spans="1:21" ht="15" customHeight="1" x14ac:dyDescent="0.3">
      <c r="A68" s="70" t="s">
        <v>556</v>
      </c>
      <c r="B68" s="71">
        <v>166150</v>
      </c>
      <c r="C68" s="72">
        <v>46179</v>
      </c>
      <c r="D68" s="73" t="s">
        <v>424</v>
      </c>
      <c r="E68" s="74" t="s">
        <v>557</v>
      </c>
      <c r="F68" s="75">
        <f>IFERROR(INDEX(M_User!$A$12:$J$67,MATCH(D68,M_User!$D$12:$D$67,0),1),"UNMAPPED")</f>
        <v>33</v>
      </c>
      <c r="G68" s="76" t="str">
        <f>IFERROR(INDEX(M_User!$A$12:$J$67,MATCH(D68,M_User!$D$12:$D$67,0),3),"UNMAPPED")</f>
        <v>Raymond P Sangawe</v>
      </c>
      <c r="H68" s="75" t="str">
        <f>IFERROR(INDEX(M_User!$A$12:$J$67,MATCH(D68,M_User!$D$12:$D$67,0),5),"UNMAPPED")</f>
        <v>MOS</v>
      </c>
      <c r="I68" s="73" t="s">
        <v>149</v>
      </c>
      <c r="J68" s="73" t="s">
        <v>170</v>
      </c>
      <c r="K68" s="76" t="str">
        <f>IFERROR(INDEX(M_SKU!$A$18:$J$57,MATCH(J68,M_SKU!$B$18:$B$57,0),1),"UNKNOWN SKU")</f>
        <v>Coke RGB 350ml</v>
      </c>
      <c r="L68" s="73" t="s">
        <v>530</v>
      </c>
      <c r="M68" s="72">
        <v>46175</v>
      </c>
      <c r="N68" s="72">
        <v>46539</v>
      </c>
      <c r="O68" s="77">
        <v>60</v>
      </c>
      <c r="P68" s="78" t="s">
        <v>521</v>
      </c>
      <c r="Q68" s="79"/>
      <c r="R68" s="80"/>
      <c r="S68" s="81"/>
      <c r="T68" s="81"/>
      <c r="U68" s="82" t="str">
        <f t="shared" si="0"/>
        <v>MOS100716|FG001|CK3-33409</v>
      </c>
    </row>
    <row r="69" spans="1:21" ht="15" customHeight="1" x14ac:dyDescent="0.3">
      <c r="A69" s="60" t="s">
        <v>556</v>
      </c>
      <c r="B69" s="61">
        <v>166150</v>
      </c>
      <c r="C69" s="62">
        <v>46179</v>
      </c>
      <c r="D69" s="63" t="s">
        <v>424</v>
      </c>
      <c r="E69" s="64" t="s">
        <v>557</v>
      </c>
      <c r="F69" s="65">
        <f>IFERROR(INDEX(M_User!$A$12:$J$67,MATCH(D69,M_User!$D$12:$D$67,0),1),"UNMAPPED")</f>
        <v>33</v>
      </c>
      <c r="G69" s="66" t="str">
        <f>IFERROR(INDEX(M_User!$A$12:$J$67,MATCH(D69,M_User!$D$12:$D$67,0),3),"UNMAPPED")</f>
        <v>Raymond P Sangawe</v>
      </c>
      <c r="H69" s="65" t="str">
        <f>IFERROR(INDEX(M_User!$A$12:$J$67,MATCH(D69,M_User!$D$12:$D$67,0),5),"UNMAPPED")</f>
        <v>MOS</v>
      </c>
      <c r="I69" s="63" t="s">
        <v>149</v>
      </c>
      <c r="J69" s="63" t="s">
        <v>178</v>
      </c>
      <c r="K69" s="66" t="str">
        <f>IFERROR(INDEX(M_SKU!$A$18:$J$57,MATCH(J69,M_SKU!$B$18:$B$57,0),1),"UNKNOWN SKU")</f>
        <v>Fanta Orange RGB 350ml</v>
      </c>
      <c r="L69" s="63" t="s">
        <v>531</v>
      </c>
      <c r="M69" s="62">
        <v>46174</v>
      </c>
      <c r="N69" s="62">
        <v>46538</v>
      </c>
      <c r="O69" s="67">
        <v>20</v>
      </c>
      <c r="P69" s="68" t="s">
        <v>521</v>
      </c>
      <c r="Q69" s="63"/>
      <c r="R69" s="62"/>
      <c r="S69" s="69"/>
      <c r="T69" s="69"/>
      <c r="U69" s="66" t="str">
        <f t="shared" si="0"/>
        <v>MOS100716|FG002|CK3-33407</v>
      </c>
    </row>
    <row r="70" spans="1:21" ht="15" customHeight="1" x14ac:dyDescent="0.3">
      <c r="A70" s="70" t="s">
        <v>556</v>
      </c>
      <c r="B70" s="71">
        <v>166150</v>
      </c>
      <c r="C70" s="72">
        <v>46179</v>
      </c>
      <c r="D70" s="73" t="s">
        <v>424</v>
      </c>
      <c r="E70" s="74" t="s">
        <v>557</v>
      </c>
      <c r="F70" s="75">
        <f>IFERROR(INDEX(M_User!$A$12:$J$67,MATCH(D70,M_User!$D$12:$D$67,0),1),"UNMAPPED")</f>
        <v>33</v>
      </c>
      <c r="G70" s="76" t="str">
        <f>IFERROR(INDEX(M_User!$A$12:$J$67,MATCH(D70,M_User!$D$12:$D$67,0),3),"UNMAPPED")</f>
        <v>Raymond P Sangawe</v>
      </c>
      <c r="H70" s="75" t="str">
        <f>IFERROR(INDEX(M_User!$A$12:$J$67,MATCH(D70,M_User!$D$12:$D$67,0),5),"UNMAPPED")</f>
        <v>MOS</v>
      </c>
      <c r="I70" s="73" t="s">
        <v>149</v>
      </c>
      <c r="J70" s="73" t="s">
        <v>181</v>
      </c>
      <c r="K70" s="76" t="str">
        <f>IFERROR(INDEX(M_SKU!$A$18:$J$57,MATCH(J70,M_SKU!$B$18:$B$57,0),1),"UNKNOWN SKU")</f>
        <v>Fanta Passion RGB 350ml</v>
      </c>
      <c r="L70" s="73" t="s">
        <v>550</v>
      </c>
      <c r="M70" s="72">
        <v>46158</v>
      </c>
      <c r="N70" s="72">
        <v>46521</v>
      </c>
      <c r="O70" s="77">
        <v>10</v>
      </c>
      <c r="P70" s="78" t="s">
        <v>521</v>
      </c>
      <c r="Q70" s="79"/>
      <c r="R70" s="80"/>
      <c r="S70" s="81"/>
      <c r="T70" s="81"/>
      <c r="U70" s="82" t="str">
        <f t="shared" si="0"/>
        <v>MOS100716|FG003|CK3-33356</v>
      </c>
    </row>
    <row r="71" spans="1:21" ht="15" customHeight="1" x14ac:dyDescent="0.3">
      <c r="A71" s="60" t="s">
        <v>556</v>
      </c>
      <c r="B71" s="61">
        <v>166150</v>
      </c>
      <c r="C71" s="62">
        <v>46179</v>
      </c>
      <c r="D71" s="63" t="s">
        <v>424</v>
      </c>
      <c r="E71" s="64" t="s">
        <v>557</v>
      </c>
      <c r="F71" s="65">
        <f>IFERROR(INDEX(M_User!$A$12:$J$67,MATCH(D71,M_User!$D$12:$D$67,0),1),"UNMAPPED")</f>
        <v>33</v>
      </c>
      <c r="G71" s="66" t="str">
        <f>IFERROR(INDEX(M_User!$A$12:$J$67,MATCH(D71,M_User!$D$12:$D$67,0),3),"UNMAPPED")</f>
        <v>Raymond P Sangawe</v>
      </c>
      <c r="H71" s="65" t="str">
        <f>IFERROR(INDEX(M_User!$A$12:$J$67,MATCH(D71,M_User!$D$12:$D$67,0),5),"UNMAPPED")</f>
        <v>MOS</v>
      </c>
      <c r="I71" s="63" t="s">
        <v>149</v>
      </c>
      <c r="J71" s="63" t="s">
        <v>183</v>
      </c>
      <c r="K71" s="66" t="str">
        <f>IFERROR(INDEX(M_SKU!$A$18:$J$57,MATCH(J71,M_SKU!$B$18:$B$57,0),1),"UNKNOWN SKU")</f>
        <v>Fanta Pineapple RGB 350ml</v>
      </c>
      <c r="L71" s="63" t="s">
        <v>533</v>
      </c>
      <c r="M71" s="62">
        <v>46163</v>
      </c>
      <c r="N71" s="62">
        <v>46527</v>
      </c>
      <c r="O71" s="67">
        <v>10</v>
      </c>
      <c r="P71" s="68" t="s">
        <v>521</v>
      </c>
      <c r="Q71" s="63"/>
      <c r="R71" s="62"/>
      <c r="S71" s="69"/>
      <c r="T71" s="69"/>
      <c r="U71" s="66" t="str">
        <f t="shared" si="0"/>
        <v>MOS100716|FG004|CK3-33385</v>
      </c>
    </row>
    <row r="72" spans="1:21" ht="15" customHeight="1" x14ac:dyDescent="0.3">
      <c r="A72" s="70" t="s">
        <v>556</v>
      </c>
      <c r="B72" s="71">
        <v>166150</v>
      </c>
      <c r="C72" s="72">
        <v>46179</v>
      </c>
      <c r="D72" s="73" t="s">
        <v>424</v>
      </c>
      <c r="E72" s="74" t="s">
        <v>557</v>
      </c>
      <c r="F72" s="75">
        <f>IFERROR(INDEX(M_User!$A$12:$J$67,MATCH(D72,M_User!$D$12:$D$67,0),1),"UNMAPPED")</f>
        <v>33</v>
      </c>
      <c r="G72" s="76" t="str">
        <f>IFERROR(INDEX(M_User!$A$12:$J$67,MATCH(D72,M_User!$D$12:$D$67,0),3),"UNMAPPED")</f>
        <v>Raymond P Sangawe</v>
      </c>
      <c r="H72" s="75" t="str">
        <f>IFERROR(INDEX(M_User!$A$12:$J$67,MATCH(D72,M_User!$D$12:$D$67,0),5),"UNMAPPED")</f>
        <v>MOS</v>
      </c>
      <c r="I72" s="73" t="s">
        <v>149</v>
      </c>
      <c r="J72" s="73" t="s">
        <v>185</v>
      </c>
      <c r="K72" s="76" t="str">
        <f>IFERROR(INDEX(M_SKU!$A$18:$J$57,MATCH(J72,M_SKU!$B$18:$B$57,0),1),"UNKNOWN SKU")</f>
        <v>Fanta Fruit Blast RGB 350 ml</v>
      </c>
      <c r="L72" s="73" t="s">
        <v>534</v>
      </c>
      <c r="M72" s="72">
        <v>46171</v>
      </c>
      <c r="N72" s="72">
        <v>46535</v>
      </c>
      <c r="O72" s="77">
        <v>2</v>
      </c>
      <c r="P72" s="78" t="s">
        <v>521</v>
      </c>
      <c r="Q72" s="79"/>
      <c r="R72" s="80"/>
      <c r="S72" s="81"/>
      <c r="T72" s="81"/>
      <c r="U72" s="82" t="str">
        <f t="shared" si="0"/>
        <v>MOS100716|FG005|CK3-33402</v>
      </c>
    </row>
    <row r="73" spans="1:21" ht="15" customHeight="1" x14ac:dyDescent="0.3">
      <c r="A73" s="60" t="s">
        <v>556</v>
      </c>
      <c r="B73" s="61">
        <v>166150</v>
      </c>
      <c r="C73" s="62">
        <v>46179</v>
      </c>
      <c r="D73" s="63" t="s">
        <v>424</v>
      </c>
      <c r="E73" s="64" t="s">
        <v>557</v>
      </c>
      <c r="F73" s="65">
        <f>IFERROR(INDEX(M_User!$A$12:$J$67,MATCH(D73,M_User!$D$12:$D$67,0),1),"UNMAPPED")</f>
        <v>33</v>
      </c>
      <c r="G73" s="66" t="str">
        <f>IFERROR(INDEX(M_User!$A$12:$J$67,MATCH(D73,M_User!$D$12:$D$67,0),3),"UNMAPPED")</f>
        <v>Raymond P Sangawe</v>
      </c>
      <c r="H73" s="65" t="str">
        <f>IFERROR(INDEX(M_User!$A$12:$J$67,MATCH(D73,M_User!$D$12:$D$67,0),5),"UNMAPPED")</f>
        <v>MOS</v>
      </c>
      <c r="I73" s="63" t="s">
        <v>149</v>
      </c>
      <c r="J73" s="63" t="s">
        <v>187</v>
      </c>
      <c r="K73" s="66" t="str">
        <f>IFERROR(INDEX(M_SKU!$A$18:$J$57,MATCH(J73,M_SKU!$B$18:$B$57,0),1),"UNKNOWN SKU")</f>
        <v>Sprite 350ml</v>
      </c>
      <c r="L73" s="63" t="s">
        <v>558</v>
      </c>
      <c r="M73" s="62">
        <v>46163</v>
      </c>
      <c r="N73" s="62">
        <v>46527</v>
      </c>
      <c r="O73" s="67">
        <v>10</v>
      </c>
      <c r="P73" s="68" t="s">
        <v>521</v>
      </c>
      <c r="Q73" s="63"/>
      <c r="R73" s="62"/>
      <c r="S73" s="69"/>
      <c r="T73" s="69"/>
      <c r="U73" s="66" t="str">
        <f t="shared" ref="U73:U136" si="1">D73 &amp; "|" &amp; J73 &amp; "|" &amp; L73</f>
        <v>MOS100716|FG006|CK3-33383</v>
      </c>
    </row>
    <row r="74" spans="1:21" ht="15" customHeight="1" x14ac:dyDescent="0.3">
      <c r="A74" s="70" t="s">
        <v>556</v>
      </c>
      <c r="B74" s="71">
        <v>166150</v>
      </c>
      <c r="C74" s="72">
        <v>46179</v>
      </c>
      <c r="D74" s="73" t="s">
        <v>424</v>
      </c>
      <c r="E74" s="74" t="s">
        <v>557</v>
      </c>
      <c r="F74" s="75">
        <f>IFERROR(INDEX(M_User!$A$12:$J$67,MATCH(D74,M_User!$D$12:$D$67,0),1),"UNMAPPED")</f>
        <v>33</v>
      </c>
      <c r="G74" s="76" t="str">
        <f>IFERROR(INDEX(M_User!$A$12:$J$67,MATCH(D74,M_User!$D$12:$D$67,0),3),"UNMAPPED")</f>
        <v>Raymond P Sangawe</v>
      </c>
      <c r="H74" s="75" t="str">
        <f>IFERROR(INDEX(M_User!$A$12:$J$67,MATCH(D74,M_User!$D$12:$D$67,0),5),"UNMAPPED")</f>
        <v>MOS</v>
      </c>
      <c r="I74" s="73" t="s">
        <v>149</v>
      </c>
      <c r="J74" s="73" t="s">
        <v>190</v>
      </c>
      <c r="K74" s="76" t="str">
        <f>IFERROR(INDEX(M_SKU!$A$18:$J$57,MATCH(J74,M_SKU!$B$18:$B$57,0),1),"UNKNOWN SKU")</f>
        <v>Stoney Tangawizi RGB 350ml</v>
      </c>
      <c r="L74" s="73" t="s">
        <v>536</v>
      </c>
      <c r="M74" s="72">
        <v>46172</v>
      </c>
      <c r="N74" s="72">
        <v>46353</v>
      </c>
      <c r="O74" s="77">
        <v>3</v>
      </c>
      <c r="P74" s="78" t="s">
        <v>521</v>
      </c>
      <c r="Q74" s="79"/>
      <c r="R74" s="80"/>
      <c r="S74" s="81"/>
      <c r="T74" s="81"/>
      <c r="U74" s="82" t="str">
        <f t="shared" si="1"/>
        <v>MOS100716|FG007|CK3-33404</v>
      </c>
    </row>
    <row r="75" spans="1:21" ht="15" customHeight="1" x14ac:dyDescent="0.3">
      <c r="A75" s="60" t="s">
        <v>556</v>
      </c>
      <c r="B75" s="61">
        <v>166150</v>
      </c>
      <c r="C75" s="62">
        <v>46179</v>
      </c>
      <c r="D75" s="63" t="s">
        <v>424</v>
      </c>
      <c r="E75" s="64" t="s">
        <v>557</v>
      </c>
      <c r="F75" s="65">
        <f>IFERROR(INDEX(M_User!$A$12:$J$67,MATCH(D75,M_User!$D$12:$D$67,0),1),"UNMAPPED")</f>
        <v>33</v>
      </c>
      <c r="G75" s="66" t="str">
        <f>IFERROR(INDEX(M_User!$A$12:$J$67,MATCH(D75,M_User!$D$12:$D$67,0),3),"UNMAPPED")</f>
        <v>Raymond P Sangawe</v>
      </c>
      <c r="H75" s="65" t="str">
        <f>IFERROR(INDEX(M_User!$A$12:$J$67,MATCH(D75,M_User!$D$12:$D$67,0),5),"UNMAPPED")</f>
        <v>MOS</v>
      </c>
      <c r="I75" s="63" t="s">
        <v>149</v>
      </c>
      <c r="J75" s="63" t="s">
        <v>193</v>
      </c>
      <c r="K75" s="66" t="str">
        <f>IFERROR(INDEX(M_SKU!$A$18:$J$57,MATCH(J75,M_SKU!$B$18:$B$57,0),1),"UNKNOWN SKU")</f>
        <v>Sparletta Pinenut RGB 350ml</v>
      </c>
      <c r="L75" s="63" t="s">
        <v>537</v>
      </c>
      <c r="M75" s="62">
        <v>46158</v>
      </c>
      <c r="N75" s="62">
        <v>46522</v>
      </c>
      <c r="O75" s="67">
        <v>3</v>
      </c>
      <c r="P75" s="68" t="s">
        <v>521</v>
      </c>
      <c r="Q75" s="63"/>
      <c r="R75" s="62"/>
      <c r="S75" s="69"/>
      <c r="T75" s="69"/>
      <c r="U75" s="66" t="str">
        <f t="shared" si="1"/>
        <v>MOS100716|FG008|CK3-33365</v>
      </c>
    </row>
    <row r="76" spans="1:21" ht="15" customHeight="1" x14ac:dyDescent="0.3">
      <c r="A76" s="70" t="s">
        <v>556</v>
      </c>
      <c r="B76" s="71">
        <v>166150</v>
      </c>
      <c r="C76" s="72">
        <v>46179</v>
      </c>
      <c r="D76" s="73" t="s">
        <v>424</v>
      </c>
      <c r="E76" s="74" t="s">
        <v>557</v>
      </c>
      <c r="F76" s="75">
        <f>IFERROR(INDEX(M_User!$A$12:$J$67,MATCH(D76,M_User!$D$12:$D$67,0),1),"UNMAPPED")</f>
        <v>33</v>
      </c>
      <c r="G76" s="76" t="str">
        <f>IFERROR(INDEX(M_User!$A$12:$J$67,MATCH(D76,M_User!$D$12:$D$67,0),3),"UNMAPPED")</f>
        <v>Raymond P Sangawe</v>
      </c>
      <c r="H76" s="75" t="str">
        <f>IFERROR(INDEX(M_User!$A$12:$J$67,MATCH(D76,M_User!$D$12:$D$67,0),5),"UNMAPPED")</f>
        <v>MOS</v>
      </c>
      <c r="I76" s="73" t="s">
        <v>149</v>
      </c>
      <c r="J76" s="73" t="s">
        <v>196</v>
      </c>
      <c r="K76" s="76" t="str">
        <f>IFERROR(INDEX(M_SKU!$A$18:$J$57,MATCH(J76,M_SKU!$B$18:$B$57,0),1),"UNKNOWN SKU")</f>
        <v>Krest Bitter Lemon RGB 300ml</v>
      </c>
      <c r="L76" s="73" t="s">
        <v>538</v>
      </c>
      <c r="M76" s="72">
        <v>46154</v>
      </c>
      <c r="N76" s="72">
        <v>46518</v>
      </c>
      <c r="O76" s="77">
        <v>2</v>
      </c>
      <c r="P76" s="78" t="s">
        <v>521</v>
      </c>
      <c r="Q76" s="79"/>
      <c r="R76" s="80"/>
      <c r="S76" s="81"/>
      <c r="T76" s="81"/>
      <c r="U76" s="82" t="str">
        <f t="shared" si="1"/>
        <v>MOS100716|FG009|CK3-33348</v>
      </c>
    </row>
    <row r="77" spans="1:21" ht="15" customHeight="1" x14ac:dyDescent="0.3">
      <c r="A77" s="60" t="s">
        <v>556</v>
      </c>
      <c r="B77" s="61">
        <v>166150</v>
      </c>
      <c r="C77" s="62">
        <v>46179</v>
      </c>
      <c r="D77" s="63" t="s">
        <v>424</v>
      </c>
      <c r="E77" s="64" t="s">
        <v>557</v>
      </c>
      <c r="F77" s="65">
        <f>IFERROR(INDEX(M_User!$A$12:$J$67,MATCH(D77,M_User!$D$12:$D$67,0),1),"UNMAPPED")</f>
        <v>33</v>
      </c>
      <c r="G77" s="66" t="str">
        <f>IFERROR(INDEX(M_User!$A$12:$J$67,MATCH(D77,M_User!$D$12:$D$67,0),3),"UNMAPPED")</f>
        <v>Raymond P Sangawe</v>
      </c>
      <c r="H77" s="65" t="str">
        <f>IFERROR(INDEX(M_User!$A$12:$J$67,MATCH(D77,M_User!$D$12:$D$67,0),5),"UNMAPPED")</f>
        <v>MOS</v>
      </c>
      <c r="I77" s="63" t="s">
        <v>149</v>
      </c>
      <c r="J77" s="63" t="s">
        <v>199</v>
      </c>
      <c r="K77" s="66" t="str">
        <f>IFERROR(INDEX(M_SKU!$A$18:$J$57,MATCH(J77,M_SKU!$B$18:$B$57,0),1),"UNKNOWN SKU")</f>
        <v>Krest Club Soda RGB 300ml</v>
      </c>
      <c r="L77" s="63" t="s">
        <v>539</v>
      </c>
      <c r="M77" s="62">
        <v>46140</v>
      </c>
      <c r="N77" s="62">
        <v>46504</v>
      </c>
      <c r="O77" s="67">
        <v>2</v>
      </c>
      <c r="P77" s="68" t="s">
        <v>521</v>
      </c>
      <c r="Q77" s="63"/>
      <c r="R77" s="62"/>
      <c r="S77" s="69"/>
      <c r="T77" s="69"/>
      <c r="U77" s="66" t="str">
        <f t="shared" si="1"/>
        <v>MOS100716|FG010|CK3-33301</v>
      </c>
    </row>
    <row r="78" spans="1:21" ht="15" customHeight="1" x14ac:dyDescent="0.3">
      <c r="A78" s="70" t="s">
        <v>556</v>
      </c>
      <c r="B78" s="71">
        <v>166150</v>
      </c>
      <c r="C78" s="72">
        <v>46179</v>
      </c>
      <c r="D78" s="73" t="s">
        <v>424</v>
      </c>
      <c r="E78" s="74" t="s">
        <v>557</v>
      </c>
      <c r="F78" s="75">
        <f>IFERROR(INDEX(M_User!$A$12:$J$67,MATCH(D78,M_User!$D$12:$D$67,0),1),"UNMAPPED")</f>
        <v>33</v>
      </c>
      <c r="G78" s="76" t="str">
        <f>IFERROR(INDEX(M_User!$A$12:$J$67,MATCH(D78,M_User!$D$12:$D$67,0),3),"UNMAPPED")</f>
        <v>Raymond P Sangawe</v>
      </c>
      <c r="H78" s="75" t="str">
        <f>IFERROR(INDEX(M_User!$A$12:$J$67,MATCH(D78,M_User!$D$12:$D$67,0),5),"UNMAPPED")</f>
        <v>MOS</v>
      </c>
      <c r="I78" s="73" t="s">
        <v>149</v>
      </c>
      <c r="J78" s="73" t="s">
        <v>201</v>
      </c>
      <c r="K78" s="76" t="str">
        <f>IFERROR(INDEX(M_SKU!$A$18:$J$57,MATCH(J78,M_SKU!$B$18:$B$57,0),1),"UNKNOWN SKU")</f>
        <v>Krest Tonic Water RGB 300ml</v>
      </c>
      <c r="L78" s="73" t="s">
        <v>540</v>
      </c>
      <c r="M78" s="72">
        <v>46154</v>
      </c>
      <c r="N78" s="72">
        <v>46518</v>
      </c>
      <c r="O78" s="77">
        <v>2</v>
      </c>
      <c r="P78" s="78" t="s">
        <v>521</v>
      </c>
      <c r="Q78" s="79"/>
      <c r="R78" s="80"/>
      <c r="S78" s="81"/>
      <c r="T78" s="81"/>
      <c r="U78" s="82" t="str">
        <f t="shared" si="1"/>
        <v>MOS100716|FG011|CK3-33347</v>
      </c>
    </row>
    <row r="79" spans="1:21" ht="15" customHeight="1" x14ac:dyDescent="0.3">
      <c r="A79" s="60" t="s">
        <v>556</v>
      </c>
      <c r="B79" s="61">
        <v>166150</v>
      </c>
      <c r="C79" s="62">
        <v>46179</v>
      </c>
      <c r="D79" s="63" t="s">
        <v>424</v>
      </c>
      <c r="E79" s="64" t="s">
        <v>557</v>
      </c>
      <c r="F79" s="65">
        <f>IFERROR(INDEX(M_User!$A$12:$J$67,MATCH(D79,M_User!$D$12:$D$67,0),1),"UNMAPPED")</f>
        <v>33</v>
      </c>
      <c r="G79" s="66" t="str">
        <f>IFERROR(INDEX(M_User!$A$12:$J$67,MATCH(D79,M_User!$D$12:$D$67,0),3),"UNMAPPED")</f>
        <v>Raymond P Sangawe</v>
      </c>
      <c r="H79" s="65" t="str">
        <f>IFERROR(INDEX(M_User!$A$12:$J$67,MATCH(D79,M_User!$D$12:$D$67,0),5),"UNMAPPED")</f>
        <v>MOS</v>
      </c>
      <c r="I79" s="63" t="s">
        <v>149</v>
      </c>
      <c r="J79" s="63" t="s">
        <v>203</v>
      </c>
      <c r="K79" s="66" t="str">
        <f>IFERROR(INDEX(M_SKU!$A$18:$J$57,MATCH(J79,M_SKU!$B$18:$B$57,0),1),"UNKNOWN SKU")</f>
        <v>Krest Ginger Ale RGB 300ml</v>
      </c>
      <c r="L79" s="63" t="s">
        <v>541</v>
      </c>
      <c r="M79" s="62">
        <v>46088</v>
      </c>
      <c r="N79" s="62">
        <v>46452</v>
      </c>
      <c r="O79" s="67">
        <v>2</v>
      </c>
      <c r="P79" s="68" t="s">
        <v>521</v>
      </c>
      <c r="Q79" s="63"/>
      <c r="R79" s="62"/>
      <c r="S79" s="69"/>
      <c r="T79" s="69"/>
      <c r="U79" s="66" t="str">
        <f t="shared" si="1"/>
        <v>MOS100716|FG012|CK3-33126</v>
      </c>
    </row>
    <row r="80" spans="1:21" ht="15" customHeight="1" x14ac:dyDescent="0.3">
      <c r="A80" s="70" t="s">
        <v>556</v>
      </c>
      <c r="B80" s="71">
        <v>166150</v>
      </c>
      <c r="C80" s="72">
        <v>46179</v>
      </c>
      <c r="D80" s="73" t="s">
        <v>424</v>
      </c>
      <c r="E80" s="74" t="s">
        <v>557</v>
      </c>
      <c r="F80" s="75">
        <f>IFERROR(INDEX(M_User!$A$12:$J$67,MATCH(D80,M_User!$D$12:$D$67,0),1),"UNMAPPED")</f>
        <v>33</v>
      </c>
      <c r="G80" s="76" t="str">
        <f>IFERROR(INDEX(M_User!$A$12:$J$67,MATCH(D80,M_User!$D$12:$D$67,0),3),"UNMAPPED")</f>
        <v>Raymond P Sangawe</v>
      </c>
      <c r="H80" s="75" t="str">
        <f>IFERROR(INDEX(M_User!$A$12:$J$67,MATCH(D80,M_User!$D$12:$D$67,0),5),"UNMAPPED")</f>
        <v>MOS</v>
      </c>
      <c r="I80" s="73" t="s">
        <v>149</v>
      </c>
      <c r="J80" s="73" t="s">
        <v>209</v>
      </c>
      <c r="K80" s="76" t="str">
        <f>IFERROR(INDEX(M_SKU!$A$18:$J$57,MATCH(J80,M_SKU!$B$18:$B$57,0),1),"UNKNOWN SKU")</f>
        <v>Sparletta Red Apple RGB 350ml</v>
      </c>
      <c r="L80" s="73" t="s">
        <v>542</v>
      </c>
      <c r="M80" s="72">
        <v>46010</v>
      </c>
      <c r="N80" s="72">
        <v>46374</v>
      </c>
      <c r="O80" s="77">
        <v>2</v>
      </c>
      <c r="P80" s="78" t="s">
        <v>521</v>
      </c>
      <c r="Q80" s="79"/>
      <c r="R80" s="80"/>
      <c r="S80" s="81"/>
      <c r="T80" s="81"/>
      <c r="U80" s="82" t="str">
        <f t="shared" si="1"/>
        <v>MOS100716|FG024|CK3-32758</v>
      </c>
    </row>
    <row r="81" spans="1:21" ht="15" customHeight="1" x14ac:dyDescent="0.3">
      <c r="A81" s="60" t="s">
        <v>556</v>
      </c>
      <c r="B81" s="61">
        <v>166150</v>
      </c>
      <c r="C81" s="62">
        <v>46179</v>
      </c>
      <c r="D81" s="63" t="s">
        <v>424</v>
      </c>
      <c r="E81" s="64" t="s">
        <v>557</v>
      </c>
      <c r="F81" s="65">
        <f>IFERROR(INDEX(M_User!$A$12:$J$67,MATCH(D81,M_User!$D$12:$D$67,0),1),"UNMAPPED")</f>
        <v>33</v>
      </c>
      <c r="G81" s="66" t="str">
        <f>IFERROR(INDEX(M_User!$A$12:$J$67,MATCH(D81,M_User!$D$12:$D$67,0),3),"UNMAPPED")</f>
        <v>Raymond P Sangawe</v>
      </c>
      <c r="H81" s="65" t="str">
        <f>IFERROR(INDEX(M_User!$A$12:$J$67,MATCH(D81,M_User!$D$12:$D$67,0),5),"UNMAPPED")</f>
        <v>MOS</v>
      </c>
      <c r="I81" s="63" t="s">
        <v>149</v>
      </c>
      <c r="J81" s="63" t="s">
        <v>211</v>
      </c>
      <c r="K81" s="66" t="str">
        <f>IFERROR(INDEX(M_SKU!$A$18:$J$57,MATCH(J81,M_SKU!$B$18:$B$57,0),1),"UNKNOWN SKU")</f>
        <v>KNMW 500ml</v>
      </c>
      <c r="L81" s="63" t="s">
        <v>543</v>
      </c>
      <c r="M81" s="62">
        <v>46177</v>
      </c>
      <c r="N81" s="62">
        <v>46541</v>
      </c>
      <c r="O81" s="67">
        <v>30</v>
      </c>
      <c r="P81" s="68" t="s">
        <v>521</v>
      </c>
      <c r="Q81" s="63"/>
      <c r="R81" s="62"/>
      <c r="S81" s="69"/>
      <c r="T81" s="69"/>
      <c r="U81" s="66" t="str">
        <f t="shared" si="1"/>
        <v>MOS100716|KD001|CK6-986</v>
      </c>
    </row>
    <row r="82" spans="1:21" ht="15" customHeight="1" x14ac:dyDescent="0.3">
      <c r="A82" s="70" t="s">
        <v>556</v>
      </c>
      <c r="B82" s="71">
        <v>166150</v>
      </c>
      <c r="C82" s="72">
        <v>46179</v>
      </c>
      <c r="D82" s="73" t="s">
        <v>424</v>
      </c>
      <c r="E82" s="74" t="s">
        <v>557</v>
      </c>
      <c r="F82" s="75">
        <f>IFERROR(INDEX(M_User!$A$12:$J$67,MATCH(D82,M_User!$D$12:$D$67,0),1),"UNMAPPED")</f>
        <v>33</v>
      </c>
      <c r="G82" s="76" t="str">
        <f>IFERROR(INDEX(M_User!$A$12:$J$67,MATCH(D82,M_User!$D$12:$D$67,0),3),"UNMAPPED")</f>
        <v>Raymond P Sangawe</v>
      </c>
      <c r="H82" s="75" t="str">
        <f>IFERROR(INDEX(M_User!$A$12:$J$67,MATCH(D82,M_User!$D$12:$D$67,0),5),"UNMAPPED")</f>
        <v>MOS</v>
      </c>
      <c r="I82" s="73" t="s">
        <v>149</v>
      </c>
      <c r="J82" s="73" t="s">
        <v>217</v>
      </c>
      <c r="K82" s="76" t="str">
        <f>IFERROR(INDEX(M_SKU!$A$18:$J$57,MATCH(J82,M_SKU!$B$18:$B$57,0),1),"UNKNOWN SKU")</f>
        <v>KNMW 1500ml</v>
      </c>
      <c r="L82" s="73" t="s">
        <v>551</v>
      </c>
      <c r="M82" s="72">
        <v>46177</v>
      </c>
      <c r="N82" s="72">
        <v>46541</v>
      </c>
      <c r="O82" s="77">
        <v>90</v>
      </c>
      <c r="P82" s="78" t="s">
        <v>521</v>
      </c>
      <c r="Q82" s="79"/>
      <c r="R82" s="80"/>
      <c r="S82" s="81"/>
      <c r="T82" s="81"/>
      <c r="U82" s="82" t="str">
        <f t="shared" si="1"/>
        <v>MOS100716|KD003|CK4-842</v>
      </c>
    </row>
    <row r="83" spans="1:21" ht="15" customHeight="1" x14ac:dyDescent="0.3">
      <c r="A83" s="60" t="s">
        <v>556</v>
      </c>
      <c r="B83" s="61">
        <v>166150</v>
      </c>
      <c r="C83" s="62">
        <v>46179</v>
      </c>
      <c r="D83" s="63" t="s">
        <v>424</v>
      </c>
      <c r="E83" s="64" t="s">
        <v>557</v>
      </c>
      <c r="F83" s="65">
        <f>IFERROR(INDEX(M_User!$A$12:$J$67,MATCH(D83,M_User!$D$12:$D$67,0),1),"UNMAPPED")</f>
        <v>33</v>
      </c>
      <c r="G83" s="66" t="str">
        <f>IFERROR(INDEX(M_User!$A$12:$J$67,MATCH(D83,M_User!$D$12:$D$67,0),3),"UNMAPPED")</f>
        <v>Raymond P Sangawe</v>
      </c>
      <c r="H83" s="65" t="str">
        <f>IFERROR(INDEX(M_User!$A$12:$J$67,MATCH(D83,M_User!$D$12:$D$67,0),5),"UNMAPPED")</f>
        <v>MOS</v>
      </c>
      <c r="I83" s="63" t="s">
        <v>149</v>
      </c>
      <c r="J83" s="63" t="s">
        <v>229</v>
      </c>
      <c r="K83" s="66" t="str">
        <f>IFERROR(INDEX(M_SKU!$A$18:$J$57,MATCH(J83,M_SKU!$B$18:$B$57,0),1),"UNKNOWN SKU")</f>
        <v>Coke Pet 500ML ( x12)</v>
      </c>
      <c r="L83" s="63" t="s">
        <v>520</v>
      </c>
      <c r="M83" s="62">
        <v>46177</v>
      </c>
      <c r="N83" s="62">
        <v>46288</v>
      </c>
      <c r="O83" s="67">
        <v>30</v>
      </c>
      <c r="P83" s="68" t="s">
        <v>521</v>
      </c>
      <c r="Q83" s="63"/>
      <c r="R83" s="62"/>
      <c r="S83" s="69"/>
      <c r="T83" s="69"/>
      <c r="U83" s="66" t="str">
        <f t="shared" si="1"/>
        <v>MOS100716|PH001|CK6-33411</v>
      </c>
    </row>
    <row r="84" spans="1:21" ht="15" customHeight="1" x14ac:dyDescent="0.3">
      <c r="A84" s="70" t="s">
        <v>556</v>
      </c>
      <c r="B84" s="71">
        <v>166150</v>
      </c>
      <c r="C84" s="72">
        <v>46179</v>
      </c>
      <c r="D84" s="73" t="s">
        <v>424</v>
      </c>
      <c r="E84" s="74" t="s">
        <v>557</v>
      </c>
      <c r="F84" s="75">
        <f>IFERROR(INDEX(M_User!$A$12:$J$67,MATCH(D84,M_User!$D$12:$D$67,0),1),"UNMAPPED")</f>
        <v>33</v>
      </c>
      <c r="G84" s="76" t="str">
        <f>IFERROR(INDEX(M_User!$A$12:$J$67,MATCH(D84,M_User!$D$12:$D$67,0),3),"UNMAPPED")</f>
        <v>Raymond P Sangawe</v>
      </c>
      <c r="H84" s="75" t="str">
        <f>IFERROR(INDEX(M_User!$A$12:$J$67,MATCH(D84,M_User!$D$12:$D$67,0),5),"UNMAPPED")</f>
        <v>MOS</v>
      </c>
      <c r="I84" s="73" t="s">
        <v>149</v>
      </c>
      <c r="J84" s="73" t="s">
        <v>232</v>
      </c>
      <c r="K84" s="76" t="str">
        <f>IFERROR(INDEX(M_SKU!$A$18:$J$57,MATCH(J84,M_SKU!$B$18:$B$57,0),1),"UNKNOWN SKU")</f>
        <v>Sprite Pet 500ML (x 12)</v>
      </c>
      <c r="L84" s="73" t="s">
        <v>522</v>
      </c>
      <c r="M84" s="72">
        <v>46158</v>
      </c>
      <c r="N84" s="72">
        <v>46269</v>
      </c>
      <c r="O84" s="77">
        <v>5</v>
      </c>
      <c r="P84" s="78" t="s">
        <v>521</v>
      </c>
      <c r="Q84" s="79"/>
      <c r="R84" s="80"/>
      <c r="S84" s="81"/>
      <c r="T84" s="81"/>
      <c r="U84" s="82" t="str">
        <f t="shared" si="1"/>
        <v>MOS100716|PH002|CK6-33362</v>
      </c>
    </row>
    <row r="85" spans="1:21" ht="15" customHeight="1" x14ac:dyDescent="0.3">
      <c r="A85" s="60" t="s">
        <v>556</v>
      </c>
      <c r="B85" s="61">
        <v>166150</v>
      </c>
      <c r="C85" s="62">
        <v>46179</v>
      </c>
      <c r="D85" s="63" t="s">
        <v>424</v>
      </c>
      <c r="E85" s="64" t="s">
        <v>557</v>
      </c>
      <c r="F85" s="65">
        <f>IFERROR(INDEX(M_User!$A$12:$J$67,MATCH(D85,M_User!$D$12:$D$67,0),1),"UNMAPPED")</f>
        <v>33</v>
      </c>
      <c r="G85" s="66" t="str">
        <f>IFERROR(INDEX(M_User!$A$12:$J$67,MATCH(D85,M_User!$D$12:$D$67,0),3),"UNMAPPED")</f>
        <v>Raymond P Sangawe</v>
      </c>
      <c r="H85" s="65" t="str">
        <f>IFERROR(INDEX(M_User!$A$12:$J$67,MATCH(D85,M_User!$D$12:$D$67,0),5),"UNMAPPED")</f>
        <v>MOS</v>
      </c>
      <c r="I85" s="63" t="s">
        <v>149</v>
      </c>
      <c r="J85" s="63" t="s">
        <v>234</v>
      </c>
      <c r="K85" s="66" t="str">
        <f>IFERROR(INDEX(M_SKU!$A$18:$J$57,MATCH(J85,M_SKU!$B$18:$B$57,0),1),"UNKNOWN SKU")</f>
        <v>Fanta Orange Pet 500ML ( x 12)</v>
      </c>
      <c r="L85" s="63" t="s">
        <v>523</v>
      </c>
      <c r="M85" s="62">
        <v>46172</v>
      </c>
      <c r="N85" s="62">
        <v>46283</v>
      </c>
      <c r="O85" s="67">
        <v>15</v>
      </c>
      <c r="P85" s="68" t="s">
        <v>521</v>
      </c>
      <c r="Q85" s="63"/>
      <c r="R85" s="62"/>
      <c r="S85" s="69"/>
      <c r="T85" s="69"/>
      <c r="U85" s="66" t="str">
        <f t="shared" si="1"/>
        <v>MOS100716|PH003|CK6-33405</v>
      </c>
    </row>
    <row r="86" spans="1:21" ht="15" customHeight="1" x14ac:dyDescent="0.3">
      <c r="A86" s="70" t="s">
        <v>556</v>
      </c>
      <c r="B86" s="71">
        <v>166150</v>
      </c>
      <c r="C86" s="72">
        <v>46179</v>
      </c>
      <c r="D86" s="73" t="s">
        <v>424</v>
      </c>
      <c r="E86" s="74" t="s">
        <v>557</v>
      </c>
      <c r="F86" s="75">
        <f>IFERROR(INDEX(M_User!$A$12:$J$67,MATCH(D86,M_User!$D$12:$D$67,0),1),"UNMAPPED")</f>
        <v>33</v>
      </c>
      <c r="G86" s="76" t="str">
        <f>IFERROR(INDEX(M_User!$A$12:$J$67,MATCH(D86,M_User!$D$12:$D$67,0),3),"UNMAPPED")</f>
        <v>Raymond P Sangawe</v>
      </c>
      <c r="H86" s="75" t="str">
        <f>IFERROR(INDEX(M_User!$A$12:$J$67,MATCH(D86,M_User!$D$12:$D$67,0),5),"UNMAPPED")</f>
        <v>MOS</v>
      </c>
      <c r="I86" s="73" t="s">
        <v>149</v>
      </c>
      <c r="J86" s="73" t="s">
        <v>236</v>
      </c>
      <c r="K86" s="76" t="str">
        <f>IFERROR(INDEX(M_SKU!$A$18:$J$57,MATCH(J86,M_SKU!$B$18:$B$57,0),1),"UNKNOWN SKU")</f>
        <v>Fanta Passion Pet 500ML ( x12)</v>
      </c>
      <c r="L86" s="73" t="s">
        <v>524</v>
      </c>
      <c r="M86" s="72">
        <v>46151</v>
      </c>
      <c r="N86" s="72">
        <v>46262</v>
      </c>
      <c r="O86" s="77">
        <v>5</v>
      </c>
      <c r="P86" s="78" t="s">
        <v>521</v>
      </c>
      <c r="Q86" s="79"/>
      <c r="R86" s="80"/>
      <c r="S86" s="81"/>
      <c r="T86" s="81"/>
      <c r="U86" s="82" t="str">
        <f t="shared" si="1"/>
        <v>MOS100716|PH004|CK5-33334</v>
      </c>
    </row>
    <row r="87" spans="1:21" ht="15" customHeight="1" x14ac:dyDescent="0.3">
      <c r="A87" s="60" t="s">
        <v>556</v>
      </c>
      <c r="B87" s="61">
        <v>166150</v>
      </c>
      <c r="C87" s="62">
        <v>46179</v>
      </c>
      <c r="D87" s="63" t="s">
        <v>424</v>
      </c>
      <c r="E87" s="64" t="s">
        <v>557</v>
      </c>
      <c r="F87" s="65">
        <f>IFERROR(INDEX(M_User!$A$12:$J$67,MATCH(D87,M_User!$D$12:$D$67,0),1),"UNMAPPED")</f>
        <v>33</v>
      </c>
      <c r="G87" s="66" t="str">
        <f>IFERROR(INDEX(M_User!$A$12:$J$67,MATCH(D87,M_User!$D$12:$D$67,0),3),"UNMAPPED")</f>
        <v>Raymond P Sangawe</v>
      </c>
      <c r="H87" s="65" t="str">
        <f>IFERROR(INDEX(M_User!$A$12:$J$67,MATCH(D87,M_User!$D$12:$D$67,0),5),"UNMAPPED")</f>
        <v>MOS</v>
      </c>
      <c r="I87" s="63" t="s">
        <v>149</v>
      </c>
      <c r="J87" s="63" t="s">
        <v>242</v>
      </c>
      <c r="K87" s="66" t="str">
        <f>IFERROR(INDEX(M_SKU!$A$18:$J$57,MATCH(J87,M_SKU!$B$18:$B$57,0),1),"UNKNOWN SKU")</f>
        <v>Stoney Tangawizi Pet 500 ml ( x12)</v>
      </c>
      <c r="L87" s="63" t="s">
        <v>525</v>
      </c>
      <c r="M87" s="62">
        <v>46161</v>
      </c>
      <c r="N87" s="62">
        <v>46272</v>
      </c>
      <c r="O87" s="67">
        <v>3</v>
      </c>
      <c r="P87" s="68" t="s">
        <v>521</v>
      </c>
      <c r="Q87" s="63"/>
      <c r="R87" s="62"/>
      <c r="S87" s="69"/>
      <c r="T87" s="69"/>
      <c r="U87" s="66" t="str">
        <f t="shared" si="1"/>
        <v>MOS100716|PH007|CK6-33375</v>
      </c>
    </row>
    <row r="88" spans="1:21" ht="15" customHeight="1" x14ac:dyDescent="0.3">
      <c r="A88" s="70" t="s">
        <v>556</v>
      </c>
      <c r="B88" s="71">
        <v>166150</v>
      </c>
      <c r="C88" s="72">
        <v>46179</v>
      </c>
      <c r="D88" s="73" t="s">
        <v>424</v>
      </c>
      <c r="E88" s="74" t="s">
        <v>557</v>
      </c>
      <c r="F88" s="75">
        <f>IFERROR(INDEX(M_User!$A$12:$J$67,MATCH(D88,M_User!$D$12:$D$67,0),1),"UNMAPPED")</f>
        <v>33</v>
      </c>
      <c r="G88" s="76" t="str">
        <f>IFERROR(INDEX(M_User!$A$12:$J$67,MATCH(D88,M_User!$D$12:$D$67,0),3),"UNMAPPED")</f>
        <v>Raymond P Sangawe</v>
      </c>
      <c r="H88" s="75" t="str">
        <f>IFERROR(INDEX(M_User!$A$12:$J$67,MATCH(D88,M_User!$D$12:$D$67,0),5),"UNMAPPED")</f>
        <v>MOS</v>
      </c>
      <c r="I88" s="73" t="s">
        <v>149</v>
      </c>
      <c r="J88" s="73" t="s">
        <v>244</v>
      </c>
      <c r="K88" s="76" t="str">
        <f>IFERROR(INDEX(M_SKU!$A$18:$J$57,MATCH(J88,M_SKU!$B$18:$B$57,0),1),"UNKNOWN SKU")</f>
        <v>Sparletta Pinenut Pet 500 ml ( x12)</v>
      </c>
      <c r="L88" s="73" t="s">
        <v>526</v>
      </c>
      <c r="M88" s="72">
        <v>46161</v>
      </c>
      <c r="N88" s="72">
        <v>46272</v>
      </c>
      <c r="O88" s="77">
        <v>2</v>
      </c>
      <c r="P88" s="78" t="s">
        <v>521</v>
      </c>
      <c r="Q88" s="79"/>
      <c r="R88" s="80"/>
      <c r="S88" s="81"/>
      <c r="T88" s="81"/>
      <c r="U88" s="82" t="str">
        <f t="shared" si="1"/>
        <v>MOS100716|PH008|CK5-33370</v>
      </c>
    </row>
    <row r="89" spans="1:21" ht="15" customHeight="1" x14ac:dyDescent="0.3">
      <c r="A89" s="60" t="s">
        <v>556</v>
      </c>
      <c r="B89" s="61">
        <v>166150</v>
      </c>
      <c r="C89" s="62">
        <v>46179</v>
      </c>
      <c r="D89" s="63" t="s">
        <v>424</v>
      </c>
      <c r="E89" s="64" t="s">
        <v>557</v>
      </c>
      <c r="F89" s="65">
        <f>IFERROR(INDEX(M_User!$A$12:$J$67,MATCH(D89,M_User!$D$12:$D$67,0),1),"UNMAPPED")</f>
        <v>33</v>
      </c>
      <c r="G89" s="66" t="str">
        <f>IFERROR(INDEX(M_User!$A$12:$J$67,MATCH(D89,M_User!$D$12:$D$67,0),3),"UNMAPPED")</f>
        <v>Raymond P Sangawe</v>
      </c>
      <c r="H89" s="65" t="str">
        <f>IFERROR(INDEX(M_User!$A$12:$J$67,MATCH(D89,M_User!$D$12:$D$67,0),5),"UNMAPPED")</f>
        <v>MOS</v>
      </c>
      <c r="I89" s="63" t="s">
        <v>149</v>
      </c>
      <c r="J89" s="63" t="s">
        <v>252</v>
      </c>
      <c r="K89" s="66" t="str">
        <f>IFERROR(INDEX(M_SKU!$A$18:$J$57,MATCH(J89,M_SKU!$B$18:$B$57,0),1),"UNKNOWN SKU")</f>
        <v>Sprite Zero Pet 300ML (x 12)</v>
      </c>
      <c r="L89" s="63" t="s">
        <v>545</v>
      </c>
      <c r="M89" s="62">
        <v>46158</v>
      </c>
      <c r="N89" s="62">
        <v>46241</v>
      </c>
      <c r="O89" s="67">
        <v>2</v>
      </c>
      <c r="P89" s="68" t="s">
        <v>521</v>
      </c>
      <c r="Q89" s="63"/>
      <c r="R89" s="62"/>
      <c r="S89" s="69"/>
      <c r="T89" s="69"/>
      <c r="U89" s="66" t="str">
        <f t="shared" si="1"/>
        <v>MOS100716|PO010|CK5-33360</v>
      </c>
    </row>
    <row r="90" spans="1:21" ht="15" customHeight="1" x14ac:dyDescent="0.3">
      <c r="A90" s="70" t="s">
        <v>556</v>
      </c>
      <c r="B90" s="71">
        <v>166150</v>
      </c>
      <c r="C90" s="72">
        <v>46179</v>
      </c>
      <c r="D90" s="73" t="s">
        <v>424</v>
      </c>
      <c r="E90" s="74" t="s">
        <v>557</v>
      </c>
      <c r="F90" s="75">
        <f>IFERROR(INDEX(M_User!$A$12:$J$67,MATCH(D90,M_User!$D$12:$D$67,0),1),"UNMAPPED")</f>
        <v>33</v>
      </c>
      <c r="G90" s="76" t="str">
        <f>IFERROR(INDEX(M_User!$A$12:$J$67,MATCH(D90,M_User!$D$12:$D$67,0),3),"UNMAPPED")</f>
        <v>Raymond P Sangawe</v>
      </c>
      <c r="H90" s="75" t="str">
        <f>IFERROR(INDEX(M_User!$A$12:$J$67,MATCH(D90,M_User!$D$12:$D$67,0),5),"UNMAPPED")</f>
        <v>MOS</v>
      </c>
      <c r="I90" s="73" t="s">
        <v>149</v>
      </c>
      <c r="J90" s="73" t="s">
        <v>254</v>
      </c>
      <c r="K90" s="76" t="str">
        <f>IFERROR(INDEX(M_SKU!$A$18:$J$57,MATCH(J90,M_SKU!$B$18:$B$57,0),1),"UNKNOWN SKU")</f>
        <v>Fanta Zero Pet 300ML (x 12)</v>
      </c>
      <c r="L90" s="73" t="s">
        <v>546</v>
      </c>
      <c r="M90" s="72">
        <v>46159</v>
      </c>
      <c r="N90" s="72">
        <v>46242</v>
      </c>
      <c r="O90" s="77">
        <v>2</v>
      </c>
      <c r="P90" s="78" t="s">
        <v>521</v>
      </c>
      <c r="Q90" s="79"/>
      <c r="R90" s="80"/>
      <c r="S90" s="81"/>
      <c r="T90" s="81"/>
      <c r="U90" s="82" t="str">
        <f t="shared" si="1"/>
        <v>MOS100716|PO012|CK5-33369</v>
      </c>
    </row>
    <row r="91" spans="1:21" ht="15" customHeight="1" x14ac:dyDescent="0.3">
      <c r="A91" s="60" t="s">
        <v>556</v>
      </c>
      <c r="B91" s="61">
        <v>166150</v>
      </c>
      <c r="C91" s="62">
        <v>46179</v>
      </c>
      <c r="D91" s="63" t="s">
        <v>424</v>
      </c>
      <c r="E91" s="64" t="s">
        <v>557</v>
      </c>
      <c r="F91" s="65">
        <f>IFERROR(INDEX(M_User!$A$12:$J$67,MATCH(D91,M_User!$D$12:$D$67,0),1),"UNMAPPED")</f>
        <v>33</v>
      </c>
      <c r="G91" s="66" t="str">
        <f>IFERROR(INDEX(M_User!$A$12:$J$67,MATCH(D91,M_User!$D$12:$D$67,0),3),"UNMAPPED")</f>
        <v>Raymond P Sangawe</v>
      </c>
      <c r="H91" s="65" t="str">
        <f>IFERROR(INDEX(M_User!$A$12:$J$67,MATCH(D91,M_User!$D$12:$D$67,0),5),"UNMAPPED")</f>
        <v>MOS</v>
      </c>
      <c r="I91" s="63" t="s">
        <v>149</v>
      </c>
      <c r="J91" s="63" t="s">
        <v>261</v>
      </c>
      <c r="K91" s="66" t="str">
        <f>IFERROR(INDEX(M_SKU!$A$18:$J$57,MATCH(J91,M_SKU!$B$18:$B$57,0),1),"UNKNOWN SKU")</f>
        <v>Sparletta Pine Apple Pet 300ML (x 12)</v>
      </c>
      <c r="L91" s="63" t="s">
        <v>547</v>
      </c>
      <c r="M91" s="62">
        <v>46158</v>
      </c>
      <c r="N91" s="62">
        <v>46241</v>
      </c>
      <c r="O91" s="67">
        <v>2</v>
      </c>
      <c r="P91" s="68" t="s">
        <v>521</v>
      </c>
      <c r="Q91" s="63"/>
      <c r="R91" s="62"/>
      <c r="S91" s="69"/>
      <c r="T91" s="69"/>
      <c r="U91" s="66" t="str">
        <f t="shared" si="1"/>
        <v>MOS100716|PO015|CK5-33366</v>
      </c>
    </row>
    <row r="92" spans="1:21" ht="15" customHeight="1" x14ac:dyDescent="0.3">
      <c r="A92" s="70" t="s">
        <v>559</v>
      </c>
      <c r="B92" s="71">
        <v>166151</v>
      </c>
      <c r="C92" s="72">
        <v>46179</v>
      </c>
      <c r="D92" s="73" t="s">
        <v>395</v>
      </c>
      <c r="E92" s="74" t="s">
        <v>560</v>
      </c>
      <c r="F92" s="75">
        <f>IFERROR(INDEX(M_User!$A$12:$J$67,MATCH(D92,M_User!$D$12:$D$67,0),1),"UNMAPPED")</f>
        <v>53</v>
      </c>
      <c r="G92" s="76" t="str">
        <f>IFERROR(INDEX(M_User!$A$12:$J$67,MATCH(D92,M_User!$D$12:$D$67,0),3),"UNMAPPED")</f>
        <v>Meshack  Jeremiah</v>
      </c>
      <c r="H92" s="75" t="str">
        <f>IFERROR(INDEX(M_User!$A$12:$J$67,MATCH(D92,M_User!$D$12:$D$67,0),5),"UNMAPPED")</f>
        <v>MOS</v>
      </c>
      <c r="I92" s="73" t="s">
        <v>149</v>
      </c>
      <c r="J92" s="73" t="s">
        <v>170</v>
      </c>
      <c r="K92" s="76" t="str">
        <f>IFERROR(INDEX(M_SKU!$A$18:$J$57,MATCH(J92,M_SKU!$B$18:$B$57,0),1),"UNKNOWN SKU")</f>
        <v>Coke RGB 350ml</v>
      </c>
      <c r="L92" s="73" t="s">
        <v>530</v>
      </c>
      <c r="M92" s="72">
        <v>46175</v>
      </c>
      <c r="N92" s="72">
        <v>46539</v>
      </c>
      <c r="O92" s="77">
        <v>44</v>
      </c>
      <c r="P92" s="78" t="s">
        <v>521</v>
      </c>
      <c r="Q92" s="79"/>
      <c r="R92" s="80"/>
      <c r="S92" s="81"/>
      <c r="T92" s="81"/>
      <c r="U92" s="82" t="str">
        <f t="shared" si="1"/>
        <v>MOS100079|FG001|CK3-33409</v>
      </c>
    </row>
    <row r="93" spans="1:21" ht="15" customHeight="1" x14ac:dyDescent="0.3">
      <c r="A93" s="60" t="s">
        <v>559</v>
      </c>
      <c r="B93" s="61">
        <v>166151</v>
      </c>
      <c r="C93" s="62">
        <v>46179</v>
      </c>
      <c r="D93" s="63" t="s">
        <v>395</v>
      </c>
      <c r="E93" s="64" t="s">
        <v>560</v>
      </c>
      <c r="F93" s="65">
        <f>IFERROR(INDEX(M_User!$A$12:$J$67,MATCH(D93,M_User!$D$12:$D$67,0),1),"UNMAPPED")</f>
        <v>53</v>
      </c>
      <c r="G93" s="66" t="str">
        <f>IFERROR(INDEX(M_User!$A$12:$J$67,MATCH(D93,M_User!$D$12:$D$67,0),3),"UNMAPPED")</f>
        <v>Meshack  Jeremiah</v>
      </c>
      <c r="H93" s="65" t="str">
        <f>IFERROR(INDEX(M_User!$A$12:$J$67,MATCH(D93,M_User!$D$12:$D$67,0),5),"UNMAPPED")</f>
        <v>MOS</v>
      </c>
      <c r="I93" s="63" t="s">
        <v>149</v>
      </c>
      <c r="J93" s="63" t="s">
        <v>178</v>
      </c>
      <c r="K93" s="66" t="str">
        <f>IFERROR(INDEX(M_SKU!$A$18:$J$57,MATCH(J93,M_SKU!$B$18:$B$57,0),1),"UNKNOWN SKU")</f>
        <v>Fanta Orange RGB 350ml</v>
      </c>
      <c r="L93" s="63" t="s">
        <v>531</v>
      </c>
      <c r="M93" s="62">
        <v>46174</v>
      </c>
      <c r="N93" s="62">
        <v>46538</v>
      </c>
      <c r="O93" s="67">
        <v>20</v>
      </c>
      <c r="P93" s="68" t="s">
        <v>521</v>
      </c>
      <c r="Q93" s="63"/>
      <c r="R93" s="62"/>
      <c r="S93" s="69"/>
      <c r="T93" s="69"/>
      <c r="U93" s="66" t="str">
        <f t="shared" si="1"/>
        <v>MOS100079|FG002|CK3-33407</v>
      </c>
    </row>
    <row r="94" spans="1:21" ht="15" customHeight="1" x14ac:dyDescent="0.3">
      <c r="A94" s="70" t="s">
        <v>559</v>
      </c>
      <c r="B94" s="71">
        <v>166151</v>
      </c>
      <c r="C94" s="72">
        <v>46179</v>
      </c>
      <c r="D94" s="73" t="s">
        <v>395</v>
      </c>
      <c r="E94" s="74" t="s">
        <v>560</v>
      </c>
      <c r="F94" s="75">
        <f>IFERROR(INDEX(M_User!$A$12:$J$67,MATCH(D94,M_User!$D$12:$D$67,0),1),"UNMAPPED")</f>
        <v>53</v>
      </c>
      <c r="G94" s="76" t="str">
        <f>IFERROR(INDEX(M_User!$A$12:$J$67,MATCH(D94,M_User!$D$12:$D$67,0),3),"UNMAPPED")</f>
        <v>Meshack  Jeremiah</v>
      </c>
      <c r="H94" s="75" t="str">
        <f>IFERROR(INDEX(M_User!$A$12:$J$67,MATCH(D94,M_User!$D$12:$D$67,0),5),"UNMAPPED")</f>
        <v>MOS</v>
      </c>
      <c r="I94" s="73" t="s">
        <v>149</v>
      </c>
      <c r="J94" s="73" t="s">
        <v>181</v>
      </c>
      <c r="K94" s="76" t="str">
        <f>IFERROR(INDEX(M_SKU!$A$18:$J$57,MATCH(J94,M_SKU!$B$18:$B$57,0),1),"UNKNOWN SKU")</f>
        <v>Fanta Passion RGB 350ml</v>
      </c>
      <c r="L94" s="73" t="s">
        <v>550</v>
      </c>
      <c r="M94" s="72">
        <v>46158</v>
      </c>
      <c r="N94" s="72">
        <v>46521</v>
      </c>
      <c r="O94" s="77">
        <v>8</v>
      </c>
      <c r="P94" s="78" t="s">
        <v>521</v>
      </c>
      <c r="Q94" s="79"/>
      <c r="R94" s="80"/>
      <c r="S94" s="81"/>
      <c r="T94" s="81"/>
      <c r="U94" s="82" t="str">
        <f t="shared" si="1"/>
        <v>MOS100079|FG003|CK3-33356</v>
      </c>
    </row>
    <row r="95" spans="1:21" ht="15" customHeight="1" x14ac:dyDescent="0.3">
      <c r="A95" s="60" t="s">
        <v>559</v>
      </c>
      <c r="B95" s="61">
        <v>166151</v>
      </c>
      <c r="C95" s="62">
        <v>46179</v>
      </c>
      <c r="D95" s="63" t="s">
        <v>395</v>
      </c>
      <c r="E95" s="64" t="s">
        <v>560</v>
      </c>
      <c r="F95" s="65">
        <f>IFERROR(INDEX(M_User!$A$12:$J$67,MATCH(D95,M_User!$D$12:$D$67,0),1),"UNMAPPED")</f>
        <v>53</v>
      </c>
      <c r="G95" s="66" t="str">
        <f>IFERROR(INDEX(M_User!$A$12:$J$67,MATCH(D95,M_User!$D$12:$D$67,0),3),"UNMAPPED")</f>
        <v>Meshack  Jeremiah</v>
      </c>
      <c r="H95" s="65" t="str">
        <f>IFERROR(INDEX(M_User!$A$12:$J$67,MATCH(D95,M_User!$D$12:$D$67,0),5),"UNMAPPED")</f>
        <v>MOS</v>
      </c>
      <c r="I95" s="63" t="s">
        <v>149</v>
      </c>
      <c r="J95" s="63" t="s">
        <v>183</v>
      </c>
      <c r="K95" s="66" t="str">
        <f>IFERROR(INDEX(M_SKU!$A$18:$J$57,MATCH(J95,M_SKU!$B$18:$B$57,0),1),"UNKNOWN SKU")</f>
        <v>Fanta Pineapple RGB 350ml</v>
      </c>
      <c r="L95" s="63" t="s">
        <v>533</v>
      </c>
      <c r="M95" s="62">
        <v>46163</v>
      </c>
      <c r="N95" s="62">
        <v>46527</v>
      </c>
      <c r="O95" s="67">
        <v>8</v>
      </c>
      <c r="P95" s="68" t="s">
        <v>521</v>
      </c>
      <c r="Q95" s="63"/>
      <c r="R95" s="62"/>
      <c r="S95" s="69"/>
      <c r="T95" s="69"/>
      <c r="U95" s="66" t="str">
        <f t="shared" si="1"/>
        <v>MOS100079|FG004|CK3-33385</v>
      </c>
    </row>
    <row r="96" spans="1:21" ht="15" customHeight="1" x14ac:dyDescent="0.3">
      <c r="A96" s="70" t="s">
        <v>559</v>
      </c>
      <c r="B96" s="71">
        <v>166151</v>
      </c>
      <c r="C96" s="72">
        <v>46179</v>
      </c>
      <c r="D96" s="73" t="s">
        <v>395</v>
      </c>
      <c r="E96" s="74" t="s">
        <v>560</v>
      </c>
      <c r="F96" s="75">
        <f>IFERROR(INDEX(M_User!$A$12:$J$67,MATCH(D96,M_User!$D$12:$D$67,0),1),"UNMAPPED")</f>
        <v>53</v>
      </c>
      <c r="G96" s="76" t="str">
        <f>IFERROR(INDEX(M_User!$A$12:$J$67,MATCH(D96,M_User!$D$12:$D$67,0),3),"UNMAPPED")</f>
        <v>Meshack  Jeremiah</v>
      </c>
      <c r="H96" s="75" t="str">
        <f>IFERROR(INDEX(M_User!$A$12:$J$67,MATCH(D96,M_User!$D$12:$D$67,0),5),"UNMAPPED")</f>
        <v>MOS</v>
      </c>
      <c r="I96" s="73" t="s">
        <v>149</v>
      </c>
      <c r="J96" s="73" t="s">
        <v>185</v>
      </c>
      <c r="K96" s="76" t="str">
        <f>IFERROR(INDEX(M_SKU!$A$18:$J$57,MATCH(J96,M_SKU!$B$18:$B$57,0),1),"UNKNOWN SKU")</f>
        <v>Fanta Fruit Blast RGB 350 ml</v>
      </c>
      <c r="L96" s="73" t="s">
        <v>534</v>
      </c>
      <c r="M96" s="72">
        <v>46171</v>
      </c>
      <c r="N96" s="72">
        <v>46535</v>
      </c>
      <c r="O96" s="77">
        <v>4</v>
      </c>
      <c r="P96" s="78" t="s">
        <v>521</v>
      </c>
      <c r="Q96" s="79"/>
      <c r="R96" s="80"/>
      <c r="S96" s="81"/>
      <c r="T96" s="81"/>
      <c r="U96" s="82" t="str">
        <f t="shared" si="1"/>
        <v>MOS100079|FG005|CK3-33402</v>
      </c>
    </row>
    <row r="97" spans="1:21" ht="15" customHeight="1" x14ac:dyDescent="0.3">
      <c r="A97" s="60" t="s">
        <v>559</v>
      </c>
      <c r="B97" s="61">
        <v>166151</v>
      </c>
      <c r="C97" s="62">
        <v>46179</v>
      </c>
      <c r="D97" s="63" t="s">
        <v>395</v>
      </c>
      <c r="E97" s="64" t="s">
        <v>560</v>
      </c>
      <c r="F97" s="65">
        <f>IFERROR(INDEX(M_User!$A$12:$J$67,MATCH(D97,M_User!$D$12:$D$67,0),1),"UNMAPPED")</f>
        <v>53</v>
      </c>
      <c r="G97" s="66" t="str">
        <f>IFERROR(INDEX(M_User!$A$12:$J$67,MATCH(D97,M_User!$D$12:$D$67,0),3),"UNMAPPED")</f>
        <v>Meshack  Jeremiah</v>
      </c>
      <c r="H97" s="65" t="str">
        <f>IFERROR(INDEX(M_User!$A$12:$J$67,MATCH(D97,M_User!$D$12:$D$67,0),5),"UNMAPPED")</f>
        <v>MOS</v>
      </c>
      <c r="I97" s="63" t="s">
        <v>149</v>
      </c>
      <c r="J97" s="63" t="s">
        <v>187</v>
      </c>
      <c r="K97" s="66" t="str">
        <f>IFERROR(INDEX(M_SKU!$A$18:$J$57,MATCH(J97,M_SKU!$B$18:$B$57,0),1),"UNKNOWN SKU")</f>
        <v>Sprite 350ml</v>
      </c>
      <c r="L97" s="63" t="s">
        <v>535</v>
      </c>
      <c r="M97" s="62">
        <v>46177</v>
      </c>
      <c r="N97" s="62">
        <v>46541</v>
      </c>
      <c r="O97" s="67">
        <v>9</v>
      </c>
      <c r="P97" s="68" t="s">
        <v>521</v>
      </c>
      <c r="Q97" s="63"/>
      <c r="R97" s="62"/>
      <c r="S97" s="69"/>
      <c r="T97" s="69"/>
      <c r="U97" s="66" t="str">
        <f t="shared" si="1"/>
        <v>MOS100079|FG006|CK3-33414</v>
      </c>
    </row>
    <row r="98" spans="1:21" ht="15" customHeight="1" x14ac:dyDescent="0.3">
      <c r="A98" s="70" t="s">
        <v>559</v>
      </c>
      <c r="B98" s="71">
        <v>166151</v>
      </c>
      <c r="C98" s="72">
        <v>46179</v>
      </c>
      <c r="D98" s="73" t="s">
        <v>395</v>
      </c>
      <c r="E98" s="74" t="s">
        <v>560</v>
      </c>
      <c r="F98" s="75">
        <f>IFERROR(INDEX(M_User!$A$12:$J$67,MATCH(D98,M_User!$D$12:$D$67,0),1),"UNMAPPED")</f>
        <v>53</v>
      </c>
      <c r="G98" s="76" t="str">
        <f>IFERROR(INDEX(M_User!$A$12:$J$67,MATCH(D98,M_User!$D$12:$D$67,0),3),"UNMAPPED")</f>
        <v>Meshack  Jeremiah</v>
      </c>
      <c r="H98" s="75" t="str">
        <f>IFERROR(INDEX(M_User!$A$12:$J$67,MATCH(D98,M_User!$D$12:$D$67,0),5),"UNMAPPED")</f>
        <v>MOS</v>
      </c>
      <c r="I98" s="73" t="s">
        <v>149</v>
      </c>
      <c r="J98" s="73" t="s">
        <v>190</v>
      </c>
      <c r="K98" s="76" t="str">
        <f>IFERROR(INDEX(M_SKU!$A$18:$J$57,MATCH(J98,M_SKU!$B$18:$B$57,0),1),"UNKNOWN SKU")</f>
        <v>Stoney Tangawizi RGB 350ml</v>
      </c>
      <c r="L98" s="73" t="s">
        <v>536</v>
      </c>
      <c r="M98" s="72">
        <v>46172</v>
      </c>
      <c r="N98" s="72">
        <v>46353</v>
      </c>
      <c r="O98" s="77">
        <v>4</v>
      </c>
      <c r="P98" s="78" t="s">
        <v>521</v>
      </c>
      <c r="Q98" s="79"/>
      <c r="R98" s="80"/>
      <c r="S98" s="81"/>
      <c r="T98" s="81"/>
      <c r="U98" s="82" t="str">
        <f t="shared" si="1"/>
        <v>MOS100079|FG007|CK3-33404</v>
      </c>
    </row>
    <row r="99" spans="1:21" ht="15" customHeight="1" x14ac:dyDescent="0.3">
      <c r="A99" s="60" t="s">
        <v>559</v>
      </c>
      <c r="B99" s="61">
        <v>166151</v>
      </c>
      <c r="C99" s="62">
        <v>46179</v>
      </c>
      <c r="D99" s="63" t="s">
        <v>395</v>
      </c>
      <c r="E99" s="64" t="s">
        <v>560</v>
      </c>
      <c r="F99" s="65">
        <f>IFERROR(INDEX(M_User!$A$12:$J$67,MATCH(D99,M_User!$D$12:$D$67,0),1),"UNMAPPED")</f>
        <v>53</v>
      </c>
      <c r="G99" s="66" t="str">
        <f>IFERROR(INDEX(M_User!$A$12:$J$67,MATCH(D99,M_User!$D$12:$D$67,0),3),"UNMAPPED")</f>
        <v>Meshack  Jeremiah</v>
      </c>
      <c r="H99" s="65" t="str">
        <f>IFERROR(INDEX(M_User!$A$12:$J$67,MATCH(D99,M_User!$D$12:$D$67,0),5),"UNMAPPED")</f>
        <v>MOS</v>
      </c>
      <c r="I99" s="63" t="s">
        <v>149</v>
      </c>
      <c r="J99" s="63" t="s">
        <v>193</v>
      </c>
      <c r="K99" s="66" t="str">
        <f>IFERROR(INDEX(M_SKU!$A$18:$J$57,MATCH(J99,M_SKU!$B$18:$B$57,0),1),"UNKNOWN SKU")</f>
        <v>Sparletta Pinenut RGB 350ml</v>
      </c>
      <c r="L99" s="63" t="s">
        <v>537</v>
      </c>
      <c r="M99" s="62">
        <v>46158</v>
      </c>
      <c r="N99" s="62">
        <v>46522</v>
      </c>
      <c r="O99" s="67">
        <v>4</v>
      </c>
      <c r="P99" s="68" t="s">
        <v>521</v>
      </c>
      <c r="Q99" s="63"/>
      <c r="R99" s="62"/>
      <c r="S99" s="69"/>
      <c r="T99" s="69"/>
      <c r="U99" s="66" t="str">
        <f t="shared" si="1"/>
        <v>MOS100079|FG008|CK3-33365</v>
      </c>
    </row>
    <row r="100" spans="1:21" ht="15" customHeight="1" x14ac:dyDescent="0.3">
      <c r="A100" s="70" t="s">
        <v>559</v>
      </c>
      <c r="B100" s="71">
        <v>166151</v>
      </c>
      <c r="C100" s="72">
        <v>46179</v>
      </c>
      <c r="D100" s="73" t="s">
        <v>395</v>
      </c>
      <c r="E100" s="74" t="s">
        <v>560</v>
      </c>
      <c r="F100" s="75">
        <f>IFERROR(INDEX(M_User!$A$12:$J$67,MATCH(D100,M_User!$D$12:$D$67,0),1),"UNMAPPED")</f>
        <v>53</v>
      </c>
      <c r="G100" s="76" t="str">
        <f>IFERROR(INDEX(M_User!$A$12:$J$67,MATCH(D100,M_User!$D$12:$D$67,0),3),"UNMAPPED")</f>
        <v>Meshack  Jeremiah</v>
      </c>
      <c r="H100" s="75" t="str">
        <f>IFERROR(INDEX(M_User!$A$12:$J$67,MATCH(D100,M_User!$D$12:$D$67,0),5),"UNMAPPED")</f>
        <v>MOS</v>
      </c>
      <c r="I100" s="73" t="s">
        <v>149</v>
      </c>
      <c r="J100" s="73" t="s">
        <v>196</v>
      </c>
      <c r="K100" s="76" t="str">
        <f>IFERROR(INDEX(M_SKU!$A$18:$J$57,MATCH(J100,M_SKU!$B$18:$B$57,0),1),"UNKNOWN SKU")</f>
        <v>Krest Bitter Lemon RGB 300ml</v>
      </c>
      <c r="L100" s="73" t="s">
        <v>538</v>
      </c>
      <c r="M100" s="72">
        <v>46154</v>
      </c>
      <c r="N100" s="72">
        <v>46518</v>
      </c>
      <c r="O100" s="77">
        <v>2</v>
      </c>
      <c r="P100" s="78" t="s">
        <v>521</v>
      </c>
      <c r="Q100" s="79"/>
      <c r="R100" s="80"/>
      <c r="S100" s="81"/>
      <c r="T100" s="81"/>
      <c r="U100" s="82" t="str">
        <f t="shared" si="1"/>
        <v>MOS100079|FG009|CK3-33348</v>
      </c>
    </row>
    <row r="101" spans="1:21" ht="15" customHeight="1" x14ac:dyDescent="0.3">
      <c r="A101" s="60" t="s">
        <v>559</v>
      </c>
      <c r="B101" s="61">
        <v>166151</v>
      </c>
      <c r="C101" s="62">
        <v>46179</v>
      </c>
      <c r="D101" s="63" t="s">
        <v>395</v>
      </c>
      <c r="E101" s="64" t="s">
        <v>560</v>
      </c>
      <c r="F101" s="65">
        <f>IFERROR(INDEX(M_User!$A$12:$J$67,MATCH(D101,M_User!$D$12:$D$67,0),1),"UNMAPPED")</f>
        <v>53</v>
      </c>
      <c r="G101" s="66" t="str">
        <f>IFERROR(INDEX(M_User!$A$12:$J$67,MATCH(D101,M_User!$D$12:$D$67,0),3),"UNMAPPED")</f>
        <v>Meshack  Jeremiah</v>
      </c>
      <c r="H101" s="65" t="str">
        <f>IFERROR(INDEX(M_User!$A$12:$J$67,MATCH(D101,M_User!$D$12:$D$67,0),5),"UNMAPPED")</f>
        <v>MOS</v>
      </c>
      <c r="I101" s="63" t="s">
        <v>149</v>
      </c>
      <c r="J101" s="63" t="s">
        <v>199</v>
      </c>
      <c r="K101" s="66" t="str">
        <f>IFERROR(INDEX(M_SKU!$A$18:$J$57,MATCH(J101,M_SKU!$B$18:$B$57,0),1),"UNKNOWN SKU")</f>
        <v>Krest Club Soda RGB 300ml</v>
      </c>
      <c r="L101" s="63" t="s">
        <v>539</v>
      </c>
      <c r="M101" s="62">
        <v>46140</v>
      </c>
      <c r="N101" s="62">
        <v>46504</v>
      </c>
      <c r="O101" s="67">
        <v>2</v>
      </c>
      <c r="P101" s="68" t="s">
        <v>521</v>
      </c>
      <c r="Q101" s="63"/>
      <c r="R101" s="62"/>
      <c r="S101" s="69"/>
      <c r="T101" s="69"/>
      <c r="U101" s="66" t="str">
        <f t="shared" si="1"/>
        <v>MOS100079|FG010|CK3-33301</v>
      </c>
    </row>
    <row r="102" spans="1:21" ht="15" customHeight="1" x14ac:dyDescent="0.3">
      <c r="A102" s="70" t="s">
        <v>559</v>
      </c>
      <c r="B102" s="71">
        <v>166151</v>
      </c>
      <c r="C102" s="72">
        <v>46179</v>
      </c>
      <c r="D102" s="73" t="s">
        <v>395</v>
      </c>
      <c r="E102" s="74" t="s">
        <v>560</v>
      </c>
      <c r="F102" s="75">
        <f>IFERROR(INDEX(M_User!$A$12:$J$67,MATCH(D102,M_User!$D$12:$D$67,0),1),"UNMAPPED")</f>
        <v>53</v>
      </c>
      <c r="G102" s="76" t="str">
        <f>IFERROR(INDEX(M_User!$A$12:$J$67,MATCH(D102,M_User!$D$12:$D$67,0),3),"UNMAPPED")</f>
        <v>Meshack  Jeremiah</v>
      </c>
      <c r="H102" s="75" t="str">
        <f>IFERROR(INDEX(M_User!$A$12:$J$67,MATCH(D102,M_User!$D$12:$D$67,0),5),"UNMAPPED")</f>
        <v>MOS</v>
      </c>
      <c r="I102" s="73" t="s">
        <v>149</v>
      </c>
      <c r="J102" s="73" t="s">
        <v>201</v>
      </c>
      <c r="K102" s="76" t="str">
        <f>IFERROR(INDEX(M_SKU!$A$18:$J$57,MATCH(J102,M_SKU!$B$18:$B$57,0),1),"UNKNOWN SKU")</f>
        <v>Krest Tonic Water RGB 300ml</v>
      </c>
      <c r="L102" s="73" t="s">
        <v>540</v>
      </c>
      <c r="M102" s="72">
        <v>46154</v>
      </c>
      <c r="N102" s="72">
        <v>46518</v>
      </c>
      <c r="O102" s="77">
        <v>2</v>
      </c>
      <c r="P102" s="78" t="s">
        <v>521</v>
      </c>
      <c r="Q102" s="79"/>
      <c r="R102" s="80"/>
      <c r="S102" s="81"/>
      <c r="T102" s="81"/>
      <c r="U102" s="82" t="str">
        <f t="shared" si="1"/>
        <v>MOS100079|FG011|CK3-33347</v>
      </c>
    </row>
    <row r="103" spans="1:21" ht="15" customHeight="1" x14ac:dyDescent="0.3">
      <c r="A103" s="60" t="s">
        <v>559</v>
      </c>
      <c r="B103" s="61">
        <v>166151</v>
      </c>
      <c r="C103" s="62">
        <v>46179</v>
      </c>
      <c r="D103" s="63" t="s">
        <v>395</v>
      </c>
      <c r="E103" s="64" t="s">
        <v>560</v>
      </c>
      <c r="F103" s="65">
        <f>IFERROR(INDEX(M_User!$A$12:$J$67,MATCH(D103,M_User!$D$12:$D$67,0),1),"UNMAPPED")</f>
        <v>53</v>
      </c>
      <c r="G103" s="66" t="str">
        <f>IFERROR(INDEX(M_User!$A$12:$J$67,MATCH(D103,M_User!$D$12:$D$67,0),3),"UNMAPPED")</f>
        <v>Meshack  Jeremiah</v>
      </c>
      <c r="H103" s="65" t="str">
        <f>IFERROR(INDEX(M_User!$A$12:$J$67,MATCH(D103,M_User!$D$12:$D$67,0),5),"UNMAPPED")</f>
        <v>MOS</v>
      </c>
      <c r="I103" s="63" t="s">
        <v>149</v>
      </c>
      <c r="J103" s="63" t="s">
        <v>203</v>
      </c>
      <c r="K103" s="66" t="str">
        <f>IFERROR(INDEX(M_SKU!$A$18:$J$57,MATCH(J103,M_SKU!$B$18:$B$57,0),1),"UNKNOWN SKU")</f>
        <v>Krest Ginger Ale RGB 300ml</v>
      </c>
      <c r="L103" s="63" t="s">
        <v>541</v>
      </c>
      <c r="M103" s="62">
        <v>46088</v>
      </c>
      <c r="N103" s="62">
        <v>46452</v>
      </c>
      <c r="O103" s="67">
        <v>1</v>
      </c>
      <c r="P103" s="68" t="s">
        <v>521</v>
      </c>
      <c r="Q103" s="63"/>
      <c r="R103" s="62"/>
      <c r="S103" s="69"/>
      <c r="T103" s="69"/>
      <c r="U103" s="66" t="str">
        <f t="shared" si="1"/>
        <v>MOS100079|FG012|CK3-33126</v>
      </c>
    </row>
    <row r="104" spans="1:21" ht="15" customHeight="1" x14ac:dyDescent="0.3">
      <c r="A104" s="70" t="s">
        <v>559</v>
      </c>
      <c r="B104" s="71">
        <v>166151</v>
      </c>
      <c r="C104" s="72">
        <v>46179</v>
      </c>
      <c r="D104" s="73" t="s">
        <v>395</v>
      </c>
      <c r="E104" s="74" t="s">
        <v>560</v>
      </c>
      <c r="F104" s="75">
        <f>IFERROR(INDEX(M_User!$A$12:$J$67,MATCH(D104,M_User!$D$12:$D$67,0),1),"UNMAPPED")</f>
        <v>53</v>
      </c>
      <c r="G104" s="76" t="str">
        <f>IFERROR(INDEX(M_User!$A$12:$J$67,MATCH(D104,M_User!$D$12:$D$67,0),3),"UNMAPPED")</f>
        <v>Meshack  Jeremiah</v>
      </c>
      <c r="H104" s="75" t="str">
        <f>IFERROR(INDEX(M_User!$A$12:$J$67,MATCH(D104,M_User!$D$12:$D$67,0),5),"UNMAPPED")</f>
        <v>MOS</v>
      </c>
      <c r="I104" s="73" t="s">
        <v>149</v>
      </c>
      <c r="J104" s="73" t="s">
        <v>209</v>
      </c>
      <c r="K104" s="76" t="str">
        <f>IFERROR(INDEX(M_SKU!$A$18:$J$57,MATCH(J104,M_SKU!$B$18:$B$57,0),1),"UNKNOWN SKU")</f>
        <v>Sparletta Red Apple RGB 350ml</v>
      </c>
      <c r="L104" s="73" t="s">
        <v>542</v>
      </c>
      <c r="M104" s="72">
        <v>46010</v>
      </c>
      <c r="N104" s="72">
        <v>46374</v>
      </c>
      <c r="O104" s="77">
        <v>2</v>
      </c>
      <c r="P104" s="78" t="s">
        <v>521</v>
      </c>
      <c r="Q104" s="79"/>
      <c r="R104" s="80"/>
      <c r="S104" s="81"/>
      <c r="T104" s="81"/>
      <c r="U104" s="82" t="str">
        <f t="shared" si="1"/>
        <v>MOS100079|FG024|CK3-32758</v>
      </c>
    </row>
    <row r="105" spans="1:21" ht="15" customHeight="1" x14ac:dyDescent="0.3">
      <c r="A105" s="60" t="s">
        <v>559</v>
      </c>
      <c r="B105" s="61">
        <v>166151</v>
      </c>
      <c r="C105" s="62">
        <v>46179</v>
      </c>
      <c r="D105" s="63" t="s">
        <v>395</v>
      </c>
      <c r="E105" s="64" t="s">
        <v>560</v>
      </c>
      <c r="F105" s="65">
        <f>IFERROR(INDEX(M_User!$A$12:$J$67,MATCH(D105,M_User!$D$12:$D$67,0),1),"UNMAPPED")</f>
        <v>53</v>
      </c>
      <c r="G105" s="66" t="str">
        <f>IFERROR(INDEX(M_User!$A$12:$J$67,MATCH(D105,M_User!$D$12:$D$67,0),3),"UNMAPPED")</f>
        <v>Meshack  Jeremiah</v>
      </c>
      <c r="H105" s="65" t="str">
        <f>IFERROR(INDEX(M_User!$A$12:$J$67,MATCH(D105,M_User!$D$12:$D$67,0),5),"UNMAPPED")</f>
        <v>MOS</v>
      </c>
      <c r="I105" s="63" t="s">
        <v>149</v>
      </c>
      <c r="J105" s="63" t="s">
        <v>211</v>
      </c>
      <c r="K105" s="66" t="str">
        <f>IFERROR(INDEX(M_SKU!$A$18:$J$57,MATCH(J105,M_SKU!$B$18:$B$57,0),1),"UNKNOWN SKU")</f>
        <v>KNMW 500ml</v>
      </c>
      <c r="L105" s="63" t="s">
        <v>543</v>
      </c>
      <c r="M105" s="62">
        <v>46177</v>
      </c>
      <c r="N105" s="62">
        <v>46541</v>
      </c>
      <c r="O105" s="67">
        <v>30</v>
      </c>
      <c r="P105" s="68" t="s">
        <v>521</v>
      </c>
      <c r="Q105" s="63"/>
      <c r="R105" s="62"/>
      <c r="S105" s="69"/>
      <c r="T105" s="69"/>
      <c r="U105" s="66" t="str">
        <f t="shared" si="1"/>
        <v>MOS100079|KD001|CK6-986</v>
      </c>
    </row>
    <row r="106" spans="1:21" ht="15" customHeight="1" x14ac:dyDescent="0.3">
      <c r="A106" s="70" t="s">
        <v>559</v>
      </c>
      <c r="B106" s="71">
        <v>166151</v>
      </c>
      <c r="C106" s="72">
        <v>46179</v>
      </c>
      <c r="D106" s="73" t="s">
        <v>395</v>
      </c>
      <c r="E106" s="74" t="s">
        <v>560</v>
      </c>
      <c r="F106" s="75">
        <f>IFERROR(INDEX(M_User!$A$12:$J$67,MATCH(D106,M_User!$D$12:$D$67,0),1),"UNMAPPED")</f>
        <v>53</v>
      </c>
      <c r="G106" s="76" t="str">
        <f>IFERROR(INDEX(M_User!$A$12:$J$67,MATCH(D106,M_User!$D$12:$D$67,0),3),"UNMAPPED")</f>
        <v>Meshack  Jeremiah</v>
      </c>
      <c r="H106" s="75" t="str">
        <f>IFERROR(INDEX(M_User!$A$12:$J$67,MATCH(D106,M_User!$D$12:$D$67,0),5),"UNMAPPED")</f>
        <v>MOS</v>
      </c>
      <c r="I106" s="73" t="s">
        <v>149</v>
      </c>
      <c r="J106" s="73" t="s">
        <v>217</v>
      </c>
      <c r="K106" s="76" t="str">
        <f>IFERROR(INDEX(M_SKU!$A$18:$J$57,MATCH(J106,M_SKU!$B$18:$B$57,0),1),"UNKNOWN SKU")</f>
        <v>KNMW 1500ml</v>
      </c>
      <c r="L106" s="73" t="s">
        <v>551</v>
      </c>
      <c r="M106" s="72">
        <v>46177</v>
      </c>
      <c r="N106" s="72">
        <v>46541</v>
      </c>
      <c r="O106" s="77">
        <v>90</v>
      </c>
      <c r="P106" s="78" t="s">
        <v>521</v>
      </c>
      <c r="Q106" s="79"/>
      <c r="R106" s="80"/>
      <c r="S106" s="81"/>
      <c r="T106" s="81"/>
      <c r="U106" s="82" t="str">
        <f t="shared" si="1"/>
        <v>MOS100079|KD003|CK4-842</v>
      </c>
    </row>
    <row r="107" spans="1:21" ht="15" customHeight="1" x14ac:dyDescent="0.3">
      <c r="A107" s="60" t="s">
        <v>559</v>
      </c>
      <c r="B107" s="61">
        <v>166151</v>
      </c>
      <c r="C107" s="62">
        <v>46179</v>
      </c>
      <c r="D107" s="63" t="s">
        <v>395</v>
      </c>
      <c r="E107" s="64" t="s">
        <v>560</v>
      </c>
      <c r="F107" s="65">
        <f>IFERROR(INDEX(M_User!$A$12:$J$67,MATCH(D107,M_User!$D$12:$D$67,0),1),"UNMAPPED")</f>
        <v>53</v>
      </c>
      <c r="G107" s="66" t="str">
        <f>IFERROR(INDEX(M_User!$A$12:$J$67,MATCH(D107,M_User!$D$12:$D$67,0),3),"UNMAPPED")</f>
        <v>Meshack  Jeremiah</v>
      </c>
      <c r="H107" s="65" t="str">
        <f>IFERROR(INDEX(M_User!$A$12:$J$67,MATCH(D107,M_User!$D$12:$D$67,0),5),"UNMAPPED")</f>
        <v>MOS</v>
      </c>
      <c r="I107" s="63" t="s">
        <v>149</v>
      </c>
      <c r="J107" s="63" t="s">
        <v>229</v>
      </c>
      <c r="K107" s="66" t="str">
        <f>IFERROR(INDEX(M_SKU!$A$18:$J$57,MATCH(J107,M_SKU!$B$18:$B$57,0),1),"UNKNOWN SKU")</f>
        <v>Coke Pet 500ML ( x12)</v>
      </c>
      <c r="L107" s="63" t="s">
        <v>520</v>
      </c>
      <c r="M107" s="62">
        <v>46177</v>
      </c>
      <c r="N107" s="62">
        <v>46288</v>
      </c>
      <c r="O107" s="67">
        <v>40</v>
      </c>
      <c r="P107" s="68" t="s">
        <v>521</v>
      </c>
      <c r="Q107" s="63"/>
      <c r="R107" s="62"/>
      <c r="S107" s="69"/>
      <c r="T107" s="69"/>
      <c r="U107" s="66" t="str">
        <f t="shared" si="1"/>
        <v>MOS100079|PH001|CK6-33411</v>
      </c>
    </row>
    <row r="108" spans="1:21" ht="15" customHeight="1" x14ac:dyDescent="0.3">
      <c r="A108" s="70" t="s">
        <v>559</v>
      </c>
      <c r="B108" s="71">
        <v>166151</v>
      </c>
      <c r="C108" s="72">
        <v>46179</v>
      </c>
      <c r="D108" s="73" t="s">
        <v>395</v>
      </c>
      <c r="E108" s="74" t="s">
        <v>560</v>
      </c>
      <c r="F108" s="75">
        <f>IFERROR(INDEX(M_User!$A$12:$J$67,MATCH(D108,M_User!$D$12:$D$67,0),1),"UNMAPPED")</f>
        <v>53</v>
      </c>
      <c r="G108" s="76" t="str">
        <f>IFERROR(INDEX(M_User!$A$12:$J$67,MATCH(D108,M_User!$D$12:$D$67,0),3),"UNMAPPED")</f>
        <v>Meshack  Jeremiah</v>
      </c>
      <c r="H108" s="75" t="str">
        <f>IFERROR(INDEX(M_User!$A$12:$J$67,MATCH(D108,M_User!$D$12:$D$67,0),5),"UNMAPPED")</f>
        <v>MOS</v>
      </c>
      <c r="I108" s="73" t="s">
        <v>149</v>
      </c>
      <c r="J108" s="73" t="s">
        <v>232</v>
      </c>
      <c r="K108" s="76" t="str">
        <f>IFERROR(INDEX(M_SKU!$A$18:$J$57,MATCH(J108,M_SKU!$B$18:$B$57,0),1),"UNKNOWN SKU")</f>
        <v>Sprite Pet 500ML (x 12)</v>
      </c>
      <c r="L108" s="73" t="s">
        <v>522</v>
      </c>
      <c r="M108" s="72">
        <v>46158</v>
      </c>
      <c r="N108" s="72">
        <v>46269</v>
      </c>
      <c r="O108" s="77">
        <v>8</v>
      </c>
      <c r="P108" s="78" t="s">
        <v>521</v>
      </c>
      <c r="Q108" s="79"/>
      <c r="R108" s="80"/>
      <c r="S108" s="81"/>
      <c r="T108" s="81"/>
      <c r="U108" s="82" t="str">
        <f t="shared" si="1"/>
        <v>MOS100079|PH002|CK6-33362</v>
      </c>
    </row>
    <row r="109" spans="1:21" ht="15" customHeight="1" x14ac:dyDescent="0.3">
      <c r="A109" s="60" t="s">
        <v>559</v>
      </c>
      <c r="B109" s="61">
        <v>166151</v>
      </c>
      <c r="C109" s="62">
        <v>46179</v>
      </c>
      <c r="D109" s="63" t="s">
        <v>395</v>
      </c>
      <c r="E109" s="64" t="s">
        <v>560</v>
      </c>
      <c r="F109" s="65">
        <f>IFERROR(INDEX(M_User!$A$12:$J$67,MATCH(D109,M_User!$D$12:$D$67,0),1),"UNMAPPED")</f>
        <v>53</v>
      </c>
      <c r="G109" s="66" t="str">
        <f>IFERROR(INDEX(M_User!$A$12:$J$67,MATCH(D109,M_User!$D$12:$D$67,0),3),"UNMAPPED")</f>
        <v>Meshack  Jeremiah</v>
      </c>
      <c r="H109" s="65" t="str">
        <f>IFERROR(INDEX(M_User!$A$12:$J$67,MATCH(D109,M_User!$D$12:$D$67,0),5),"UNMAPPED")</f>
        <v>MOS</v>
      </c>
      <c r="I109" s="63" t="s">
        <v>149</v>
      </c>
      <c r="J109" s="63" t="s">
        <v>234</v>
      </c>
      <c r="K109" s="66" t="str">
        <f>IFERROR(INDEX(M_SKU!$A$18:$J$57,MATCH(J109,M_SKU!$B$18:$B$57,0),1),"UNKNOWN SKU")</f>
        <v>Fanta Orange Pet 500ML ( x 12)</v>
      </c>
      <c r="L109" s="63" t="s">
        <v>523</v>
      </c>
      <c r="M109" s="62">
        <v>46172</v>
      </c>
      <c r="N109" s="62">
        <v>46283</v>
      </c>
      <c r="O109" s="67">
        <v>25</v>
      </c>
      <c r="P109" s="68" t="s">
        <v>521</v>
      </c>
      <c r="Q109" s="63"/>
      <c r="R109" s="62"/>
      <c r="S109" s="69"/>
      <c r="T109" s="69"/>
      <c r="U109" s="66" t="str">
        <f t="shared" si="1"/>
        <v>MOS100079|PH003|CK6-33405</v>
      </c>
    </row>
    <row r="110" spans="1:21" ht="15" customHeight="1" x14ac:dyDescent="0.3">
      <c r="A110" s="70" t="s">
        <v>559</v>
      </c>
      <c r="B110" s="71">
        <v>166151</v>
      </c>
      <c r="C110" s="72">
        <v>46179</v>
      </c>
      <c r="D110" s="73" t="s">
        <v>395</v>
      </c>
      <c r="E110" s="74" t="s">
        <v>560</v>
      </c>
      <c r="F110" s="75">
        <f>IFERROR(INDEX(M_User!$A$12:$J$67,MATCH(D110,M_User!$D$12:$D$67,0),1),"UNMAPPED")</f>
        <v>53</v>
      </c>
      <c r="G110" s="76" t="str">
        <f>IFERROR(INDEX(M_User!$A$12:$J$67,MATCH(D110,M_User!$D$12:$D$67,0),3),"UNMAPPED")</f>
        <v>Meshack  Jeremiah</v>
      </c>
      <c r="H110" s="75" t="str">
        <f>IFERROR(INDEX(M_User!$A$12:$J$67,MATCH(D110,M_User!$D$12:$D$67,0),5),"UNMAPPED")</f>
        <v>MOS</v>
      </c>
      <c r="I110" s="73" t="s">
        <v>149</v>
      </c>
      <c r="J110" s="73" t="s">
        <v>236</v>
      </c>
      <c r="K110" s="76" t="str">
        <f>IFERROR(INDEX(M_SKU!$A$18:$J$57,MATCH(J110,M_SKU!$B$18:$B$57,0),1),"UNKNOWN SKU")</f>
        <v>Fanta Passion Pet 500ML ( x12)</v>
      </c>
      <c r="L110" s="73" t="s">
        <v>524</v>
      </c>
      <c r="M110" s="72">
        <v>46151</v>
      </c>
      <c r="N110" s="72">
        <v>46262</v>
      </c>
      <c r="O110" s="77">
        <v>7</v>
      </c>
      <c r="P110" s="78" t="s">
        <v>521</v>
      </c>
      <c r="Q110" s="79"/>
      <c r="R110" s="80"/>
      <c r="S110" s="81"/>
      <c r="T110" s="81"/>
      <c r="U110" s="82" t="str">
        <f t="shared" si="1"/>
        <v>MOS100079|PH004|CK5-33334</v>
      </c>
    </row>
    <row r="111" spans="1:21" ht="15" customHeight="1" x14ac:dyDescent="0.3">
      <c r="A111" s="60" t="s">
        <v>559</v>
      </c>
      <c r="B111" s="61">
        <v>166151</v>
      </c>
      <c r="C111" s="62">
        <v>46179</v>
      </c>
      <c r="D111" s="63" t="s">
        <v>395</v>
      </c>
      <c r="E111" s="64" t="s">
        <v>560</v>
      </c>
      <c r="F111" s="65">
        <f>IFERROR(INDEX(M_User!$A$12:$J$67,MATCH(D111,M_User!$D$12:$D$67,0),1),"UNMAPPED")</f>
        <v>53</v>
      </c>
      <c r="G111" s="66" t="str">
        <f>IFERROR(INDEX(M_User!$A$12:$J$67,MATCH(D111,M_User!$D$12:$D$67,0),3),"UNMAPPED")</f>
        <v>Meshack  Jeremiah</v>
      </c>
      <c r="H111" s="65" t="str">
        <f>IFERROR(INDEX(M_User!$A$12:$J$67,MATCH(D111,M_User!$D$12:$D$67,0),5),"UNMAPPED")</f>
        <v>MOS</v>
      </c>
      <c r="I111" s="63" t="s">
        <v>149</v>
      </c>
      <c r="J111" s="63" t="s">
        <v>242</v>
      </c>
      <c r="K111" s="66" t="str">
        <f>IFERROR(INDEX(M_SKU!$A$18:$J$57,MATCH(J111,M_SKU!$B$18:$B$57,0),1),"UNKNOWN SKU")</f>
        <v>Stoney Tangawizi Pet 500 ml ( x12)</v>
      </c>
      <c r="L111" s="63" t="s">
        <v>525</v>
      </c>
      <c r="M111" s="62">
        <v>46161</v>
      </c>
      <c r="N111" s="62">
        <v>46272</v>
      </c>
      <c r="O111" s="67">
        <v>4</v>
      </c>
      <c r="P111" s="68" t="s">
        <v>521</v>
      </c>
      <c r="Q111" s="63"/>
      <c r="R111" s="62"/>
      <c r="S111" s="69"/>
      <c r="T111" s="69"/>
      <c r="U111" s="66" t="str">
        <f t="shared" si="1"/>
        <v>MOS100079|PH007|CK6-33375</v>
      </c>
    </row>
    <row r="112" spans="1:21" ht="15" customHeight="1" x14ac:dyDescent="0.3">
      <c r="A112" s="70" t="s">
        <v>559</v>
      </c>
      <c r="B112" s="71">
        <v>166151</v>
      </c>
      <c r="C112" s="72">
        <v>46179</v>
      </c>
      <c r="D112" s="73" t="s">
        <v>395</v>
      </c>
      <c r="E112" s="74" t="s">
        <v>560</v>
      </c>
      <c r="F112" s="75">
        <f>IFERROR(INDEX(M_User!$A$12:$J$67,MATCH(D112,M_User!$D$12:$D$67,0),1),"UNMAPPED")</f>
        <v>53</v>
      </c>
      <c r="G112" s="76" t="str">
        <f>IFERROR(INDEX(M_User!$A$12:$J$67,MATCH(D112,M_User!$D$12:$D$67,0),3),"UNMAPPED")</f>
        <v>Meshack  Jeremiah</v>
      </c>
      <c r="H112" s="75" t="str">
        <f>IFERROR(INDEX(M_User!$A$12:$J$67,MATCH(D112,M_User!$D$12:$D$67,0),5),"UNMAPPED")</f>
        <v>MOS</v>
      </c>
      <c r="I112" s="73" t="s">
        <v>149</v>
      </c>
      <c r="J112" s="73" t="s">
        <v>244</v>
      </c>
      <c r="K112" s="76" t="str">
        <f>IFERROR(INDEX(M_SKU!$A$18:$J$57,MATCH(J112,M_SKU!$B$18:$B$57,0),1),"UNKNOWN SKU")</f>
        <v>Sparletta Pinenut Pet 500 ml ( x12)</v>
      </c>
      <c r="L112" s="73" t="s">
        <v>526</v>
      </c>
      <c r="M112" s="72">
        <v>46161</v>
      </c>
      <c r="N112" s="72">
        <v>46272</v>
      </c>
      <c r="O112" s="77">
        <v>4</v>
      </c>
      <c r="P112" s="78" t="s">
        <v>521</v>
      </c>
      <c r="Q112" s="79"/>
      <c r="R112" s="80"/>
      <c r="S112" s="81"/>
      <c r="T112" s="81"/>
      <c r="U112" s="82" t="str">
        <f t="shared" si="1"/>
        <v>MOS100079|PH008|CK5-33370</v>
      </c>
    </row>
    <row r="113" spans="1:21" ht="15" customHeight="1" x14ac:dyDescent="0.3">
      <c r="A113" s="60" t="s">
        <v>559</v>
      </c>
      <c r="B113" s="61">
        <v>166151</v>
      </c>
      <c r="C113" s="62">
        <v>46179</v>
      </c>
      <c r="D113" s="63" t="s">
        <v>395</v>
      </c>
      <c r="E113" s="64" t="s">
        <v>560</v>
      </c>
      <c r="F113" s="65">
        <f>IFERROR(INDEX(M_User!$A$12:$J$67,MATCH(D113,M_User!$D$12:$D$67,0),1),"UNMAPPED")</f>
        <v>53</v>
      </c>
      <c r="G113" s="66" t="str">
        <f>IFERROR(INDEX(M_User!$A$12:$J$67,MATCH(D113,M_User!$D$12:$D$67,0),3),"UNMAPPED")</f>
        <v>Meshack  Jeremiah</v>
      </c>
      <c r="H113" s="65" t="str">
        <f>IFERROR(INDEX(M_User!$A$12:$J$67,MATCH(D113,M_User!$D$12:$D$67,0),5),"UNMAPPED")</f>
        <v>MOS</v>
      </c>
      <c r="I113" s="63" t="s">
        <v>149</v>
      </c>
      <c r="J113" s="63" t="s">
        <v>252</v>
      </c>
      <c r="K113" s="66" t="str">
        <f>IFERROR(INDEX(M_SKU!$A$18:$J$57,MATCH(J113,M_SKU!$B$18:$B$57,0),1),"UNKNOWN SKU")</f>
        <v>Sprite Zero Pet 300ML (x 12)</v>
      </c>
      <c r="L113" s="63" t="s">
        <v>545</v>
      </c>
      <c r="M113" s="62">
        <v>46158</v>
      </c>
      <c r="N113" s="62">
        <v>46241</v>
      </c>
      <c r="O113" s="67">
        <v>5</v>
      </c>
      <c r="P113" s="68" t="s">
        <v>521</v>
      </c>
      <c r="Q113" s="63"/>
      <c r="R113" s="62"/>
      <c r="S113" s="69"/>
      <c r="T113" s="69"/>
      <c r="U113" s="66" t="str">
        <f t="shared" si="1"/>
        <v>MOS100079|PO010|CK5-33360</v>
      </c>
    </row>
    <row r="114" spans="1:21" ht="15" customHeight="1" x14ac:dyDescent="0.3">
      <c r="A114" s="70" t="s">
        <v>559</v>
      </c>
      <c r="B114" s="71">
        <v>166151</v>
      </c>
      <c r="C114" s="72">
        <v>46179</v>
      </c>
      <c r="D114" s="73" t="s">
        <v>395</v>
      </c>
      <c r="E114" s="74" t="s">
        <v>560</v>
      </c>
      <c r="F114" s="75">
        <f>IFERROR(INDEX(M_User!$A$12:$J$67,MATCH(D114,M_User!$D$12:$D$67,0),1),"UNMAPPED")</f>
        <v>53</v>
      </c>
      <c r="G114" s="76" t="str">
        <f>IFERROR(INDEX(M_User!$A$12:$J$67,MATCH(D114,M_User!$D$12:$D$67,0),3),"UNMAPPED")</f>
        <v>Meshack  Jeremiah</v>
      </c>
      <c r="H114" s="75" t="str">
        <f>IFERROR(INDEX(M_User!$A$12:$J$67,MATCH(D114,M_User!$D$12:$D$67,0),5),"UNMAPPED")</f>
        <v>MOS</v>
      </c>
      <c r="I114" s="73" t="s">
        <v>149</v>
      </c>
      <c r="J114" s="73" t="s">
        <v>254</v>
      </c>
      <c r="K114" s="76" t="str">
        <f>IFERROR(INDEX(M_SKU!$A$18:$J$57,MATCH(J114,M_SKU!$B$18:$B$57,0),1),"UNKNOWN SKU")</f>
        <v>Fanta Zero Pet 300ML (x 12)</v>
      </c>
      <c r="L114" s="73" t="s">
        <v>546</v>
      </c>
      <c r="M114" s="72">
        <v>46159</v>
      </c>
      <c r="N114" s="72">
        <v>46242</v>
      </c>
      <c r="O114" s="77">
        <v>5</v>
      </c>
      <c r="P114" s="78" t="s">
        <v>521</v>
      </c>
      <c r="Q114" s="79"/>
      <c r="R114" s="80"/>
      <c r="S114" s="81"/>
      <c r="T114" s="81"/>
      <c r="U114" s="82" t="str">
        <f t="shared" si="1"/>
        <v>MOS100079|PO012|CK5-33369</v>
      </c>
    </row>
    <row r="115" spans="1:21" ht="15" customHeight="1" x14ac:dyDescent="0.3">
      <c r="A115" s="60" t="s">
        <v>559</v>
      </c>
      <c r="B115" s="61">
        <v>166151</v>
      </c>
      <c r="C115" s="62">
        <v>46179</v>
      </c>
      <c r="D115" s="63" t="s">
        <v>395</v>
      </c>
      <c r="E115" s="64" t="s">
        <v>560</v>
      </c>
      <c r="F115" s="65">
        <f>IFERROR(INDEX(M_User!$A$12:$J$67,MATCH(D115,M_User!$D$12:$D$67,0),1),"UNMAPPED")</f>
        <v>53</v>
      </c>
      <c r="G115" s="66" t="str">
        <f>IFERROR(INDEX(M_User!$A$12:$J$67,MATCH(D115,M_User!$D$12:$D$67,0),3),"UNMAPPED")</f>
        <v>Meshack  Jeremiah</v>
      </c>
      <c r="H115" s="65" t="str">
        <f>IFERROR(INDEX(M_User!$A$12:$J$67,MATCH(D115,M_User!$D$12:$D$67,0),5),"UNMAPPED")</f>
        <v>MOS</v>
      </c>
      <c r="I115" s="63" t="s">
        <v>149</v>
      </c>
      <c r="J115" s="63" t="s">
        <v>261</v>
      </c>
      <c r="K115" s="66" t="str">
        <f>IFERROR(INDEX(M_SKU!$A$18:$J$57,MATCH(J115,M_SKU!$B$18:$B$57,0),1),"UNKNOWN SKU")</f>
        <v>Sparletta Pine Apple Pet 300ML (x 12)</v>
      </c>
      <c r="L115" s="63" t="s">
        <v>547</v>
      </c>
      <c r="M115" s="62">
        <v>46158</v>
      </c>
      <c r="N115" s="62">
        <v>46241</v>
      </c>
      <c r="O115" s="67">
        <v>5</v>
      </c>
      <c r="P115" s="68" t="s">
        <v>521</v>
      </c>
      <c r="Q115" s="63"/>
      <c r="R115" s="62"/>
      <c r="S115" s="69"/>
      <c r="T115" s="69"/>
      <c r="U115" s="66" t="str">
        <f t="shared" si="1"/>
        <v>MOS100079|PO015|CK5-33366</v>
      </c>
    </row>
    <row r="116" spans="1:21" ht="15" customHeight="1" x14ac:dyDescent="0.3">
      <c r="A116" s="70" t="s">
        <v>561</v>
      </c>
      <c r="B116" s="71">
        <v>166152</v>
      </c>
      <c r="C116" s="72">
        <v>46179</v>
      </c>
      <c r="D116" s="73" t="s">
        <v>562</v>
      </c>
      <c r="E116" s="74" t="s">
        <v>563</v>
      </c>
      <c r="F116" s="75" t="str">
        <f>IFERROR(INDEX(M_User!$A$12:$J$67,MATCH(D116,M_User!$D$12:$D$67,0),1),"UNMAPPED")</f>
        <v>UNMAPPED</v>
      </c>
      <c r="G116" s="76" t="str">
        <f>IFERROR(INDEX(M_User!$A$12:$J$67,MATCH(D116,M_User!$D$12:$D$67,0),3),"UNMAPPED")</f>
        <v>UNMAPPED</v>
      </c>
      <c r="H116" s="75" t="str">
        <f>IFERROR(INDEX(M_User!$A$12:$J$67,MATCH(D116,M_User!$D$12:$D$67,0),5),"UNMAPPED")</f>
        <v>UNMAPPED</v>
      </c>
      <c r="I116" s="73" t="s">
        <v>149</v>
      </c>
      <c r="J116" s="73" t="s">
        <v>170</v>
      </c>
      <c r="K116" s="76" t="str">
        <f>IFERROR(INDEX(M_SKU!$A$18:$J$57,MATCH(J116,M_SKU!$B$18:$B$57,0),1),"UNKNOWN SKU")</f>
        <v>Coke RGB 350ml</v>
      </c>
      <c r="L116" s="73" t="s">
        <v>530</v>
      </c>
      <c r="M116" s="72">
        <v>46175</v>
      </c>
      <c r="N116" s="72">
        <v>46539</v>
      </c>
      <c r="O116" s="77">
        <v>40</v>
      </c>
      <c r="P116" s="78" t="s">
        <v>521</v>
      </c>
      <c r="Q116" s="79"/>
      <c r="R116" s="80"/>
      <c r="S116" s="81"/>
      <c r="T116" s="81"/>
      <c r="U116" s="82" t="str">
        <f t="shared" si="1"/>
        <v>MOS100801|FG001|CK3-33409</v>
      </c>
    </row>
    <row r="117" spans="1:21" ht="15" customHeight="1" x14ac:dyDescent="0.3">
      <c r="A117" s="60" t="s">
        <v>561</v>
      </c>
      <c r="B117" s="61">
        <v>166152</v>
      </c>
      <c r="C117" s="62">
        <v>46179</v>
      </c>
      <c r="D117" s="63" t="s">
        <v>562</v>
      </c>
      <c r="E117" s="64" t="s">
        <v>563</v>
      </c>
      <c r="F117" s="65" t="str">
        <f>IFERROR(INDEX(M_User!$A$12:$J$67,MATCH(D117,M_User!$D$12:$D$67,0),1),"UNMAPPED")</f>
        <v>UNMAPPED</v>
      </c>
      <c r="G117" s="66" t="str">
        <f>IFERROR(INDEX(M_User!$A$12:$J$67,MATCH(D117,M_User!$D$12:$D$67,0),3),"UNMAPPED")</f>
        <v>UNMAPPED</v>
      </c>
      <c r="H117" s="65" t="str">
        <f>IFERROR(INDEX(M_User!$A$12:$J$67,MATCH(D117,M_User!$D$12:$D$67,0),5),"UNMAPPED")</f>
        <v>UNMAPPED</v>
      </c>
      <c r="I117" s="63" t="s">
        <v>149</v>
      </c>
      <c r="J117" s="63" t="s">
        <v>178</v>
      </c>
      <c r="K117" s="66" t="str">
        <f>IFERROR(INDEX(M_SKU!$A$18:$J$57,MATCH(J117,M_SKU!$B$18:$B$57,0),1),"UNKNOWN SKU")</f>
        <v>Fanta Orange RGB 350ml</v>
      </c>
      <c r="L117" s="63" t="s">
        <v>531</v>
      </c>
      <c r="M117" s="62">
        <v>46174</v>
      </c>
      <c r="N117" s="62">
        <v>46538</v>
      </c>
      <c r="O117" s="67">
        <v>15</v>
      </c>
      <c r="P117" s="68" t="s">
        <v>521</v>
      </c>
      <c r="Q117" s="63"/>
      <c r="R117" s="62"/>
      <c r="S117" s="69"/>
      <c r="T117" s="69"/>
      <c r="U117" s="66" t="str">
        <f t="shared" si="1"/>
        <v>MOS100801|FG002|CK3-33407</v>
      </c>
    </row>
    <row r="118" spans="1:21" ht="15" customHeight="1" x14ac:dyDescent="0.3">
      <c r="A118" s="70" t="s">
        <v>561</v>
      </c>
      <c r="B118" s="71">
        <v>166152</v>
      </c>
      <c r="C118" s="72">
        <v>46179</v>
      </c>
      <c r="D118" s="73" t="s">
        <v>562</v>
      </c>
      <c r="E118" s="74" t="s">
        <v>563</v>
      </c>
      <c r="F118" s="75" t="str">
        <f>IFERROR(INDEX(M_User!$A$12:$J$67,MATCH(D118,M_User!$D$12:$D$67,0),1),"UNMAPPED")</f>
        <v>UNMAPPED</v>
      </c>
      <c r="G118" s="76" t="str">
        <f>IFERROR(INDEX(M_User!$A$12:$J$67,MATCH(D118,M_User!$D$12:$D$67,0),3),"UNMAPPED")</f>
        <v>UNMAPPED</v>
      </c>
      <c r="H118" s="75" t="str">
        <f>IFERROR(INDEX(M_User!$A$12:$J$67,MATCH(D118,M_User!$D$12:$D$67,0),5),"UNMAPPED")</f>
        <v>UNMAPPED</v>
      </c>
      <c r="I118" s="73" t="s">
        <v>149</v>
      </c>
      <c r="J118" s="73" t="s">
        <v>181</v>
      </c>
      <c r="K118" s="76" t="str">
        <f>IFERROR(INDEX(M_SKU!$A$18:$J$57,MATCH(J118,M_SKU!$B$18:$B$57,0),1),"UNKNOWN SKU")</f>
        <v>Fanta Passion RGB 350ml</v>
      </c>
      <c r="L118" s="73" t="s">
        <v>550</v>
      </c>
      <c r="M118" s="72">
        <v>46158</v>
      </c>
      <c r="N118" s="72">
        <v>46521</v>
      </c>
      <c r="O118" s="77">
        <v>7</v>
      </c>
      <c r="P118" s="78" t="s">
        <v>521</v>
      </c>
      <c r="Q118" s="79"/>
      <c r="R118" s="80"/>
      <c r="S118" s="81"/>
      <c r="T118" s="81"/>
      <c r="U118" s="82" t="str">
        <f t="shared" si="1"/>
        <v>MOS100801|FG003|CK3-33356</v>
      </c>
    </row>
    <row r="119" spans="1:21" ht="15" customHeight="1" x14ac:dyDescent="0.3">
      <c r="A119" s="60" t="s">
        <v>561</v>
      </c>
      <c r="B119" s="61">
        <v>166152</v>
      </c>
      <c r="C119" s="62">
        <v>46179</v>
      </c>
      <c r="D119" s="63" t="s">
        <v>562</v>
      </c>
      <c r="E119" s="64" t="s">
        <v>563</v>
      </c>
      <c r="F119" s="65" t="str">
        <f>IFERROR(INDEX(M_User!$A$12:$J$67,MATCH(D119,M_User!$D$12:$D$67,0),1),"UNMAPPED")</f>
        <v>UNMAPPED</v>
      </c>
      <c r="G119" s="66" t="str">
        <f>IFERROR(INDEX(M_User!$A$12:$J$67,MATCH(D119,M_User!$D$12:$D$67,0),3),"UNMAPPED")</f>
        <v>UNMAPPED</v>
      </c>
      <c r="H119" s="65" t="str">
        <f>IFERROR(INDEX(M_User!$A$12:$J$67,MATCH(D119,M_User!$D$12:$D$67,0),5),"UNMAPPED")</f>
        <v>UNMAPPED</v>
      </c>
      <c r="I119" s="63" t="s">
        <v>149</v>
      </c>
      <c r="J119" s="63" t="s">
        <v>183</v>
      </c>
      <c r="K119" s="66" t="str">
        <f>IFERROR(INDEX(M_SKU!$A$18:$J$57,MATCH(J119,M_SKU!$B$18:$B$57,0),1),"UNKNOWN SKU")</f>
        <v>Fanta Pineapple RGB 350ml</v>
      </c>
      <c r="L119" s="63" t="s">
        <v>533</v>
      </c>
      <c r="M119" s="62">
        <v>46163</v>
      </c>
      <c r="N119" s="62">
        <v>46527</v>
      </c>
      <c r="O119" s="67">
        <v>7</v>
      </c>
      <c r="P119" s="68" t="s">
        <v>521</v>
      </c>
      <c r="Q119" s="63"/>
      <c r="R119" s="62"/>
      <c r="S119" s="69"/>
      <c r="T119" s="69"/>
      <c r="U119" s="66" t="str">
        <f t="shared" si="1"/>
        <v>MOS100801|FG004|CK3-33385</v>
      </c>
    </row>
    <row r="120" spans="1:21" ht="15" customHeight="1" x14ac:dyDescent="0.3">
      <c r="A120" s="70" t="s">
        <v>561</v>
      </c>
      <c r="B120" s="71">
        <v>166152</v>
      </c>
      <c r="C120" s="72">
        <v>46179</v>
      </c>
      <c r="D120" s="73" t="s">
        <v>562</v>
      </c>
      <c r="E120" s="74" t="s">
        <v>563</v>
      </c>
      <c r="F120" s="75" t="str">
        <f>IFERROR(INDEX(M_User!$A$12:$J$67,MATCH(D120,M_User!$D$12:$D$67,0),1),"UNMAPPED")</f>
        <v>UNMAPPED</v>
      </c>
      <c r="G120" s="76" t="str">
        <f>IFERROR(INDEX(M_User!$A$12:$J$67,MATCH(D120,M_User!$D$12:$D$67,0),3),"UNMAPPED")</f>
        <v>UNMAPPED</v>
      </c>
      <c r="H120" s="75" t="str">
        <f>IFERROR(INDEX(M_User!$A$12:$J$67,MATCH(D120,M_User!$D$12:$D$67,0),5),"UNMAPPED")</f>
        <v>UNMAPPED</v>
      </c>
      <c r="I120" s="73" t="s">
        <v>149</v>
      </c>
      <c r="J120" s="73" t="s">
        <v>185</v>
      </c>
      <c r="K120" s="76" t="str">
        <f>IFERROR(INDEX(M_SKU!$A$18:$J$57,MATCH(J120,M_SKU!$B$18:$B$57,0),1),"UNKNOWN SKU")</f>
        <v>Fanta Fruit Blast RGB 350 ml</v>
      </c>
      <c r="L120" s="73" t="s">
        <v>534</v>
      </c>
      <c r="M120" s="72">
        <v>46171</v>
      </c>
      <c r="N120" s="72">
        <v>46535</v>
      </c>
      <c r="O120" s="77">
        <v>5</v>
      </c>
      <c r="P120" s="78" t="s">
        <v>521</v>
      </c>
      <c r="Q120" s="79"/>
      <c r="R120" s="80"/>
      <c r="S120" s="81"/>
      <c r="T120" s="81"/>
      <c r="U120" s="82" t="str">
        <f t="shared" si="1"/>
        <v>MOS100801|FG005|CK3-33402</v>
      </c>
    </row>
    <row r="121" spans="1:21" ht="15" customHeight="1" x14ac:dyDescent="0.3">
      <c r="A121" s="60" t="s">
        <v>561</v>
      </c>
      <c r="B121" s="61">
        <v>166152</v>
      </c>
      <c r="C121" s="62">
        <v>46179</v>
      </c>
      <c r="D121" s="63" t="s">
        <v>562</v>
      </c>
      <c r="E121" s="64" t="s">
        <v>563</v>
      </c>
      <c r="F121" s="65" t="str">
        <f>IFERROR(INDEX(M_User!$A$12:$J$67,MATCH(D121,M_User!$D$12:$D$67,0),1),"UNMAPPED")</f>
        <v>UNMAPPED</v>
      </c>
      <c r="G121" s="66" t="str">
        <f>IFERROR(INDEX(M_User!$A$12:$J$67,MATCH(D121,M_User!$D$12:$D$67,0),3),"UNMAPPED")</f>
        <v>UNMAPPED</v>
      </c>
      <c r="H121" s="65" t="str">
        <f>IFERROR(INDEX(M_User!$A$12:$J$67,MATCH(D121,M_User!$D$12:$D$67,0),5),"UNMAPPED")</f>
        <v>UNMAPPED</v>
      </c>
      <c r="I121" s="63" t="s">
        <v>149</v>
      </c>
      <c r="J121" s="63" t="s">
        <v>187</v>
      </c>
      <c r="K121" s="66" t="str">
        <f>IFERROR(INDEX(M_SKU!$A$18:$J$57,MATCH(J121,M_SKU!$B$18:$B$57,0),1),"UNKNOWN SKU")</f>
        <v>Sprite 350ml</v>
      </c>
      <c r="L121" s="63" t="s">
        <v>535</v>
      </c>
      <c r="M121" s="62">
        <v>46177</v>
      </c>
      <c r="N121" s="62">
        <v>46541</v>
      </c>
      <c r="O121" s="67">
        <v>7</v>
      </c>
      <c r="P121" s="68" t="s">
        <v>521</v>
      </c>
      <c r="Q121" s="63"/>
      <c r="R121" s="62"/>
      <c r="S121" s="69"/>
      <c r="T121" s="69"/>
      <c r="U121" s="66" t="str">
        <f t="shared" si="1"/>
        <v>MOS100801|FG006|CK3-33414</v>
      </c>
    </row>
    <row r="122" spans="1:21" ht="15" customHeight="1" x14ac:dyDescent="0.3">
      <c r="A122" s="70" t="s">
        <v>561</v>
      </c>
      <c r="B122" s="71">
        <v>166152</v>
      </c>
      <c r="C122" s="72">
        <v>46179</v>
      </c>
      <c r="D122" s="73" t="s">
        <v>562</v>
      </c>
      <c r="E122" s="74" t="s">
        <v>563</v>
      </c>
      <c r="F122" s="75" t="str">
        <f>IFERROR(INDEX(M_User!$A$12:$J$67,MATCH(D122,M_User!$D$12:$D$67,0),1),"UNMAPPED")</f>
        <v>UNMAPPED</v>
      </c>
      <c r="G122" s="76" t="str">
        <f>IFERROR(INDEX(M_User!$A$12:$J$67,MATCH(D122,M_User!$D$12:$D$67,0),3),"UNMAPPED")</f>
        <v>UNMAPPED</v>
      </c>
      <c r="H122" s="75" t="str">
        <f>IFERROR(INDEX(M_User!$A$12:$J$67,MATCH(D122,M_User!$D$12:$D$67,0),5),"UNMAPPED")</f>
        <v>UNMAPPED</v>
      </c>
      <c r="I122" s="73" t="s">
        <v>149</v>
      </c>
      <c r="J122" s="73" t="s">
        <v>190</v>
      </c>
      <c r="K122" s="76" t="str">
        <f>IFERROR(INDEX(M_SKU!$A$18:$J$57,MATCH(J122,M_SKU!$B$18:$B$57,0),1),"UNKNOWN SKU")</f>
        <v>Stoney Tangawizi RGB 350ml</v>
      </c>
      <c r="L122" s="73" t="s">
        <v>536</v>
      </c>
      <c r="M122" s="72">
        <v>46172</v>
      </c>
      <c r="N122" s="72">
        <v>46353</v>
      </c>
      <c r="O122" s="77">
        <v>5</v>
      </c>
      <c r="P122" s="78" t="s">
        <v>521</v>
      </c>
      <c r="Q122" s="79"/>
      <c r="R122" s="80"/>
      <c r="S122" s="81"/>
      <c r="T122" s="81"/>
      <c r="U122" s="82" t="str">
        <f t="shared" si="1"/>
        <v>MOS100801|FG007|CK3-33404</v>
      </c>
    </row>
    <row r="123" spans="1:21" ht="15" customHeight="1" x14ac:dyDescent="0.3">
      <c r="A123" s="60" t="s">
        <v>561</v>
      </c>
      <c r="B123" s="61">
        <v>166152</v>
      </c>
      <c r="C123" s="62">
        <v>46179</v>
      </c>
      <c r="D123" s="63" t="s">
        <v>562</v>
      </c>
      <c r="E123" s="64" t="s">
        <v>563</v>
      </c>
      <c r="F123" s="65" t="str">
        <f>IFERROR(INDEX(M_User!$A$12:$J$67,MATCH(D123,M_User!$D$12:$D$67,0),1),"UNMAPPED")</f>
        <v>UNMAPPED</v>
      </c>
      <c r="G123" s="66" t="str">
        <f>IFERROR(INDEX(M_User!$A$12:$J$67,MATCH(D123,M_User!$D$12:$D$67,0),3),"UNMAPPED")</f>
        <v>UNMAPPED</v>
      </c>
      <c r="H123" s="65" t="str">
        <f>IFERROR(INDEX(M_User!$A$12:$J$67,MATCH(D123,M_User!$D$12:$D$67,0),5),"UNMAPPED")</f>
        <v>UNMAPPED</v>
      </c>
      <c r="I123" s="63" t="s">
        <v>149</v>
      </c>
      <c r="J123" s="63" t="s">
        <v>193</v>
      </c>
      <c r="K123" s="66" t="str">
        <f>IFERROR(INDEX(M_SKU!$A$18:$J$57,MATCH(J123,M_SKU!$B$18:$B$57,0),1),"UNKNOWN SKU")</f>
        <v>Sparletta Pinenut RGB 350ml</v>
      </c>
      <c r="L123" s="63" t="s">
        <v>537</v>
      </c>
      <c r="M123" s="62">
        <v>46158</v>
      </c>
      <c r="N123" s="62">
        <v>46522</v>
      </c>
      <c r="O123" s="67">
        <v>5</v>
      </c>
      <c r="P123" s="68" t="s">
        <v>521</v>
      </c>
      <c r="Q123" s="63"/>
      <c r="R123" s="62"/>
      <c r="S123" s="69"/>
      <c r="T123" s="69"/>
      <c r="U123" s="66" t="str">
        <f t="shared" si="1"/>
        <v>MOS100801|FG008|CK3-33365</v>
      </c>
    </row>
    <row r="124" spans="1:21" ht="15" customHeight="1" x14ac:dyDescent="0.3">
      <c r="A124" s="70" t="s">
        <v>561</v>
      </c>
      <c r="B124" s="71">
        <v>166152</v>
      </c>
      <c r="C124" s="72">
        <v>46179</v>
      </c>
      <c r="D124" s="73" t="s">
        <v>562</v>
      </c>
      <c r="E124" s="74" t="s">
        <v>563</v>
      </c>
      <c r="F124" s="75" t="str">
        <f>IFERROR(INDEX(M_User!$A$12:$J$67,MATCH(D124,M_User!$D$12:$D$67,0),1),"UNMAPPED")</f>
        <v>UNMAPPED</v>
      </c>
      <c r="G124" s="76" t="str">
        <f>IFERROR(INDEX(M_User!$A$12:$J$67,MATCH(D124,M_User!$D$12:$D$67,0),3),"UNMAPPED")</f>
        <v>UNMAPPED</v>
      </c>
      <c r="H124" s="75" t="str">
        <f>IFERROR(INDEX(M_User!$A$12:$J$67,MATCH(D124,M_User!$D$12:$D$67,0),5),"UNMAPPED")</f>
        <v>UNMAPPED</v>
      </c>
      <c r="I124" s="73" t="s">
        <v>149</v>
      </c>
      <c r="J124" s="73" t="s">
        <v>196</v>
      </c>
      <c r="K124" s="76" t="str">
        <f>IFERROR(INDEX(M_SKU!$A$18:$J$57,MATCH(J124,M_SKU!$B$18:$B$57,0),1),"UNKNOWN SKU")</f>
        <v>Krest Bitter Lemon RGB 300ml</v>
      </c>
      <c r="L124" s="73" t="s">
        <v>538</v>
      </c>
      <c r="M124" s="72">
        <v>46154</v>
      </c>
      <c r="N124" s="72">
        <v>46518</v>
      </c>
      <c r="O124" s="77">
        <v>3</v>
      </c>
      <c r="P124" s="78" t="s">
        <v>521</v>
      </c>
      <c r="Q124" s="79"/>
      <c r="R124" s="80"/>
      <c r="S124" s="81"/>
      <c r="T124" s="81"/>
      <c r="U124" s="82" t="str">
        <f t="shared" si="1"/>
        <v>MOS100801|FG009|CK3-33348</v>
      </c>
    </row>
    <row r="125" spans="1:21" ht="15" customHeight="1" x14ac:dyDescent="0.3">
      <c r="A125" s="60" t="s">
        <v>561</v>
      </c>
      <c r="B125" s="61">
        <v>166152</v>
      </c>
      <c r="C125" s="62">
        <v>46179</v>
      </c>
      <c r="D125" s="63" t="s">
        <v>562</v>
      </c>
      <c r="E125" s="64" t="s">
        <v>563</v>
      </c>
      <c r="F125" s="65" t="str">
        <f>IFERROR(INDEX(M_User!$A$12:$J$67,MATCH(D125,M_User!$D$12:$D$67,0),1),"UNMAPPED")</f>
        <v>UNMAPPED</v>
      </c>
      <c r="G125" s="66" t="str">
        <f>IFERROR(INDEX(M_User!$A$12:$J$67,MATCH(D125,M_User!$D$12:$D$67,0),3),"UNMAPPED")</f>
        <v>UNMAPPED</v>
      </c>
      <c r="H125" s="65" t="str">
        <f>IFERROR(INDEX(M_User!$A$12:$J$67,MATCH(D125,M_User!$D$12:$D$67,0),5),"UNMAPPED")</f>
        <v>UNMAPPED</v>
      </c>
      <c r="I125" s="63" t="s">
        <v>149</v>
      </c>
      <c r="J125" s="63" t="s">
        <v>199</v>
      </c>
      <c r="K125" s="66" t="str">
        <f>IFERROR(INDEX(M_SKU!$A$18:$J$57,MATCH(J125,M_SKU!$B$18:$B$57,0),1),"UNKNOWN SKU")</f>
        <v>Krest Club Soda RGB 300ml</v>
      </c>
      <c r="L125" s="63" t="s">
        <v>539</v>
      </c>
      <c r="M125" s="62">
        <v>46140</v>
      </c>
      <c r="N125" s="62">
        <v>46504</v>
      </c>
      <c r="O125" s="67">
        <v>3</v>
      </c>
      <c r="P125" s="68" t="s">
        <v>521</v>
      </c>
      <c r="Q125" s="63"/>
      <c r="R125" s="62"/>
      <c r="S125" s="69"/>
      <c r="T125" s="69"/>
      <c r="U125" s="66" t="str">
        <f t="shared" si="1"/>
        <v>MOS100801|FG010|CK3-33301</v>
      </c>
    </row>
    <row r="126" spans="1:21" ht="15" customHeight="1" x14ac:dyDescent="0.3">
      <c r="A126" s="70" t="s">
        <v>561</v>
      </c>
      <c r="B126" s="71">
        <v>166152</v>
      </c>
      <c r="C126" s="72">
        <v>46179</v>
      </c>
      <c r="D126" s="73" t="s">
        <v>562</v>
      </c>
      <c r="E126" s="74" t="s">
        <v>563</v>
      </c>
      <c r="F126" s="75" t="str">
        <f>IFERROR(INDEX(M_User!$A$12:$J$67,MATCH(D126,M_User!$D$12:$D$67,0),1),"UNMAPPED")</f>
        <v>UNMAPPED</v>
      </c>
      <c r="G126" s="76" t="str">
        <f>IFERROR(INDEX(M_User!$A$12:$J$67,MATCH(D126,M_User!$D$12:$D$67,0),3),"UNMAPPED")</f>
        <v>UNMAPPED</v>
      </c>
      <c r="H126" s="75" t="str">
        <f>IFERROR(INDEX(M_User!$A$12:$J$67,MATCH(D126,M_User!$D$12:$D$67,0),5),"UNMAPPED")</f>
        <v>UNMAPPED</v>
      </c>
      <c r="I126" s="73" t="s">
        <v>149</v>
      </c>
      <c r="J126" s="73" t="s">
        <v>201</v>
      </c>
      <c r="K126" s="76" t="str">
        <f>IFERROR(INDEX(M_SKU!$A$18:$J$57,MATCH(J126,M_SKU!$B$18:$B$57,0),1),"UNKNOWN SKU")</f>
        <v>Krest Tonic Water RGB 300ml</v>
      </c>
      <c r="L126" s="73" t="s">
        <v>540</v>
      </c>
      <c r="M126" s="72">
        <v>46154</v>
      </c>
      <c r="N126" s="72">
        <v>46518</v>
      </c>
      <c r="O126" s="77">
        <v>3</v>
      </c>
      <c r="P126" s="78" t="s">
        <v>521</v>
      </c>
      <c r="Q126" s="79"/>
      <c r="R126" s="80"/>
      <c r="S126" s="81"/>
      <c r="T126" s="81"/>
      <c r="U126" s="82" t="str">
        <f t="shared" si="1"/>
        <v>MOS100801|FG011|CK3-33347</v>
      </c>
    </row>
    <row r="127" spans="1:21" ht="15" customHeight="1" x14ac:dyDescent="0.3">
      <c r="A127" s="60" t="s">
        <v>561</v>
      </c>
      <c r="B127" s="61">
        <v>166152</v>
      </c>
      <c r="C127" s="62">
        <v>46179</v>
      </c>
      <c r="D127" s="63" t="s">
        <v>562</v>
      </c>
      <c r="E127" s="64" t="s">
        <v>563</v>
      </c>
      <c r="F127" s="65" t="str">
        <f>IFERROR(INDEX(M_User!$A$12:$J$67,MATCH(D127,M_User!$D$12:$D$67,0),1),"UNMAPPED")</f>
        <v>UNMAPPED</v>
      </c>
      <c r="G127" s="66" t="str">
        <f>IFERROR(INDEX(M_User!$A$12:$J$67,MATCH(D127,M_User!$D$12:$D$67,0),3),"UNMAPPED")</f>
        <v>UNMAPPED</v>
      </c>
      <c r="H127" s="65" t="str">
        <f>IFERROR(INDEX(M_User!$A$12:$J$67,MATCH(D127,M_User!$D$12:$D$67,0),5),"UNMAPPED")</f>
        <v>UNMAPPED</v>
      </c>
      <c r="I127" s="63" t="s">
        <v>149</v>
      </c>
      <c r="J127" s="63" t="s">
        <v>203</v>
      </c>
      <c r="K127" s="66" t="str">
        <f>IFERROR(INDEX(M_SKU!$A$18:$J$57,MATCH(J127,M_SKU!$B$18:$B$57,0),1),"UNKNOWN SKU")</f>
        <v>Krest Ginger Ale RGB 300ml</v>
      </c>
      <c r="L127" s="63" t="s">
        <v>541</v>
      </c>
      <c r="M127" s="62">
        <v>46088</v>
      </c>
      <c r="N127" s="62">
        <v>46452</v>
      </c>
      <c r="O127" s="67">
        <v>3</v>
      </c>
      <c r="P127" s="68" t="s">
        <v>521</v>
      </c>
      <c r="Q127" s="63"/>
      <c r="R127" s="62"/>
      <c r="S127" s="69"/>
      <c r="T127" s="69"/>
      <c r="U127" s="66" t="str">
        <f t="shared" si="1"/>
        <v>MOS100801|FG012|CK3-33126</v>
      </c>
    </row>
    <row r="128" spans="1:21" ht="15" customHeight="1" x14ac:dyDescent="0.3">
      <c r="A128" s="70" t="s">
        <v>561</v>
      </c>
      <c r="B128" s="71">
        <v>166152</v>
      </c>
      <c r="C128" s="72">
        <v>46179</v>
      </c>
      <c r="D128" s="73" t="s">
        <v>562</v>
      </c>
      <c r="E128" s="74" t="s">
        <v>563</v>
      </c>
      <c r="F128" s="75" t="str">
        <f>IFERROR(INDEX(M_User!$A$12:$J$67,MATCH(D128,M_User!$D$12:$D$67,0),1),"UNMAPPED")</f>
        <v>UNMAPPED</v>
      </c>
      <c r="G128" s="76" t="str">
        <f>IFERROR(INDEX(M_User!$A$12:$J$67,MATCH(D128,M_User!$D$12:$D$67,0),3),"UNMAPPED")</f>
        <v>UNMAPPED</v>
      </c>
      <c r="H128" s="75" t="str">
        <f>IFERROR(INDEX(M_User!$A$12:$J$67,MATCH(D128,M_User!$D$12:$D$67,0),5),"UNMAPPED")</f>
        <v>UNMAPPED</v>
      </c>
      <c r="I128" s="73" t="s">
        <v>149</v>
      </c>
      <c r="J128" s="73" t="s">
        <v>209</v>
      </c>
      <c r="K128" s="76" t="str">
        <f>IFERROR(INDEX(M_SKU!$A$18:$J$57,MATCH(J128,M_SKU!$B$18:$B$57,0),1),"UNKNOWN SKU")</f>
        <v>Sparletta Red Apple RGB 350ml</v>
      </c>
      <c r="L128" s="73" t="s">
        <v>542</v>
      </c>
      <c r="M128" s="72">
        <v>46010</v>
      </c>
      <c r="N128" s="72">
        <v>46374</v>
      </c>
      <c r="O128" s="77">
        <v>2</v>
      </c>
      <c r="P128" s="78" t="s">
        <v>521</v>
      </c>
      <c r="Q128" s="79"/>
      <c r="R128" s="80"/>
      <c r="S128" s="81"/>
      <c r="T128" s="81"/>
      <c r="U128" s="82" t="str">
        <f t="shared" si="1"/>
        <v>MOS100801|FG024|CK3-32758</v>
      </c>
    </row>
    <row r="129" spans="1:21" ht="15" customHeight="1" x14ac:dyDescent="0.3">
      <c r="A129" s="60" t="s">
        <v>561</v>
      </c>
      <c r="B129" s="61">
        <v>166152</v>
      </c>
      <c r="C129" s="62">
        <v>46179</v>
      </c>
      <c r="D129" s="63" t="s">
        <v>562</v>
      </c>
      <c r="E129" s="64" t="s">
        <v>563</v>
      </c>
      <c r="F129" s="65" t="str">
        <f>IFERROR(INDEX(M_User!$A$12:$J$67,MATCH(D129,M_User!$D$12:$D$67,0),1),"UNMAPPED")</f>
        <v>UNMAPPED</v>
      </c>
      <c r="G129" s="66" t="str">
        <f>IFERROR(INDEX(M_User!$A$12:$J$67,MATCH(D129,M_User!$D$12:$D$67,0),3),"UNMAPPED")</f>
        <v>UNMAPPED</v>
      </c>
      <c r="H129" s="65" t="str">
        <f>IFERROR(INDEX(M_User!$A$12:$J$67,MATCH(D129,M_User!$D$12:$D$67,0),5),"UNMAPPED")</f>
        <v>UNMAPPED</v>
      </c>
      <c r="I129" s="63" t="s">
        <v>149</v>
      </c>
      <c r="J129" s="63" t="s">
        <v>211</v>
      </c>
      <c r="K129" s="66" t="str">
        <f>IFERROR(INDEX(M_SKU!$A$18:$J$57,MATCH(J129,M_SKU!$B$18:$B$57,0),1),"UNKNOWN SKU")</f>
        <v>KNMW 500ml</v>
      </c>
      <c r="L129" s="63" t="s">
        <v>543</v>
      </c>
      <c r="M129" s="62">
        <v>46177</v>
      </c>
      <c r="N129" s="62">
        <v>46541</v>
      </c>
      <c r="O129" s="67">
        <v>50</v>
      </c>
      <c r="P129" s="68" t="s">
        <v>521</v>
      </c>
      <c r="Q129" s="63"/>
      <c r="R129" s="62"/>
      <c r="S129" s="69"/>
      <c r="T129" s="69"/>
      <c r="U129" s="66" t="str">
        <f t="shared" si="1"/>
        <v>MOS100801|KD001|CK6-986</v>
      </c>
    </row>
    <row r="130" spans="1:21" ht="15" customHeight="1" x14ac:dyDescent="0.3">
      <c r="A130" s="70" t="s">
        <v>561</v>
      </c>
      <c r="B130" s="71">
        <v>166152</v>
      </c>
      <c r="C130" s="72">
        <v>46179</v>
      </c>
      <c r="D130" s="73" t="s">
        <v>562</v>
      </c>
      <c r="E130" s="74" t="s">
        <v>563</v>
      </c>
      <c r="F130" s="75" t="str">
        <f>IFERROR(INDEX(M_User!$A$12:$J$67,MATCH(D130,M_User!$D$12:$D$67,0),1),"UNMAPPED")</f>
        <v>UNMAPPED</v>
      </c>
      <c r="G130" s="76" t="str">
        <f>IFERROR(INDEX(M_User!$A$12:$J$67,MATCH(D130,M_User!$D$12:$D$67,0),3),"UNMAPPED")</f>
        <v>UNMAPPED</v>
      </c>
      <c r="H130" s="75" t="str">
        <f>IFERROR(INDEX(M_User!$A$12:$J$67,MATCH(D130,M_User!$D$12:$D$67,0),5),"UNMAPPED")</f>
        <v>UNMAPPED</v>
      </c>
      <c r="I130" s="73" t="s">
        <v>149</v>
      </c>
      <c r="J130" s="73" t="s">
        <v>217</v>
      </c>
      <c r="K130" s="76" t="str">
        <f>IFERROR(INDEX(M_SKU!$A$18:$J$57,MATCH(J130,M_SKU!$B$18:$B$57,0),1),"UNKNOWN SKU")</f>
        <v>KNMW 1500ml</v>
      </c>
      <c r="L130" s="73" t="s">
        <v>551</v>
      </c>
      <c r="M130" s="72">
        <v>46177</v>
      </c>
      <c r="N130" s="72">
        <v>46541</v>
      </c>
      <c r="O130" s="77">
        <v>90</v>
      </c>
      <c r="P130" s="78" t="s">
        <v>521</v>
      </c>
      <c r="Q130" s="79"/>
      <c r="R130" s="80"/>
      <c r="S130" s="81"/>
      <c r="T130" s="81"/>
      <c r="U130" s="82" t="str">
        <f t="shared" si="1"/>
        <v>MOS100801|KD003|CK4-842</v>
      </c>
    </row>
    <row r="131" spans="1:21" ht="15" customHeight="1" x14ac:dyDescent="0.3">
      <c r="A131" s="60" t="s">
        <v>561</v>
      </c>
      <c r="B131" s="61">
        <v>166152</v>
      </c>
      <c r="C131" s="62">
        <v>46179</v>
      </c>
      <c r="D131" s="63" t="s">
        <v>562</v>
      </c>
      <c r="E131" s="64" t="s">
        <v>563</v>
      </c>
      <c r="F131" s="65" t="str">
        <f>IFERROR(INDEX(M_User!$A$12:$J$67,MATCH(D131,M_User!$D$12:$D$67,0),1),"UNMAPPED")</f>
        <v>UNMAPPED</v>
      </c>
      <c r="G131" s="66" t="str">
        <f>IFERROR(INDEX(M_User!$A$12:$J$67,MATCH(D131,M_User!$D$12:$D$67,0),3),"UNMAPPED")</f>
        <v>UNMAPPED</v>
      </c>
      <c r="H131" s="65" t="str">
        <f>IFERROR(INDEX(M_User!$A$12:$J$67,MATCH(D131,M_User!$D$12:$D$67,0),5),"UNMAPPED")</f>
        <v>UNMAPPED</v>
      </c>
      <c r="I131" s="63" t="s">
        <v>149</v>
      </c>
      <c r="J131" s="63" t="s">
        <v>229</v>
      </c>
      <c r="K131" s="66" t="str">
        <f>IFERROR(INDEX(M_SKU!$A$18:$J$57,MATCH(J131,M_SKU!$B$18:$B$57,0),1),"UNKNOWN SKU")</f>
        <v>Coke Pet 500ML ( x12)</v>
      </c>
      <c r="L131" s="63" t="s">
        <v>520</v>
      </c>
      <c r="M131" s="62">
        <v>46177</v>
      </c>
      <c r="N131" s="62">
        <v>46288</v>
      </c>
      <c r="O131" s="67">
        <v>20</v>
      </c>
      <c r="P131" s="68" t="s">
        <v>521</v>
      </c>
      <c r="Q131" s="63"/>
      <c r="R131" s="62"/>
      <c r="S131" s="69"/>
      <c r="T131" s="69"/>
      <c r="U131" s="66" t="str">
        <f t="shared" si="1"/>
        <v>MOS100801|PH001|CK6-33411</v>
      </c>
    </row>
    <row r="132" spans="1:21" ht="15" customHeight="1" x14ac:dyDescent="0.3">
      <c r="A132" s="70" t="s">
        <v>561</v>
      </c>
      <c r="B132" s="71">
        <v>166152</v>
      </c>
      <c r="C132" s="72">
        <v>46179</v>
      </c>
      <c r="D132" s="73" t="s">
        <v>562</v>
      </c>
      <c r="E132" s="74" t="s">
        <v>563</v>
      </c>
      <c r="F132" s="75" t="str">
        <f>IFERROR(INDEX(M_User!$A$12:$J$67,MATCH(D132,M_User!$D$12:$D$67,0),1),"UNMAPPED")</f>
        <v>UNMAPPED</v>
      </c>
      <c r="G132" s="76" t="str">
        <f>IFERROR(INDEX(M_User!$A$12:$J$67,MATCH(D132,M_User!$D$12:$D$67,0),3),"UNMAPPED")</f>
        <v>UNMAPPED</v>
      </c>
      <c r="H132" s="75" t="str">
        <f>IFERROR(INDEX(M_User!$A$12:$J$67,MATCH(D132,M_User!$D$12:$D$67,0),5),"UNMAPPED")</f>
        <v>UNMAPPED</v>
      </c>
      <c r="I132" s="73" t="s">
        <v>149</v>
      </c>
      <c r="J132" s="73" t="s">
        <v>232</v>
      </c>
      <c r="K132" s="76" t="str">
        <f>IFERROR(INDEX(M_SKU!$A$18:$J$57,MATCH(J132,M_SKU!$B$18:$B$57,0),1),"UNKNOWN SKU")</f>
        <v>Sprite Pet 500ML (x 12)</v>
      </c>
      <c r="L132" s="73" t="s">
        <v>522</v>
      </c>
      <c r="M132" s="72">
        <v>46158</v>
      </c>
      <c r="N132" s="72">
        <v>46269</v>
      </c>
      <c r="O132" s="77">
        <v>10</v>
      </c>
      <c r="P132" s="78" t="s">
        <v>521</v>
      </c>
      <c r="Q132" s="79"/>
      <c r="R132" s="80"/>
      <c r="S132" s="81"/>
      <c r="T132" s="81"/>
      <c r="U132" s="82" t="str">
        <f t="shared" si="1"/>
        <v>MOS100801|PH002|CK6-33362</v>
      </c>
    </row>
    <row r="133" spans="1:21" ht="15" customHeight="1" x14ac:dyDescent="0.3">
      <c r="A133" s="60" t="s">
        <v>561</v>
      </c>
      <c r="B133" s="61">
        <v>166152</v>
      </c>
      <c r="C133" s="62">
        <v>46179</v>
      </c>
      <c r="D133" s="63" t="s">
        <v>562</v>
      </c>
      <c r="E133" s="64" t="s">
        <v>563</v>
      </c>
      <c r="F133" s="65" t="str">
        <f>IFERROR(INDEX(M_User!$A$12:$J$67,MATCH(D133,M_User!$D$12:$D$67,0),1),"UNMAPPED")</f>
        <v>UNMAPPED</v>
      </c>
      <c r="G133" s="66" t="str">
        <f>IFERROR(INDEX(M_User!$A$12:$J$67,MATCH(D133,M_User!$D$12:$D$67,0),3),"UNMAPPED")</f>
        <v>UNMAPPED</v>
      </c>
      <c r="H133" s="65" t="str">
        <f>IFERROR(INDEX(M_User!$A$12:$J$67,MATCH(D133,M_User!$D$12:$D$67,0),5),"UNMAPPED")</f>
        <v>UNMAPPED</v>
      </c>
      <c r="I133" s="63" t="s">
        <v>149</v>
      </c>
      <c r="J133" s="63" t="s">
        <v>234</v>
      </c>
      <c r="K133" s="66" t="str">
        <f>IFERROR(INDEX(M_SKU!$A$18:$J$57,MATCH(J133,M_SKU!$B$18:$B$57,0),1),"UNKNOWN SKU")</f>
        <v>Fanta Orange Pet 500ML ( x 12)</v>
      </c>
      <c r="L133" s="63" t="s">
        <v>523</v>
      </c>
      <c r="M133" s="62">
        <v>46172</v>
      </c>
      <c r="N133" s="62">
        <v>46283</v>
      </c>
      <c r="O133" s="67">
        <v>10</v>
      </c>
      <c r="P133" s="68" t="s">
        <v>521</v>
      </c>
      <c r="Q133" s="63"/>
      <c r="R133" s="62"/>
      <c r="S133" s="69"/>
      <c r="T133" s="69"/>
      <c r="U133" s="66" t="str">
        <f t="shared" si="1"/>
        <v>MOS100801|PH003|CK6-33405</v>
      </c>
    </row>
    <row r="134" spans="1:21" ht="15" customHeight="1" x14ac:dyDescent="0.3">
      <c r="A134" s="70" t="s">
        <v>561</v>
      </c>
      <c r="B134" s="71">
        <v>166152</v>
      </c>
      <c r="C134" s="72">
        <v>46179</v>
      </c>
      <c r="D134" s="73" t="s">
        <v>562</v>
      </c>
      <c r="E134" s="74" t="s">
        <v>563</v>
      </c>
      <c r="F134" s="75" t="str">
        <f>IFERROR(INDEX(M_User!$A$12:$J$67,MATCH(D134,M_User!$D$12:$D$67,0),1),"UNMAPPED")</f>
        <v>UNMAPPED</v>
      </c>
      <c r="G134" s="76" t="str">
        <f>IFERROR(INDEX(M_User!$A$12:$J$67,MATCH(D134,M_User!$D$12:$D$67,0),3),"UNMAPPED")</f>
        <v>UNMAPPED</v>
      </c>
      <c r="H134" s="75" t="str">
        <f>IFERROR(INDEX(M_User!$A$12:$J$67,MATCH(D134,M_User!$D$12:$D$67,0),5),"UNMAPPED")</f>
        <v>UNMAPPED</v>
      </c>
      <c r="I134" s="73" t="s">
        <v>149</v>
      </c>
      <c r="J134" s="73" t="s">
        <v>236</v>
      </c>
      <c r="K134" s="76" t="str">
        <f>IFERROR(INDEX(M_SKU!$A$18:$J$57,MATCH(J134,M_SKU!$B$18:$B$57,0),1),"UNKNOWN SKU")</f>
        <v>Fanta Passion Pet 500ML ( x12)</v>
      </c>
      <c r="L134" s="73" t="s">
        <v>524</v>
      </c>
      <c r="M134" s="72">
        <v>46151</v>
      </c>
      <c r="N134" s="72">
        <v>46262</v>
      </c>
      <c r="O134" s="77">
        <v>10</v>
      </c>
      <c r="P134" s="78" t="s">
        <v>521</v>
      </c>
      <c r="Q134" s="79"/>
      <c r="R134" s="80"/>
      <c r="S134" s="81"/>
      <c r="T134" s="81"/>
      <c r="U134" s="82" t="str">
        <f t="shared" si="1"/>
        <v>MOS100801|PH004|CK5-33334</v>
      </c>
    </row>
    <row r="135" spans="1:21" ht="15" customHeight="1" x14ac:dyDescent="0.3">
      <c r="A135" s="60" t="s">
        <v>561</v>
      </c>
      <c r="B135" s="61">
        <v>166152</v>
      </c>
      <c r="C135" s="62">
        <v>46179</v>
      </c>
      <c r="D135" s="63" t="s">
        <v>562</v>
      </c>
      <c r="E135" s="64" t="s">
        <v>563</v>
      </c>
      <c r="F135" s="65" t="str">
        <f>IFERROR(INDEX(M_User!$A$12:$J$67,MATCH(D135,M_User!$D$12:$D$67,0),1),"UNMAPPED")</f>
        <v>UNMAPPED</v>
      </c>
      <c r="G135" s="66" t="str">
        <f>IFERROR(INDEX(M_User!$A$12:$J$67,MATCH(D135,M_User!$D$12:$D$67,0),3),"UNMAPPED")</f>
        <v>UNMAPPED</v>
      </c>
      <c r="H135" s="65" t="str">
        <f>IFERROR(INDEX(M_User!$A$12:$J$67,MATCH(D135,M_User!$D$12:$D$67,0),5),"UNMAPPED")</f>
        <v>UNMAPPED</v>
      </c>
      <c r="I135" s="63" t="s">
        <v>149</v>
      </c>
      <c r="J135" s="63" t="s">
        <v>242</v>
      </c>
      <c r="K135" s="66" t="str">
        <f>IFERROR(INDEX(M_SKU!$A$18:$J$57,MATCH(J135,M_SKU!$B$18:$B$57,0),1),"UNKNOWN SKU")</f>
        <v>Stoney Tangawizi Pet 500 ml ( x12)</v>
      </c>
      <c r="L135" s="63" t="s">
        <v>525</v>
      </c>
      <c r="M135" s="62">
        <v>46161</v>
      </c>
      <c r="N135" s="62">
        <v>46272</v>
      </c>
      <c r="O135" s="67">
        <v>5</v>
      </c>
      <c r="P135" s="68" t="s">
        <v>521</v>
      </c>
      <c r="Q135" s="63"/>
      <c r="R135" s="62"/>
      <c r="S135" s="69"/>
      <c r="T135" s="69"/>
      <c r="U135" s="66" t="str">
        <f t="shared" si="1"/>
        <v>MOS100801|PH007|CK6-33375</v>
      </c>
    </row>
    <row r="136" spans="1:21" ht="15" customHeight="1" x14ac:dyDescent="0.3">
      <c r="A136" s="70" t="s">
        <v>561</v>
      </c>
      <c r="B136" s="71">
        <v>166152</v>
      </c>
      <c r="C136" s="72">
        <v>46179</v>
      </c>
      <c r="D136" s="73" t="s">
        <v>562</v>
      </c>
      <c r="E136" s="74" t="s">
        <v>563</v>
      </c>
      <c r="F136" s="75" t="str">
        <f>IFERROR(INDEX(M_User!$A$12:$J$67,MATCH(D136,M_User!$D$12:$D$67,0),1),"UNMAPPED")</f>
        <v>UNMAPPED</v>
      </c>
      <c r="G136" s="76" t="str">
        <f>IFERROR(INDEX(M_User!$A$12:$J$67,MATCH(D136,M_User!$D$12:$D$67,0),3),"UNMAPPED")</f>
        <v>UNMAPPED</v>
      </c>
      <c r="H136" s="75" t="str">
        <f>IFERROR(INDEX(M_User!$A$12:$J$67,MATCH(D136,M_User!$D$12:$D$67,0),5),"UNMAPPED")</f>
        <v>UNMAPPED</v>
      </c>
      <c r="I136" s="73" t="s">
        <v>149</v>
      </c>
      <c r="J136" s="73" t="s">
        <v>244</v>
      </c>
      <c r="K136" s="76" t="str">
        <f>IFERROR(INDEX(M_SKU!$A$18:$J$57,MATCH(J136,M_SKU!$B$18:$B$57,0),1),"UNKNOWN SKU")</f>
        <v>Sparletta Pinenut Pet 500 ml ( x12)</v>
      </c>
      <c r="L136" s="73" t="s">
        <v>526</v>
      </c>
      <c r="M136" s="72">
        <v>46161</v>
      </c>
      <c r="N136" s="72">
        <v>46272</v>
      </c>
      <c r="O136" s="77">
        <v>5</v>
      </c>
      <c r="P136" s="78" t="s">
        <v>521</v>
      </c>
      <c r="Q136" s="79"/>
      <c r="R136" s="80"/>
      <c r="S136" s="81"/>
      <c r="T136" s="81"/>
      <c r="U136" s="82" t="str">
        <f t="shared" si="1"/>
        <v>MOS100801|PH008|CK5-33370</v>
      </c>
    </row>
    <row r="137" spans="1:21" ht="15" customHeight="1" x14ac:dyDescent="0.3">
      <c r="A137" s="60" t="s">
        <v>561</v>
      </c>
      <c r="B137" s="61">
        <v>166152</v>
      </c>
      <c r="C137" s="62">
        <v>46179</v>
      </c>
      <c r="D137" s="63" t="s">
        <v>562</v>
      </c>
      <c r="E137" s="64" t="s">
        <v>563</v>
      </c>
      <c r="F137" s="65" t="str">
        <f>IFERROR(INDEX(M_User!$A$12:$J$67,MATCH(D137,M_User!$D$12:$D$67,0),1),"UNMAPPED")</f>
        <v>UNMAPPED</v>
      </c>
      <c r="G137" s="66" t="str">
        <f>IFERROR(INDEX(M_User!$A$12:$J$67,MATCH(D137,M_User!$D$12:$D$67,0),3),"UNMAPPED")</f>
        <v>UNMAPPED</v>
      </c>
      <c r="H137" s="65" t="str">
        <f>IFERROR(INDEX(M_User!$A$12:$J$67,MATCH(D137,M_User!$D$12:$D$67,0),5),"UNMAPPED")</f>
        <v>UNMAPPED</v>
      </c>
      <c r="I137" s="63" t="s">
        <v>149</v>
      </c>
      <c r="J137" s="63" t="s">
        <v>252</v>
      </c>
      <c r="K137" s="66" t="str">
        <f>IFERROR(INDEX(M_SKU!$A$18:$J$57,MATCH(J137,M_SKU!$B$18:$B$57,0),1),"UNKNOWN SKU")</f>
        <v>Sprite Zero Pet 300ML (x 12)</v>
      </c>
      <c r="L137" s="63" t="s">
        <v>545</v>
      </c>
      <c r="M137" s="62">
        <v>46158</v>
      </c>
      <c r="N137" s="62">
        <v>46241</v>
      </c>
      <c r="O137" s="67">
        <v>5</v>
      </c>
      <c r="P137" s="68" t="s">
        <v>521</v>
      </c>
      <c r="Q137" s="63"/>
      <c r="R137" s="62"/>
      <c r="S137" s="69"/>
      <c r="T137" s="69"/>
      <c r="U137" s="66" t="str">
        <f t="shared" ref="U137:U200" si="2">D137 &amp; "|" &amp; J137 &amp; "|" &amp; L137</f>
        <v>MOS100801|PO010|CK5-33360</v>
      </c>
    </row>
    <row r="138" spans="1:21" ht="15" customHeight="1" x14ac:dyDescent="0.3">
      <c r="A138" s="70" t="s">
        <v>561</v>
      </c>
      <c r="B138" s="71">
        <v>166152</v>
      </c>
      <c r="C138" s="72">
        <v>46179</v>
      </c>
      <c r="D138" s="73" t="s">
        <v>562</v>
      </c>
      <c r="E138" s="74" t="s">
        <v>563</v>
      </c>
      <c r="F138" s="75" t="str">
        <f>IFERROR(INDEX(M_User!$A$12:$J$67,MATCH(D138,M_User!$D$12:$D$67,0),1),"UNMAPPED")</f>
        <v>UNMAPPED</v>
      </c>
      <c r="G138" s="76" t="str">
        <f>IFERROR(INDEX(M_User!$A$12:$J$67,MATCH(D138,M_User!$D$12:$D$67,0),3),"UNMAPPED")</f>
        <v>UNMAPPED</v>
      </c>
      <c r="H138" s="75" t="str">
        <f>IFERROR(INDEX(M_User!$A$12:$J$67,MATCH(D138,M_User!$D$12:$D$67,0),5),"UNMAPPED")</f>
        <v>UNMAPPED</v>
      </c>
      <c r="I138" s="73" t="s">
        <v>149</v>
      </c>
      <c r="J138" s="73" t="s">
        <v>256</v>
      </c>
      <c r="K138" s="76" t="str">
        <f>IFERROR(INDEX(M_SKU!$A$18:$J$57,MATCH(J138,M_SKU!$B$18:$B$57,0),1),"UNKNOWN SKU")</f>
        <v>Sparletta Red Apple Pet 300ML(x 12)</v>
      </c>
      <c r="L138" s="73" t="s">
        <v>555</v>
      </c>
      <c r="M138" s="72">
        <v>46159</v>
      </c>
      <c r="N138" s="72">
        <v>46242</v>
      </c>
      <c r="O138" s="77">
        <v>5</v>
      </c>
      <c r="P138" s="78" t="s">
        <v>521</v>
      </c>
      <c r="Q138" s="79"/>
      <c r="R138" s="80"/>
      <c r="S138" s="81"/>
      <c r="T138" s="81"/>
      <c r="U138" s="82" t="str">
        <f t="shared" si="2"/>
        <v>MOS100801|PO013|CK5-33368</v>
      </c>
    </row>
    <row r="139" spans="1:21" ht="15" customHeight="1" x14ac:dyDescent="0.3">
      <c r="A139" s="60" t="s">
        <v>561</v>
      </c>
      <c r="B139" s="61">
        <v>166152</v>
      </c>
      <c r="C139" s="62">
        <v>46179</v>
      </c>
      <c r="D139" s="63" t="s">
        <v>562</v>
      </c>
      <c r="E139" s="64" t="s">
        <v>563</v>
      </c>
      <c r="F139" s="65" t="str">
        <f>IFERROR(INDEX(M_User!$A$12:$J$67,MATCH(D139,M_User!$D$12:$D$67,0),1),"UNMAPPED")</f>
        <v>UNMAPPED</v>
      </c>
      <c r="G139" s="66" t="str">
        <f>IFERROR(INDEX(M_User!$A$12:$J$67,MATCH(D139,M_User!$D$12:$D$67,0),3),"UNMAPPED")</f>
        <v>UNMAPPED</v>
      </c>
      <c r="H139" s="65" t="str">
        <f>IFERROR(INDEX(M_User!$A$12:$J$67,MATCH(D139,M_User!$D$12:$D$67,0),5),"UNMAPPED")</f>
        <v>UNMAPPED</v>
      </c>
      <c r="I139" s="63" t="s">
        <v>149</v>
      </c>
      <c r="J139" s="63" t="s">
        <v>261</v>
      </c>
      <c r="K139" s="66" t="str">
        <f>IFERROR(INDEX(M_SKU!$A$18:$J$57,MATCH(J139,M_SKU!$B$18:$B$57,0),1),"UNKNOWN SKU")</f>
        <v>Sparletta Pine Apple Pet 300ML (x 12)</v>
      </c>
      <c r="L139" s="63" t="s">
        <v>547</v>
      </c>
      <c r="M139" s="62">
        <v>46158</v>
      </c>
      <c r="N139" s="62">
        <v>46241</v>
      </c>
      <c r="O139" s="67">
        <v>5</v>
      </c>
      <c r="P139" s="68" t="s">
        <v>521</v>
      </c>
      <c r="Q139" s="63"/>
      <c r="R139" s="62"/>
      <c r="S139" s="69"/>
      <c r="T139" s="69"/>
      <c r="U139" s="66" t="str">
        <f t="shared" si="2"/>
        <v>MOS100801|PO015|CK5-33366</v>
      </c>
    </row>
    <row r="140" spans="1:21" ht="15" customHeight="1" x14ac:dyDescent="0.3">
      <c r="A140" s="70" t="s">
        <v>564</v>
      </c>
      <c r="B140" s="71">
        <v>166153</v>
      </c>
      <c r="C140" s="72">
        <v>46179</v>
      </c>
      <c r="D140" s="73" t="s">
        <v>370</v>
      </c>
      <c r="E140" s="74" t="s">
        <v>565</v>
      </c>
      <c r="F140" s="75">
        <f>IFERROR(INDEX(M_User!$A$12:$J$67,MATCH(D140,M_User!$D$12:$D$67,0),1),"UNMAPPED")</f>
        <v>63</v>
      </c>
      <c r="G140" s="76" t="str">
        <f>IFERROR(INDEX(M_User!$A$12:$J$67,MATCH(D140,M_User!$D$12:$D$67,0),3),"UNMAPPED")</f>
        <v>Zawadi Jastin Laizer</v>
      </c>
      <c r="H140" s="75" t="str">
        <f>IFERROR(INDEX(M_User!$A$12:$J$67,MATCH(D140,M_User!$D$12:$D$67,0),5),"UNMAPPED")</f>
        <v>MOS</v>
      </c>
      <c r="I140" s="73" t="s">
        <v>149</v>
      </c>
      <c r="J140" s="73" t="s">
        <v>170</v>
      </c>
      <c r="K140" s="76" t="str">
        <f>IFERROR(INDEX(M_SKU!$A$18:$J$57,MATCH(J140,M_SKU!$B$18:$B$57,0),1),"UNKNOWN SKU")</f>
        <v>Coke RGB 350ml</v>
      </c>
      <c r="L140" s="73" t="s">
        <v>530</v>
      </c>
      <c r="M140" s="72">
        <v>46175</v>
      </c>
      <c r="N140" s="72">
        <v>46539</v>
      </c>
      <c r="O140" s="77">
        <v>80</v>
      </c>
      <c r="P140" s="78" t="s">
        <v>521</v>
      </c>
      <c r="Q140" s="79"/>
      <c r="R140" s="80"/>
      <c r="S140" s="81"/>
      <c r="T140" s="81"/>
      <c r="U140" s="82" t="str">
        <f t="shared" si="2"/>
        <v>MOS100744|FG001|CK3-33409</v>
      </c>
    </row>
    <row r="141" spans="1:21" ht="15" customHeight="1" x14ac:dyDescent="0.3">
      <c r="A141" s="60" t="s">
        <v>564</v>
      </c>
      <c r="B141" s="61">
        <v>166153</v>
      </c>
      <c r="C141" s="62">
        <v>46179</v>
      </c>
      <c r="D141" s="63" t="s">
        <v>370</v>
      </c>
      <c r="E141" s="64" t="s">
        <v>565</v>
      </c>
      <c r="F141" s="65">
        <f>IFERROR(INDEX(M_User!$A$12:$J$67,MATCH(D141,M_User!$D$12:$D$67,0),1),"UNMAPPED")</f>
        <v>63</v>
      </c>
      <c r="G141" s="66" t="str">
        <f>IFERROR(INDEX(M_User!$A$12:$J$67,MATCH(D141,M_User!$D$12:$D$67,0),3),"UNMAPPED")</f>
        <v>Zawadi Jastin Laizer</v>
      </c>
      <c r="H141" s="65" t="str">
        <f>IFERROR(INDEX(M_User!$A$12:$J$67,MATCH(D141,M_User!$D$12:$D$67,0),5),"UNMAPPED")</f>
        <v>MOS</v>
      </c>
      <c r="I141" s="63" t="s">
        <v>149</v>
      </c>
      <c r="J141" s="63" t="s">
        <v>178</v>
      </c>
      <c r="K141" s="66" t="str">
        <f>IFERROR(INDEX(M_SKU!$A$18:$J$57,MATCH(J141,M_SKU!$B$18:$B$57,0),1),"UNKNOWN SKU")</f>
        <v>Fanta Orange RGB 350ml</v>
      </c>
      <c r="L141" s="63" t="s">
        <v>531</v>
      </c>
      <c r="M141" s="62">
        <v>46174</v>
      </c>
      <c r="N141" s="62">
        <v>46538</v>
      </c>
      <c r="O141" s="67">
        <v>35</v>
      </c>
      <c r="P141" s="68" t="s">
        <v>521</v>
      </c>
      <c r="Q141" s="63"/>
      <c r="R141" s="62"/>
      <c r="S141" s="69"/>
      <c r="T141" s="69"/>
      <c r="U141" s="66" t="str">
        <f t="shared" si="2"/>
        <v>MOS100744|FG002|CK3-33407</v>
      </c>
    </row>
    <row r="142" spans="1:21" ht="15" customHeight="1" x14ac:dyDescent="0.3">
      <c r="A142" s="70" t="s">
        <v>564</v>
      </c>
      <c r="B142" s="71">
        <v>166153</v>
      </c>
      <c r="C142" s="72">
        <v>46179</v>
      </c>
      <c r="D142" s="73" t="s">
        <v>370</v>
      </c>
      <c r="E142" s="74" t="s">
        <v>565</v>
      </c>
      <c r="F142" s="75">
        <f>IFERROR(INDEX(M_User!$A$12:$J$67,MATCH(D142,M_User!$D$12:$D$67,0),1),"UNMAPPED")</f>
        <v>63</v>
      </c>
      <c r="G142" s="76" t="str">
        <f>IFERROR(INDEX(M_User!$A$12:$J$67,MATCH(D142,M_User!$D$12:$D$67,0),3),"UNMAPPED")</f>
        <v>Zawadi Jastin Laizer</v>
      </c>
      <c r="H142" s="75" t="str">
        <f>IFERROR(INDEX(M_User!$A$12:$J$67,MATCH(D142,M_User!$D$12:$D$67,0),5),"UNMAPPED")</f>
        <v>MOS</v>
      </c>
      <c r="I142" s="73" t="s">
        <v>149</v>
      </c>
      <c r="J142" s="73" t="s">
        <v>181</v>
      </c>
      <c r="K142" s="76" t="str">
        <f>IFERROR(INDEX(M_SKU!$A$18:$J$57,MATCH(J142,M_SKU!$B$18:$B$57,0),1),"UNKNOWN SKU")</f>
        <v>Fanta Passion RGB 350ml</v>
      </c>
      <c r="L142" s="73" t="s">
        <v>550</v>
      </c>
      <c r="M142" s="72">
        <v>46158</v>
      </c>
      <c r="N142" s="72">
        <v>46521</v>
      </c>
      <c r="O142" s="77">
        <v>10</v>
      </c>
      <c r="P142" s="78" t="s">
        <v>521</v>
      </c>
      <c r="Q142" s="79"/>
      <c r="R142" s="80"/>
      <c r="S142" s="81"/>
      <c r="T142" s="81"/>
      <c r="U142" s="82" t="str">
        <f t="shared" si="2"/>
        <v>MOS100744|FG003|CK3-33356</v>
      </c>
    </row>
    <row r="143" spans="1:21" ht="15" customHeight="1" x14ac:dyDescent="0.3">
      <c r="A143" s="60" t="s">
        <v>564</v>
      </c>
      <c r="B143" s="61">
        <v>166153</v>
      </c>
      <c r="C143" s="62">
        <v>46179</v>
      </c>
      <c r="D143" s="63" t="s">
        <v>370</v>
      </c>
      <c r="E143" s="64" t="s">
        <v>565</v>
      </c>
      <c r="F143" s="65">
        <f>IFERROR(INDEX(M_User!$A$12:$J$67,MATCH(D143,M_User!$D$12:$D$67,0),1),"UNMAPPED")</f>
        <v>63</v>
      </c>
      <c r="G143" s="66" t="str">
        <f>IFERROR(INDEX(M_User!$A$12:$J$67,MATCH(D143,M_User!$D$12:$D$67,0),3),"UNMAPPED")</f>
        <v>Zawadi Jastin Laizer</v>
      </c>
      <c r="H143" s="65" t="str">
        <f>IFERROR(INDEX(M_User!$A$12:$J$67,MATCH(D143,M_User!$D$12:$D$67,0),5),"UNMAPPED")</f>
        <v>MOS</v>
      </c>
      <c r="I143" s="63" t="s">
        <v>149</v>
      </c>
      <c r="J143" s="63" t="s">
        <v>183</v>
      </c>
      <c r="K143" s="66" t="str">
        <f>IFERROR(INDEX(M_SKU!$A$18:$J$57,MATCH(J143,M_SKU!$B$18:$B$57,0),1),"UNKNOWN SKU")</f>
        <v>Fanta Pineapple RGB 350ml</v>
      </c>
      <c r="L143" s="63" t="s">
        <v>533</v>
      </c>
      <c r="M143" s="62">
        <v>46163</v>
      </c>
      <c r="N143" s="62">
        <v>46527</v>
      </c>
      <c r="O143" s="67">
        <v>15</v>
      </c>
      <c r="P143" s="68" t="s">
        <v>521</v>
      </c>
      <c r="Q143" s="63"/>
      <c r="R143" s="62"/>
      <c r="S143" s="69"/>
      <c r="T143" s="69"/>
      <c r="U143" s="66" t="str">
        <f t="shared" si="2"/>
        <v>MOS100744|FG004|CK3-33385</v>
      </c>
    </row>
    <row r="144" spans="1:21" ht="15" customHeight="1" x14ac:dyDescent="0.3">
      <c r="A144" s="70" t="s">
        <v>564</v>
      </c>
      <c r="B144" s="71">
        <v>166153</v>
      </c>
      <c r="C144" s="72">
        <v>46179</v>
      </c>
      <c r="D144" s="73" t="s">
        <v>370</v>
      </c>
      <c r="E144" s="74" t="s">
        <v>565</v>
      </c>
      <c r="F144" s="75">
        <f>IFERROR(INDEX(M_User!$A$12:$J$67,MATCH(D144,M_User!$D$12:$D$67,0),1),"UNMAPPED")</f>
        <v>63</v>
      </c>
      <c r="G144" s="76" t="str">
        <f>IFERROR(INDEX(M_User!$A$12:$J$67,MATCH(D144,M_User!$D$12:$D$67,0),3),"UNMAPPED")</f>
        <v>Zawadi Jastin Laizer</v>
      </c>
      <c r="H144" s="75" t="str">
        <f>IFERROR(INDEX(M_User!$A$12:$J$67,MATCH(D144,M_User!$D$12:$D$67,0),5),"UNMAPPED")</f>
        <v>MOS</v>
      </c>
      <c r="I144" s="73" t="s">
        <v>149</v>
      </c>
      <c r="J144" s="73" t="s">
        <v>185</v>
      </c>
      <c r="K144" s="76" t="str">
        <f>IFERROR(INDEX(M_SKU!$A$18:$J$57,MATCH(J144,M_SKU!$B$18:$B$57,0),1),"UNKNOWN SKU")</f>
        <v>Fanta Fruit Blast RGB 350 ml</v>
      </c>
      <c r="L144" s="73" t="s">
        <v>534</v>
      </c>
      <c r="M144" s="72">
        <v>46171</v>
      </c>
      <c r="N144" s="72">
        <v>46535</v>
      </c>
      <c r="O144" s="77">
        <v>5</v>
      </c>
      <c r="P144" s="78" t="s">
        <v>521</v>
      </c>
      <c r="Q144" s="79"/>
      <c r="R144" s="80"/>
      <c r="S144" s="81"/>
      <c r="T144" s="81"/>
      <c r="U144" s="82" t="str">
        <f t="shared" si="2"/>
        <v>MOS100744|FG005|CK3-33402</v>
      </c>
    </row>
    <row r="145" spans="1:21" ht="15" customHeight="1" x14ac:dyDescent="0.3">
      <c r="A145" s="60" t="s">
        <v>564</v>
      </c>
      <c r="B145" s="61">
        <v>166153</v>
      </c>
      <c r="C145" s="62">
        <v>46179</v>
      </c>
      <c r="D145" s="63" t="s">
        <v>370</v>
      </c>
      <c r="E145" s="64" t="s">
        <v>565</v>
      </c>
      <c r="F145" s="65">
        <f>IFERROR(INDEX(M_User!$A$12:$J$67,MATCH(D145,M_User!$D$12:$D$67,0),1),"UNMAPPED")</f>
        <v>63</v>
      </c>
      <c r="G145" s="66" t="str">
        <f>IFERROR(INDEX(M_User!$A$12:$J$67,MATCH(D145,M_User!$D$12:$D$67,0),3),"UNMAPPED")</f>
        <v>Zawadi Jastin Laizer</v>
      </c>
      <c r="H145" s="65" t="str">
        <f>IFERROR(INDEX(M_User!$A$12:$J$67,MATCH(D145,M_User!$D$12:$D$67,0),5),"UNMAPPED")</f>
        <v>MOS</v>
      </c>
      <c r="I145" s="63" t="s">
        <v>149</v>
      </c>
      <c r="J145" s="63" t="s">
        <v>187</v>
      </c>
      <c r="K145" s="66" t="str">
        <f>IFERROR(INDEX(M_SKU!$A$18:$J$57,MATCH(J145,M_SKU!$B$18:$B$57,0),1),"UNKNOWN SKU")</f>
        <v>Sprite 350ml</v>
      </c>
      <c r="L145" s="63" t="s">
        <v>535</v>
      </c>
      <c r="M145" s="62">
        <v>46177</v>
      </c>
      <c r="N145" s="62">
        <v>46541</v>
      </c>
      <c r="O145" s="67">
        <v>15</v>
      </c>
      <c r="P145" s="68" t="s">
        <v>521</v>
      </c>
      <c r="Q145" s="63"/>
      <c r="R145" s="62"/>
      <c r="S145" s="69"/>
      <c r="T145" s="69"/>
      <c r="U145" s="66" t="str">
        <f t="shared" si="2"/>
        <v>MOS100744|FG006|CK3-33414</v>
      </c>
    </row>
    <row r="146" spans="1:21" ht="15" customHeight="1" x14ac:dyDescent="0.3">
      <c r="A146" s="70" t="s">
        <v>564</v>
      </c>
      <c r="B146" s="71">
        <v>166153</v>
      </c>
      <c r="C146" s="72">
        <v>46179</v>
      </c>
      <c r="D146" s="73" t="s">
        <v>370</v>
      </c>
      <c r="E146" s="74" t="s">
        <v>565</v>
      </c>
      <c r="F146" s="75">
        <f>IFERROR(INDEX(M_User!$A$12:$J$67,MATCH(D146,M_User!$D$12:$D$67,0),1),"UNMAPPED")</f>
        <v>63</v>
      </c>
      <c r="G146" s="76" t="str">
        <f>IFERROR(INDEX(M_User!$A$12:$J$67,MATCH(D146,M_User!$D$12:$D$67,0),3),"UNMAPPED")</f>
        <v>Zawadi Jastin Laizer</v>
      </c>
      <c r="H146" s="75" t="str">
        <f>IFERROR(INDEX(M_User!$A$12:$J$67,MATCH(D146,M_User!$D$12:$D$67,0),5),"UNMAPPED")</f>
        <v>MOS</v>
      </c>
      <c r="I146" s="73" t="s">
        <v>149</v>
      </c>
      <c r="J146" s="73" t="s">
        <v>190</v>
      </c>
      <c r="K146" s="76" t="str">
        <f>IFERROR(INDEX(M_SKU!$A$18:$J$57,MATCH(J146,M_SKU!$B$18:$B$57,0),1),"UNKNOWN SKU")</f>
        <v>Stoney Tangawizi RGB 350ml</v>
      </c>
      <c r="L146" s="73" t="s">
        <v>536</v>
      </c>
      <c r="M146" s="72">
        <v>46172</v>
      </c>
      <c r="N146" s="72">
        <v>46353</v>
      </c>
      <c r="O146" s="77">
        <v>5</v>
      </c>
      <c r="P146" s="78" t="s">
        <v>521</v>
      </c>
      <c r="Q146" s="79"/>
      <c r="R146" s="80"/>
      <c r="S146" s="81"/>
      <c r="T146" s="81"/>
      <c r="U146" s="82" t="str">
        <f t="shared" si="2"/>
        <v>MOS100744|FG007|CK3-33404</v>
      </c>
    </row>
    <row r="147" spans="1:21" ht="15" customHeight="1" x14ac:dyDescent="0.3">
      <c r="A147" s="60" t="s">
        <v>564</v>
      </c>
      <c r="B147" s="61">
        <v>166153</v>
      </c>
      <c r="C147" s="62">
        <v>46179</v>
      </c>
      <c r="D147" s="63" t="s">
        <v>370</v>
      </c>
      <c r="E147" s="64" t="s">
        <v>565</v>
      </c>
      <c r="F147" s="65">
        <f>IFERROR(INDEX(M_User!$A$12:$J$67,MATCH(D147,M_User!$D$12:$D$67,0),1),"UNMAPPED")</f>
        <v>63</v>
      </c>
      <c r="G147" s="66" t="str">
        <f>IFERROR(INDEX(M_User!$A$12:$J$67,MATCH(D147,M_User!$D$12:$D$67,0),3),"UNMAPPED")</f>
        <v>Zawadi Jastin Laizer</v>
      </c>
      <c r="H147" s="65" t="str">
        <f>IFERROR(INDEX(M_User!$A$12:$J$67,MATCH(D147,M_User!$D$12:$D$67,0),5),"UNMAPPED")</f>
        <v>MOS</v>
      </c>
      <c r="I147" s="63" t="s">
        <v>149</v>
      </c>
      <c r="J147" s="63" t="s">
        <v>193</v>
      </c>
      <c r="K147" s="66" t="str">
        <f>IFERROR(INDEX(M_SKU!$A$18:$J$57,MATCH(J147,M_SKU!$B$18:$B$57,0),1),"UNKNOWN SKU")</f>
        <v>Sparletta Pinenut RGB 350ml</v>
      </c>
      <c r="L147" s="63" t="s">
        <v>537</v>
      </c>
      <c r="M147" s="62">
        <v>46158</v>
      </c>
      <c r="N147" s="62">
        <v>46522</v>
      </c>
      <c r="O147" s="67">
        <v>5</v>
      </c>
      <c r="P147" s="68" t="s">
        <v>521</v>
      </c>
      <c r="Q147" s="63"/>
      <c r="R147" s="62"/>
      <c r="S147" s="69"/>
      <c r="T147" s="69"/>
      <c r="U147" s="66" t="str">
        <f t="shared" si="2"/>
        <v>MOS100744|FG008|CK3-33365</v>
      </c>
    </row>
    <row r="148" spans="1:21" ht="15" customHeight="1" x14ac:dyDescent="0.3">
      <c r="A148" s="70" t="s">
        <v>564</v>
      </c>
      <c r="B148" s="71">
        <v>166153</v>
      </c>
      <c r="C148" s="72">
        <v>46179</v>
      </c>
      <c r="D148" s="73" t="s">
        <v>370</v>
      </c>
      <c r="E148" s="74" t="s">
        <v>565</v>
      </c>
      <c r="F148" s="75">
        <f>IFERROR(INDEX(M_User!$A$12:$J$67,MATCH(D148,M_User!$D$12:$D$67,0),1),"UNMAPPED")</f>
        <v>63</v>
      </c>
      <c r="G148" s="76" t="str">
        <f>IFERROR(INDEX(M_User!$A$12:$J$67,MATCH(D148,M_User!$D$12:$D$67,0),3),"UNMAPPED")</f>
        <v>Zawadi Jastin Laizer</v>
      </c>
      <c r="H148" s="75" t="str">
        <f>IFERROR(INDEX(M_User!$A$12:$J$67,MATCH(D148,M_User!$D$12:$D$67,0),5),"UNMAPPED")</f>
        <v>MOS</v>
      </c>
      <c r="I148" s="73" t="s">
        <v>149</v>
      </c>
      <c r="J148" s="73" t="s">
        <v>196</v>
      </c>
      <c r="K148" s="76" t="str">
        <f>IFERROR(INDEX(M_SKU!$A$18:$J$57,MATCH(J148,M_SKU!$B$18:$B$57,0),1),"UNKNOWN SKU")</f>
        <v>Krest Bitter Lemon RGB 300ml</v>
      </c>
      <c r="L148" s="73" t="s">
        <v>538</v>
      </c>
      <c r="M148" s="72">
        <v>46154</v>
      </c>
      <c r="N148" s="72">
        <v>46518</v>
      </c>
      <c r="O148" s="77">
        <v>4</v>
      </c>
      <c r="P148" s="78" t="s">
        <v>521</v>
      </c>
      <c r="Q148" s="79"/>
      <c r="R148" s="80"/>
      <c r="S148" s="81"/>
      <c r="T148" s="81"/>
      <c r="U148" s="82" t="str">
        <f t="shared" si="2"/>
        <v>MOS100744|FG009|CK3-33348</v>
      </c>
    </row>
    <row r="149" spans="1:21" ht="15" customHeight="1" x14ac:dyDescent="0.3">
      <c r="A149" s="60" t="s">
        <v>564</v>
      </c>
      <c r="B149" s="61">
        <v>166153</v>
      </c>
      <c r="C149" s="62">
        <v>46179</v>
      </c>
      <c r="D149" s="63" t="s">
        <v>370</v>
      </c>
      <c r="E149" s="64" t="s">
        <v>565</v>
      </c>
      <c r="F149" s="65">
        <f>IFERROR(INDEX(M_User!$A$12:$J$67,MATCH(D149,M_User!$D$12:$D$67,0),1),"UNMAPPED")</f>
        <v>63</v>
      </c>
      <c r="G149" s="66" t="str">
        <f>IFERROR(INDEX(M_User!$A$12:$J$67,MATCH(D149,M_User!$D$12:$D$67,0),3),"UNMAPPED")</f>
        <v>Zawadi Jastin Laizer</v>
      </c>
      <c r="H149" s="65" t="str">
        <f>IFERROR(INDEX(M_User!$A$12:$J$67,MATCH(D149,M_User!$D$12:$D$67,0),5),"UNMAPPED")</f>
        <v>MOS</v>
      </c>
      <c r="I149" s="63" t="s">
        <v>149</v>
      </c>
      <c r="J149" s="63" t="s">
        <v>199</v>
      </c>
      <c r="K149" s="66" t="str">
        <f>IFERROR(INDEX(M_SKU!$A$18:$J$57,MATCH(J149,M_SKU!$B$18:$B$57,0),1),"UNKNOWN SKU")</f>
        <v>Krest Club Soda RGB 300ml</v>
      </c>
      <c r="L149" s="63" t="s">
        <v>539</v>
      </c>
      <c r="M149" s="62">
        <v>46140</v>
      </c>
      <c r="N149" s="62">
        <v>46504</v>
      </c>
      <c r="O149" s="67">
        <v>4</v>
      </c>
      <c r="P149" s="68" t="s">
        <v>521</v>
      </c>
      <c r="Q149" s="63"/>
      <c r="R149" s="62"/>
      <c r="S149" s="69"/>
      <c r="T149" s="69"/>
      <c r="U149" s="66" t="str">
        <f t="shared" si="2"/>
        <v>MOS100744|FG010|CK3-33301</v>
      </c>
    </row>
    <row r="150" spans="1:21" ht="15" customHeight="1" x14ac:dyDescent="0.3">
      <c r="A150" s="70" t="s">
        <v>564</v>
      </c>
      <c r="B150" s="71">
        <v>166153</v>
      </c>
      <c r="C150" s="72">
        <v>46179</v>
      </c>
      <c r="D150" s="73" t="s">
        <v>370</v>
      </c>
      <c r="E150" s="74" t="s">
        <v>565</v>
      </c>
      <c r="F150" s="75">
        <f>IFERROR(INDEX(M_User!$A$12:$J$67,MATCH(D150,M_User!$D$12:$D$67,0),1),"UNMAPPED")</f>
        <v>63</v>
      </c>
      <c r="G150" s="76" t="str">
        <f>IFERROR(INDEX(M_User!$A$12:$J$67,MATCH(D150,M_User!$D$12:$D$67,0),3),"UNMAPPED")</f>
        <v>Zawadi Jastin Laizer</v>
      </c>
      <c r="H150" s="75" t="str">
        <f>IFERROR(INDEX(M_User!$A$12:$J$67,MATCH(D150,M_User!$D$12:$D$67,0),5),"UNMAPPED")</f>
        <v>MOS</v>
      </c>
      <c r="I150" s="73" t="s">
        <v>149</v>
      </c>
      <c r="J150" s="73" t="s">
        <v>201</v>
      </c>
      <c r="K150" s="76" t="str">
        <f>IFERROR(INDEX(M_SKU!$A$18:$J$57,MATCH(J150,M_SKU!$B$18:$B$57,0),1),"UNKNOWN SKU")</f>
        <v>Krest Tonic Water RGB 300ml</v>
      </c>
      <c r="L150" s="73" t="s">
        <v>540</v>
      </c>
      <c r="M150" s="72">
        <v>46154</v>
      </c>
      <c r="N150" s="72">
        <v>46518</v>
      </c>
      <c r="O150" s="77">
        <v>4</v>
      </c>
      <c r="P150" s="78" t="s">
        <v>521</v>
      </c>
      <c r="Q150" s="79"/>
      <c r="R150" s="80"/>
      <c r="S150" s="81"/>
      <c r="T150" s="81"/>
      <c r="U150" s="82" t="str">
        <f t="shared" si="2"/>
        <v>MOS100744|FG011|CK3-33347</v>
      </c>
    </row>
    <row r="151" spans="1:21" ht="15" customHeight="1" x14ac:dyDescent="0.3">
      <c r="A151" s="60" t="s">
        <v>564</v>
      </c>
      <c r="B151" s="61">
        <v>166153</v>
      </c>
      <c r="C151" s="62">
        <v>46179</v>
      </c>
      <c r="D151" s="63" t="s">
        <v>370</v>
      </c>
      <c r="E151" s="64" t="s">
        <v>565</v>
      </c>
      <c r="F151" s="65">
        <f>IFERROR(INDEX(M_User!$A$12:$J$67,MATCH(D151,M_User!$D$12:$D$67,0),1),"UNMAPPED")</f>
        <v>63</v>
      </c>
      <c r="G151" s="66" t="str">
        <f>IFERROR(INDEX(M_User!$A$12:$J$67,MATCH(D151,M_User!$D$12:$D$67,0),3),"UNMAPPED")</f>
        <v>Zawadi Jastin Laizer</v>
      </c>
      <c r="H151" s="65" t="str">
        <f>IFERROR(INDEX(M_User!$A$12:$J$67,MATCH(D151,M_User!$D$12:$D$67,0),5),"UNMAPPED")</f>
        <v>MOS</v>
      </c>
      <c r="I151" s="63" t="s">
        <v>149</v>
      </c>
      <c r="J151" s="63" t="s">
        <v>203</v>
      </c>
      <c r="K151" s="66" t="str">
        <f>IFERROR(INDEX(M_SKU!$A$18:$J$57,MATCH(J151,M_SKU!$B$18:$B$57,0),1),"UNKNOWN SKU")</f>
        <v>Krest Ginger Ale RGB 300ml</v>
      </c>
      <c r="L151" s="63" t="s">
        <v>541</v>
      </c>
      <c r="M151" s="62">
        <v>46088</v>
      </c>
      <c r="N151" s="62">
        <v>46452</v>
      </c>
      <c r="O151" s="67">
        <v>4</v>
      </c>
      <c r="P151" s="68" t="s">
        <v>521</v>
      </c>
      <c r="Q151" s="63"/>
      <c r="R151" s="62"/>
      <c r="S151" s="69"/>
      <c r="T151" s="69"/>
      <c r="U151" s="66" t="str">
        <f t="shared" si="2"/>
        <v>MOS100744|FG012|CK3-33126</v>
      </c>
    </row>
    <row r="152" spans="1:21" ht="15" customHeight="1" x14ac:dyDescent="0.3">
      <c r="A152" s="70" t="s">
        <v>564</v>
      </c>
      <c r="B152" s="71">
        <v>166153</v>
      </c>
      <c r="C152" s="72">
        <v>46179</v>
      </c>
      <c r="D152" s="73" t="s">
        <v>370</v>
      </c>
      <c r="E152" s="74" t="s">
        <v>565</v>
      </c>
      <c r="F152" s="75">
        <f>IFERROR(INDEX(M_User!$A$12:$J$67,MATCH(D152,M_User!$D$12:$D$67,0),1),"UNMAPPED")</f>
        <v>63</v>
      </c>
      <c r="G152" s="76" t="str">
        <f>IFERROR(INDEX(M_User!$A$12:$J$67,MATCH(D152,M_User!$D$12:$D$67,0),3),"UNMAPPED")</f>
        <v>Zawadi Jastin Laizer</v>
      </c>
      <c r="H152" s="75" t="str">
        <f>IFERROR(INDEX(M_User!$A$12:$J$67,MATCH(D152,M_User!$D$12:$D$67,0),5),"UNMAPPED")</f>
        <v>MOS</v>
      </c>
      <c r="I152" s="73" t="s">
        <v>149</v>
      </c>
      <c r="J152" s="73" t="s">
        <v>209</v>
      </c>
      <c r="K152" s="76" t="str">
        <f>IFERROR(INDEX(M_SKU!$A$18:$J$57,MATCH(J152,M_SKU!$B$18:$B$57,0),1),"UNKNOWN SKU")</f>
        <v>Sparletta Red Apple RGB 350ml</v>
      </c>
      <c r="L152" s="73" t="s">
        <v>542</v>
      </c>
      <c r="M152" s="72">
        <v>46010</v>
      </c>
      <c r="N152" s="72">
        <v>46374</v>
      </c>
      <c r="O152" s="77">
        <v>2</v>
      </c>
      <c r="P152" s="78" t="s">
        <v>521</v>
      </c>
      <c r="Q152" s="79"/>
      <c r="R152" s="80"/>
      <c r="S152" s="81"/>
      <c r="T152" s="81"/>
      <c r="U152" s="82" t="str">
        <f t="shared" si="2"/>
        <v>MOS100744|FG024|CK3-32758</v>
      </c>
    </row>
    <row r="153" spans="1:21" ht="15" customHeight="1" x14ac:dyDescent="0.3">
      <c r="A153" s="60" t="s">
        <v>564</v>
      </c>
      <c r="B153" s="61">
        <v>166153</v>
      </c>
      <c r="C153" s="62">
        <v>46179</v>
      </c>
      <c r="D153" s="63" t="s">
        <v>370</v>
      </c>
      <c r="E153" s="64" t="s">
        <v>565</v>
      </c>
      <c r="F153" s="65">
        <f>IFERROR(INDEX(M_User!$A$12:$J$67,MATCH(D153,M_User!$D$12:$D$67,0),1),"UNMAPPED")</f>
        <v>63</v>
      </c>
      <c r="G153" s="66" t="str">
        <f>IFERROR(INDEX(M_User!$A$12:$J$67,MATCH(D153,M_User!$D$12:$D$67,0),3),"UNMAPPED")</f>
        <v>Zawadi Jastin Laizer</v>
      </c>
      <c r="H153" s="65" t="str">
        <f>IFERROR(INDEX(M_User!$A$12:$J$67,MATCH(D153,M_User!$D$12:$D$67,0),5),"UNMAPPED")</f>
        <v>MOS</v>
      </c>
      <c r="I153" s="63" t="s">
        <v>149</v>
      </c>
      <c r="J153" s="63" t="s">
        <v>211</v>
      </c>
      <c r="K153" s="66" t="str">
        <f>IFERROR(INDEX(M_SKU!$A$18:$J$57,MATCH(J153,M_SKU!$B$18:$B$57,0),1),"UNKNOWN SKU")</f>
        <v>KNMW 500ml</v>
      </c>
      <c r="L153" s="63" t="s">
        <v>543</v>
      </c>
      <c r="M153" s="62">
        <v>46177</v>
      </c>
      <c r="N153" s="62">
        <v>46541</v>
      </c>
      <c r="O153" s="67">
        <v>50</v>
      </c>
      <c r="P153" s="68" t="s">
        <v>521</v>
      </c>
      <c r="Q153" s="63"/>
      <c r="R153" s="62"/>
      <c r="S153" s="69"/>
      <c r="T153" s="69"/>
      <c r="U153" s="66" t="str">
        <f t="shared" si="2"/>
        <v>MOS100744|KD001|CK6-986</v>
      </c>
    </row>
    <row r="154" spans="1:21" ht="15" customHeight="1" x14ac:dyDescent="0.3">
      <c r="A154" s="70" t="s">
        <v>564</v>
      </c>
      <c r="B154" s="71">
        <v>166153</v>
      </c>
      <c r="C154" s="72">
        <v>46179</v>
      </c>
      <c r="D154" s="73" t="s">
        <v>370</v>
      </c>
      <c r="E154" s="74" t="s">
        <v>565</v>
      </c>
      <c r="F154" s="75">
        <f>IFERROR(INDEX(M_User!$A$12:$J$67,MATCH(D154,M_User!$D$12:$D$67,0),1),"UNMAPPED")</f>
        <v>63</v>
      </c>
      <c r="G154" s="76" t="str">
        <f>IFERROR(INDEX(M_User!$A$12:$J$67,MATCH(D154,M_User!$D$12:$D$67,0),3),"UNMAPPED")</f>
        <v>Zawadi Jastin Laizer</v>
      </c>
      <c r="H154" s="75" t="str">
        <f>IFERROR(INDEX(M_User!$A$12:$J$67,MATCH(D154,M_User!$D$12:$D$67,0),5),"UNMAPPED")</f>
        <v>MOS</v>
      </c>
      <c r="I154" s="73" t="s">
        <v>149</v>
      </c>
      <c r="J154" s="73" t="s">
        <v>217</v>
      </c>
      <c r="K154" s="76" t="str">
        <f>IFERROR(INDEX(M_SKU!$A$18:$J$57,MATCH(J154,M_SKU!$B$18:$B$57,0),1),"UNKNOWN SKU")</f>
        <v>KNMW 1500ml</v>
      </c>
      <c r="L154" s="73" t="s">
        <v>551</v>
      </c>
      <c r="M154" s="72">
        <v>46177</v>
      </c>
      <c r="N154" s="72">
        <v>46541</v>
      </c>
      <c r="O154" s="77">
        <v>90</v>
      </c>
      <c r="P154" s="78" t="s">
        <v>521</v>
      </c>
      <c r="Q154" s="79"/>
      <c r="R154" s="80"/>
      <c r="S154" s="81"/>
      <c r="T154" s="81"/>
      <c r="U154" s="82" t="str">
        <f t="shared" si="2"/>
        <v>MOS100744|KD003|CK4-842</v>
      </c>
    </row>
    <row r="155" spans="1:21" ht="15" customHeight="1" x14ac:dyDescent="0.3">
      <c r="A155" s="60" t="s">
        <v>564</v>
      </c>
      <c r="B155" s="61">
        <v>166153</v>
      </c>
      <c r="C155" s="62">
        <v>46179</v>
      </c>
      <c r="D155" s="63" t="s">
        <v>370</v>
      </c>
      <c r="E155" s="64" t="s">
        <v>565</v>
      </c>
      <c r="F155" s="65">
        <f>IFERROR(INDEX(M_User!$A$12:$J$67,MATCH(D155,M_User!$D$12:$D$67,0),1),"UNMAPPED")</f>
        <v>63</v>
      </c>
      <c r="G155" s="66" t="str">
        <f>IFERROR(INDEX(M_User!$A$12:$J$67,MATCH(D155,M_User!$D$12:$D$67,0),3),"UNMAPPED")</f>
        <v>Zawadi Jastin Laizer</v>
      </c>
      <c r="H155" s="65" t="str">
        <f>IFERROR(INDEX(M_User!$A$12:$J$67,MATCH(D155,M_User!$D$12:$D$67,0),5),"UNMAPPED")</f>
        <v>MOS</v>
      </c>
      <c r="I155" s="63" t="s">
        <v>149</v>
      </c>
      <c r="J155" s="63" t="s">
        <v>222</v>
      </c>
      <c r="K155" s="66" t="str">
        <f>IFERROR(INDEX(M_SKU!$A$18:$J$57,MATCH(J155,M_SKU!$B$18:$B$57,0),1),"UNKNOWN SKU")</f>
        <v>Kilimanjaro Drinking Water 12000 ML</v>
      </c>
      <c r="L155" s="63" t="s">
        <v>566</v>
      </c>
      <c r="M155" s="62">
        <v>46170</v>
      </c>
      <c r="N155" s="62">
        <v>46534</v>
      </c>
      <c r="O155" s="67">
        <v>6</v>
      </c>
      <c r="P155" s="68" t="s">
        <v>521</v>
      </c>
      <c r="Q155" s="63"/>
      <c r="R155" s="62"/>
      <c r="S155" s="69"/>
      <c r="T155" s="69"/>
      <c r="U155" s="66" t="str">
        <f t="shared" si="2"/>
        <v>MOS100744|KD005|CK7-913</v>
      </c>
    </row>
    <row r="156" spans="1:21" ht="15" customHeight="1" x14ac:dyDescent="0.3">
      <c r="A156" s="70" t="s">
        <v>564</v>
      </c>
      <c r="B156" s="71">
        <v>166153</v>
      </c>
      <c r="C156" s="72">
        <v>46179</v>
      </c>
      <c r="D156" s="73" t="s">
        <v>370</v>
      </c>
      <c r="E156" s="74" t="s">
        <v>565</v>
      </c>
      <c r="F156" s="75">
        <f>IFERROR(INDEX(M_User!$A$12:$J$67,MATCH(D156,M_User!$D$12:$D$67,0),1),"UNMAPPED")</f>
        <v>63</v>
      </c>
      <c r="G156" s="76" t="str">
        <f>IFERROR(INDEX(M_User!$A$12:$J$67,MATCH(D156,M_User!$D$12:$D$67,0),3),"UNMAPPED")</f>
        <v>Zawadi Jastin Laizer</v>
      </c>
      <c r="H156" s="75" t="str">
        <f>IFERROR(INDEX(M_User!$A$12:$J$67,MATCH(D156,M_User!$D$12:$D$67,0),5),"UNMAPPED")</f>
        <v>MOS</v>
      </c>
      <c r="I156" s="73" t="s">
        <v>149</v>
      </c>
      <c r="J156" s="73" t="s">
        <v>225</v>
      </c>
      <c r="K156" s="76" t="str">
        <f>IFERROR(INDEX(M_SKU!$A$18:$J$57,MATCH(J156,M_SKU!$B$18:$B$57,0),1),"UNKNOWN SKU")</f>
        <v>Kilimanjaro Drinking Water 18900 ML</v>
      </c>
      <c r="L156" s="73" t="s">
        <v>567</v>
      </c>
      <c r="M156" s="72">
        <v>46172</v>
      </c>
      <c r="N156" s="72">
        <v>46536</v>
      </c>
      <c r="O156" s="77">
        <v>12</v>
      </c>
      <c r="P156" s="78" t="s">
        <v>521</v>
      </c>
      <c r="Q156" s="79"/>
      <c r="R156" s="80"/>
      <c r="S156" s="81"/>
      <c r="T156" s="81"/>
      <c r="U156" s="82" t="str">
        <f t="shared" si="2"/>
        <v>MOS100744|KD006|CK7-915</v>
      </c>
    </row>
    <row r="157" spans="1:21" ht="15" customHeight="1" x14ac:dyDescent="0.3">
      <c r="A157" s="60" t="s">
        <v>564</v>
      </c>
      <c r="B157" s="61">
        <v>166153</v>
      </c>
      <c r="C157" s="62">
        <v>46179</v>
      </c>
      <c r="D157" s="63" t="s">
        <v>370</v>
      </c>
      <c r="E157" s="64" t="s">
        <v>565</v>
      </c>
      <c r="F157" s="65">
        <f>IFERROR(INDEX(M_User!$A$12:$J$67,MATCH(D157,M_User!$D$12:$D$67,0),1),"UNMAPPED")</f>
        <v>63</v>
      </c>
      <c r="G157" s="66" t="str">
        <f>IFERROR(INDEX(M_User!$A$12:$J$67,MATCH(D157,M_User!$D$12:$D$67,0),3),"UNMAPPED")</f>
        <v>Zawadi Jastin Laizer</v>
      </c>
      <c r="H157" s="65" t="str">
        <f>IFERROR(INDEX(M_User!$A$12:$J$67,MATCH(D157,M_User!$D$12:$D$67,0),5),"UNMAPPED")</f>
        <v>MOS</v>
      </c>
      <c r="I157" s="63" t="s">
        <v>149</v>
      </c>
      <c r="J157" s="63" t="s">
        <v>229</v>
      </c>
      <c r="K157" s="66" t="str">
        <f>IFERROR(INDEX(M_SKU!$A$18:$J$57,MATCH(J157,M_SKU!$B$18:$B$57,0),1),"UNKNOWN SKU")</f>
        <v>Coke Pet 500ML ( x12)</v>
      </c>
      <c r="L157" s="63" t="s">
        <v>520</v>
      </c>
      <c r="M157" s="62">
        <v>46177</v>
      </c>
      <c r="N157" s="62">
        <v>46288</v>
      </c>
      <c r="O157" s="67">
        <v>20</v>
      </c>
      <c r="P157" s="68" t="s">
        <v>521</v>
      </c>
      <c r="Q157" s="63"/>
      <c r="R157" s="62"/>
      <c r="S157" s="69"/>
      <c r="T157" s="69"/>
      <c r="U157" s="66" t="str">
        <f t="shared" si="2"/>
        <v>MOS100744|PH001|CK6-33411</v>
      </c>
    </row>
    <row r="158" spans="1:21" ht="15" customHeight="1" x14ac:dyDescent="0.3">
      <c r="A158" s="70" t="s">
        <v>564</v>
      </c>
      <c r="B158" s="71">
        <v>166153</v>
      </c>
      <c r="C158" s="72">
        <v>46179</v>
      </c>
      <c r="D158" s="73" t="s">
        <v>370</v>
      </c>
      <c r="E158" s="74" t="s">
        <v>565</v>
      </c>
      <c r="F158" s="75">
        <f>IFERROR(INDEX(M_User!$A$12:$J$67,MATCH(D158,M_User!$D$12:$D$67,0),1),"UNMAPPED")</f>
        <v>63</v>
      </c>
      <c r="G158" s="76" t="str">
        <f>IFERROR(INDEX(M_User!$A$12:$J$67,MATCH(D158,M_User!$D$12:$D$67,0),3),"UNMAPPED")</f>
        <v>Zawadi Jastin Laizer</v>
      </c>
      <c r="H158" s="75" t="str">
        <f>IFERROR(INDEX(M_User!$A$12:$J$67,MATCH(D158,M_User!$D$12:$D$67,0),5),"UNMAPPED")</f>
        <v>MOS</v>
      </c>
      <c r="I158" s="73" t="s">
        <v>149</v>
      </c>
      <c r="J158" s="73" t="s">
        <v>232</v>
      </c>
      <c r="K158" s="76" t="str">
        <f>IFERROR(INDEX(M_SKU!$A$18:$J$57,MATCH(J158,M_SKU!$B$18:$B$57,0),1),"UNKNOWN SKU")</f>
        <v>Sprite Pet 500ML (x 12)</v>
      </c>
      <c r="L158" s="73" t="s">
        <v>522</v>
      </c>
      <c r="M158" s="72">
        <v>46158</v>
      </c>
      <c r="N158" s="72">
        <v>46269</v>
      </c>
      <c r="O158" s="77">
        <v>5</v>
      </c>
      <c r="P158" s="78" t="s">
        <v>521</v>
      </c>
      <c r="Q158" s="79"/>
      <c r="R158" s="80"/>
      <c r="S158" s="81"/>
      <c r="T158" s="81"/>
      <c r="U158" s="82" t="str">
        <f t="shared" si="2"/>
        <v>MOS100744|PH002|CK6-33362</v>
      </c>
    </row>
    <row r="159" spans="1:21" ht="15" customHeight="1" x14ac:dyDescent="0.3">
      <c r="A159" s="60" t="s">
        <v>564</v>
      </c>
      <c r="B159" s="61">
        <v>166153</v>
      </c>
      <c r="C159" s="62">
        <v>46179</v>
      </c>
      <c r="D159" s="63" t="s">
        <v>370</v>
      </c>
      <c r="E159" s="64" t="s">
        <v>565</v>
      </c>
      <c r="F159" s="65">
        <f>IFERROR(INDEX(M_User!$A$12:$J$67,MATCH(D159,M_User!$D$12:$D$67,0),1),"UNMAPPED")</f>
        <v>63</v>
      </c>
      <c r="G159" s="66" t="str">
        <f>IFERROR(INDEX(M_User!$A$12:$J$67,MATCH(D159,M_User!$D$12:$D$67,0),3),"UNMAPPED")</f>
        <v>Zawadi Jastin Laizer</v>
      </c>
      <c r="H159" s="65" t="str">
        <f>IFERROR(INDEX(M_User!$A$12:$J$67,MATCH(D159,M_User!$D$12:$D$67,0),5),"UNMAPPED")</f>
        <v>MOS</v>
      </c>
      <c r="I159" s="63" t="s">
        <v>149</v>
      </c>
      <c r="J159" s="63" t="s">
        <v>234</v>
      </c>
      <c r="K159" s="66" t="str">
        <f>IFERROR(INDEX(M_SKU!$A$18:$J$57,MATCH(J159,M_SKU!$B$18:$B$57,0),1),"UNKNOWN SKU")</f>
        <v>Fanta Orange Pet 500ML ( x 12)</v>
      </c>
      <c r="L159" s="63" t="s">
        <v>523</v>
      </c>
      <c r="M159" s="62">
        <v>46172</v>
      </c>
      <c r="N159" s="62">
        <v>46283</v>
      </c>
      <c r="O159" s="67">
        <v>20</v>
      </c>
      <c r="P159" s="68" t="s">
        <v>521</v>
      </c>
      <c r="Q159" s="63"/>
      <c r="R159" s="62"/>
      <c r="S159" s="69"/>
      <c r="T159" s="69"/>
      <c r="U159" s="66" t="str">
        <f t="shared" si="2"/>
        <v>MOS100744|PH003|CK6-33405</v>
      </c>
    </row>
    <row r="160" spans="1:21" ht="15" customHeight="1" x14ac:dyDescent="0.3">
      <c r="A160" s="70" t="s">
        <v>564</v>
      </c>
      <c r="B160" s="71">
        <v>166153</v>
      </c>
      <c r="C160" s="72">
        <v>46179</v>
      </c>
      <c r="D160" s="73" t="s">
        <v>370</v>
      </c>
      <c r="E160" s="74" t="s">
        <v>565</v>
      </c>
      <c r="F160" s="75">
        <f>IFERROR(INDEX(M_User!$A$12:$J$67,MATCH(D160,M_User!$D$12:$D$67,0),1),"UNMAPPED")</f>
        <v>63</v>
      </c>
      <c r="G160" s="76" t="str">
        <f>IFERROR(INDEX(M_User!$A$12:$J$67,MATCH(D160,M_User!$D$12:$D$67,0),3),"UNMAPPED")</f>
        <v>Zawadi Jastin Laizer</v>
      </c>
      <c r="H160" s="75" t="str">
        <f>IFERROR(INDEX(M_User!$A$12:$J$67,MATCH(D160,M_User!$D$12:$D$67,0),5),"UNMAPPED")</f>
        <v>MOS</v>
      </c>
      <c r="I160" s="73" t="s">
        <v>149</v>
      </c>
      <c r="J160" s="73" t="s">
        <v>236</v>
      </c>
      <c r="K160" s="76" t="str">
        <f>IFERROR(INDEX(M_SKU!$A$18:$J$57,MATCH(J160,M_SKU!$B$18:$B$57,0),1),"UNKNOWN SKU")</f>
        <v>Fanta Passion Pet 500ML ( x12)</v>
      </c>
      <c r="L160" s="73" t="s">
        <v>524</v>
      </c>
      <c r="M160" s="72">
        <v>46151</v>
      </c>
      <c r="N160" s="72">
        <v>46262</v>
      </c>
      <c r="O160" s="77">
        <v>5</v>
      </c>
      <c r="P160" s="78" t="s">
        <v>521</v>
      </c>
      <c r="Q160" s="79"/>
      <c r="R160" s="80"/>
      <c r="S160" s="81"/>
      <c r="T160" s="81"/>
      <c r="U160" s="82" t="str">
        <f t="shared" si="2"/>
        <v>MOS100744|PH004|CK5-33334</v>
      </c>
    </row>
    <row r="161" spans="1:21" ht="15" customHeight="1" x14ac:dyDescent="0.3">
      <c r="A161" s="60" t="s">
        <v>564</v>
      </c>
      <c r="B161" s="61">
        <v>166153</v>
      </c>
      <c r="C161" s="62">
        <v>46179</v>
      </c>
      <c r="D161" s="63" t="s">
        <v>370</v>
      </c>
      <c r="E161" s="64" t="s">
        <v>565</v>
      </c>
      <c r="F161" s="65">
        <f>IFERROR(INDEX(M_User!$A$12:$J$67,MATCH(D161,M_User!$D$12:$D$67,0),1),"UNMAPPED")</f>
        <v>63</v>
      </c>
      <c r="G161" s="66" t="str">
        <f>IFERROR(INDEX(M_User!$A$12:$J$67,MATCH(D161,M_User!$D$12:$D$67,0),3),"UNMAPPED")</f>
        <v>Zawadi Jastin Laizer</v>
      </c>
      <c r="H161" s="65" t="str">
        <f>IFERROR(INDEX(M_User!$A$12:$J$67,MATCH(D161,M_User!$D$12:$D$67,0),5),"UNMAPPED")</f>
        <v>MOS</v>
      </c>
      <c r="I161" s="63" t="s">
        <v>149</v>
      </c>
      <c r="J161" s="63" t="s">
        <v>242</v>
      </c>
      <c r="K161" s="66" t="str">
        <f>IFERROR(INDEX(M_SKU!$A$18:$J$57,MATCH(J161,M_SKU!$B$18:$B$57,0),1),"UNKNOWN SKU")</f>
        <v>Stoney Tangawizi Pet 500 ml ( x12)</v>
      </c>
      <c r="L161" s="63" t="s">
        <v>525</v>
      </c>
      <c r="M161" s="62">
        <v>46161</v>
      </c>
      <c r="N161" s="62">
        <v>46272</v>
      </c>
      <c r="O161" s="67">
        <v>3</v>
      </c>
      <c r="P161" s="68" t="s">
        <v>521</v>
      </c>
      <c r="Q161" s="63"/>
      <c r="R161" s="62"/>
      <c r="S161" s="69"/>
      <c r="T161" s="69"/>
      <c r="U161" s="66" t="str">
        <f t="shared" si="2"/>
        <v>MOS100744|PH007|CK6-33375</v>
      </c>
    </row>
    <row r="162" spans="1:21" ht="15" customHeight="1" x14ac:dyDescent="0.3">
      <c r="A162" s="70" t="s">
        <v>564</v>
      </c>
      <c r="B162" s="71">
        <v>166153</v>
      </c>
      <c r="C162" s="72">
        <v>46179</v>
      </c>
      <c r="D162" s="73" t="s">
        <v>370</v>
      </c>
      <c r="E162" s="74" t="s">
        <v>565</v>
      </c>
      <c r="F162" s="75">
        <f>IFERROR(INDEX(M_User!$A$12:$J$67,MATCH(D162,M_User!$D$12:$D$67,0),1),"UNMAPPED")</f>
        <v>63</v>
      </c>
      <c r="G162" s="76" t="str">
        <f>IFERROR(INDEX(M_User!$A$12:$J$67,MATCH(D162,M_User!$D$12:$D$67,0),3),"UNMAPPED")</f>
        <v>Zawadi Jastin Laizer</v>
      </c>
      <c r="H162" s="75" t="str">
        <f>IFERROR(INDEX(M_User!$A$12:$J$67,MATCH(D162,M_User!$D$12:$D$67,0),5),"UNMAPPED")</f>
        <v>MOS</v>
      </c>
      <c r="I162" s="73" t="s">
        <v>149</v>
      </c>
      <c r="J162" s="73" t="s">
        <v>244</v>
      </c>
      <c r="K162" s="76" t="str">
        <f>IFERROR(INDEX(M_SKU!$A$18:$J$57,MATCH(J162,M_SKU!$B$18:$B$57,0),1),"UNKNOWN SKU")</f>
        <v>Sparletta Pinenut Pet 500 ml ( x12)</v>
      </c>
      <c r="L162" s="73" t="s">
        <v>526</v>
      </c>
      <c r="M162" s="72">
        <v>46161</v>
      </c>
      <c r="N162" s="72">
        <v>46272</v>
      </c>
      <c r="O162" s="77">
        <v>3</v>
      </c>
      <c r="P162" s="78" t="s">
        <v>521</v>
      </c>
      <c r="Q162" s="79"/>
      <c r="R162" s="80"/>
      <c r="S162" s="81"/>
      <c r="T162" s="81"/>
      <c r="U162" s="82" t="str">
        <f t="shared" si="2"/>
        <v>MOS100744|PH008|CK5-33370</v>
      </c>
    </row>
    <row r="163" spans="1:21" ht="15" customHeight="1" x14ac:dyDescent="0.3">
      <c r="A163" s="60" t="s">
        <v>564</v>
      </c>
      <c r="B163" s="61">
        <v>166153</v>
      </c>
      <c r="C163" s="62">
        <v>46179</v>
      </c>
      <c r="D163" s="63" t="s">
        <v>370</v>
      </c>
      <c r="E163" s="64" t="s">
        <v>565</v>
      </c>
      <c r="F163" s="65">
        <f>IFERROR(INDEX(M_User!$A$12:$J$67,MATCH(D163,M_User!$D$12:$D$67,0),1),"UNMAPPED")</f>
        <v>63</v>
      </c>
      <c r="G163" s="66" t="str">
        <f>IFERROR(INDEX(M_User!$A$12:$J$67,MATCH(D163,M_User!$D$12:$D$67,0),3),"UNMAPPED")</f>
        <v>Zawadi Jastin Laizer</v>
      </c>
      <c r="H163" s="65" t="str">
        <f>IFERROR(INDEX(M_User!$A$12:$J$67,MATCH(D163,M_User!$D$12:$D$67,0),5),"UNMAPPED")</f>
        <v>MOS</v>
      </c>
      <c r="I163" s="63" t="s">
        <v>149</v>
      </c>
      <c r="J163" s="63" t="s">
        <v>252</v>
      </c>
      <c r="K163" s="66" t="str">
        <f>IFERROR(INDEX(M_SKU!$A$18:$J$57,MATCH(J163,M_SKU!$B$18:$B$57,0),1),"UNKNOWN SKU")</f>
        <v>Sprite Zero Pet 300ML (x 12)</v>
      </c>
      <c r="L163" s="63" t="s">
        <v>545</v>
      </c>
      <c r="M163" s="62">
        <v>46158</v>
      </c>
      <c r="N163" s="62">
        <v>46241</v>
      </c>
      <c r="O163" s="67">
        <v>2</v>
      </c>
      <c r="P163" s="68" t="s">
        <v>521</v>
      </c>
      <c r="Q163" s="63"/>
      <c r="R163" s="62"/>
      <c r="S163" s="69"/>
      <c r="T163" s="69"/>
      <c r="U163" s="66" t="str">
        <f t="shared" si="2"/>
        <v>MOS100744|PO010|CK5-33360</v>
      </c>
    </row>
    <row r="164" spans="1:21" ht="15" customHeight="1" x14ac:dyDescent="0.3">
      <c r="A164" s="70" t="s">
        <v>564</v>
      </c>
      <c r="B164" s="71">
        <v>166153</v>
      </c>
      <c r="C164" s="72">
        <v>46179</v>
      </c>
      <c r="D164" s="73" t="s">
        <v>370</v>
      </c>
      <c r="E164" s="74" t="s">
        <v>565</v>
      </c>
      <c r="F164" s="75">
        <f>IFERROR(INDEX(M_User!$A$12:$J$67,MATCH(D164,M_User!$D$12:$D$67,0),1),"UNMAPPED")</f>
        <v>63</v>
      </c>
      <c r="G164" s="76" t="str">
        <f>IFERROR(INDEX(M_User!$A$12:$J$67,MATCH(D164,M_User!$D$12:$D$67,0),3),"UNMAPPED")</f>
        <v>Zawadi Jastin Laizer</v>
      </c>
      <c r="H164" s="75" t="str">
        <f>IFERROR(INDEX(M_User!$A$12:$J$67,MATCH(D164,M_User!$D$12:$D$67,0),5),"UNMAPPED")</f>
        <v>MOS</v>
      </c>
      <c r="I164" s="73" t="s">
        <v>149</v>
      </c>
      <c r="J164" s="73" t="s">
        <v>254</v>
      </c>
      <c r="K164" s="76" t="str">
        <f>IFERROR(INDEX(M_SKU!$A$18:$J$57,MATCH(J164,M_SKU!$B$18:$B$57,0),1),"UNKNOWN SKU")</f>
        <v>Fanta Zero Pet 300ML (x 12)</v>
      </c>
      <c r="L164" s="73" t="s">
        <v>546</v>
      </c>
      <c r="M164" s="72">
        <v>46159</v>
      </c>
      <c r="N164" s="72">
        <v>46242</v>
      </c>
      <c r="O164" s="77">
        <v>2</v>
      </c>
      <c r="P164" s="78" t="s">
        <v>521</v>
      </c>
      <c r="Q164" s="79"/>
      <c r="R164" s="80"/>
      <c r="S164" s="81"/>
      <c r="T164" s="81"/>
      <c r="U164" s="82" t="str">
        <f t="shared" si="2"/>
        <v>MOS100744|PO012|CK5-33369</v>
      </c>
    </row>
    <row r="165" spans="1:21" ht="15" customHeight="1" x14ac:dyDescent="0.3">
      <c r="A165" s="60" t="s">
        <v>564</v>
      </c>
      <c r="B165" s="61">
        <v>166153</v>
      </c>
      <c r="C165" s="62">
        <v>46179</v>
      </c>
      <c r="D165" s="63" t="s">
        <v>370</v>
      </c>
      <c r="E165" s="64" t="s">
        <v>565</v>
      </c>
      <c r="F165" s="65">
        <f>IFERROR(INDEX(M_User!$A$12:$J$67,MATCH(D165,M_User!$D$12:$D$67,0),1),"UNMAPPED")</f>
        <v>63</v>
      </c>
      <c r="G165" s="66" t="str">
        <f>IFERROR(INDEX(M_User!$A$12:$J$67,MATCH(D165,M_User!$D$12:$D$67,0),3),"UNMAPPED")</f>
        <v>Zawadi Jastin Laizer</v>
      </c>
      <c r="H165" s="65" t="str">
        <f>IFERROR(INDEX(M_User!$A$12:$J$67,MATCH(D165,M_User!$D$12:$D$67,0),5),"UNMAPPED")</f>
        <v>MOS</v>
      </c>
      <c r="I165" s="63" t="s">
        <v>149</v>
      </c>
      <c r="J165" s="63" t="s">
        <v>261</v>
      </c>
      <c r="K165" s="66" t="str">
        <f>IFERROR(INDEX(M_SKU!$A$18:$J$57,MATCH(J165,M_SKU!$B$18:$B$57,0),1),"UNKNOWN SKU")</f>
        <v>Sparletta Pine Apple Pet 300ML (x 12)</v>
      </c>
      <c r="L165" s="63" t="s">
        <v>547</v>
      </c>
      <c r="M165" s="62">
        <v>46158</v>
      </c>
      <c r="N165" s="62">
        <v>46241</v>
      </c>
      <c r="O165" s="67">
        <v>5</v>
      </c>
      <c r="P165" s="68" t="s">
        <v>521</v>
      </c>
      <c r="Q165" s="63"/>
      <c r="R165" s="62"/>
      <c r="S165" s="69"/>
      <c r="T165" s="69"/>
      <c r="U165" s="66" t="str">
        <f t="shared" si="2"/>
        <v>MOS100744|PO015|CK5-33366</v>
      </c>
    </row>
    <row r="166" spans="1:21" ht="15" customHeight="1" x14ac:dyDescent="0.3">
      <c r="A166" s="70" t="s">
        <v>568</v>
      </c>
      <c r="B166" s="71">
        <v>166154</v>
      </c>
      <c r="C166" s="72">
        <v>46179</v>
      </c>
      <c r="D166" s="73" t="s">
        <v>412</v>
      </c>
      <c r="E166" s="74" t="s">
        <v>411</v>
      </c>
      <c r="F166" s="75">
        <f>IFERROR(INDEX(M_User!$A$12:$J$67,MATCH(D166,M_User!$D$12:$D$67,0),1),"UNMAPPED")</f>
        <v>48</v>
      </c>
      <c r="G166" s="76" t="str">
        <f>IFERROR(INDEX(M_User!$A$12:$J$67,MATCH(D166,M_User!$D$12:$D$67,0),3),"UNMAPPED")</f>
        <v>Jonas Steven Michael</v>
      </c>
      <c r="H166" s="75" t="str">
        <f>IFERROR(INDEX(M_User!$A$12:$J$67,MATCH(D166,M_User!$D$12:$D$67,0),5),"UNMAPPED")</f>
        <v>MOS</v>
      </c>
      <c r="I166" s="73" t="s">
        <v>149</v>
      </c>
      <c r="J166" s="73" t="s">
        <v>170</v>
      </c>
      <c r="K166" s="76" t="str">
        <f>IFERROR(INDEX(M_SKU!$A$18:$J$57,MATCH(J166,M_SKU!$B$18:$B$57,0),1),"UNKNOWN SKU")</f>
        <v>Coke RGB 350ml</v>
      </c>
      <c r="L166" s="73" t="s">
        <v>530</v>
      </c>
      <c r="M166" s="72">
        <v>46175</v>
      </c>
      <c r="N166" s="72">
        <v>46539</v>
      </c>
      <c r="O166" s="77">
        <v>74</v>
      </c>
      <c r="P166" s="78" t="s">
        <v>521</v>
      </c>
      <c r="Q166" s="79"/>
      <c r="R166" s="80"/>
      <c r="S166" s="81"/>
      <c r="T166" s="81"/>
      <c r="U166" s="82" t="str">
        <f t="shared" si="2"/>
        <v>MOS100501|FG001|CK3-33409</v>
      </c>
    </row>
    <row r="167" spans="1:21" ht="15" customHeight="1" x14ac:dyDescent="0.3">
      <c r="A167" s="60" t="s">
        <v>568</v>
      </c>
      <c r="B167" s="61">
        <v>166154</v>
      </c>
      <c r="C167" s="62">
        <v>46179</v>
      </c>
      <c r="D167" s="63" t="s">
        <v>412</v>
      </c>
      <c r="E167" s="64" t="s">
        <v>411</v>
      </c>
      <c r="F167" s="65">
        <f>IFERROR(INDEX(M_User!$A$12:$J$67,MATCH(D167,M_User!$D$12:$D$67,0),1),"UNMAPPED")</f>
        <v>48</v>
      </c>
      <c r="G167" s="66" t="str">
        <f>IFERROR(INDEX(M_User!$A$12:$J$67,MATCH(D167,M_User!$D$12:$D$67,0),3),"UNMAPPED")</f>
        <v>Jonas Steven Michael</v>
      </c>
      <c r="H167" s="65" t="str">
        <f>IFERROR(INDEX(M_User!$A$12:$J$67,MATCH(D167,M_User!$D$12:$D$67,0),5),"UNMAPPED")</f>
        <v>MOS</v>
      </c>
      <c r="I167" s="63" t="s">
        <v>149</v>
      </c>
      <c r="J167" s="63" t="s">
        <v>178</v>
      </c>
      <c r="K167" s="66" t="str">
        <f>IFERROR(INDEX(M_SKU!$A$18:$J$57,MATCH(J167,M_SKU!$B$18:$B$57,0),1),"UNKNOWN SKU")</f>
        <v>Fanta Orange RGB 350ml</v>
      </c>
      <c r="L167" s="63" t="s">
        <v>531</v>
      </c>
      <c r="M167" s="62">
        <v>46174</v>
      </c>
      <c r="N167" s="62">
        <v>46538</v>
      </c>
      <c r="O167" s="67">
        <v>25</v>
      </c>
      <c r="P167" s="68" t="s">
        <v>521</v>
      </c>
      <c r="Q167" s="63"/>
      <c r="R167" s="62"/>
      <c r="S167" s="69"/>
      <c r="T167" s="69"/>
      <c r="U167" s="66" t="str">
        <f t="shared" si="2"/>
        <v>MOS100501|FG002|CK3-33407</v>
      </c>
    </row>
    <row r="168" spans="1:21" ht="15" customHeight="1" x14ac:dyDescent="0.3">
      <c r="A168" s="70" t="s">
        <v>568</v>
      </c>
      <c r="B168" s="71">
        <v>166154</v>
      </c>
      <c r="C168" s="72">
        <v>46179</v>
      </c>
      <c r="D168" s="73" t="s">
        <v>412</v>
      </c>
      <c r="E168" s="74" t="s">
        <v>411</v>
      </c>
      <c r="F168" s="75">
        <f>IFERROR(INDEX(M_User!$A$12:$J$67,MATCH(D168,M_User!$D$12:$D$67,0),1),"UNMAPPED")</f>
        <v>48</v>
      </c>
      <c r="G168" s="76" t="str">
        <f>IFERROR(INDEX(M_User!$A$12:$J$67,MATCH(D168,M_User!$D$12:$D$67,0),3),"UNMAPPED")</f>
        <v>Jonas Steven Michael</v>
      </c>
      <c r="H168" s="75" t="str">
        <f>IFERROR(INDEX(M_User!$A$12:$J$67,MATCH(D168,M_User!$D$12:$D$67,0),5),"UNMAPPED")</f>
        <v>MOS</v>
      </c>
      <c r="I168" s="73" t="s">
        <v>149</v>
      </c>
      <c r="J168" s="73" t="s">
        <v>181</v>
      </c>
      <c r="K168" s="76" t="str">
        <f>IFERROR(INDEX(M_SKU!$A$18:$J$57,MATCH(J168,M_SKU!$B$18:$B$57,0),1),"UNKNOWN SKU")</f>
        <v>Fanta Passion RGB 350ml</v>
      </c>
      <c r="L168" s="73" t="s">
        <v>550</v>
      </c>
      <c r="M168" s="72">
        <v>46158</v>
      </c>
      <c r="N168" s="72">
        <v>46521</v>
      </c>
      <c r="O168" s="77">
        <v>12</v>
      </c>
      <c r="P168" s="78" t="s">
        <v>521</v>
      </c>
      <c r="Q168" s="79"/>
      <c r="R168" s="80"/>
      <c r="S168" s="81"/>
      <c r="T168" s="81"/>
      <c r="U168" s="82" t="str">
        <f t="shared" si="2"/>
        <v>MOS100501|FG003|CK3-33356</v>
      </c>
    </row>
    <row r="169" spans="1:21" ht="15" customHeight="1" x14ac:dyDescent="0.3">
      <c r="A169" s="60" t="s">
        <v>568</v>
      </c>
      <c r="B169" s="61">
        <v>166154</v>
      </c>
      <c r="C169" s="62">
        <v>46179</v>
      </c>
      <c r="D169" s="63" t="s">
        <v>412</v>
      </c>
      <c r="E169" s="64" t="s">
        <v>411</v>
      </c>
      <c r="F169" s="65">
        <f>IFERROR(INDEX(M_User!$A$12:$J$67,MATCH(D169,M_User!$D$12:$D$67,0),1),"UNMAPPED")</f>
        <v>48</v>
      </c>
      <c r="G169" s="66" t="str">
        <f>IFERROR(INDEX(M_User!$A$12:$J$67,MATCH(D169,M_User!$D$12:$D$67,0),3),"UNMAPPED")</f>
        <v>Jonas Steven Michael</v>
      </c>
      <c r="H169" s="65" t="str">
        <f>IFERROR(INDEX(M_User!$A$12:$J$67,MATCH(D169,M_User!$D$12:$D$67,0),5),"UNMAPPED")</f>
        <v>MOS</v>
      </c>
      <c r="I169" s="63" t="s">
        <v>149</v>
      </c>
      <c r="J169" s="63" t="s">
        <v>183</v>
      </c>
      <c r="K169" s="66" t="str">
        <f>IFERROR(INDEX(M_SKU!$A$18:$J$57,MATCH(J169,M_SKU!$B$18:$B$57,0),1),"UNKNOWN SKU")</f>
        <v>Fanta Pineapple RGB 350ml</v>
      </c>
      <c r="L169" s="63" t="s">
        <v>533</v>
      </c>
      <c r="M169" s="62">
        <v>46163</v>
      </c>
      <c r="N169" s="62">
        <v>46527</v>
      </c>
      <c r="O169" s="67">
        <v>14</v>
      </c>
      <c r="P169" s="68" t="s">
        <v>521</v>
      </c>
      <c r="Q169" s="63"/>
      <c r="R169" s="62"/>
      <c r="S169" s="69"/>
      <c r="T169" s="69"/>
      <c r="U169" s="66" t="str">
        <f t="shared" si="2"/>
        <v>MOS100501|FG004|CK3-33385</v>
      </c>
    </row>
    <row r="170" spans="1:21" ht="15" customHeight="1" x14ac:dyDescent="0.3">
      <c r="A170" s="70" t="s">
        <v>568</v>
      </c>
      <c r="B170" s="71">
        <v>166154</v>
      </c>
      <c r="C170" s="72">
        <v>46179</v>
      </c>
      <c r="D170" s="73" t="s">
        <v>412</v>
      </c>
      <c r="E170" s="74" t="s">
        <v>411</v>
      </c>
      <c r="F170" s="75">
        <f>IFERROR(INDEX(M_User!$A$12:$J$67,MATCH(D170,M_User!$D$12:$D$67,0),1),"UNMAPPED")</f>
        <v>48</v>
      </c>
      <c r="G170" s="76" t="str">
        <f>IFERROR(INDEX(M_User!$A$12:$J$67,MATCH(D170,M_User!$D$12:$D$67,0),3),"UNMAPPED")</f>
        <v>Jonas Steven Michael</v>
      </c>
      <c r="H170" s="75" t="str">
        <f>IFERROR(INDEX(M_User!$A$12:$J$67,MATCH(D170,M_User!$D$12:$D$67,0),5),"UNMAPPED")</f>
        <v>MOS</v>
      </c>
      <c r="I170" s="73" t="s">
        <v>149</v>
      </c>
      <c r="J170" s="73" t="s">
        <v>185</v>
      </c>
      <c r="K170" s="76" t="str">
        <f>IFERROR(INDEX(M_SKU!$A$18:$J$57,MATCH(J170,M_SKU!$B$18:$B$57,0),1),"UNKNOWN SKU")</f>
        <v>Fanta Fruit Blast RGB 350 ml</v>
      </c>
      <c r="L170" s="73" t="s">
        <v>534</v>
      </c>
      <c r="M170" s="72">
        <v>46171</v>
      </c>
      <c r="N170" s="72">
        <v>46535</v>
      </c>
      <c r="O170" s="77">
        <v>6</v>
      </c>
      <c r="P170" s="78" t="s">
        <v>521</v>
      </c>
      <c r="Q170" s="79"/>
      <c r="R170" s="80"/>
      <c r="S170" s="81"/>
      <c r="T170" s="81"/>
      <c r="U170" s="82" t="str">
        <f t="shared" si="2"/>
        <v>MOS100501|FG005|CK3-33402</v>
      </c>
    </row>
    <row r="171" spans="1:21" ht="15" customHeight="1" x14ac:dyDescent="0.3">
      <c r="A171" s="60" t="s">
        <v>568</v>
      </c>
      <c r="B171" s="61">
        <v>166154</v>
      </c>
      <c r="C171" s="62">
        <v>46179</v>
      </c>
      <c r="D171" s="63" t="s">
        <v>412</v>
      </c>
      <c r="E171" s="64" t="s">
        <v>411</v>
      </c>
      <c r="F171" s="65">
        <f>IFERROR(INDEX(M_User!$A$12:$J$67,MATCH(D171,M_User!$D$12:$D$67,0),1),"UNMAPPED")</f>
        <v>48</v>
      </c>
      <c r="G171" s="66" t="str">
        <f>IFERROR(INDEX(M_User!$A$12:$J$67,MATCH(D171,M_User!$D$12:$D$67,0),3),"UNMAPPED")</f>
        <v>Jonas Steven Michael</v>
      </c>
      <c r="H171" s="65" t="str">
        <f>IFERROR(INDEX(M_User!$A$12:$J$67,MATCH(D171,M_User!$D$12:$D$67,0),5),"UNMAPPED")</f>
        <v>MOS</v>
      </c>
      <c r="I171" s="63" t="s">
        <v>149</v>
      </c>
      <c r="J171" s="63" t="s">
        <v>187</v>
      </c>
      <c r="K171" s="66" t="str">
        <f>IFERROR(INDEX(M_SKU!$A$18:$J$57,MATCH(J171,M_SKU!$B$18:$B$57,0),1),"UNKNOWN SKU")</f>
        <v>Sprite 350ml</v>
      </c>
      <c r="L171" s="63" t="s">
        <v>535</v>
      </c>
      <c r="M171" s="62">
        <v>46177</v>
      </c>
      <c r="N171" s="62">
        <v>46541</v>
      </c>
      <c r="O171" s="67">
        <v>17</v>
      </c>
      <c r="P171" s="68" t="s">
        <v>521</v>
      </c>
      <c r="Q171" s="63"/>
      <c r="R171" s="62"/>
      <c r="S171" s="69"/>
      <c r="T171" s="69"/>
      <c r="U171" s="66" t="str">
        <f t="shared" si="2"/>
        <v>MOS100501|FG006|CK3-33414</v>
      </c>
    </row>
    <row r="172" spans="1:21" ht="15" customHeight="1" x14ac:dyDescent="0.3">
      <c r="A172" s="70" t="s">
        <v>568</v>
      </c>
      <c r="B172" s="71">
        <v>166154</v>
      </c>
      <c r="C172" s="72">
        <v>46179</v>
      </c>
      <c r="D172" s="73" t="s">
        <v>412</v>
      </c>
      <c r="E172" s="74" t="s">
        <v>411</v>
      </c>
      <c r="F172" s="75">
        <f>IFERROR(INDEX(M_User!$A$12:$J$67,MATCH(D172,M_User!$D$12:$D$67,0),1),"UNMAPPED")</f>
        <v>48</v>
      </c>
      <c r="G172" s="76" t="str">
        <f>IFERROR(INDEX(M_User!$A$12:$J$67,MATCH(D172,M_User!$D$12:$D$67,0),3),"UNMAPPED")</f>
        <v>Jonas Steven Michael</v>
      </c>
      <c r="H172" s="75" t="str">
        <f>IFERROR(INDEX(M_User!$A$12:$J$67,MATCH(D172,M_User!$D$12:$D$67,0),5),"UNMAPPED")</f>
        <v>MOS</v>
      </c>
      <c r="I172" s="73" t="s">
        <v>149</v>
      </c>
      <c r="J172" s="73" t="s">
        <v>190</v>
      </c>
      <c r="K172" s="76" t="str">
        <f>IFERROR(INDEX(M_SKU!$A$18:$J$57,MATCH(J172,M_SKU!$B$18:$B$57,0),1),"UNKNOWN SKU")</f>
        <v>Stoney Tangawizi RGB 350ml</v>
      </c>
      <c r="L172" s="73" t="s">
        <v>536</v>
      </c>
      <c r="M172" s="72">
        <v>46172</v>
      </c>
      <c r="N172" s="72">
        <v>46353</v>
      </c>
      <c r="O172" s="77">
        <v>6</v>
      </c>
      <c r="P172" s="78" t="s">
        <v>521</v>
      </c>
      <c r="Q172" s="79"/>
      <c r="R172" s="80"/>
      <c r="S172" s="81"/>
      <c r="T172" s="81"/>
      <c r="U172" s="82" t="str">
        <f t="shared" si="2"/>
        <v>MOS100501|FG007|CK3-33404</v>
      </c>
    </row>
    <row r="173" spans="1:21" ht="15" customHeight="1" x14ac:dyDescent="0.3">
      <c r="A173" s="60" t="s">
        <v>568</v>
      </c>
      <c r="B173" s="61">
        <v>166154</v>
      </c>
      <c r="C173" s="62">
        <v>46179</v>
      </c>
      <c r="D173" s="63" t="s">
        <v>412</v>
      </c>
      <c r="E173" s="64" t="s">
        <v>411</v>
      </c>
      <c r="F173" s="65">
        <f>IFERROR(INDEX(M_User!$A$12:$J$67,MATCH(D173,M_User!$D$12:$D$67,0),1),"UNMAPPED")</f>
        <v>48</v>
      </c>
      <c r="G173" s="66" t="str">
        <f>IFERROR(INDEX(M_User!$A$12:$J$67,MATCH(D173,M_User!$D$12:$D$67,0),3),"UNMAPPED")</f>
        <v>Jonas Steven Michael</v>
      </c>
      <c r="H173" s="65" t="str">
        <f>IFERROR(INDEX(M_User!$A$12:$J$67,MATCH(D173,M_User!$D$12:$D$67,0),5),"UNMAPPED")</f>
        <v>MOS</v>
      </c>
      <c r="I173" s="63" t="s">
        <v>149</v>
      </c>
      <c r="J173" s="63" t="s">
        <v>193</v>
      </c>
      <c r="K173" s="66" t="str">
        <f>IFERROR(INDEX(M_SKU!$A$18:$J$57,MATCH(J173,M_SKU!$B$18:$B$57,0),1),"UNKNOWN SKU")</f>
        <v>Sparletta Pinenut RGB 350ml</v>
      </c>
      <c r="L173" s="63" t="s">
        <v>537</v>
      </c>
      <c r="M173" s="62">
        <v>46158</v>
      </c>
      <c r="N173" s="62">
        <v>46522</v>
      </c>
      <c r="O173" s="67">
        <v>5</v>
      </c>
      <c r="P173" s="68" t="s">
        <v>521</v>
      </c>
      <c r="Q173" s="63"/>
      <c r="R173" s="62"/>
      <c r="S173" s="69"/>
      <c r="T173" s="69"/>
      <c r="U173" s="66" t="str">
        <f t="shared" si="2"/>
        <v>MOS100501|FG008|CK3-33365</v>
      </c>
    </row>
    <row r="174" spans="1:21" ht="15" customHeight="1" x14ac:dyDescent="0.3">
      <c r="A174" s="70" t="s">
        <v>568</v>
      </c>
      <c r="B174" s="71">
        <v>166154</v>
      </c>
      <c r="C174" s="72">
        <v>46179</v>
      </c>
      <c r="D174" s="73" t="s">
        <v>412</v>
      </c>
      <c r="E174" s="74" t="s">
        <v>411</v>
      </c>
      <c r="F174" s="75">
        <f>IFERROR(INDEX(M_User!$A$12:$J$67,MATCH(D174,M_User!$D$12:$D$67,0),1),"UNMAPPED")</f>
        <v>48</v>
      </c>
      <c r="G174" s="76" t="str">
        <f>IFERROR(INDEX(M_User!$A$12:$J$67,MATCH(D174,M_User!$D$12:$D$67,0),3),"UNMAPPED")</f>
        <v>Jonas Steven Michael</v>
      </c>
      <c r="H174" s="75" t="str">
        <f>IFERROR(INDEX(M_User!$A$12:$J$67,MATCH(D174,M_User!$D$12:$D$67,0),5),"UNMAPPED")</f>
        <v>MOS</v>
      </c>
      <c r="I174" s="73" t="s">
        <v>149</v>
      </c>
      <c r="J174" s="73" t="s">
        <v>196</v>
      </c>
      <c r="K174" s="76" t="str">
        <f>IFERROR(INDEX(M_SKU!$A$18:$J$57,MATCH(J174,M_SKU!$B$18:$B$57,0),1),"UNKNOWN SKU")</f>
        <v>Krest Bitter Lemon RGB 300ml</v>
      </c>
      <c r="L174" s="73" t="s">
        <v>538</v>
      </c>
      <c r="M174" s="72">
        <v>46154</v>
      </c>
      <c r="N174" s="72">
        <v>46518</v>
      </c>
      <c r="O174" s="77">
        <v>3</v>
      </c>
      <c r="P174" s="78" t="s">
        <v>521</v>
      </c>
      <c r="Q174" s="79"/>
      <c r="R174" s="80"/>
      <c r="S174" s="81"/>
      <c r="T174" s="81"/>
      <c r="U174" s="82" t="str">
        <f t="shared" si="2"/>
        <v>MOS100501|FG009|CK3-33348</v>
      </c>
    </row>
    <row r="175" spans="1:21" ht="15" customHeight="1" x14ac:dyDescent="0.3">
      <c r="A175" s="60" t="s">
        <v>568</v>
      </c>
      <c r="B175" s="61">
        <v>166154</v>
      </c>
      <c r="C175" s="62">
        <v>46179</v>
      </c>
      <c r="D175" s="63" t="s">
        <v>412</v>
      </c>
      <c r="E175" s="64" t="s">
        <v>411</v>
      </c>
      <c r="F175" s="65">
        <f>IFERROR(INDEX(M_User!$A$12:$J$67,MATCH(D175,M_User!$D$12:$D$67,0),1),"UNMAPPED")</f>
        <v>48</v>
      </c>
      <c r="G175" s="66" t="str">
        <f>IFERROR(INDEX(M_User!$A$12:$J$67,MATCH(D175,M_User!$D$12:$D$67,0),3),"UNMAPPED")</f>
        <v>Jonas Steven Michael</v>
      </c>
      <c r="H175" s="65" t="str">
        <f>IFERROR(INDEX(M_User!$A$12:$J$67,MATCH(D175,M_User!$D$12:$D$67,0),5),"UNMAPPED")</f>
        <v>MOS</v>
      </c>
      <c r="I175" s="63" t="s">
        <v>149</v>
      </c>
      <c r="J175" s="63" t="s">
        <v>199</v>
      </c>
      <c r="K175" s="66" t="str">
        <f>IFERROR(INDEX(M_SKU!$A$18:$J$57,MATCH(J175,M_SKU!$B$18:$B$57,0),1),"UNKNOWN SKU")</f>
        <v>Krest Club Soda RGB 300ml</v>
      </c>
      <c r="L175" s="63" t="s">
        <v>539</v>
      </c>
      <c r="M175" s="62">
        <v>46140</v>
      </c>
      <c r="N175" s="62">
        <v>46504</v>
      </c>
      <c r="O175" s="67">
        <v>3</v>
      </c>
      <c r="P175" s="68" t="s">
        <v>521</v>
      </c>
      <c r="Q175" s="63"/>
      <c r="R175" s="62"/>
      <c r="S175" s="69"/>
      <c r="T175" s="69"/>
      <c r="U175" s="66" t="str">
        <f t="shared" si="2"/>
        <v>MOS100501|FG010|CK3-33301</v>
      </c>
    </row>
    <row r="176" spans="1:21" ht="15" customHeight="1" x14ac:dyDescent="0.3">
      <c r="A176" s="70" t="s">
        <v>568</v>
      </c>
      <c r="B176" s="71">
        <v>166154</v>
      </c>
      <c r="C176" s="72">
        <v>46179</v>
      </c>
      <c r="D176" s="73" t="s">
        <v>412</v>
      </c>
      <c r="E176" s="74" t="s">
        <v>411</v>
      </c>
      <c r="F176" s="75">
        <f>IFERROR(INDEX(M_User!$A$12:$J$67,MATCH(D176,M_User!$D$12:$D$67,0),1),"UNMAPPED")</f>
        <v>48</v>
      </c>
      <c r="G176" s="76" t="str">
        <f>IFERROR(INDEX(M_User!$A$12:$J$67,MATCH(D176,M_User!$D$12:$D$67,0),3),"UNMAPPED")</f>
        <v>Jonas Steven Michael</v>
      </c>
      <c r="H176" s="75" t="str">
        <f>IFERROR(INDEX(M_User!$A$12:$J$67,MATCH(D176,M_User!$D$12:$D$67,0),5),"UNMAPPED")</f>
        <v>MOS</v>
      </c>
      <c r="I176" s="73" t="s">
        <v>149</v>
      </c>
      <c r="J176" s="73" t="s">
        <v>201</v>
      </c>
      <c r="K176" s="76" t="str">
        <f>IFERROR(INDEX(M_SKU!$A$18:$J$57,MATCH(J176,M_SKU!$B$18:$B$57,0),1),"UNKNOWN SKU")</f>
        <v>Krest Tonic Water RGB 300ml</v>
      </c>
      <c r="L176" s="73" t="s">
        <v>540</v>
      </c>
      <c r="M176" s="72">
        <v>46154</v>
      </c>
      <c r="N176" s="72">
        <v>46518</v>
      </c>
      <c r="O176" s="77">
        <v>3</v>
      </c>
      <c r="P176" s="78" t="s">
        <v>521</v>
      </c>
      <c r="Q176" s="79"/>
      <c r="R176" s="80"/>
      <c r="S176" s="81"/>
      <c r="T176" s="81"/>
      <c r="U176" s="82" t="str">
        <f t="shared" si="2"/>
        <v>MOS100501|FG011|CK3-33347</v>
      </c>
    </row>
    <row r="177" spans="1:21" ht="15" customHeight="1" x14ac:dyDescent="0.3">
      <c r="A177" s="60" t="s">
        <v>568</v>
      </c>
      <c r="B177" s="61">
        <v>166154</v>
      </c>
      <c r="C177" s="62">
        <v>46179</v>
      </c>
      <c r="D177" s="63" t="s">
        <v>412</v>
      </c>
      <c r="E177" s="64" t="s">
        <v>411</v>
      </c>
      <c r="F177" s="65">
        <f>IFERROR(INDEX(M_User!$A$12:$J$67,MATCH(D177,M_User!$D$12:$D$67,0),1),"UNMAPPED")</f>
        <v>48</v>
      </c>
      <c r="G177" s="66" t="str">
        <f>IFERROR(INDEX(M_User!$A$12:$J$67,MATCH(D177,M_User!$D$12:$D$67,0),3),"UNMAPPED")</f>
        <v>Jonas Steven Michael</v>
      </c>
      <c r="H177" s="65" t="str">
        <f>IFERROR(INDEX(M_User!$A$12:$J$67,MATCH(D177,M_User!$D$12:$D$67,0),5),"UNMAPPED")</f>
        <v>MOS</v>
      </c>
      <c r="I177" s="63" t="s">
        <v>149</v>
      </c>
      <c r="J177" s="63" t="s">
        <v>203</v>
      </c>
      <c r="K177" s="66" t="str">
        <f>IFERROR(INDEX(M_SKU!$A$18:$J$57,MATCH(J177,M_SKU!$B$18:$B$57,0),1),"UNKNOWN SKU")</f>
        <v>Krest Ginger Ale RGB 300ml</v>
      </c>
      <c r="L177" s="63" t="s">
        <v>541</v>
      </c>
      <c r="M177" s="62">
        <v>46088</v>
      </c>
      <c r="N177" s="62">
        <v>46452</v>
      </c>
      <c r="O177" s="67">
        <v>2</v>
      </c>
      <c r="P177" s="68" t="s">
        <v>521</v>
      </c>
      <c r="Q177" s="63"/>
      <c r="R177" s="62"/>
      <c r="S177" s="69"/>
      <c r="T177" s="69"/>
      <c r="U177" s="66" t="str">
        <f t="shared" si="2"/>
        <v>MOS100501|FG012|CK3-33126</v>
      </c>
    </row>
    <row r="178" spans="1:21" ht="15" customHeight="1" x14ac:dyDescent="0.3">
      <c r="A178" s="70" t="s">
        <v>568</v>
      </c>
      <c r="B178" s="71">
        <v>166154</v>
      </c>
      <c r="C178" s="72">
        <v>46179</v>
      </c>
      <c r="D178" s="73" t="s">
        <v>412</v>
      </c>
      <c r="E178" s="74" t="s">
        <v>411</v>
      </c>
      <c r="F178" s="75">
        <f>IFERROR(INDEX(M_User!$A$12:$J$67,MATCH(D178,M_User!$D$12:$D$67,0),1),"UNMAPPED")</f>
        <v>48</v>
      </c>
      <c r="G178" s="76" t="str">
        <f>IFERROR(INDEX(M_User!$A$12:$J$67,MATCH(D178,M_User!$D$12:$D$67,0),3),"UNMAPPED")</f>
        <v>Jonas Steven Michael</v>
      </c>
      <c r="H178" s="75" t="str">
        <f>IFERROR(INDEX(M_User!$A$12:$J$67,MATCH(D178,M_User!$D$12:$D$67,0),5),"UNMAPPED")</f>
        <v>MOS</v>
      </c>
      <c r="I178" s="73" t="s">
        <v>149</v>
      </c>
      <c r="J178" s="73" t="s">
        <v>209</v>
      </c>
      <c r="K178" s="76" t="str">
        <f>IFERROR(INDEX(M_SKU!$A$18:$J$57,MATCH(J178,M_SKU!$B$18:$B$57,0),1),"UNKNOWN SKU")</f>
        <v>Sparletta Red Apple RGB 350ml</v>
      </c>
      <c r="L178" s="73" t="s">
        <v>542</v>
      </c>
      <c r="M178" s="72">
        <v>46010</v>
      </c>
      <c r="N178" s="72">
        <v>46374</v>
      </c>
      <c r="O178" s="77">
        <v>2</v>
      </c>
      <c r="P178" s="78" t="s">
        <v>521</v>
      </c>
      <c r="Q178" s="79"/>
      <c r="R178" s="80"/>
      <c r="S178" s="81"/>
      <c r="T178" s="81"/>
      <c r="U178" s="82" t="str">
        <f t="shared" si="2"/>
        <v>MOS100501|FG024|CK3-32758</v>
      </c>
    </row>
    <row r="179" spans="1:21" ht="15" customHeight="1" x14ac:dyDescent="0.3">
      <c r="A179" s="60" t="s">
        <v>568</v>
      </c>
      <c r="B179" s="61">
        <v>166154</v>
      </c>
      <c r="C179" s="62">
        <v>46179</v>
      </c>
      <c r="D179" s="63" t="s">
        <v>412</v>
      </c>
      <c r="E179" s="64" t="s">
        <v>411</v>
      </c>
      <c r="F179" s="65">
        <f>IFERROR(INDEX(M_User!$A$12:$J$67,MATCH(D179,M_User!$D$12:$D$67,0),1),"UNMAPPED")</f>
        <v>48</v>
      </c>
      <c r="G179" s="66" t="str">
        <f>IFERROR(INDEX(M_User!$A$12:$J$67,MATCH(D179,M_User!$D$12:$D$67,0),3),"UNMAPPED")</f>
        <v>Jonas Steven Michael</v>
      </c>
      <c r="H179" s="65" t="str">
        <f>IFERROR(INDEX(M_User!$A$12:$J$67,MATCH(D179,M_User!$D$12:$D$67,0),5),"UNMAPPED")</f>
        <v>MOS</v>
      </c>
      <c r="I179" s="63" t="s">
        <v>149</v>
      </c>
      <c r="J179" s="63" t="s">
        <v>211</v>
      </c>
      <c r="K179" s="66" t="str">
        <f>IFERROR(INDEX(M_SKU!$A$18:$J$57,MATCH(J179,M_SKU!$B$18:$B$57,0),1),"UNKNOWN SKU")</f>
        <v>KNMW 500ml</v>
      </c>
      <c r="L179" s="63" t="s">
        <v>543</v>
      </c>
      <c r="M179" s="62">
        <v>46177</v>
      </c>
      <c r="N179" s="62">
        <v>46541</v>
      </c>
      <c r="O179" s="67">
        <v>180</v>
      </c>
      <c r="P179" s="68" t="s">
        <v>521</v>
      </c>
      <c r="Q179" s="63"/>
      <c r="R179" s="62"/>
      <c r="S179" s="69"/>
      <c r="T179" s="69"/>
      <c r="U179" s="66" t="str">
        <f t="shared" si="2"/>
        <v>MOS100501|KD001|CK6-986</v>
      </c>
    </row>
    <row r="180" spans="1:21" ht="15" customHeight="1" x14ac:dyDescent="0.3">
      <c r="A180" s="70" t="s">
        <v>568</v>
      </c>
      <c r="B180" s="71">
        <v>166154</v>
      </c>
      <c r="C180" s="72">
        <v>46179</v>
      </c>
      <c r="D180" s="73" t="s">
        <v>412</v>
      </c>
      <c r="E180" s="74" t="s">
        <v>411</v>
      </c>
      <c r="F180" s="75">
        <f>IFERROR(INDEX(M_User!$A$12:$J$67,MATCH(D180,M_User!$D$12:$D$67,0),1),"UNMAPPED")</f>
        <v>48</v>
      </c>
      <c r="G180" s="76" t="str">
        <f>IFERROR(INDEX(M_User!$A$12:$J$67,MATCH(D180,M_User!$D$12:$D$67,0),3),"UNMAPPED")</f>
        <v>Jonas Steven Michael</v>
      </c>
      <c r="H180" s="75" t="str">
        <f>IFERROR(INDEX(M_User!$A$12:$J$67,MATCH(D180,M_User!$D$12:$D$67,0),5),"UNMAPPED")</f>
        <v>MOS</v>
      </c>
      <c r="I180" s="73" t="s">
        <v>149</v>
      </c>
      <c r="J180" s="73" t="s">
        <v>217</v>
      </c>
      <c r="K180" s="76" t="str">
        <f>IFERROR(INDEX(M_SKU!$A$18:$J$57,MATCH(J180,M_SKU!$B$18:$B$57,0),1),"UNKNOWN SKU")</f>
        <v>KNMW 1500ml</v>
      </c>
      <c r="L180" s="73" t="s">
        <v>551</v>
      </c>
      <c r="M180" s="72">
        <v>46177</v>
      </c>
      <c r="N180" s="72">
        <v>46541</v>
      </c>
      <c r="O180" s="77">
        <v>90</v>
      </c>
      <c r="P180" s="78" t="s">
        <v>521</v>
      </c>
      <c r="Q180" s="79"/>
      <c r="R180" s="80"/>
      <c r="S180" s="81"/>
      <c r="T180" s="81"/>
      <c r="U180" s="82" t="str">
        <f t="shared" si="2"/>
        <v>MOS100501|KD003|CK4-842</v>
      </c>
    </row>
    <row r="181" spans="1:21" ht="15" customHeight="1" x14ac:dyDescent="0.3">
      <c r="A181" s="60" t="s">
        <v>568</v>
      </c>
      <c r="B181" s="61">
        <v>166154</v>
      </c>
      <c r="C181" s="62">
        <v>46179</v>
      </c>
      <c r="D181" s="63" t="s">
        <v>412</v>
      </c>
      <c r="E181" s="64" t="s">
        <v>411</v>
      </c>
      <c r="F181" s="65">
        <f>IFERROR(INDEX(M_User!$A$12:$J$67,MATCH(D181,M_User!$D$12:$D$67,0),1),"UNMAPPED")</f>
        <v>48</v>
      </c>
      <c r="G181" s="66" t="str">
        <f>IFERROR(INDEX(M_User!$A$12:$J$67,MATCH(D181,M_User!$D$12:$D$67,0),3),"UNMAPPED")</f>
        <v>Jonas Steven Michael</v>
      </c>
      <c r="H181" s="65" t="str">
        <f>IFERROR(INDEX(M_User!$A$12:$J$67,MATCH(D181,M_User!$D$12:$D$67,0),5),"UNMAPPED")</f>
        <v>MOS</v>
      </c>
      <c r="I181" s="63" t="s">
        <v>149</v>
      </c>
      <c r="J181" s="63" t="s">
        <v>229</v>
      </c>
      <c r="K181" s="66" t="str">
        <f>IFERROR(INDEX(M_SKU!$A$18:$J$57,MATCH(J181,M_SKU!$B$18:$B$57,0),1),"UNKNOWN SKU")</f>
        <v>Coke Pet 500ML ( x12)</v>
      </c>
      <c r="L181" s="63" t="s">
        <v>520</v>
      </c>
      <c r="M181" s="62">
        <v>46177</v>
      </c>
      <c r="N181" s="62">
        <v>46288</v>
      </c>
      <c r="O181" s="67">
        <v>30</v>
      </c>
      <c r="P181" s="68" t="s">
        <v>521</v>
      </c>
      <c r="Q181" s="63"/>
      <c r="R181" s="62"/>
      <c r="S181" s="69"/>
      <c r="T181" s="69"/>
      <c r="U181" s="66" t="str">
        <f t="shared" si="2"/>
        <v>MOS100501|PH001|CK6-33411</v>
      </c>
    </row>
    <row r="182" spans="1:21" ht="15" customHeight="1" x14ac:dyDescent="0.3">
      <c r="A182" s="70" t="s">
        <v>568</v>
      </c>
      <c r="B182" s="71">
        <v>166154</v>
      </c>
      <c r="C182" s="72">
        <v>46179</v>
      </c>
      <c r="D182" s="73" t="s">
        <v>412</v>
      </c>
      <c r="E182" s="74" t="s">
        <v>411</v>
      </c>
      <c r="F182" s="75">
        <f>IFERROR(INDEX(M_User!$A$12:$J$67,MATCH(D182,M_User!$D$12:$D$67,0),1),"UNMAPPED")</f>
        <v>48</v>
      </c>
      <c r="G182" s="76" t="str">
        <f>IFERROR(INDEX(M_User!$A$12:$J$67,MATCH(D182,M_User!$D$12:$D$67,0),3),"UNMAPPED")</f>
        <v>Jonas Steven Michael</v>
      </c>
      <c r="H182" s="75" t="str">
        <f>IFERROR(INDEX(M_User!$A$12:$J$67,MATCH(D182,M_User!$D$12:$D$67,0),5),"UNMAPPED")</f>
        <v>MOS</v>
      </c>
      <c r="I182" s="73" t="s">
        <v>149</v>
      </c>
      <c r="J182" s="73" t="s">
        <v>232</v>
      </c>
      <c r="K182" s="76" t="str">
        <f>IFERROR(INDEX(M_SKU!$A$18:$J$57,MATCH(J182,M_SKU!$B$18:$B$57,0),1),"UNKNOWN SKU")</f>
        <v>Sprite Pet 500ML (x 12)</v>
      </c>
      <c r="L182" s="73" t="s">
        <v>522</v>
      </c>
      <c r="M182" s="72">
        <v>46158</v>
      </c>
      <c r="N182" s="72">
        <v>46269</v>
      </c>
      <c r="O182" s="77">
        <v>7</v>
      </c>
      <c r="P182" s="78" t="s">
        <v>521</v>
      </c>
      <c r="Q182" s="79"/>
      <c r="R182" s="80"/>
      <c r="S182" s="81"/>
      <c r="T182" s="81"/>
      <c r="U182" s="82" t="str">
        <f t="shared" si="2"/>
        <v>MOS100501|PH002|CK6-33362</v>
      </c>
    </row>
    <row r="183" spans="1:21" ht="15" customHeight="1" x14ac:dyDescent="0.3">
      <c r="A183" s="60" t="s">
        <v>568</v>
      </c>
      <c r="B183" s="61">
        <v>166154</v>
      </c>
      <c r="C183" s="62">
        <v>46179</v>
      </c>
      <c r="D183" s="63" t="s">
        <v>412</v>
      </c>
      <c r="E183" s="64" t="s">
        <v>411</v>
      </c>
      <c r="F183" s="65">
        <f>IFERROR(INDEX(M_User!$A$12:$J$67,MATCH(D183,M_User!$D$12:$D$67,0),1),"UNMAPPED")</f>
        <v>48</v>
      </c>
      <c r="G183" s="66" t="str">
        <f>IFERROR(INDEX(M_User!$A$12:$J$67,MATCH(D183,M_User!$D$12:$D$67,0),3),"UNMAPPED")</f>
        <v>Jonas Steven Michael</v>
      </c>
      <c r="H183" s="65" t="str">
        <f>IFERROR(INDEX(M_User!$A$12:$J$67,MATCH(D183,M_User!$D$12:$D$67,0),5),"UNMAPPED")</f>
        <v>MOS</v>
      </c>
      <c r="I183" s="63" t="s">
        <v>149</v>
      </c>
      <c r="J183" s="63" t="s">
        <v>234</v>
      </c>
      <c r="K183" s="66" t="str">
        <f>IFERROR(INDEX(M_SKU!$A$18:$J$57,MATCH(J183,M_SKU!$B$18:$B$57,0),1),"UNKNOWN SKU")</f>
        <v>Fanta Orange Pet 500ML ( x 12)</v>
      </c>
      <c r="L183" s="63" t="s">
        <v>523</v>
      </c>
      <c r="M183" s="62">
        <v>46172</v>
      </c>
      <c r="N183" s="62">
        <v>46283</v>
      </c>
      <c r="O183" s="67">
        <v>20</v>
      </c>
      <c r="P183" s="68" t="s">
        <v>521</v>
      </c>
      <c r="Q183" s="63"/>
      <c r="R183" s="62"/>
      <c r="S183" s="69"/>
      <c r="T183" s="69"/>
      <c r="U183" s="66" t="str">
        <f t="shared" si="2"/>
        <v>MOS100501|PH003|CK6-33405</v>
      </c>
    </row>
    <row r="184" spans="1:21" ht="15" customHeight="1" x14ac:dyDescent="0.3">
      <c r="A184" s="70" t="s">
        <v>568</v>
      </c>
      <c r="B184" s="71">
        <v>166154</v>
      </c>
      <c r="C184" s="72">
        <v>46179</v>
      </c>
      <c r="D184" s="73" t="s">
        <v>412</v>
      </c>
      <c r="E184" s="74" t="s">
        <v>411</v>
      </c>
      <c r="F184" s="75">
        <f>IFERROR(INDEX(M_User!$A$12:$J$67,MATCH(D184,M_User!$D$12:$D$67,0),1),"UNMAPPED")</f>
        <v>48</v>
      </c>
      <c r="G184" s="76" t="str">
        <f>IFERROR(INDEX(M_User!$A$12:$J$67,MATCH(D184,M_User!$D$12:$D$67,0),3),"UNMAPPED")</f>
        <v>Jonas Steven Michael</v>
      </c>
      <c r="H184" s="75" t="str">
        <f>IFERROR(INDEX(M_User!$A$12:$J$67,MATCH(D184,M_User!$D$12:$D$67,0),5),"UNMAPPED")</f>
        <v>MOS</v>
      </c>
      <c r="I184" s="73" t="s">
        <v>149</v>
      </c>
      <c r="J184" s="73" t="s">
        <v>236</v>
      </c>
      <c r="K184" s="76" t="str">
        <f>IFERROR(INDEX(M_SKU!$A$18:$J$57,MATCH(J184,M_SKU!$B$18:$B$57,0),1),"UNKNOWN SKU")</f>
        <v>Fanta Passion Pet 500ML ( x12)</v>
      </c>
      <c r="L184" s="73" t="s">
        <v>524</v>
      </c>
      <c r="M184" s="72">
        <v>46151</v>
      </c>
      <c r="N184" s="72">
        <v>46262</v>
      </c>
      <c r="O184" s="77">
        <v>8</v>
      </c>
      <c r="P184" s="78" t="s">
        <v>521</v>
      </c>
      <c r="Q184" s="79"/>
      <c r="R184" s="80"/>
      <c r="S184" s="81"/>
      <c r="T184" s="81"/>
      <c r="U184" s="82" t="str">
        <f t="shared" si="2"/>
        <v>MOS100501|PH004|CK5-33334</v>
      </c>
    </row>
    <row r="185" spans="1:21" ht="15" customHeight="1" x14ac:dyDescent="0.3">
      <c r="A185" s="60" t="s">
        <v>568</v>
      </c>
      <c r="B185" s="61">
        <v>166154</v>
      </c>
      <c r="C185" s="62">
        <v>46179</v>
      </c>
      <c r="D185" s="63" t="s">
        <v>412</v>
      </c>
      <c r="E185" s="64" t="s">
        <v>411</v>
      </c>
      <c r="F185" s="65">
        <f>IFERROR(INDEX(M_User!$A$12:$J$67,MATCH(D185,M_User!$D$12:$D$67,0),1),"UNMAPPED")</f>
        <v>48</v>
      </c>
      <c r="G185" s="66" t="str">
        <f>IFERROR(INDEX(M_User!$A$12:$J$67,MATCH(D185,M_User!$D$12:$D$67,0),3),"UNMAPPED")</f>
        <v>Jonas Steven Michael</v>
      </c>
      <c r="H185" s="65" t="str">
        <f>IFERROR(INDEX(M_User!$A$12:$J$67,MATCH(D185,M_User!$D$12:$D$67,0),5),"UNMAPPED")</f>
        <v>MOS</v>
      </c>
      <c r="I185" s="63" t="s">
        <v>149</v>
      </c>
      <c r="J185" s="63" t="s">
        <v>242</v>
      </c>
      <c r="K185" s="66" t="str">
        <f>IFERROR(INDEX(M_SKU!$A$18:$J$57,MATCH(J185,M_SKU!$B$18:$B$57,0),1),"UNKNOWN SKU")</f>
        <v>Stoney Tangawizi Pet 500 ml ( x12)</v>
      </c>
      <c r="L185" s="63" t="s">
        <v>525</v>
      </c>
      <c r="M185" s="62">
        <v>46161</v>
      </c>
      <c r="N185" s="62">
        <v>46272</v>
      </c>
      <c r="O185" s="67">
        <v>5</v>
      </c>
      <c r="P185" s="68" t="s">
        <v>521</v>
      </c>
      <c r="Q185" s="63"/>
      <c r="R185" s="62"/>
      <c r="S185" s="69"/>
      <c r="T185" s="69"/>
      <c r="U185" s="66" t="str">
        <f t="shared" si="2"/>
        <v>MOS100501|PH007|CK6-33375</v>
      </c>
    </row>
    <row r="186" spans="1:21" ht="15" customHeight="1" x14ac:dyDescent="0.3">
      <c r="A186" s="70" t="s">
        <v>568</v>
      </c>
      <c r="B186" s="71">
        <v>166154</v>
      </c>
      <c r="C186" s="72">
        <v>46179</v>
      </c>
      <c r="D186" s="73" t="s">
        <v>412</v>
      </c>
      <c r="E186" s="74" t="s">
        <v>411</v>
      </c>
      <c r="F186" s="75">
        <f>IFERROR(INDEX(M_User!$A$12:$J$67,MATCH(D186,M_User!$D$12:$D$67,0),1),"UNMAPPED")</f>
        <v>48</v>
      </c>
      <c r="G186" s="76" t="str">
        <f>IFERROR(INDEX(M_User!$A$12:$J$67,MATCH(D186,M_User!$D$12:$D$67,0),3),"UNMAPPED")</f>
        <v>Jonas Steven Michael</v>
      </c>
      <c r="H186" s="75" t="str">
        <f>IFERROR(INDEX(M_User!$A$12:$J$67,MATCH(D186,M_User!$D$12:$D$67,0),5),"UNMAPPED")</f>
        <v>MOS</v>
      </c>
      <c r="I186" s="73" t="s">
        <v>149</v>
      </c>
      <c r="J186" s="73" t="s">
        <v>244</v>
      </c>
      <c r="K186" s="76" t="str">
        <f>IFERROR(INDEX(M_SKU!$A$18:$J$57,MATCH(J186,M_SKU!$B$18:$B$57,0),1),"UNKNOWN SKU")</f>
        <v>Sparletta Pinenut Pet 500 ml ( x12)</v>
      </c>
      <c r="L186" s="73" t="s">
        <v>526</v>
      </c>
      <c r="M186" s="72">
        <v>46161</v>
      </c>
      <c r="N186" s="72">
        <v>46272</v>
      </c>
      <c r="O186" s="77">
        <v>5</v>
      </c>
      <c r="P186" s="78" t="s">
        <v>521</v>
      </c>
      <c r="Q186" s="79"/>
      <c r="R186" s="80"/>
      <c r="S186" s="81"/>
      <c r="T186" s="81"/>
      <c r="U186" s="82" t="str">
        <f t="shared" si="2"/>
        <v>MOS100501|PH008|CK5-33370</v>
      </c>
    </row>
    <row r="187" spans="1:21" ht="15" customHeight="1" x14ac:dyDescent="0.3">
      <c r="A187" s="60" t="s">
        <v>568</v>
      </c>
      <c r="B187" s="61">
        <v>166154</v>
      </c>
      <c r="C187" s="62">
        <v>46179</v>
      </c>
      <c r="D187" s="63" t="s">
        <v>412</v>
      </c>
      <c r="E187" s="64" t="s">
        <v>411</v>
      </c>
      <c r="F187" s="65">
        <f>IFERROR(INDEX(M_User!$A$12:$J$67,MATCH(D187,M_User!$D$12:$D$67,0),1),"UNMAPPED")</f>
        <v>48</v>
      </c>
      <c r="G187" s="66" t="str">
        <f>IFERROR(INDEX(M_User!$A$12:$J$67,MATCH(D187,M_User!$D$12:$D$67,0),3),"UNMAPPED")</f>
        <v>Jonas Steven Michael</v>
      </c>
      <c r="H187" s="65" t="str">
        <f>IFERROR(INDEX(M_User!$A$12:$J$67,MATCH(D187,M_User!$D$12:$D$67,0),5),"UNMAPPED")</f>
        <v>MOS</v>
      </c>
      <c r="I187" s="63" t="s">
        <v>149</v>
      </c>
      <c r="J187" s="63" t="s">
        <v>252</v>
      </c>
      <c r="K187" s="66" t="str">
        <f>IFERROR(INDEX(M_SKU!$A$18:$J$57,MATCH(J187,M_SKU!$B$18:$B$57,0),1),"UNKNOWN SKU")</f>
        <v>Sprite Zero Pet 300ML (x 12)</v>
      </c>
      <c r="L187" s="63" t="s">
        <v>545</v>
      </c>
      <c r="M187" s="62">
        <v>46158</v>
      </c>
      <c r="N187" s="62">
        <v>46241</v>
      </c>
      <c r="O187" s="67">
        <v>4</v>
      </c>
      <c r="P187" s="68" t="s">
        <v>521</v>
      </c>
      <c r="Q187" s="63"/>
      <c r="R187" s="62"/>
      <c r="S187" s="69"/>
      <c r="T187" s="69"/>
      <c r="U187" s="66" t="str">
        <f t="shared" si="2"/>
        <v>MOS100501|PO010|CK5-33360</v>
      </c>
    </row>
    <row r="188" spans="1:21" ht="15" customHeight="1" x14ac:dyDescent="0.3">
      <c r="A188" s="70" t="s">
        <v>568</v>
      </c>
      <c r="B188" s="71">
        <v>166154</v>
      </c>
      <c r="C188" s="72">
        <v>46179</v>
      </c>
      <c r="D188" s="73" t="s">
        <v>412</v>
      </c>
      <c r="E188" s="74" t="s">
        <v>411</v>
      </c>
      <c r="F188" s="75">
        <f>IFERROR(INDEX(M_User!$A$12:$J$67,MATCH(D188,M_User!$D$12:$D$67,0),1),"UNMAPPED")</f>
        <v>48</v>
      </c>
      <c r="G188" s="76" t="str">
        <f>IFERROR(INDEX(M_User!$A$12:$J$67,MATCH(D188,M_User!$D$12:$D$67,0),3),"UNMAPPED")</f>
        <v>Jonas Steven Michael</v>
      </c>
      <c r="H188" s="75" t="str">
        <f>IFERROR(INDEX(M_User!$A$12:$J$67,MATCH(D188,M_User!$D$12:$D$67,0),5),"UNMAPPED")</f>
        <v>MOS</v>
      </c>
      <c r="I188" s="73" t="s">
        <v>149</v>
      </c>
      <c r="J188" s="73" t="s">
        <v>254</v>
      </c>
      <c r="K188" s="76" t="str">
        <f>IFERROR(INDEX(M_SKU!$A$18:$J$57,MATCH(J188,M_SKU!$B$18:$B$57,0),1),"UNKNOWN SKU")</f>
        <v>Fanta Zero Pet 300ML (x 12)</v>
      </c>
      <c r="L188" s="73" t="s">
        <v>546</v>
      </c>
      <c r="M188" s="72">
        <v>46159</v>
      </c>
      <c r="N188" s="72">
        <v>46242</v>
      </c>
      <c r="O188" s="77">
        <v>3</v>
      </c>
      <c r="P188" s="78" t="s">
        <v>521</v>
      </c>
      <c r="Q188" s="79"/>
      <c r="R188" s="80"/>
      <c r="S188" s="81"/>
      <c r="T188" s="81"/>
      <c r="U188" s="82" t="str">
        <f t="shared" si="2"/>
        <v>MOS100501|PO012|CK5-33369</v>
      </c>
    </row>
    <row r="189" spans="1:21" ht="15" customHeight="1" x14ac:dyDescent="0.3">
      <c r="A189" s="60" t="s">
        <v>568</v>
      </c>
      <c r="B189" s="61">
        <v>166154</v>
      </c>
      <c r="C189" s="62">
        <v>46179</v>
      </c>
      <c r="D189" s="63" t="s">
        <v>412</v>
      </c>
      <c r="E189" s="64" t="s">
        <v>411</v>
      </c>
      <c r="F189" s="65">
        <f>IFERROR(INDEX(M_User!$A$12:$J$67,MATCH(D189,M_User!$D$12:$D$67,0),1),"UNMAPPED")</f>
        <v>48</v>
      </c>
      <c r="G189" s="66" t="str">
        <f>IFERROR(INDEX(M_User!$A$12:$J$67,MATCH(D189,M_User!$D$12:$D$67,0),3),"UNMAPPED")</f>
        <v>Jonas Steven Michael</v>
      </c>
      <c r="H189" s="65" t="str">
        <f>IFERROR(INDEX(M_User!$A$12:$J$67,MATCH(D189,M_User!$D$12:$D$67,0),5),"UNMAPPED")</f>
        <v>MOS</v>
      </c>
      <c r="I189" s="63" t="s">
        <v>149</v>
      </c>
      <c r="J189" s="63" t="s">
        <v>256</v>
      </c>
      <c r="K189" s="66" t="str">
        <f>IFERROR(INDEX(M_SKU!$A$18:$J$57,MATCH(J189,M_SKU!$B$18:$B$57,0),1),"UNKNOWN SKU")</f>
        <v>Sparletta Red Apple Pet 300ML(x 12)</v>
      </c>
      <c r="L189" s="63" t="s">
        <v>555</v>
      </c>
      <c r="M189" s="62">
        <v>46159</v>
      </c>
      <c r="N189" s="62">
        <v>46242</v>
      </c>
      <c r="O189" s="67">
        <v>2</v>
      </c>
      <c r="P189" s="68" t="s">
        <v>521</v>
      </c>
      <c r="Q189" s="63"/>
      <c r="R189" s="62"/>
      <c r="S189" s="69"/>
      <c r="T189" s="69"/>
      <c r="U189" s="66" t="str">
        <f t="shared" si="2"/>
        <v>MOS100501|PO013|CK5-33368</v>
      </c>
    </row>
    <row r="190" spans="1:21" ht="15" customHeight="1" x14ac:dyDescent="0.3">
      <c r="A190" s="70" t="s">
        <v>568</v>
      </c>
      <c r="B190" s="71">
        <v>166154</v>
      </c>
      <c r="C190" s="72">
        <v>46179</v>
      </c>
      <c r="D190" s="73" t="s">
        <v>412</v>
      </c>
      <c r="E190" s="74" t="s">
        <v>411</v>
      </c>
      <c r="F190" s="75">
        <f>IFERROR(INDEX(M_User!$A$12:$J$67,MATCH(D190,M_User!$D$12:$D$67,0),1),"UNMAPPED")</f>
        <v>48</v>
      </c>
      <c r="G190" s="76" t="str">
        <f>IFERROR(INDEX(M_User!$A$12:$J$67,MATCH(D190,M_User!$D$12:$D$67,0),3),"UNMAPPED")</f>
        <v>Jonas Steven Michael</v>
      </c>
      <c r="H190" s="75" t="str">
        <f>IFERROR(INDEX(M_User!$A$12:$J$67,MATCH(D190,M_User!$D$12:$D$67,0),5),"UNMAPPED")</f>
        <v>MOS</v>
      </c>
      <c r="I190" s="73" t="s">
        <v>149</v>
      </c>
      <c r="J190" s="73" t="s">
        <v>261</v>
      </c>
      <c r="K190" s="76" t="str">
        <f>IFERROR(INDEX(M_SKU!$A$18:$J$57,MATCH(J190,M_SKU!$B$18:$B$57,0),1),"UNKNOWN SKU")</f>
        <v>Sparletta Pine Apple Pet 300ML (x 12)</v>
      </c>
      <c r="L190" s="73" t="s">
        <v>547</v>
      </c>
      <c r="M190" s="72">
        <v>46158</v>
      </c>
      <c r="N190" s="72">
        <v>46241</v>
      </c>
      <c r="O190" s="77">
        <v>10</v>
      </c>
      <c r="P190" s="78" t="s">
        <v>521</v>
      </c>
      <c r="Q190" s="79"/>
      <c r="R190" s="80"/>
      <c r="S190" s="81"/>
      <c r="T190" s="81"/>
      <c r="U190" s="82" t="str">
        <f t="shared" si="2"/>
        <v>MOS100501|PO015|CK5-33366</v>
      </c>
    </row>
    <row r="191" spans="1:21" ht="15" customHeight="1" x14ac:dyDescent="0.3">
      <c r="A191" s="60" t="s">
        <v>569</v>
      </c>
      <c r="B191" s="61">
        <v>166156</v>
      </c>
      <c r="C191" s="62">
        <v>46179</v>
      </c>
      <c r="D191" s="63" t="s">
        <v>384</v>
      </c>
      <c r="E191" s="64" t="s">
        <v>570</v>
      </c>
      <c r="F191" s="65">
        <f>IFERROR(INDEX(M_User!$A$12:$J$67,MATCH(D191,M_User!$D$12:$D$67,0),1),"UNMAPPED")</f>
        <v>59</v>
      </c>
      <c r="G191" s="66" t="str">
        <f>IFERROR(INDEX(M_User!$A$12:$J$67,MATCH(D191,M_User!$D$12:$D$67,0),3),"UNMAPPED")</f>
        <v>Gastory S Msaki</v>
      </c>
      <c r="H191" s="65" t="str">
        <f>IFERROR(INDEX(M_User!$A$12:$J$67,MATCH(D191,M_User!$D$12:$D$67,0),5),"UNMAPPED")</f>
        <v>MOS</v>
      </c>
      <c r="I191" s="63" t="s">
        <v>149</v>
      </c>
      <c r="J191" s="63" t="s">
        <v>170</v>
      </c>
      <c r="K191" s="66" t="str">
        <f>IFERROR(INDEX(M_SKU!$A$18:$J$57,MATCH(J191,M_SKU!$B$18:$B$57,0),1),"UNKNOWN SKU")</f>
        <v>Coke RGB 350ml</v>
      </c>
      <c r="L191" s="63" t="s">
        <v>530</v>
      </c>
      <c r="M191" s="62">
        <v>46175</v>
      </c>
      <c r="N191" s="62">
        <v>46539</v>
      </c>
      <c r="O191" s="67">
        <v>65</v>
      </c>
      <c r="P191" s="68" t="s">
        <v>521</v>
      </c>
      <c r="Q191" s="63"/>
      <c r="R191" s="62"/>
      <c r="S191" s="69"/>
      <c r="T191" s="69"/>
      <c r="U191" s="66" t="str">
        <f t="shared" si="2"/>
        <v>MOS100624|FG001|CK3-33409</v>
      </c>
    </row>
    <row r="192" spans="1:21" ht="15" customHeight="1" x14ac:dyDescent="0.3">
      <c r="A192" s="70" t="s">
        <v>569</v>
      </c>
      <c r="B192" s="71">
        <v>166156</v>
      </c>
      <c r="C192" s="72">
        <v>46179</v>
      </c>
      <c r="D192" s="73" t="s">
        <v>384</v>
      </c>
      <c r="E192" s="74" t="s">
        <v>570</v>
      </c>
      <c r="F192" s="75">
        <f>IFERROR(INDEX(M_User!$A$12:$J$67,MATCH(D192,M_User!$D$12:$D$67,0),1),"UNMAPPED")</f>
        <v>59</v>
      </c>
      <c r="G192" s="76" t="str">
        <f>IFERROR(INDEX(M_User!$A$12:$J$67,MATCH(D192,M_User!$D$12:$D$67,0),3),"UNMAPPED")</f>
        <v>Gastory S Msaki</v>
      </c>
      <c r="H192" s="75" t="str">
        <f>IFERROR(INDEX(M_User!$A$12:$J$67,MATCH(D192,M_User!$D$12:$D$67,0),5),"UNMAPPED")</f>
        <v>MOS</v>
      </c>
      <c r="I192" s="73" t="s">
        <v>149</v>
      </c>
      <c r="J192" s="73" t="s">
        <v>178</v>
      </c>
      <c r="K192" s="76" t="str">
        <f>IFERROR(INDEX(M_SKU!$A$18:$J$57,MATCH(J192,M_SKU!$B$18:$B$57,0),1),"UNKNOWN SKU")</f>
        <v>Fanta Orange RGB 350ml</v>
      </c>
      <c r="L192" s="73" t="s">
        <v>531</v>
      </c>
      <c r="M192" s="72">
        <v>46174</v>
      </c>
      <c r="N192" s="72">
        <v>46538</v>
      </c>
      <c r="O192" s="77">
        <v>15</v>
      </c>
      <c r="P192" s="78" t="s">
        <v>521</v>
      </c>
      <c r="Q192" s="79"/>
      <c r="R192" s="80"/>
      <c r="S192" s="81"/>
      <c r="T192" s="81"/>
      <c r="U192" s="82" t="str">
        <f t="shared" si="2"/>
        <v>MOS100624|FG002|CK3-33407</v>
      </c>
    </row>
    <row r="193" spans="1:21" ht="15" customHeight="1" x14ac:dyDescent="0.3">
      <c r="A193" s="60" t="s">
        <v>569</v>
      </c>
      <c r="B193" s="61">
        <v>166156</v>
      </c>
      <c r="C193" s="62">
        <v>46179</v>
      </c>
      <c r="D193" s="63" t="s">
        <v>384</v>
      </c>
      <c r="E193" s="64" t="s">
        <v>570</v>
      </c>
      <c r="F193" s="65">
        <f>IFERROR(INDEX(M_User!$A$12:$J$67,MATCH(D193,M_User!$D$12:$D$67,0),1),"UNMAPPED")</f>
        <v>59</v>
      </c>
      <c r="G193" s="66" t="str">
        <f>IFERROR(INDEX(M_User!$A$12:$J$67,MATCH(D193,M_User!$D$12:$D$67,0),3),"UNMAPPED")</f>
        <v>Gastory S Msaki</v>
      </c>
      <c r="H193" s="65" t="str">
        <f>IFERROR(INDEX(M_User!$A$12:$J$67,MATCH(D193,M_User!$D$12:$D$67,0),5),"UNMAPPED")</f>
        <v>MOS</v>
      </c>
      <c r="I193" s="63" t="s">
        <v>149</v>
      </c>
      <c r="J193" s="63" t="s">
        <v>181</v>
      </c>
      <c r="K193" s="66" t="str">
        <f>IFERROR(INDEX(M_SKU!$A$18:$J$57,MATCH(J193,M_SKU!$B$18:$B$57,0),1),"UNKNOWN SKU")</f>
        <v>Fanta Passion RGB 350ml</v>
      </c>
      <c r="L193" s="63" t="s">
        <v>550</v>
      </c>
      <c r="M193" s="62">
        <v>46158</v>
      </c>
      <c r="N193" s="62">
        <v>46521</v>
      </c>
      <c r="O193" s="67">
        <v>8</v>
      </c>
      <c r="P193" s="68" t="s">
        <v>521</v>
      </c>
      <c r="Q193" s="63"/>
      <c r="R193" s="62"/>
      <c r="S193" s="69"/>
      <c r="T193" s="69"/>
      <c r="U193" s="66" t="str">
        <f t="shared" si="2"/>
        <v>MOS100624|FG003|CK3-33356</v>
      </c>
    </row>
    <row r="194" spans="1:21" ht="15" customHeight="1" x14ac:dyDescent="0.3">
      <c r="A194" s="70" t="s">
        <v>569</v>
      </c>
      <c r="B194" s="71">
        <v>166156</v>
      </c>
      <c r="C194" s="72">
        <v>46179</v>
      </c>
      <c r="D194" s="73" t="s">
        <v>384</v>
      </c>
      <c r="E194" s="74" t="s">
        <v>570</v>
      </c>
      <c r="F194" s="75">
        <f>IFERROR(INDEX(M_User!$A$12:$J$67,MATCH(D194,M_User!$D$12:$D$67,0),1),"UNMAPPED")</f>
        <v>59</v>
      </c>
      <c r="G194" s="76" t="str">
        <f>IFERROR(INDEX(M_User!$A$12:$J$67,MATCH(D194,M_User!$D$12:$D$67,0),3),"UNMAPPED")</f>
        <v>Gastory S Msaki</v>
      </c>
      <c r="H194" s="75" t="str">
        <f>IFERROR(INDEX(M_User!$A$12:$J$67,MATCH(D194,M_User!$D$12:$D$67,0),5),"UNMAPPED")</f>
        <v>MOS</v>
      </c>
      <c r="I194" s="73" t="s">
        <v>149</v>
      </c>
      <c r="J194" s="73" t="s">
        <v>183</v>
      </c>
      <c r="K194" s="76" t="str">
        <f>IFERROR(INDEX(M_SKU!$A$18:$J$57,MATCH(J194,M_SKU!$B$18:$B$57,0),1),"UNKNOWN SKU")</f>
        <v>Fanta Pineapple RGB 350ml</v>
      </c>
      <c r="L194" s="73" t="s">
        <v>533</v>
      </c>
      <c r="M194" s="72">
        <v>46163</v>
      </c>
      <c r="N194" s="72">
        <v>46527</v>
      </c>
      <c r="O194" s="77">
        <v>15</v>
      </c>
      <c r="P194" s="78" t="s">
        <v>521</v>
      </c>
      <c r="Q194" s="79"/>
      <c r="R194" s="80"/>
      <c r="S194" s="81"/>
      <c r="T194" s="81"/>
      <c r="U194" s="82" t="str">
        <f t="shared" si="2"/>
        <v>MOS100624|FG004|CK3-33385</v>
      </c>
    </row>
    <row r="195" spans="1:21" ht="15" customHeight="1" x14ac:dyDescent="0.3">
      <c r="A195" s="60" t="s">
        <v>569</v>
      </c>
      <c r="B195" s="61">
        <v>166156</v>
      </c>
      <c r="C195" s="62">
        <v>46179</v>
      </c>
      <c r="D195" s="63" t="s">
        <v>384</v>
      </c>
      <c r="E195" s="64" t="s">
        <v>570</v>
      </c>
      <c r="F195" s="65">
        <f>IFERROR(INDEX(M_User!$A$12:$J$67,MATCH(D195,M_User!$D$12:$D$67,0),1),"UNMAPPED")</f>
        <v>59</v>
      </c>
      <c r="G195" s="66" t="str">
        <f>IFERROR(INDEX(M_User!$A$12:$J$67,MATCH(D195,M_User!$D$12:$D$67,0),3),"UNMAPPED")</f>
        <v>Gastory S Msaki</v>
      </c>
      <c r="H195" s="65" t="str">
        <f>IFERROR(INDEX(M_User!$A$12:$J$67,MATCH(D195,M_User!$D$12:$D$67,0),5),"UNMAPPED")</f>
        <v>MOS</v>
      </c>
      <c r="I195" s="63" t="s">
        <v>149</v>
      </c>
      <c r="J195" s="63" t="s">
        <v>185</v>
      </c>
      <c r="K195" s="66" t="str">
        <f>IFERROR(INDEX(M_SKU!$A$18:$J$57,MATCH(J195,M_SKU!$B$18:$B$57,0),1),"UNKNOWN SKU")</f>
        <v>Fanta Fruit Blast RGB 350 ml</v>
      </c>
      <c r="L195" s="63" t="s">
        <v>534</v>
      </c>
      <c r="M195" s="62">
        <v>46171</v>
      </c>
      <c r="N195" s="62">
        <v>46535</v>
      </c>
      <c r="O195" s="67">
        <v>5</v>
      </c>
      <c r="P195" s="68" t="s">
        <v>521</v>
      </c>
      <c r="Q195" s="63"/>
      <c r="R195" s="62"/>
      <c r="S195" s="69"/>
      <c r="T195" s="69"/>
      <c r="U195" s="66" t="str">
        <f t="shared" si="2"/>
        <v>MOS100624|FG005|CK3-33402</v>
      </c>
    </row>
    <row r="196" spans="1:21" ht="15" customHeight="1" x14ac:dyDescent="0.3">
      <c r="A196" s="70" t="s">
        <v>569</v>
      </c>
      <c r="B196" s="71">
        <v>166156</v>
      </c>
      <c r="C196" s="72">
        <v>46179</v>
      </c>
      <c r="D196" s="73" t="s">
        <v>384</v>
      </c>
      <c r="E196" s="74" t="s">
        <v>570</v>
      </c>
      <c r="F196" s="75">
        <f>IFERROR(INDEX(M_User!$A$12:$J$67,MATCH(D196,M_User!$D$12:$D$67,0),1),"UNMAPPED")</f>
        <v>59</v>
      </c>
      <c r="G196" s="76" t="str">
        <f>IFERROR(INDEX(M_User!$A$12:$J$67,MATCH(D196,M_User!$D$12:$D$67,0),3),"UNMAPPED")</f>
        <v>Gastory S Msaki</v>
      </c>
      <c r="H196" s="75" t="str">
        <f>IFERROR(INDEX(M_User!$A$12:$J$67,MATCH(D196,M_User!$D$12:$D$67,0),5),"UNMAPPED")</f>
        <v>MOS</v>
      </c>
      <c r="I196" s="73" t="s">
        <v>149</v>
      </c>
      <c r="J196" s="73" t="s">
        <v>187</v>
      </c>
      <c r="K196" s="76" t="str">
        <f>IFERROR(INDEX(M_SKU!$A$18:$J$57,MATCH(J196,M_SKU!$B$18:$B$57,0),1),"UNKNOWN SKU")</f>
        <v>Sprite 350ml</v>
      </c>
      <c r="L196" s="73" t="s">
        <v>535</v>
      </c>
      <c r="M196" s="72">
        <v>46177</v>
      </c>
      <c r="N196" s="72">
        <v>46541</v>
      </c>
      <c r="O196" s="77">
        <v>10</v>
      </c>
      <c r="P196" s="78" t="s">
        <v>521</v>
      </c>
      <c r="Q196" s="79"/>
      <c r="R196" s="80"/>
      <c r="S196" s="81"/>
      <c r="T196" s="81"/>
      <c r="U196" s="82" t="str">
        <f t="shared" si="2"/>
        <v>MOS100624|FG006|CK3-33414</v>
      </c>
    </row>
    <row r="197" spans="1:21" ht="15" customHeight="1" x14ac:dyDescent="0.3">
      <c r="A197" s="60" t="s">
        <v>569</v>
      </c>
      <c r="B197" s="61">
        <v>166156</v>
      </c>
      <c r="C197" s="62">
        <v>46179</v>
      </c>
      <c r="D197" s="63" t="s">
        <v>384</v>
      </c>
      <c r="E197" s="64" t="s">
        <v>570</v>
      </c>
      <c r="F197" s="65">
        <f>IFERROR(INDEX(M_User!$A$12:$J$67,MATCH(D197,M_User!$D$12:$D$67,0),1),"UNMAPPED")</f>
        <v>59</v>
      </c>
      <c r="G197" s="66" t="str">
        <f>IFERROR(INDEX(M_User!$A$12:$J$67,MATCH(D197,M_User!$D$12:$D$67,0),3),"UNMAPPED")</f>
        <v>Gastory S Msaki</v>
      </c>
      <c r="H197" s="65" t="str">
        <f>IFERROR(INDEX(M_User!$A$12:$J$67,MATCH(D197,M_User!$D$12:$D$67,0),5),"UNMAPPED")</f>
        <v>MOS</v>
      </c>
      <c r="I197" s="63" t="s">
        <v>149</v>
      </c>
      <c r="J197" s="63" t="s">
        <v>190</v>
      </c>
      <c r="K197" s="66" t="str">
        <f>IFERROR(INDEX(M_SKU!$A$18:$J$57,MATCH(J197,M_SKU!$B$18:$B$57,0),1),"UNKNOWN SKU")</f>
        <v>Stoney Tangawizi RGB 350ml</v>
      </c>
      <c r="L197" s="63" t="s">
        <v>536</v>
      </c>
      <c r="M197" s="62">
        <v>46172</v>
      </c>
      <c r="N197" s="62">
        <v>46353</v>
      </c>
      <c r="O197" s="67">
        <v>7</v>
      </c>
      <c r="P197" s="68" t="s">
        <v>521</v>
      </c>
      <c r="Q197" s="63"/>
      <c r="R197" s="62"/>
      <c r="S197" s="69"/>
      <c r="T197" s="69"/>
      <c r="U197" s="66" t="str">
        <f t="shared" si="2"/>
        <v>MOS100624|FG007|CK3-33404</v>
      </c>
    </row>
    <row r="198" spans="1:21" ht="15" customHeight="1" x14ac:dyDescent="0.3">
      <c r="A198" s="70" t="s">
        <v>569</v>
      </c>
      <c r="B198" s="71">
        <v>166156</v>
      </c>
      <c r="C198" s="72">
        <v>46179</v>
      </c>
      <c r="D198" s="73" t="s">
        <v>384</v>
      </c>
      <c r="E198" s="74" t="s">
        <v>570</v>
      </c>
      <c r="F198" s="75">
        <f>IFERROR(INDEX(M_User!$A$12:$J$67,MATCH(D198,M_User!$D$12:$D$67,0),1),"UNMAPPED")</f>
        <v>59</v>
      </c>
      <c r="G198" s="76" t="str">
        <f>IFERROR(INDEX(M_User!$A$12:$J$67,MATCH(D198,M_User!$D$12:$D$67,0),3),"UNMAPPED")</f>
        <v>Gastory S Msaki</v>
      </c>
      <c r="H198" s="75" t="str">
        <f>IFERROR(INDEX(M_User!$A$12:$J$67,MATCH(D198,M_User!$D$12:$D$67,0),5),"UNMAPPED")</f>
        <v>MOS</v>
      </c>
      <c r="I198" s="73" t="s">
        <v>149</v>
      </c>
      <c r="J198" s="73" t="s">
        <v>193</v>
      </c>
      <c r="K198" s="76" t="str">
        <f>IFERROR(INDEX(M_SKU!$A$18:$J$57,MATCH(J198,M_SKU!$B$18:$B$57,0),1),"UNKNOWN SKU")</f>
        <v>Sparletta Pinenut RGB 350ml</v>
      </c>
      <c r="L198" s="73" t="s">
        <v>537</v>
      </c>
      <c r="M198" s="72">
        <v>46158</v>
      </c>
      <c r="N198" s="72">
        <v>46522</v>
      </c>
      <c r="O198" s="77">
        <v>10</v>
      </c>
      <c r="P198" s="78" t="s">
        <v>521</v>
      </c>
      <c r="Q198" s="79"/>
      <c r="R198" s="80"/>
      <c r="S198" s="81"/>
      <c r="T198" s="81"/>
      <c r="U198" s="82" t="str">
        <f t="shared" si="2"/>
        <v>MOS100624|FG008|CK3-33365</v>
      </c>
    </row>
    <row r="199" spans="1:21" ht="15" customHeight="1" x14ac:dyDescent="0.3">
      <c r="A199" s="60" t="s">
        <v>569</v>
      </c>
      <c r="B199" s="61">
        <v>166156</v>
      </c>
      <c r="C199" s="62">
        <v>46179</v>
      </c>
      <c r="D199" s="63" t="s">
        <v>384</v>
      </c>
      <c r="E199" s="64" t="s">
        <v>570</v>
      </c>
      <c r="F199" s="65">
        <f>IFERROR(INDEX(M_User!$A$12:$J$67,MATCH(D199,M_User!$D$12:$D$67,0),1),"UNMAPPED")</f>
        <v>59</v>
      </c>
      <c r="G199" s="66" t="str">
        <f>IFERROR(INDEX(M_User!$A$12:$J$67,MATCH(D199,M_User!$D$12:$D$67,0),3),"UNMAPPED")</f>
        <v>Gastory S Msaki</v>
      </c>
      <c r="H199" s="65" t="str">
        <f>IFERROR(INDEX(M_User!$A$12:$J$67,MATCH(D199,M_User!$D$12:$D$67,0),5),"UNMAPPED")</f>
        <v>MOS</v>
      </c>
      <c r="I199" s="63" t="s">
        <v>149</v>
      </c>
      <c r="J199" s="63" t="s">
        <v>196</v>
      </c>
      <c r="K199" s="66" t="str">
        <f>IFERROR(INDEX(M_SKU!$A$18:$J$57,MATCH(J199,M_SKU!$B$18:$B$57,0),1),"UNKNOWN SKU")</f>
        <v>Krest Bitter Lemon RGB 300ml</v>
      </c>
      <c r="L199" s="63" t="s">
        <v>538</v>
      </c>
      <c r="M199" s="62">
        <v>46154</v>
      </c>
      <c r="N199" s="62">
        <v>46518</v>
      </c>
      <c r="O199" s="67">
        <v>2</v>
      </c>
      <c r="P199" s="68" t="s">
        <v>521</v>
      </c>
      <c r="Q199" s="63"/>
      <c r="R199" s="62"/>
      <c r="S199" s="69"/>
      <c r="T199" s="69"/>
      <c r="U199" s="66" t="str">
        <f t="shared" si="2"/>
        <v>MOS100624|FG009|CK3-33348</v>
      </c>
    </row>
    <row r="200" spans="1:21" ht="15" customHeight="1" x14ac:dyDescent="0.3">
      <c r="A200" s="70" t="s">
        <v>569</v>
      </c>
      <c r="B200" s="71">
        <v>166156</v>
      </c>
      <c r="C200" s="72">
        <v>46179</v>
      </c>
      <c r="D200" s="73" t="s">
        <v>384</v>
      </c>
      <c r="E200" s="74" t="s">
        <v>570</v>
      </c>
      <c r="F200" s="75">
        <f>IFERROR(INDEX(M_User!$A$12:$J$67,MATCH(D200,M_User!$D$12:$D$67,0),1),"UNMAPPED")</f>
        <v>59</v>
      </c>
      <c r="G200" s="76" t="str">
        <f>IFERROR(INDEX(M_User!$A$12:$J$67,MATCH(D200,M_User!$D$12:$D$67,0),3),"UNMAPPED")</f>
        <v>Gastory S Msaki</v>
      </c>
      <c r="H200" s="75" t="str">
        <f>IFERROR(INDEX(M_User!$A$12:$J$67,MATCH(D200,M_User!$D$12:$D$67,0),5),"UNMAPPED")</f>
        <v>MOS</v>
      </c>
      <c r="I200" s="73" t="s">
        <v>149</v>
      </c>
      <c r="J200" s="73" t="s">
        <v>199</v>
      </c>
      <c r="K200" s="76" t="str">
        <f>IFERROR(INDEX(M_SKU!$A$18:$J$57,MATCH(J200,M_SKU!$B$18:$B$57,0),1),"UNKNOWN SKU")</f>
        <v>Krest Club Soda RGB 300ml</v>
      </c>
      <c r="L200" s="73" t="s">
        <v>539</v>
      </c>
      <c r="M200" s="72">
        <v>46140</v>
      </c>
      <c r="N200" s="72">
        <v>46504</v>
      </c>
      <c r="O200" s="77">
        <v>1</v>
      </c>
      <c r="P200" s="78" t="s">
        <v>521</v>
      </c>
      <c r="Q200" s="79"/>
      <c r="R200" s="80"/>
      <c r="S200" s="81"/>
      <c r="T200" s="81"/>
      <c r="U200" s="82" t="str">
        <f t="shared" si="2"/>
        <v>MOS100624|FG010|CK3-33301</v>
      </c>
    </row>
    <row r="201" spans="1:21" ht="15" customHeight="1" x14ac:dyDescent="0.3">
      <c r="A201" s="60" t="s">
        <v>569</v>
      </c>
      <c r="B201" s="61">
        <v>166156</v>
      </c>
      <c r="C201" s="62">
        <v>46179</v>
      </c>
      <c r="D201" s="63" t="s">
        <v>384</v>
      </c>
      <c r="E201" s="64" t="s">
        <v>570</v>
      </c>
      <c r="F201" s="65">
        <f>IFERROR(INDEX(M_User!$A$12:$J$67,MATCH(D201,M_User!$D$12:$D$67,0),1),"UNMAPPED")</f>
        <v>59</v>
      </c>
      <c r="G201" s="66" t="str">
        <f>IFERROR(INDEX(M_User!$A$12:$J$67,MATCH(D201,M_User!$D$12:$D$67,0),3),"UNMAPPED")</f>
        <v>Gastory S Msaki</v>
      </c>
      <c r="H201" s="65" t="str">
        <f>IFERROR(INDEX(M_User!$A$12:$J$67,MATCH(D201,M_User!$D$12:$D$67,0),5),"UNMAPPED")</f>
        <v>MOS</v>
      </c>
      <c r="I201" s="63" t="s">
        <v>149</v>
      </c>
      <c r="J201" s="63" t="s">
        <v>201</v>
      </c>
      <c r="K201" s="66" t="str">
        <f>IFERROR(INDEX(M_SKU!$A$18:$J$57,MATCH(J201,M_SKU!$B$18:$B$57,0),1),"UNKNOWN SKU")</f>
        <v>Krest Tonic Water RGB 300ml</v>
      </c>
      <c r="L201" s="63" t="s">
        <v>540</v>
      </c>
      <c r="M201" s="62">
        <v>46154</v>
      </c>
      <c r="N201" s="62">
        <v>46518</v>
      </c>
      <c r="O201" s="67">
        <v>1</v>
      </c>
      <c r="P201" s="68" t="s">
        <v>521</v>
      </c>
      <c r="Q201" s="63"/>
      <c r="R201" s="62"/>
      <c r="S201" s="69"/>
      <c r="T201" s="69"/>
      <c r="U201" s="66" t="str">
        <f t="shared" ref="U201:U264" si="3">D201 &amp; "|" &amp; J201 &amp; "|" &amp; L201</f>
        <v>MOS100624|FG011|CK3-33347</v>
      </c>
    </row>
    <row r="202" spans="1:21" ht="15" customHeight="1" x14ac:dyDescent="0.3">
      <c r="A202" s="70" t="s">
        <v>569</v>
      </c>
      <c r="B202" s="71">
        <v>166156</v>
      </c>
      <c r="C202" s="72">
        <v>46179</v>
      </c>
      <c r="D202" s="73" t="s">
        <v>384</v>
      </c>
      <c r="E202" s="74" t="s">
        <v>570</v>
      </c>
      <c r="F202" s="75">
        <f>IFERROR(INDEX(M_User!$A$12:$J$67,MATCH(D202,M_User!$D$12:$D$67,0),1),"UNMAPPED")</f>
        <v>59</v>
      </c>
      <c r="G202" s="76" t="str">
        <f>IFERROR(INDEX(M_User!$A$12:$J$67,MATCH(D202,M_User!$D$12:$D$67,0),3),"UNMAPPED")</f>
        <v>Gastory S Msaki</v>
      </c>
      <c r="H202" s="75" t="str">
        <f>IFERROR(INDEX(M_User!$A$12:$J$67,MATCH(D202,M_User!$D$12:$D$67,0),5),"UNMAPPED")</f>
        <v>MOS</v>
      </c>
      <c r="I202" s="73" t="s">
        <v>149</v>
      </c>
      <c r="J202" s="73" t="s">
        <v>203</v>
      </c>
      <c r="K202" s="76" t="str">
        <f>IFERROR(INDEX(M_SKU!$A$18:$J$57,MATCH(J202,M_SKU!$B$18:$B$57,0),1),"UNKNOWN SKU")</f>
        <v>Krest Ginger Ale RGB 300ml</v>
      </c>
      <c r="L202" s="73" t="s">
        <v>541</v>
      </c>
      <c r="M202" s="72">
        <v>46088</v>
      </c>
      <c r="N202" s="72">
        <v>46452</v>
      </c>
      <c r="O202" s="77">
        <v>2</v>
      </c>
      <c r="P202" s="78" t="s">
        <v>521</v>
      </c>
      <c r="Q202" s="79"/>
      <c r="R202" s="80"/>
      <c r="S202" s="81"/>
      <c r="T202" s="81"/>
      <c r="U202" s="82" t="str">
        <f t="shared" si="3"/>
        <v>MOS100624|FG012|CK3-33126</v>
      </c>
    </row>
    <row r="203" spans="1:21" ht="15" customHeight="1" x14ac:dyDescent="0.3">
      <c r="A203" s="60" t="s">
        <v>569</v>
      </c>
      <c r="B203" s="61">
        <v>166156</v>
      </c>
      <c r="C203" s="62">
        <v>46179</v>
      </c>
      <c r="D203" s="63" t="s">
        <v>384</v>
      </c>
      <c r="E203" s="64" t="s">
        <v>570</v>
      </c>
      <c r="F203" s="65">
        <f>IFERROR(INDEX(M_User!$A$12:$J$67,MATCH(D203,M_User!$D$12:$D$67,0),1),"UNMAPPED")</f>
        <v>59</v>
      </c>
      <c r="G203" s="66" t="str">
        <f>IFERROR(INDEX(M_User!$A$12:$J$67,MATCH(D203,M_User!$D$12:$D$67,0),3),"UNMAPPED")</f>
        <v>Gastory S Msaki</v>
      </c>
      <c r="H203" s="65" t="str">
        <f>IFERROR(INDEX(M_User!$A$12:$J$67,MATCH(D203,M_User!$D$12:$D$67,0),5),"UNMAPPED")</f>
        <v>MOS</v>
      </c>
      <c r="I203" s="63" t="s">
        <v>149</v>
      </c>
      <c r="J203" s="63" t="s">
        <v>209</v>
      </c>
      <c r="K203" s="66" t="str">
        <f>IFERROR(INDEX(M_SKU!$A$18:$J$57,MATCH(J203,M_SKU!$B$18:$B$57,0),1),"UNKNOWN SKU")</f>
        <v>Sparletta Red Apple RGB 350ml</v>
      </c>
      <c r="L203" s="63" t="s">
        <v>542</v>
      </c>
      <c r="M203" s="62">
        <v>46010</v>
      </c>
      <c r="N203" s="62">
        <v>46374</v>
      </c>
      <c r="O203" s="67">
        <v>2</v>
      </c>
      <c r="P203" s="68" t="s">
        <v>521</v>
      </c>
      <c r="Q203" s="63"/>
      <c r="R203" s="62"/>
      <c r="S203" s="69"/>
      <c r="T203" s="69"/>
      <c r="U203" s="66" t="str">
        <f t="shared" si="3"/>
        <v>MOS100624|FG024|CK3-32758</v>
      </c>
    </row>
    <row r="204" spans="1:21" ht="15" customHeight="1" x14ac:dyDescent="0.3">
      <c r="A204" s="70" t="s">
        <v>569</v>
      </c>
      <c r="B204" s="71">
        <v>166156</v>
      </c>
      <c r="C204" s="72">
        <v>46179</v>
      </c>
      <c r="D204" s="73" t="s">
        <v>384</v>
      </c>
      <c r="E204" s="74" t="s">
        <v>570</v>
      </c>
      <c r="F204" s="75">
        <f>IFERROR(INDEX(M_User!$A$12:$J$67,MATCH(D204,M_User!$D$12:$D$67,0),1),"UNMAPPED")</f>
        <v>59</v>
      </c>
      <c r="G204" s="76" t="str">
        <f>IFERROR(INDEX(M_User!$A$12:$J$67,MATCH(D204,M_User!$D$12:$D$67,0),3),"UNMAPPED")</f>
        <v>Gastory S Msaki</v>
      </c>
      <c r="H204" s="75" t="str">
        <f>IFERROR(INDEX(M_User!$A$12:$J$67,MATCH(D204,M_User!$D$12:$D$67,0),5),"UNMAPPED")</f>
        <v>MOS</v>
      </c>
      <c r="I204" s="73" t="s">
        <v>149</v>
      </c>
      <c r="J204" s="73" t="s">
        <v>211</v>
      </c>
      <c r="K204" s="76" t="str">
        <f>IFERROR(INDEX(M_SKU!$A$18:$J$57,MATCH(J204,M_SKU!$B$18:$B$57,0),1),"UNKNOWN SKU")</f>
        <v>KNMW 500ml</v>
      </c>
      <c r="L204" s="73" t="s">
        <v>543</v>
      </c>
      <c r="M204" s="72">
        <v>46177</v>
      </c>
      <c r="N204" s="72">
        <v>46541</v>
      </c>
      <c r="O204" s="77">
        <v>20</v>
      </c>
      <c r="P204" s="78" t="s">
        <v>521</v>
      </c>
      <c r="Q204" s="79"/>
      <c r="R204" s="80"/>
      <c r="S204" s="81"/>
      <c r="T204" s="81"/>
      <c r="U204" s="82" t="str">
        <f t="shared" si="3"/>
        <v>MOS100624|KD001|CK6-986</v>
      </c>
    </row>
    <row r="205" spans="1:21" ht="15" customHeight="1" x14ac:dyDescent="0.3">
      <c r="A205" s="60" t="s">
        <v>569</v>
      </c>
      <c r="B205" s="61">
        <v>166156</v>
      </c>
      <c r="C205" s="62">
        <v>46179</v>
      </c>
      <c r="D205" s="63" t="s">
        <v>384</v>
      </c>
      <c r="E205" s="64" t="s">
        <v>570</v>
      </c>
      <c r="F205" s="65">
        <f>IFERROR(INDEX(M_User!$A$12:$J$67,MATCH(D205,M_User!$D$12:$D$67,0),1),"UNMAPPED")</f>
        <v>59</v>
      </c>
      <c r="G205" s="66" t="str">
        <f>IFERROR(INDEX(M_User!$A$12:$J$67,MATCH(D205,M_User!$D$12:$D$67,0),3),"UNMAPPED")</f>
        <v>Gastory S Msaki</v>
      </c>
      <c r="H205" s="65" t="str">
        <f>IFERROR(INDEX(M_User!$A$12:$J$67,MATCH(D205,M_User!$D$12:$D$67,0),5),"UNMAPPED")</f>
        <v>MOS</v>
      </c>
      <c r="I205" s="63" t="s">
        <v>149</v>
      </c>
      <c r="J205" s="63" t="s">
        <v>217</v>
      </c>
      <c r="K205" s="66" t="str">
        <f>IFERROR(INDEX(M_SKU!$A$18:$J$57,MATCH(J205,M_SKU!$B$18:$B$57,0),1),"UNKNOWN SKU")</f>
        <v>KNMW 1500ml</v>
      </c>
      <c r="L205" s="63" t="s">
        <v>551</v>
      </c>
      <c r="M205" s="62">
        <v>46177</v>
      </c>
      <c r="N205" s="62">
        <v>46541</v>
      </c>
      <c r="O205" s="67">
        <v>90</v>
      </c>
      <c r="P205" s="68" t="s">
        <v>521</v>
      </c>
      <c r="Q205" s="63"/>
      <c r="R205" s="62"/>
      <c r="S205" s="69"/>
      <c r="T205" s="69"/>
      <c r="U205" s="66" t="str">
        <f t="shared" si="3"/>
        <v>MOS100624|KD003|CK4-842</v>
      </c>
    </row>
    <row r="206" spans="1:21" ht="15" customHeight="1" x14ac:dyDescent="0.3">
      <c r="A206" s="70" t="s">
        <v>569</v>
      </c>
      <c r="B206" s="71">
        <v>166156</v>
      </c>
      <c r="C206" s="72">
        <v>46179</v>
      </c>
      <c r="D206" s="73" t="s">
        <v>384</v>
      </c>
      <c r="E206" s="74" t="s">
        <v>570</v>
      </c>
      <c r="F206" s="75">
        <f>IFERROR(INDEX(M_User!$A$12:$J$67,MATCH(D206,M_User!$D$12:$D$67,0),1),"UNMAPPED")</f>
        <v>59</v>
      </c>
      <c r="G206" s="76" t="str">
        <f>IFERROR(INDEX(M_User!$A$12:$J$67,MATCH(D206,M_User!$D$12:$D$67,0),3),"UNMAPPED")</f>
        <v>Gastory S Msaki</v>
      </c>
      <c r="H206" s="75" t="str">
        <f>IFERROR(INDEX(M_User!$A$12:$J$67,MATCH(D206,M_User!$D$12:$D$67,0),5),"UNMAPPED")</f>
        <v>MOS</v>
      </c>
      <c r="I206" s="73" t="s">
        <v>149</v>
      </c>
      <c r="J206" s="73" t="s">
        <v>219</v>
      </c>
      <c r="K206" s="76" t="str">
        <f>IFERROR(INDEX(M_SKU!$A$18:$J$57,MATCH(J206,M_SKU!$B$18:$B$57,0),1),"UNKNOWN SKU")</f>
        <v>Kilimanjaro Drinking Water 6000 ML</v>
      </c>
      <c r="L206" s="73" t="s">
        <v>571</v>
      </c>
      <c r="M206" s="72">
        <v>45996</v>
      </c>
      <c r="N206" s="72">
        <v>46360</v>
      </c>
      <c r="O206" s="77">
        <v>10</v>
      </c>
      <c r="P206" s="78" t="s">
        <v>521</v>
      </c>
      <c r="Q206" s="79"/>
      <c r="R206" s="80"/>
      <c r="S206" s="81"/>
      <c r="T206" s="81"/>
      <c r="U206" s="82" t="str">
        <f t="shared" si="3"/>
        <v>MOS100624|KD004|CK7-806</v>
      </c>
    </row>
    <row r="207" spans="1:21" ht="15" customHeight="1" x14ac:dyDescent="0.3">
      <c r="A207" s="60" t="s">
        <v>569</v>
      </c>
      <c r="B207" s="61">
        <v>166156</v>
      </c>
      <c r="C207" s="62">
        <v>46179</v>
      </c>
      <c r="D207" s="63" t="s">
        <v>384</v>
      </c>
      <c r="E207" s="64" t="s">
        <v>570</v>
      </c>
      <c r="F207" s="65">
        <f>IFERROR(INDEX(M_User!$A$12:$J$67,MATCH(D207,M_User!$D$12:$D$67,0),1),"UNMAPPED")</f>
        <v>59</v>
      </c>
      <c r="G207" s="66" t="str">
        <f>IFERROR(INDEX(M_User!$A$12:$J$67,MATCH(D207,M_User!$D$12:$D$67,0),3),"UNMAPPED")</f>
        <v>Gastory S Msaki</v>
      </c>
      <c r="H207" s="65" t="str">
        <f>IFERROR(INDEX(M_User!$A$12:$J$67,MATCH(D207,M_User!$D$12:$D$67,0),5),"UNMAPPED")</f>
        <v>MOS</v>
      </c>
      <c r="I207" s="63" t="s">
        <v>149</v>
      </c>
      <c r="J207" s="63" t="s">
        <v>225</v>
      </c>
      <c r="K207" s="66" t="str">
        <f>IFERROR(INDEX(M_SKU!$A$18:$J$57,MATCH(J207,M_SKU!$B$18:$B$57,0),1),"UNKNOWN SKU")</f>
        <v>Kilimanjaro Drinking Water 18900 ML</v>
      </c>
      <c r="L207" s="63" t="s">
        <v>567</v>
      </c>
      <c r="M207" s="62">
        <v>46172</v>
      </c>
      <c r="N207" s="62">
        <v>46536</v>
      </c>
      <c r="O207" s="67">
        <v>5</v>
      </c>
      <c r="P207" s="68" t="s">
        <v>521</v>
      </c>
      <c r="Q207" s="63"/>
      <c r="R207" s="62"/>
      <c r="S207" s="69"/>
      <c r="T207" s="69"/>
      <c r="U207" s="66" t="str">
        <f t="shared" si="3"/>
        <v>MOS100624|KD006|CK7-915</v>
      </c>
    </row>
    <row r="208" spans="1:21" ht="15" customHeight="1" x14ac:dyDescent="0.3">
      <c r="A208" s="70" t="s">
        <v>569</v>
      </c>
      <c r="B208" s="71">
        <v>166156</v>
      </c>
      <c r="C208" s="72">
        <v>46179</v>
      </c>
      <c r="D208" s="73" t="s">
        <v>384</v>
      </c>
      <c r="E208" s="74" t="s">
        <v>570</v>
      </c>
      <c r="F208" s="75">
        <f>IFERROR(INDEX(M_User!$A$12:$J$67,MATCH(D208,M_User!$D$12:$D$67,0),1),"UNMAPPED")</f>
        <v>59</v>
      </c>
      <c r="G208" s="76" t="str">
        <f>IFERROR(INDEX(M_User!$A$12:$J$67,MATCH(D208,M_User!$D$12:$D$67,0),3),"UNMAPPED")</f>
        <v>Gastory S Msaki</v>
      </c>
      <c r="H208" s="75" t="str">
        <f>IFERROR(INDEX(M_User!$A$12:$J$67,MATCH(D208,M_User!$D$12:$D$67,0),5),"UNMAPPED")</f>
        <v>MOS</v>
      </c>
      <c r="I208" s="73" t="s">
        <v>149</v>
      </c>
      <c r="J208" s="73" t="s">
        <v>229</v>
      </c>
      <c r="K208" s="76" t="str">
        <f>IFERROR(INDEX(M_SKU!$A$18:$J$57,MATCH(J208,M_SKU!$B$18:$B$57,0),1),"UNKNOWN SKU")</f>
        <v>Coke Pet 500ML ( x12)</v>
      </c>
      <c r="L208" s="73" t="s">
        <v>520</v>
      </c>
      <c r="M208" s="72">
        <v>46177</v>
      </c>
      <c r="N208" s="72">
        <v>46288</v>
      </c>
      <c r="O208" s="77">
        <v>100</v>
      </c>
      <c r="P208" s="78" t="s">
        <v>521</v>
      </c>
      <c r="Q208" s="79"/>
      <c r="R208" s="80"/>
      <c r="S208" s="81"/>
      <c r="T208" s="81"/>
      <c r="U208" s="82" t="str">
        <f t="shared" si="3"/>
        <v>MOS100624|PH001|CK6-33411</v>
      </c>
    </row>
    <row r="209" spans="1:21" ht="15" customHeight="1" x14ac:dyDescent="0.3">
      <c r="A209" s="60" t="s">
        <v>569</v>
      </c>
      <c r="B209" s="61">
        <v>166156</v>
      </c>
      <c r="C209" s="62">
        <v>46179</v>
      </c>
      <c r="D209" s="63" t="s">
        <v>384</v>
      </c>
      <c r="E209" s="64" t="s">
        <v>570</v>
      </c>
      <c r="F209" s="65">
        <f>IFERROR(INDEX(M_User!$A$12:$J$67,MATCH(D209,M_User!$D$12:$D$67,0),1),"UNMAPPED")</f>
        <v>59</v>
      </c>
      <c r="G209" s="66" t="str">
        <f>IFERROR(INDEX(M_User!$A$12:$J$67,MATCH(D209,M_User!$D$12:$D$67,0),3),"UNMAPPED")</f>
        <v>Gastory S Msaki</v>
      </c>
      <c r="H209" s="65" t="str">
        <f>IFERROR(INDEX(M_User!$A$12:$J$67,MATCH(D209,M_User!$D$12:$D$67,0),5),"UNMAPPED")</f>
        <v>MOS</v>
      </c>
      <c r="I209" s="63" t="s">
        <v>149</v>
      </c>
      <c r="J209" s="63" t="s">
        <v>232</v>
      </c>
      <c r="K209" s="66" t="str">
        <f>IFERROR(INDEX(M_SKU!$A$18:$J$57,MATCH(J209,M_SKU!$B$18:$B$57,0),1),"UNKNOWN SKU")</f>
        <v>Sprite Pet 500ML (x 12)</v>
      </c>
      <c r="L209" s="63" t="s">
        <v>522</v>
      </c>
      <c r="M209" s="62">
        <v>46158</v>
      </c>
      <c r="N209" s="62">
        <v>46269</v>
      </c>
      <c r="O209" s="67">
        <v>40</v>
      </c>
      <c r="P209" s="68" t="s">
        <v>521</v>
      </c>
      <c r="Q209" s="63"/>
      <c r="R209" s="62"/>
      <c r="S209" s="69"/>
      <c r="T209" s="69"/>
      <c r="U209" s="66" t="str">
        <f t="shared" si="3"/>
        <v>MOS100624|PH002|CK6-33362</v>
      </c>
    </row>
    <row r="210" spans="1:21" ht="15" customHeight="1" x14ac:dyDescent="0.3">
      <c r="A210" s="70" t="s">
        <v>569</v>
      </c>
      <c r="B210" s="71">
        <v>166156</v>
      </c>
      <c r="C210" s="72">
        <v>46179</v>
      </c>
      <c r="D210" s="73" t="s">
        <v>384</v>
      </c>
      <c r="E210" s="74" t="s">
        <v>570</v>
      </c>
      <c r="F210" s="75">
        <f>IFERROR(INDEX(M_User!$A$12:$J$67,MATCH(D210,M_User!$D$12:$D$67,0),1),"UNMAPPED")</f>
        <v>59</v>
      </c>
      <c r="G210" s="76" t="str">
        <f>IFERROR(INDEX(M_User!$A$12:$J$67,MATCH(D210,M_User!$D$12:$D$67,0),3),"UNMAPPED")</f>
        <v>Gastory S Msaki</v>
      </c>
      <c r="H210" s="75" t="str">
        <f>IFERROR(INDEX(M_User!$A$12:$J$67,MATCH(D210,M_User!$D$12:$D$67,0),5),"UNMAPPED")</f>
        <v>MOS</v>
      </c>
      <c r="I210" s="73" t="s">
        <v>149</v>
      </c>
      <c r="J210" s="73" t="s">
        <v>234</v>
      </c>
      <c r="K210" s="76" t="str">
        <f>IFERROR(INDEX(M_SKU!$A$18:$J$57,MATCH(J210,M_SKU!$B$18:$B$57,0),1),"UNKNOWN SKU")</f>
        <v>Fanta Orange Pet 500ML ( x 12)</v>
      </c>
      <c r="L210" s="73" t="s">
        <v>523</v>
      </c>
      <c r="M210" s="72">
        <v>46172</v>
      </c>
      <c r="N210" s="72">
        <v>46283</v>
      </c>
      <c r="O210" s="77">
        <v>40</v>
      </c>
      <c r="P210" s="78" t="s">
        <v>521</v>
      </c>
      <c r="Q210" s="79"/>
      <c r="R210" s="80"/>
      <c r="S210" s="81"/>
      <c r="T210" s="81"/>
      <c r="U210" s="82" t="str">
        <f t="shared" si="3"/>
        <v>MOS100624|PH003|CK6-33405</v>
      </c>
    </row>
    <row r="211" spans="1:21" ht="15" customHeight="1" x14ac:dyDescent="0.3">
      <c r="A211" s="60" t="s">
        <v>569</v>
      </c>
      <c r="B211" s="61">
        <v>166156</v>
      </c>
      <c r="C211" s="62">
        <v>46179</v>
      </c>
      <c r="D211" s="63" t="s">
        <v>384</v>
      </c>
      <c r="E211" s="64" t="s">
        <v>570</v>
      </c>
      <c r="F211" s="65">
        <f>IFERROR(INDEX(M_User!$A$12:$J$67,MATCH(D211,M_User!$D$12:$D$67,0),1),"UNMAPPED")</f>
        <v>59</v>
      </c>
      <c r="G211" s="66" t="str">
        <f>IFERROR(INDEX(M_User!$A$12:$J$67,MATCH(D211,M_User!$D$12:$D$67,0),3),"UNMAPPED")</f>
        <v>Gastory S Msaki</v>
      </c>
      <c r="H211" s="65" t="str">
        <f>IFERROR(INDEX(M_User!$A$12:$J$67,MATCH(D211,M_User!$D$12:$D$67,0),5),"UNMAPPED")</f>
        <v>MOS</v>
      </c>
      <c r="I211" s="63" t="s">
        <v>149</v>
      </c>
      <c r="J211" s="63" t="s">
        <v>236</v>
      </c>
      <c r="K211" s="66" t="str">
        <f>IFERROR(INDEX(M_SKU!$A$18:$J$57,MATCH(J211,M_SKU!$B$18:$B$57,0),1),"UNKNOWN SKU")</f>
        <v>Fanta Passion Pet 500ML ( x12)</v>
      </c>
      <c r="L211" s="63" t="s">
        <v>524</v>
      </c>
      <c r="M211" s="62">
        <v>46151</v>
      </c>
      <c r="N211" s="62">
        <v>46262</v>
      </c>
      <c r="O211" s="67">
        <v>40</v>
      </c>
      <c r="P211" s="68" t="s">
        <v>521</v>
      </c>
      <c r="Q211" s="63"/>
      <c r="R211" s="62"/>
      <c r="S211" s="69"/>
      <c r="T211" s="69"/>
      <c r="U211" s="66" t="str">
        <f t="shared" si="3"/>
        <v>MOS100624|PH004|CK5-33334</v>
      </c>
    </row>
    <row r="212" spans="1:21" ht="15" customHeight="1" x14ac:dyDescent="0.3">
      <c r="A212" s="70" t="s">
        <v>569</v>
      </c>
      <c r="B212" s="71">
        <v>166156</v>
      </c>
      <c r="C212" s="72">
        <v>46179</v>
      </c>
      <c r="D212" s="73" t="s">
        <v>384</v>
      </c>
      <c r="E212" s="74" t="s">
        <v>570</v>
      </c>
      <c r="F212" s="75">
        <f>IFERROR(INDEX(M_User!$A$12:$J$67,MATCH(D212,M_User!$D$12:$D$67,0),1),"UNMAPPED")</f>
        <v>59</v>
      </c>
      <c r="G212" s="76" t="str">
        <f>IFERROR(INDEX(M_User!$A$12:$J$67,MATCH(D212,M_User!$D$12:$D$67,0),3),"UNMAPPED")</f>
        <v>Gastory S Msaki</v>
      </c>
      <c r="H212" s="75" t="str">
        <f>IFERROR(INDEX(M_User!$A$12:$J$67,MATCH(D212,M_User!$D$12:$D$67,0),5),"UNMAPPED")</f>
        <v>MOS</v>
      </c>
      <c r="I212" s="73" t="s">
        <v>149</v>
      </c>
      <c r="J212" s="73" t="s">
        <v>242</v>
      </c>
      <c r="K212" s="76" t="str">
        <f>IFERROR(INDEX(M_SKU!$A$18:$J$57,MATCH(J212,M_SKU!$B$18:$B$57,0),1),"UNKNOWN SKU")</f>
        <v>Stoney Tangawizi Pet 500 ml ( x12)</v>
      </c>
      <c r="L212" s="73" t="s">
        <v>525</v>
      </c>
      <c r="M212" s="72">
        <v>46161</v>
      </c>
      <c r="N212" s="72">
        <v>46272</v>
      </c>
      <c r="O212" s="77">
        <v>10</v>
      </c>
      <c r="P212" s="78" t="s">
        <v>521</v>
      </c>
      <c r="Q212" s="79"/>
      <c r="R212" s="80"/>
      <c r="S212" s="81"/>
      <c r="T212" s="81"/>
      <c r="U212" s="82" t="str">
        <f t="shared" si="3"/>
        <v>MOS100624|PH007|CK6-33375</v>
      </c>
    </row>
    <row r="213" spans="1:21" ht="15" customHeight="1" x14ac:dyDescent="0.3">
      <c r="A213" s="60" t="s">
        <v>569</v>
      </c>
      <c r="B213" s="61">
        <v>166156</v>
      </c>
      <c r="C213" s="62">
        <v>46179</v>
      </c>
      <c r="D213" s="63" t="s">
        <v>384</v>
      </c>
      <c r="E213" s="64" t="s">
        <v>570</v>
      </c>
      <c r="F213" s="65">
        <f>IFERROR(INDEX(M_User!$A$12:$J$67,MATCH(D213,M_User!$D$12:$D$67,0),1),"UNMAPPED")</f>
        <v>59</v>
      </c>
      <c r="G213" s="66" t="str">
        <f>IFERROR(INDEX(M_User!$A$12:$J$67,MATCH(D213,M_User!$D$12:$D$67,0),3),"UNMAPPED")</f>
        <v>Gastory S Msaki</v>
      </c>
      <c r="H213" s="65" t="str">
        <f>IFERROR(INDEX(M_User!$A$12:$J$67,MATCH(D213,M_User!$D$12:$D$67,0),5),"UNMAPPED")</f>
        <v>MOS</v>
      </c>
      <c r="I213" s="63" t="s">
        <v>149</v>
      </c>
      <c r="J213" s="63" t="s">
        <v>244</v>
      </c>
      <c r="K213" s="66" t="str">
        <f>IFERROR(INDEX(M_SKU!$A$18:$J$57,MATCH(J213,M_SKU!$B$18:$B$57,0),1),"UNKNOWN SKU")</f>
        <v>Sparletta Pinenut Pet 500 ml ( x12)</v>
      </c>
      <c r="L213" s="63" t="s">
        <v>526</v>
      </c>
      <c r="M213" s="62">
        <v>46161</v>
      </c>
      <c r="N213" s="62">
        <v>46272</v>
      </c>
      <c r="O213" s="67">
        <v>20</v>
      </c>
      <c r="P213" s="68" t="s">
        <v>521</v>
      </c>
      <c r="Q213" s="63"/>
      <c r="R213" s="62"/>
      <c r="S213" s="69"/>
      <c r="T213" s="69"/>
      <c r="U213" s="66" t="str">
        <f t="shared" si="3"/>
        <v>MOS100624|PH008|CK5-33370</v>
      </c>
    </row>
    <row r="214" spans="1:21" ht="15" customHeight="1" x14ac:dyDescent="0.3">
      <c r="A214" s="70" t="s">
        <v>569</v>
      </c>
      <c r="B214" s="71">
        <v>166156</v>
      </c>
      <c r="C214" s="72">
        <v>46179</v>
      </c>
      <c r="D214" s="73" t="s">
        <v>384</v>
      </c>
      <c r="E214" s="74" t="s">
        <v>570</v>
      </c>
      <c r="F214" s="75">
        <f>IFERROR(INDEX(M_User!$A$12:$J$67,MATCH(D214,M_User!$D$12:$D$67,0),1),"UNMAPPED")</f>
        <v>59</v>
      </c>
      <c r="G214" s="76" t="str">
        <f>IFERROR(INDEX(M_User!$A$12:$J$67,MATCH(D214,M_User!$D$12:$D$67,0),3),"UNMAPPED")</f>
        <v>Gastory S Msaki</v>
      </c>
      <c r="H214" s="75" t="str">
        <f>IFERROR(INDEX(M_User!$A$12:$J$67,MATCH(D214,M_User!$D$12:$D$67,0),5),"UNMAPPED")</f>
        <v>MOS</v>
      </c>
      <c r="I214" s="73" t="s">
        <v>149</v>
      </c>
      <c r="J214" s="73" t="s">
        <v>252</v>
      </c>
      <c r="K214" s="76" t="str">
        <f>IFERROR(INDEX(M_SKU!$A$18:$J$57,MATCH(J214,M_SKU!$B$18:$B$57,0),1),"UNKNOWN SKU")</f>
        <v>Sprite Zero Pet 300ML (x 12)</v>
      </c>
      <c r="L214" s="73" t="s">
        <v>545</v>
      </c>
      <c r="M214" s="72">
        <v>46158</v>
      </c>
      <c r="N214" s="72">
        <v>46241</v>
      </c>
      <c r="O214" s="77">
        <v>5</v>
      </c>
      <c r="P214" s="78" t="s">
        <v>521</v>
      </c>
      <c r="Q214" s="79"/>
      <c r="R214" s="80"/>
      <c r="S214" s="81"/>
      <c r="T214" s="81"/>
      <c r="U214" s="82" t="str">
        <f t="shared" si="3"/>
        <v>MOS100624|PO010|CK5-33360</v>
      </c>
    </row>
    <row r="215" spans="1:21" ht="15" customHeight="1" x14ac:dyDescent="0.3">
      <c r="A215" s="60" t="s">
        <v>569</v>
      </c>
      <c r="B215" s="61">
        <v>166156</v>
      </c>
      <c r="C215" s="62">
        <v>46179</v>
      </c>
      <c r="D215" s="63" t="s">
        <v>384</v>
      </c>
      <c r="E215" s="64" t="s">
        <v>570</v>
      </c>
      <c r="F215" s="65">
        <f>IFERROR(INDEX(M_User!$A$12:$J$67,MATCH(D215,M_User!$D$12:$D$67,0),1),"UNMAPPED")</f>
        <v>59</v>
      </c>
      <c r="G215" s="66" t="str">
        <f>IFERROR(INDEX(M_User!$A$12:$J$67,MATCH(D215,M_User!$D$12:$D$67,0),3),"UNMAPPED")</f>
        <v>Gastory S Msaki</v>
      </c>
      <c r="H215" s="65" t="str">
        <f>IFERROR(INDEX(M_User!$A$12:$J$67,MATCH(D215,M_User!$D$12:$D$67,0),5),"UNMAPPED")</f>
        <v>MOS</v>
      </c>
      <c r="I215" s="63" t="s">
        <v>149</v>
      </c>
      <c r="J215" s="63" t="s">
        <v>254</v>
      </c>
      <c r="K215" s="66" t="str">
        <f>IFERROR(INDEX(M_SKU!$A$18:$J$57,MATCH(J215,M_SKU!$B$18:$B$57,0),1),"UNKNOWN SKU")</f>
        <v>Fanta Zero Pet 300ML (x 12)</v>
      </c>
      <c r="L215" s="63" t="s">
        <v>546</v>
      </c>
      <c r="M215" s="62">
        <v>46159</v>
      </c>
      <c r="N215" s="62">
        <v>46242</v>
      </c>
      <c r="O215" s="67">
        <v>5</v>
      </c>
      <c r="P215" s="68" t="s">
        <v>521</v>
      </c>
      <c r="Q215" s="63"/>
      <c r="R215" s="62"/>
      <c r="S215" s="69"/>
      <c r="T215" s="69"/>
      <c r="U215" s="66" t="str">
        <f t="shared" si="3"/>
        <v>MOS100624|PO012|CK5-33369</v>
      </c>
    </row>
    <row r="216" spans="1:21" ht="15" customHeight="1" x14ac:dyDescent="0.3">
      <c r="A216" s="70" t="s">
        <v>569</v>
      </c>
      <c r="B216" s="71">
        <v>166156</v>
      </c>
      <c r="C216" s="72">
        <v>46179</v>
      </c>
      <c r="D216" s="73" t="s">
        <v>384</v>
      </c>
      <c r="E216" s="74" t="s">
        <v>570</v>
      </c>
      <c r="F216" s="75">
        <f>IFERROR(INDEX(M_User!$A$12:$J$67,MATCH(D216,M_User!$D$12:$D$67,0),1),"UNMAPPED")</f>
        <v>59</v>
      </c>
      <c r="G216" s="76" t="str">
        <f>IFERROR(INDEX(M_User!$A$12:$J$67,MATCH(D216,M_User!$D$12:$D$67,0),3),"UNMAPPED")</f>
        <v>Gastory S Msaki</v>
      </c>
      <c r="H216" s="75" t="str">
        <f>IFERROR(INDEX(M_User!$A$12:$J$67,MATCH(D216,M_User!$D$12:$D$67,0),5),"UNMAPPED")</f>
        <v>MOS</v>
      </c>
      <c r="I216" s="73" t="s">
        <v>149</v>
      </c>
      <c r="J216" s="73" t="s">
        <v>261</v>
      </c>
      <c r="K216" s="76" t="str">
        <f>IFERROR(INDEX(M_SKU!$A$18:$J$57,MATCH(J216,M_SKU!$B$18:$B$57,0),1),"UNKNOWN SKU")</f>
        <v>Sparletta Pine Apple Pet 300ML (x 12)</v>
      </c>
      <c r="L216" s="73" t="s">
        <v>547</v>
      </c>
      <c r="M216" s="72">
        <v>46158</v>
      </c>
      <c r="N216" s="72">
        <v>46241</v>
      </c>
      <c r="O216" s="77">
        <v>20</v>
      </c>
      <c r="P216" s="78" t="s">
        <v>521</v>
      </c>
      <c r="Q216" s="79"/>
      <c r="R216" s="80"/>
      <c r="S216" s="81"/>
      <c r="T216" s="81"/>
      <c r="U216" s="82" t="str">
        <f t="shared" si="3"/>
        <v>MOS100624|PO015|CK5-33366</v>
      </c>
    </row>
    <row r="217" spans="1:21" ht="15" customHeight="1" x14ac:dyDescent="0.3">
      <c r="A217" s="60" t="s">
        <v>572</v>
      </c>
      <c r="B217" s="61">
        <v>166157</v>
      </c>
      <c r="C217" s="62">
        <v>46179</v>
      </c>
      <c r="D217" s="63" t="s">
        <v>427</v>
      </c>
      <c r="E217" s="64" t="s">
        <v>573</v>
      </c>
      <c r="F217" s="65">
        <f>IFERROR(INDEX(M_User!$A$12:$J$67,MATCH(D217,M_User!$D$12:$D$67,0),1),"UNMAPPED")</f>
        <v>29</v>
      </c>
      <c r="G217" s="66" t="str">
        <f>IFERROR(INDEX(M_User!$A$12:$J$67,MATCH(D217,M_User!$D$12:$D$67,0),3),"UNMAPPED")</f>
        <v>Piniel Julius Singo</v>
      </c>
      <c r="H217" s="65" t="str">
        <f>IFERROR(INDEX(M_User!$A$12:$J$67,MATCH(D217,M_User!$D$12:$D$67,0),5),"UNMAPPED")</f>
        <v>MOS</v>
      </c>
      <c r="I217" s="63" t="s">
        <v>149</v>
      </c>
      <c r="J217" s="63" t="s">
        <v>170</v>
      </c>
      <c r="K217" s="66" t="str">
        <f>IFERROR(INDEX(M_SKU!$A$18:$J$57,MATCH(J217,M_SKU!$B$18:$B$57,0),1),"UNKNOWN SKU")</f>
        <v>Coke RGB 350ml</v>
      </c>
      <c r="L217" s="63" t="s">
        <v>530</v>
      </c>
      <c r="M217" s="62">
        <v>46175</v>
      </c>
      <c r="N217" s="62">
        <v>46539</v>
      </c>
      <c r="O217" s="67">
        <v>50</v>
      </c>
      <c r="P217" s="68" t="s">
        <v>521</v>
      </c>
      <c r="Q217" s="63"/>
      <c r="R217" s="62"/>
      <c r="S217" s="69"/>
      <c r="T217" s="69"/>
      <c r="U217" s="66" t="str">
        <f t="shared" si="3"/>
        <v>MOS100654|FG001|CK3-33409</v>
      </c>
    </row>
    <row r="218" spans="1:21" ht="15" customHeight="1" x14ac:dyDescent="0.3">
      <c r="A218" s="70" t="s">
        <v>572</v>
      </c>
      <c r="B218" s="71">
        <v>166157</v>
      </c>
      <c r="C218" s="72">
        <v>46179</v>
      </c>
      <c r="D218" s="73" t="s">
        <v>427</v>
      </c>
      <c r="E218" s="74" t="s">
        <v>573</v>
      </c>
      <c r="F218" s="75">
        <f>IFERROR(INDEX(M_User!$A$12:$J$67,MATCH(D218,M_User!$D$12:$D$67,0),1),"UNMAPPED")</f>
        <v>29</v>
      </c>
      <c r="G218" s="76" t="str">
        <f>IFERROR(INDEX(M_User!$A$12:$J$67,MATCH(D218,M_User!$D$12:$D$67,0),3),"UNMAPPED")</f>
        <v>Piniel Julius Singo</v>
      </c>
      <c r="H218" s="75" t="str">
        <f>IFERROR(INDEX(M_User!$A$12:$J$67,MATCH(D218,M_User!$D$12:$D$67,0),5),"UNMAPPED")</f>
        <v>MOS</v>
      </c>
      <c r="I218" s="73" t="s">
        <v>149</v>
      </c>
      <c r="J218" s="73" t="s">
        <v>178</v>
      </c>
      <c r="K218" s="76" t="str">
        <f>IFERROR(INDEX(M_SKU!$A$18:$J$57,MATCH(J218,M_SKU!$B$18:$B$57,0),1),"UNKNOWN SKU")</f>
        <v>Fanta Orange RGB 350ml</v>
      </c>
      <c r="L218" s="73" t="s">
        <v>531</v>
      </c>
      <c r="M218" s="72">
        <v>46174</v>
      </c>
      <c r="N218" s="72">
        <v>46538</v>
      </c>
      <c r="O218" s="77">
        <v>22</v>
      </c>
      <c r="P218" s="78" t="s">
        <v>521</v>
      </c>
      <c r="Q218" s="79"/>
      <c r="R218" s="80"/>
      <c r="S218" s="81"/>
      <c r="T218" s="81"/>
      <c r="U218" s="82" t="str">
        <f t="shared" si="3"/>
        <v>MOS100654|FG002|CK3-33407</v>
      </c>
    </row>
    <row r="219" spans="1:21" ht="15" customHeight="1" x14ac:dyDescent="0.3">
      <c r="A219" s="60" t="s">
        <v>572</v>
      </c>
      <c r="B219" s="61">
        <v>166157</v>
      </c>
      <c r="C219" s="62">
        <v>46179</v>
      </c>
      <c r="D219" s="63" t="s">
        <v>427</v>
      </c>
      <c r="E219" s="64" t="s">
        <v>573</v>
      </c>
      <c r="F219" s="65">
        <f>IFERROR(INDEX(M_User!$A$12:$J$67,MATCH(D219,M_User!$D$12:$D$67,0),1),"UNMAPPED")</f>
        <v>29</v>
      </c>
      <c r="G219" s="66" t="str">
        <f>IFERROR(INDEX(M_User!$A$12:$J$67,MATCH(D219,M_User!$D$12:$D$67,0),3),"UNMAPPED")</f>
        <v>Piniel Julius Singo</v>
      </c>
      <c r="H219" s="65" t="str">
        <f>IFERROR(INDEX(M_User!$A$12:$J$67,MATCH(D219,M_User!$D$12:$D$67,0),5),"UNMAPPED")</f>
        <v>MOS</v>
      </c>
      <c r="I219" s="63" t="s">
        <v>149</v>
      </c>
      <c r="J219" s="63" t="s">
        <v>181</v>
      </c>
      <c r="K219" s="66" t="str">
        <f>IFERROR(INDEX(M_SKU!$A$18:$J$57,MATCH(J219,M_SKU!$B$18:$B$57,0),1),"UNKNOWN SKU")</f>
        <v>Fanta Passion RGB 350ml</v>
      </c>
      <c r="L219" s="63" t="s">
        <v>550</v>
      </c>
      <c r="M219" s="62">
        <v>46158</v>
      </c>
      <c r="N219" s="62">
        <v>46521</v>
      </c>
      <c r="O219" s="67">
        <v>7</v>
      </c>
      <c r="P219" s="68" t="s">
        <v>521</v>
      </c>
      <c r="Q219" s="63"/>
      <c r="R219" s="62"/>
      <c r="S219" s="69"/>
      <c r="T219" s="69"/>
      <c r="U219" s="66" t="str">
        <f t="shared" si="3"/>
        <v>MOS100654|FG003|CK3-33356</v>
      </c>
    </row>
    <row r="220" spans="1:21" ht="15" customHeight="1" x14ac:dyDescent="0.3">
      <c r="A220" s="70" t="s">
        <v>572</v>
      </c>
      <c r="B220" s="71">
        <v>166157</v>
      </c>
      <c r="C220" s="72">
        <v>46179</v>
      </c>
      <c r="D220" s="73" t="s">
        <v>427</v>
      </c>
      <c r="E220" s="74" t="s">
        <v>573</v>
      </c>
      <c r="F220" s="75">
        <f>IFERROR(INDEX(M_User!$A$12:$J$67,MATCH(D220,M_User!$D$12:$D$67,0),1),"UNMAPPED")</f>
        <v>29</v>
      </c>
      <c r="G220" s="76" t="str">
        <f>IFERROR(INDEX(M_User!$A$12:$J$67,MATCH(D220,M_User!$D$12:$D$67,0),3),"UNMAPPED")</f>
        <v>Piniel Julius Singo</v>
      </c>
      <c r="H220" s="75" t="str">
        <f>IFERROR(INDEX(M_User!$A$12:$J$67,MATCH(D220,M_User!$D$12:$D$67,0),5),"UNMAPPED")</f>
        <v>MOS</v>
      </c>
      <c r="I220" s="73" t="s">
        <v>149</v>
      </c>
      <c r="J220" s="73" t="s">
        <v>183</v>
      </c>
      <c r="K220" s="76" t="str">
        <f>IFERROR(INDEX(M_SKU!$A$18:$J$57,MATCH(J220,M_SKU!$B$18:$B$57,0),1),"UNKNOWN SKU")</f>
        <v>Fanta Pineapple RGB 350ml</v>
      </c>
      <c r="L220" s="73" t="s">
        <v>533</v>
      </c>
      <c r="M220" s="72">
        <v>46163</v>
      </c>
      <c r="N220" s="72">
        <v>46527</v>
      </c>
      <c r="O220" s="77">
        <v>9</v>
      </c>
      <c r="P220" s="78" t="s">
        <v>521</v>
      </c>
      <c r="Q220" s="79"/>
      <c r="R220" s="80"/>
      <c r="S220" s="81"/>
      <c r="T220" s="81"/>
      <c r="U220" s="82" t="str">
        <f t="shared" si="3"/>
        <v>MOS100654|FG004|CK3-33385</v>
      </c>
    </row>
    <row r="221" spans="1:21" ht="15" customHeight="1" x14ac:dyDescent="0.3">
      <c r="A221" s="60" t="s">
        <v>572</v>
      </c>
      <c r="B221" s="61">
        <v>166157</v>
      </c>
      <c r="C221" s="62">
        <v>46179</v>
      </c>
      <c r="D221" s="63" t="s">
        <v>427</v>
      </c>
      <c r="E221" s="64" t="s">
        <v>573</v>
      </c>
      <c r="F221" s="65">
        <f>IFERROR(INDEX(M_User!$A$12:$J$67,MATCH(D221,M_User!$D$12:$D$67,0),1),"UNMAPPED")</f>
        <v>29</v>
      </c>
      <c r="G221" s="66" t="str">
        <f>IFERROR(INDEX(M_User!$A$12:$J$67,MATCH(D221,M_User!$D$12:$D$67,0),3),"UNMAPPED")</f>
        <v>Piniel Julius Singo</v>
      </c>
      <c r="H221" s="65" t="str">
        <f>IFERROR(INDEX(M_User!$A$12:$J$67,MATCH(D221,M_User!$D$12:$D$67,0),5),"UNMAPPED")</f>
        <v>MOS</v>
      </c>
      <c r="I221" s="63" t="s">
        <v>149</v>
      </c>
      <c r="J221" s="63" t="s">
        <v>185</v>
      </c>
      <c r="K221" s="66" t="str">
        <f>IFERROR(INDEX(M_SKU!$A$18:$J$57,MATCH(J221,M_SKU!$B$18:$B$57,0),1),"UNKNOWN SKU")</f>
        <v>Fanta Fruit Blast RGB 350 ml</v>
      </c>
      <c r="L221" s="63" t="s">
        <v>534</v>
      </c>
      <c r="M221" s="62">
        <v>46171</v>
      </c>
      <c r="N221" s="62">
        <v>46535</v>
      </c>
      <c r="O221" s="67">
        <v>4</v>
      </c>
      <c r="P221" s="68" t="s">
        <v>521</v>
      </c>
      <c r="Q221" s="63"/>
      <c r="R221" s="62"/>
      <c r="S221" s="69"/>
      <c r="T221" s="69"/>
      <c r="U221" s="66" t="str">
        <f t="shared" si="3"/>
        <v>MOS100654|FG005|CK3-33402</v>
      </c>
    </row>
    <row r="222" spans="1:21" ht="15" customHeight="1" x14ac:dyDescent="0.3">
      <c r="A222" s="70" t="s">
        <v>572</v>
      </c>
      <c r="B222" s="71">
        <v>166157</v>
      </c>
      <c r="C222" s="72">
        <v>46179</v>
      </c>
      <c r="D222" s="73" t="s">
        <v>427</v>
      </c>
      <c r="E222" s="74" t="s">
        <v>573</v>
      </c>
      <c r="F222" s="75">
        <f>IFERROR(INDEX(M_User!$A$12:$J$67,MATCH(D222,M_User!$D$12:$D$67,0),1),"UNMAPPED")</f>
        <v>29</v>
      </c>
      <c r="G222" s="76" t="str">
        <f>IFERROR(INDEX(M_User!$A$12:$J$67,MATCH(D222,M_User!$D$12:$D$67,0),3),"UNMAPPED")</f>
        <v>Piniel Julius Singo</v>
      </c>
      <c r="H222" s="75" t="str">
        <f>IFERROR(INDEX(M_User!$A$12:$J$67,MATCH(D222,M_User!$D$12:$D$67,0),5),"UNMAPPED")</f>
        <v>MOS</v>
      </c>
      <c r="I222" s="73" t="s">
        <v>149</v>
      </c>
      <c r="J222" s="73" t="s">
        <v>187</v>
      </c>
      <c r="K222" s="76" t="str">
        <f>IFERROR(INDEX(M_SKU!$A$18:$J$57,MATCH(J222,M_SKU!$B$18:$B$57,0),1),"UNKNOWN SKU")</f>
        <v>Sprite 350ml</v>
      </c>
      <c r="L222" s="73" t="s">
        <v>535</v>
      </c>
      <c r="M222" s="72">
        <v>46177</v>
      </c>
      <c r="N222" s="72">
        <v>46541</v>
      </c>
      <c r="O222" s="77">
        <v>9</v>
      </c>
      <c r="P222" s="78" t="s">
        <v>521</v>
      </c>
      <c r="Q222" s="79"/>
      <c r="R222" s="80"/>
      <c r="S222" s="81"/>
      <c r="T222" s="81"/>
      <c r="U222" s="82" t="str">
        <f t="shared" si="3"/>
        <v>MOS100654|FG006|CK3-33414</v>
      </c>
    </row>
    <row r="223" spans="1:21" ht="15" customHeight="1" x14ac:dyDescent="0.3">
      <c r="A223" s="60" t="s">
        <v>572</v>
      </c>
      <c r="B223" s="61">
        <v>166157</v>
      </c>
      <c r="C223" s="62">
        <v>46179</v>
      </c>
      <c r="D223" s="63" t="s">
        <v>427</v>
      </c>
      <c r="E223" s="64" t="s">
        <v>573</v>
      </c>
      <c r="F223" s="65">
        <f>IFERROR(INDEX(M_User!$A$12:$J$67,MATCH(D223,M_User!$D$12:$D$67,0),1),"UNMAPPED")</f>
        <v>29</v>
      </c>
      <c r="G223" s="66" t="str">
        <f>IFERROR(INDEX(M_User!$A$12:$J$67,MATCH(D223,M_User!$D$12:$D$67,0),3),"UNMAPPED")</f>
        <v>Piniel Julius Singo</v>
      </c>
      <c r="H223" s="65" t="str">
        <f>IFERROR(INDEX(M_User!$A$12:$J$67,MATCH(D223,M_User!$D$12:$D$67,0),5),"UNMAPPED")</f>
        <v>MOS</v>
      </c>
      <c r="I223" s="63" t="s">
        <v>149</v>
      </c>
      <c r="J223" s="63" t="s">
        <v>190</v>
      </c>
      <c r="K223" s="66" t="str">
        <f>IFERROR(INDEX(M_SKU!$A$18:$J$57,MATCH(J223,M_SKU!$B$18:$B$57,0),1),"UNKNOWN SKU")</f>
        <v>Stoney Tangawizi RGB 350ml</v>
      </c>
      <c r="L223" s="63" t="s">
        <v>536</v>
      </c>
      <c r="M223" s="62">
        <v>46172</v>
      </c>
      <c r="N223" s="62">
        <v>46353</v>
      </c>
      <c r="O223" s="67">
        <v>4</v>
      </c>
      <c r="P223" s="68" t="s">
        <v>521</v>
      </c>
      <c r="Q223" s="63"/>
      <c r="R223" s="62"/>
      <c r="S223" s="69"/>
      <c r="T223" s="69"/>
      <c r="U223" s="66" t="str">
        <f t="shared" si="3"/>
        <v>MOS100654|FG007|CK3-33404</v>
      </c>
    </row>
    <row r="224" spans="1:21" ht="15" customHeight="1" x14ac:dyDescent="0.3">
      <c r="A224" s="70" t="s">
        <v>572</v>
      </c>
      <c r="B224" s="71">
        <v>166157</v>
      </c>
      <c r="C224" s="72">
        <v>46179</v>
      </c>
      <c r="D224" s="73" t="s">
        <v>427</v>
      </c>
      <c r="E224" s="74" t="s">
        <v>573</v>
      </c>
      <c r="F224" s="75">
        <f>IFERROR(INDEX(M_User!$A$12:$J$67,MATCH(D224,M_User!$D$12:$D$67,0),1),"UNMAPPED")</f>
        <v>29</v>
      </c>
      <c r="G224" s="76" t="str">
        <f>IFERROR(INDEX(M_User!$A$12:$J$67,MATCH(D224,M_User!$D$12:$D$67,0),3),"UNMAPPED")</f>
        <v>Piniel Julius Singo</v>
      </c>
      <c r="H224" s="75" t="str">
        <f>IFERROR(INDEX(M_User!$A$12:$J$67,MATCH(D224,M_User!$D$12:$D$67,0),5),"UNMAPPED")</f>
        <v>MOS</v>
      </c>
      <c r="I224" s="73" t="s">
        <v>149</v>
      </c>
      <c r="J224" s="73" t="s">
        <v>193</v>
      </c>
      <c r="K224" s="76" t="str">
        <f>IFERROR(INDEX(M_SKU!$A$18:$J$57,MATCH(J224,M_SKU!$B$18:$B$57,0),1),"UNKNOWN SKU")</f>
        <v>Sparletta Pinenut RGB 350ml</v>
      </c>
      <c r="L224" s="73" t="s">
        <v>537</v>
      </c>
      <c r="M224" s="72">
        <v>46158</v>
      </c>
      <c r="N224" s="72">
        <v>46522</v>
      </c>
      <c r="O224" s="77">
        <v>3</v>
      </c>
      <c r="P224" s="78" t="s">
        <v>521</v>
      </c>
      <c r="Q224" s="79"/>
      <c r="R224" s="80"/>
      <c r="S224" s="81"/>
      <c r="T224" s="81"/>
      <c r="U224" s="82" t="str">
        <f t="shared" si="3"/>
        <v>MOS100654|FG008|CK3-33365</v>
      </c>
    </row>
    <row r="225" spans="1:21" ht="15" customHeight="1" x14ac:dyDescent="0.3">
      <c r="A225" s="60" t="s">
        <v>572</v>
      </c>
      <c r="B225" s="61">
        <v>166157</v>
      </c>
      <c r="C225" s="62">
        <v>46179</v>
      </c>
      <c r="D225" s="63" t="s">
        <v>427</v>
      </c>
      <c r="E225" s="64" t="s">
        <v>573</v>
      </c>
      <c r="F225" s="65">
        <f>IFERROR(INDEX(M_User!$A$12:$J$67,MATCH(D225,M_User!$D$12:$D$67,0),1),"UNMAPPED")</f>
        <v>29</v>
      </c>
      <c r="G225" s="66" t="str">
        <f>IFERROR(INDEX(M_User!$A$12:$J$67,MATCH(D225,M_User!$D$12:$D$67,0),3),"UNMAPPED")</f>
        <v>Piniel Julius Singo</v>
      </c>
      <c r="H225" s="65" t="str">
        <f>IFERROR(INDEX(M_User!$A$12:$J$67,MATCH(D225,M_User!$D$12:$D$67,0),5),"UNMAPPED")</f>
        <v>MOS</v>
      </c>
      <c r="I225" s="63" t="s">
        <v>149</v>
      </c>
      <c r="J225" s="63" t="s">
        <v>199</v>
      </c>
      <c r="K225" s="66" t="str">
        <f>IFERROR(INDEX(M_SKU!$A$18:$J$57,MATCH(J225,M_SKU!$B$18:$B$57,0),1),"UNKNOWN SKU")</f>
        <v>Krest Club Soda RGB 300ml</v>
      </c>
      <c r="L225" s="63" t="s">
        <v>539</v>
      </c>
      <c r="M225" s="62">
        <v>46140</v>
      </c>
      <c r="N225" s="62">
        <v>46504</v>
      </c>
      <c r="O225" s="67">
        <v>2</v>
      </c>
      <c r="P225" s="68" t="s">
        <v>521</v>
      </c>
      <c r="Q225" s="63"/>
      <c r="R225" s="62"/>
      <c r="S225" s="69"/>
      <c r="T225" s="69"/>
      <c r="U225" s="66" t="str">
        <f t="shared" si="3"/>
        <v>MOS100654|FG010|CK3-33301</v>
      </c>
    </row>
    <row r="226" spans="1:21" ht="15" customHeight="1" x14ac:dyDescent="0.3">
      <c r="A226" s="70" t="s">
        <v>572</v>
      </c>
      <c r="B226" s="71">
        <v>166157</v>
      </c>
      <c r="C226" s="72">
        <v>46179</v>
      </c>
      <c r="D226" s="73" t="s">
        <v>427</v>
      </c>
      <c r="E226" s="74" t="s">
        <v>573</v>
      </c>
      <c r="F226" s="75">
        <f>IFERROR(INDEX(M_User!$A$12:$J$67,MATCH(D226,M_User!$D$12:$D$67,0),1),"UNMAPPED")</f>
        <v>29</v>
      </c>
      <c r="G226" s="76" t="str">
        <f>IFERROR(INDEX(M_User!$A$12:$J$67,MATCH(D226,M_User!$D$12:$D$67,0),3),"UNMAPPED")</f>
        <v>Piniel Julius Singo</v>
      </c>
      <c r="H226" s="75" t="str">
        <f>IFERROR(INDEX(M_User!$A$12:$J$67,MATCH(D226,M_User!$D$12:$D$67,0),5),"UNMAPPED")</f>
        <v>MOS</v>
      </c>
      <c r="I226" s="73" t="s">
        <v>149</v>
      </c>
      <c r="J226" s="73" t="s">
        <v>201</v>
      </c>
      <c r="K226" s="76" t="str">
        <f>IFERROR(INDEX(M_SKU!$A$18:$J$57,MATCH(J226,M_SKU!$B$18:$B$57,0),1),"UNKNOWN SKU")</f>
        <v>Krest Tonic Water RGB 300ml</v>
      </c>
      <c r="L226" s="73" t="s">
        <v>540</v>
      </c>
      <c r="M226" s="72">
        <v>46154</v>
      </c>
      <c r="N226" s="72">
        <v>46518</v>
      </c>
      <c r="O226" s="77">
        <v>5</v>
      </c>
      <c r="P226" s="78" t="s">
        <v>521</v>
      </c>
      <c r="Q226" s="79"/>
      <c r="R226" s="80"/>
      <c r="S226" s="81"/>
      <c r="T226" s="81"/>
      <c r="U226" s="82" t="str">
        <f t="shared" si="3"/>
        <v>MOS100654|FG011|CK3-33347</v>
      </c>
    </row>
    <row r="227" spans="1:21" ht="15" customHeight="1" x14ac:dyDescent="0.3">
      <c r="A227" s="60" t="s">
        <v>572</v>
      </c>
      <c r="B227" s="61">
        <v>166157</v>
      </c>
      <c r="C227" s="62">
        <v>46179</v>
      </c>
      <c r="D227" s="63" t="s">
        <v>427</v>
      </c>
      <c r="E227" s="64" t="s">
        <v>573</v>
      </c>
      <c r="F227" s="65">
        <f>IFERROR(INDEX(M_User!$A$12:$J$67,MATCH(D227,M_User!$D$12:$D$67,0),1),"UNMAPPED")</f>
        <v>29</v>
      </c>
      <c r="G227" s="66" t="str">
        <f>IFERROR(INDEX(M_User!$A$12:$J$67,MATCH(D227,M_User!$D$12:$D$67,0),3),"UNMAPPED")</f>
        <v>Piniel Julius Singo</v>
      </c>
      <c r="H227" s="65" t="str">
        <f>IFERROR(INDEX(M_User!$A$12:$J$67,MATCH(D227,M_User!$D$12:$D$67,0),5),"UNMAPPED")</f>
        <v>MOS</v>
      </c>
      <c r="I227" s="63" t="s">
        <v>149</v>
      </c>
      <c r="J227" s="63" t="s">
        <v>203</v>
      </c>
      <c r="K227" s="66" t="str">
        <f>IFERROR(INDEX(M_SKU!$A$18:$J$57,MATCH(J227,M_SKU!$B$18:$B$57,0),1),"UNKNOWN SKU")</f>
        <v>Krest Ginger Ale RGB 300ml</v>
      </c>
      <c r="L227" s="63" t="s">
        <v>541</v>
      </c>
      <c r="M227" s="62">
        <v>46088</v>
      </c>
      <c r="N227" s="62">
        <v>46452</v>
      </c>
      <c r="O227" s="67">
        <v>3</v>
      </c>
      <c r="P227" s="68" t="s">
        <v>521</v>
      </c>
      <c r="Q227" s="63"/>
      <c r="R227" s="62"/>
      <c r="S227" s="69"/>
      <c r="T227" s="69"/>
      <c r="U227" s="66" t="str">
        <f t="shared" si="3"/>
        <v>MOS100654|FG012|CK3-33126</v>
      </c>
    </row>
    <row r="228" spans="1:21" ht="15" customHeight="1" x14ac:dyDescent="0.3">
      <c r="A228" s="70" t="s">
        <v>572</v>
      </c>
      <c r="B228" s="71">
        <v>166157</v>
      </c>
      <c r="C228" s="72">
        <v>46179</v>
      </c>
      <c r="D228" s="73" t="s">
        <v>427</v>
      </c>
      <c r="E228" s="74" t="s">
        <v>573</v>
      </c>
      <c r="F228" s="75">
        <f>IFERROR(INDEX(M_User!$A$12:$J$67,MATCH(D228,M_User!$D$12:$D$67,0),1),"UNMAPPED")</f>
        <v>29</v>
      </c>
      <c r="G228" s="76" t="str">
        <f>IFERROR(INDEX(M_User!$A$12:$J$67,MATCH(D228,M_User!$D$12:$D$67,0),3),"UNMAPPED")</f>
        <v>Piniel Julius Singo</v>
      </c>
      <c r="H228" s="75" t="str">
        <f>IFERROR(INDEX(M_User!$A$12:$J$67,MATCH(D228,M_User!$D$12:$D$67,0),5),"UNMAPPED")</f>
        <v>MOS</v>
      </c>
      <c r="I228" s="73" t="s">
        <v>149</v>
      </c>
      <c r="J228" s="73" t="s">
        <v>209</v>
      </c>
      <c r="K228" s="76" t="str">
        <f>IFERROR(INDEX(M_SKU!$A$18:$J$57,MATCH(J228,M_SKU!$B$18:$B$57,0),1),"UNKNOWN SKU")</f>
        <v>Sparletta Red Apple RGB 350ml</v>
      </c>
      <c r="L228" s="73" t="s">
        <v>542</v>
      </c>
      <c r="M228" s="72">
        <v>46010</v>
      </c>
      <c r="N228" s="72">
        <v>46374</v>
      </c>
      <c r="O228" s="77">
        <v>2</v>
      </c>
      <c r="P228" s="78" t="s">
        <v>521</v>
      </c>
      <c r="Q228" s="79"/>
      <c r="R228" s="80"/>
      <c r="S228" s="81"/>
      <c r="T228" s="81"/>
      <c r="U228" s="82" t="str">
        <f t="shared" si="3"/>
        <v>MOS100654|FG024|CK3-32758</v>
      </c>
    </row>
    <row r="229" spans="1:21" ht="15" customHeight="1" x14ac:dyDescent="0.3">
      <c r="A229" s="60" t="s">
        <v>572</v>
      </c>
      <c r="B229" s="61">
        <v>166157</v>
      </c>
      <c r="C229" s="62">
        <v>46179</v>
      </c>
      <c r="D229" s="63" t="s">
        <v>427</v>
      </c>
      <c r="E229" s="64" t="s">
        <v>573</v>
      </c>
      <c r="F229" s="65">
        <f>IFERROR(INDEX(M_User!$A$12:$J$67,MATCH(D229,M_User!$D$12:$D$67,0),1),"UNMAPPED")</f>
        <v>29</v>
      </c>
      <c r="G229" s="66" t="str">
        <f>IFERROR(INDEX(M_User!$A$12:$J$67,MATCH(D229,M_User!$D$12:$D$67,0),3),"UNMAPPED")</f>
        <v>Piniel Julius Singo</v>
      </c>
      <c r="H229" s="65" t="str">
        <f>IFERROR(INDEX(M_User!$A$12:$J$67,MATCH(D229,M_User!$D$12:$D$67,0),5),"UNMAPPED")</f>
        <v>MOS</v>
      </c>
      <c r="I229" s="63" t="s">
        <v>149</v>
      </c>
      <c r="J229" s="63" t="s">
        <v>211</v>
      </c>
      <c r="K229" s="66" t="str">
        <f>IFERROR(INDEX(M_SKU!$A$18:$J$57,MATCH(J229,M_SKU!$B$18:$B$57,0),1),"UNKNOWN SKU")</f>
        <v>KNMW 500ml</v>
      </c>
      <c r="L229" s="63" t="s">
        <v>543</v>
      </c>
      <c r="M229" s="62">
        <v>46177</v>
      </c>
      <c r="N229" s="62">
        <v>46541</v>
      </c>
      <c r="O229" s="67">
        <v>40</v>
      </c>
      <c r="P229" s="68" t="s">
        <v>521</v>
      </c>
      <c r="Q229" s="63"/>
      <c r="R229" s="62"/>
      <c r="S229" s="69"/>
      <c r="T229" s="69"/>
      <c r="U229" s="66" t="str">
        <f t="shared" si="3"/>
        <v>MOS100654|KD001|CK6-986</v>
      </c>
    </row>
    <row r="230" spans="1:21" ht="15" customHeight="1" x14ac:dyDescent="0.3">
      <c r="A230" s="70" t="s">
        <v>572</v>
      </c>
      <c r="B230" s="71">
        <v>166157</v>
      </c>
      <c r="C230" s="72">
        <v>46179</v>
      </c>
      <c r="D230" s="73" t="s">
        <v>427</v>
      </c>
      <c r="E230" s="74" t="s">
        <v>573</v>
      </c>
      <c r="F230" s="75">
        <f>IFERROR(INDEX(M_User!$A$12:$J$67,MATCH(D230,M_User!$D$12:$D$67,0),1),"UNMAPPED")</f>
        <v>29</v>
      </c>
      <c r="G230" s="76" t="str">
        <f>IFERROR(INDEX(M_User!$A$12:$J$67,MATCH(D230,M_User!$D$12:$D$67,0),3),"UNMAPPED")</f>
        <v>Piniel Julius Singo</v>
      </c>
      <c r="H230" s="75" t="str">
        <f>IFERROR(INDEX(M_User!$A$12:$J$67,MATCH(D230,M_User!$D$12:$D$67,0),5),"UNMAPPED")</f>
        <v>MOS</v>
      </c>
      <c r="I230" s="73" t="s">
        <v>149</v>
      </c>
      <c r="J230" s="73" t="s">
        <v>217</v>
      </c>
      <c r="K230" s="76" t="str">
        <f>IFERROR(INDEX(M_SKU!$A$18:$J$57,MATCH(J230,M_SKU!$B$18:$B$57,0),1),"UNKNOWN SKU")</f>
        <v>KNMW 1500ml</v>
      </c>
      <c r="L230" s="73" t="s">
        <v>551</v>
      </c>
      <c r="M230" s="72">
        <v>46177</v>
      </c>
      <c r="N230" s="72">
        <v>46541</v>
      </c>
      <c r="O230" s="77">
        <v>90</v>
      </c>
      <c r="P230" s="78" t="s">
        <v>521</v>
      </c>
      <c r="Q230" s="79"/>
      <c r="R230" s="80"/>
      <c r="S230" s="81"/>
      <c r="T230" s="81"/>
      <c r="U230" s="82" t="str">
        <f t="shared" si="3"/>
        <v>MOS100654|KD003|CK4-842</v>
      </c>
    </row>
    <row r="231" spans="1:21" ht="15" customHeight="1" x14ac:dyDescent="0.3">
      <c r="A231" s="60" t="s">
        <v>572</v>
      </c>
      <c r="B231" s="61">
        <v>166157</v>
      </c>
      <c r="C231" s="62">
        <v>46179</v>
      </c>
      <c r="D231" s="63" t="s">
        <v>427</v>
      </c>
      <c r="E231" s="64" t="s">
        <v>573</v>
      </c>
      <c r="F231" s="65">
        <f>IFERROR(INDEX(M_User!$A$12:$J$67,MATCH(D231,M_User!$D$12:$D$67,0),1),"UNMAPPED")</f>
        <v>29</v>
      </c>
      <c r="G231" s="66" t="str">
        <f>IFERROR(INDEX(M_User!$A$12:$J$67,MATCH(D231,M_User!$D$12:$D$67,0),3),"UNMAPPED")</f>
        <v>Piniel Julius Singo</v>
      </c>
      <c r="H231" s="65" t="str">
        <f>IFERROR(INDEX(M_User!$A$12:$J$67,MATCH(D231,M_User!$D$12:$D$67,0),5),"UNMAPPED")</f>
        <v>MOS</v>
      </c>
      <c r="I231" s="63" t="s">
        <v>149</v>
      </c>
      <c r="J231" s="63" t="s">
        <v>222</v>
      </c>
      <c r="K231" s="66" t="str">
        <f>IFERROR(INDEX(M_SKU!$A$18:$J$57,MATCH(J231,M_SKU!$B$18:$B$57,0),1),"UNKNOWN SKU")</f>
        <v>Kilimanjaro Drinking Water 12000 ML</v>
      </c>
      <c r="L231" s="63" t="s">
        <v>566</v>
      </c>
      <c r="M231" s="62">
        <v>46170</v>
      </c>
      <c r="N231" s="62">
        <v>46534</v>
      </c>
      <c r="O231" s="67">
        <v>5</v>
      </c>
      <c r="P231" s="68" t="s">
        <v>521</v>
      </c>
      <c r="Q231" s="63"/>
      <c r="R231" s="62"/>
      <c r="S231" s="69"/>
      <c r="T231" s="69"/>
      <c r="U231" s="66" t="str">
        <f t="shared" si="3"/>
        <v>MOS100654|KD005|CK7-913</v>
      </c>
    </row>
    <row r="232" spans="1:21" ht="15" customHeight="1" x14ac:dyDescent="0.3">
      <c r="A232" s="70" t="s">
        <v>572</v>
      </c>
      <c r="B232" s="71">
        <v>166157</v>
      </c>
      <c r="C232" s="72">
        <v>46179</v>
      </c>
      <c r="D232" s="73" t="s">
        <v>427</v>
      </c>
      <c r="E232" s="74" t="s">
        <v>573</v>
      </c>
      <c r="F232" s="75">
        <f>IFERROR(INDEX(M_User!$A$12:$J$67,MATCH(D232,M_User!$D$12:$D$67,0),1),"UNMAPPED")</f>
        <v>29</v>
      </c>
      <c r="G232" s="76" t="str">
        <f>IFERROR(INDEX(M_User!$A$12:$J$67,MATCH(D232,M_User!$D$12:$D$67,0),3),"UNMAPPED")</f>
        <v>Piniel Julius Singo</v>
      </c>
      <c r="H232" s="75" t="str">
        <f>IFERROR(INDEX(M_User!$A$12:$J$67,MATCH(D232,M_User!$D$12:$D$67,0),5),"UNMAPPED")</f>
        <v>MOS</v>
      </c>
      <c r="I232" s="73" t="s">
        <v>149</v>
      </c>
      <c r="J232" s="73" t="s">
        <v>225</v>
      </c>
      <c r="K232" s="76" t="str">
        <f>IFERROR(INDEX(M_SKU!$A$18:$J$57,MATCH(J232,M_SKU!$B$18:$B$57,0),1),"UNKNOWN SKU")</f>
        <v>Kilimanjaro Drinking Water 18900 ML</v>
      </c>
      <c r="L232" s="73" t="s">
        <v>574</v>
      </c>
      <c r="M232" s="72">
        <v>46177</v>
      </c>
      <c r="N232" s="72">
        <v>46541</v>
      </c>
      <c r="O232" s="77">
        <v>11</v>
      </c>
      <c r="P232" s="78" t="s">
        <v>521</v>
      </c>
      <c r="Q232" s="79"/>
      <c r="R232" s="80"/>
      <c r="S232" s="81"/>
      <c r="T232" s="81"/>
      <c r="U232" s="82" t="str">
        <f t="shared" si="3"/>
        <v>MOS100654|KD006|CK7-918</v>
      </c>
    </row>
    <row r="233" spans="1:21" ht="15" customHeight="1" x14ac:dyDescent="0.3">
      <c r="A233" s="60" t="s">
        <v>572</v>
      </c>
      <c r="B233" s="61">
        <v>166157</v>
      </c>
      <c r="C233" s="62">
        <v>46179</v>
      </c>
      <c r="D233" s="63" t="s">
        <v>427</v>
      </c>
      <c r="E233" s="64" t="s">
        <v>573</v>
      </c>
      <c r="F233" s="65">
        <f>IFERROR(INDEX(M_User!$A$12:$J$67,MATCH(D233,M_User!$D$12:$D$67,0),1),"UNMAPPED")</f>
        <v>29</v>
      </c>
      <c r="G233" s="66" t="str">
        <f>IFERROR(INDEX(M_User!$A$12:$J$67,MATCH(D233,M_User!$D$12:$D$67,0),3),"UNMAPPED")</f>
        <v>Piniel Julius Singo</v>
      </c>
      <c r="H233" s="65" t="str">
        <f>IFERROR(INDEX(M_User!$A$12:$J$67,MATCH(D233,M_User!$D$12:$D$67,0),5),"UNMAPPED")</f>
        <v>MOS</v>
      </c>
      <c r="I233" s="63" t="s">
        <v>149</v>
      </c>
      <c r="J233" s="63" t="s">
        <v>229</v>
      </c>
      <c r="K233" s="66" t="str">
        <f>IFERROR(INDEX(M_SKU!$A$18:$J$57,MATCH(J233,M_SKU!$B$18:$B$57,0),1),"UNKNOWN SKU")</f>
        <v>Coke Pet 500ML ( x12)</v>
      </c>
      <c r="L233" s="63" t="s">
        <v>520</v>
      </c>
      <c r="M233" s="62">
        <v>46177</v>
      </c>
      <c r="N233" s="62">
        <v>46288</v>
      </c>
      <c r="O233" s="67">
        <v>10</v>
      </c>
      <c r="P233" s="68" t="s">
        <v>521</v>
      </c>
      <c r="Q233" s="63"/>
      <c r="R233" s="62"/>
      <c r="S233" s="69"/>
      <c r="T233" s="69"/>
      <c r="U233" s="66" t="str">
        <f t="shared" si="3"/>
        <v>MOS100654|PH001|CK6-33411</v>
      </c>
    </row>
    <row r="234" spans="1:21" ht="15" customHeight="1" x14ac:dyDescent="0.3">
      <c r="A234" s="70" t="s">
        <v>572</v>
      </c>
      <c r="B234" s="71">
        <v>166157</v>
      </c>
      <c r="C234" s="72">
        <v>46179</v>
      </c>
      <c r="D234" s="73" t="s">
        <v>427</v>
      </c>
      <c r="E234" s="74" t="s">
        <v>573</v>
      </c>
      <c r="F234" s="75">
        <f>IFERROR(INDEX(M_User!$A$12:$J$67,MATCH(D234,M_User!$D$12:$D$67,0),1),"UNMAPPED")</f>
        <v>29</v>
      </c>
      <c r="G234" s="76" t="str">
        <f>IFERROR(INDEX(M_User!$A$12:$J$67,MATCH(D234,M_User!$D$12:$D$67,0),3),"UNMAPPED")</f>
        <v>Piniel Julius Singo</v>
      </c>
      <c r="H234" s="75" t="str">
        <f>IFERROR(INDEX(M_User!$A$12:$J$67,MATCH(D234,M_User!$D$12:$D$67,0),5),"UNMAPPED")</f>
        <v>MOS</v>
      </c>
      <c r="I234" s="73" t="s">
        <v>149</v>
      </c>
      <c r="J234" s="73" t="s">
        <v>232</v>
      </c>
      <c r="K234" s="76" t="str">
        <f>IFERROR(INDEX(M_SKU!$A$18:$J$57,MATCH(J234,M_SKU!$B$18:$B$57,0),1),"UNKNOWN SKU")</f>
        <v>Sprite Pet 500ML (x 12)</v>
      </c>
      <c r="L234" s="73" t="s">
        <v>522</v>
      </c>
      <c r="M234" s="72">
        <v>46158</v>
      </c>
      <c r="N234" s="72">
        <v>46269</v>
      </c>
      <c r="O234" s="77">
        <v>2</v>
      </c>
      <c r="P234" s="78" t="s">
        <v>521</v>
      </c>
      <c r="Q234" s="79"/>
      <c r="R234" s="80"/>
      <c r="S234" s="81"/>
      <c r="T234" s="81"/>
      <c r="U234" s="82" t="str">
        <f t="shared" si="3"/>
        <v>MOS100654|PH002|CK6-33362</v>
      </c>
    </row>
    <row r="235" spans="1:21" ht="15" customHeight="1" x14ac:dyDescent="0.3">
      <c r="A235" s="60" t="s">
        <v>572</v>
      </c>
      <c r="B235" s="61">
        <v>166157</v>
      </c>
      <c r="C235" s="62">
        <v>46179</v>
      </c>
      <c r="D235" s="63" t="s">
        <v>427</v>
      </c>
      <c r="E235" s="64" t="s">
        <v>573</v>
      </c>
      <c r="F235" s="65">
        <f>IFERROR(INDEX(M_User!$A$12:$J$67,MATCH(D235,M_User!$D$12:$D$67,0),1),"UNMAPPED")</f>
        <v>29</v>
      </c>
      <c r="G235" s="66" t="str">
        <f>IFERROR(INDEX(M_User!$A$12:$J$67,MATCH(D235,M_User!$D$12:$D$67,0),3),"UNMAPPED")</f>
        <v>Piniel Julius Singo</v>
      </c>
      <c r="H235" s="65" t="str">
        <f>IFERROR(INDEX(M_User!$A$12:$J$67,MATCH(D235,M_User!$D$12:$D$67,0),5),"UNMAPPED")</f>
        <v>MOS</v>
      </c>
      <c r="I235" s="63" t="s">
        <v>149</v>
      </c>
      <c r="J235" s="63" t="s">
        <v>234</v>
      </c>
      <c r="K235" s="66" t="str">
        <f>IFERROR(INDEX(M_SKU!$A$18:$J$57,MATCH(J235,M_SKU!$B$18:$B$57,0),1),"UNKNOWN SKU")</f>
        <v>Fanta Orange Pet 500ML ( x 12)</v>
      </c>
      <c r="L235" s="63" t="s">
        <v>523</v>
      </c>
      <c r="M235" s="62">
        <v>46172</v>
      </c>
      <c r="N235" s="62">
        <v>46283</v>
      </c>
      <c r="O235" s="67">
        <v>8</v>
      </c>
      <c r="P235" s="68" t="s">
        <v>521</v>
      </c>
      <c r="Q235" s="63"/>
      <c r="R235" s="62"/>
      <c r="S235" s="69"/>
      <c r="T235" s="69"/>
      <c r="U235" s="66" t="str">
        <f t="shared" si="3"/>
        <v>MOS100654|PH003|CK6-33405</v>
      </c>
    </row>
    <row r="236" spans="1:21" ht="15" customHeight="1" x14ac:dyDescent="0.3">
      <c r="A236" s="70" t="s">
        <v>572</v>
      </c>
      <c r="B236" s="71">
        <v>166157</v>
      </c>
      <c r="C236" s="72">
        <v>46179</v>
      </c>
      <c r="D236" s="73" t="s">
        <v>427</v>
      </c>
      <c r="E236" s="74" t="s">
        <v>573</v>
      </c>
      <c r="F236" s="75">
        <f>IFERROR(INDEX(M_User!$A$12:$J$67,MATCH(D236,M_User!$D$12:$D$67,0),1),"UNMAPPED")</f>
        <v>29</v>
      </c>
      <c r="G236" s="76" t="str">
        <f>IFERROR(INDEX(M_User!$A$12:$J$67,MATCH(D236,M_User!$D$12:$D$67,0),3),"UNMAPPED")</f>
        <v>Piniel Julius Singo</v>
      </c>
      <c r="H236" s="75" t="str">
        <f>IFERROR(INDEX(M_User!$A$12:$J$67,MATCH(D236,M_User!$D$12:$D$67,0),5),"UNMAPPED")</f>
        <v>MOS</v>
      </c>
      <c r="I236" s="73" t="s">
        <v>149</v>
      </c>
      <c r="J236" s="73" t="s">
        <v>236</v>
      </c>
      <c r="K236" s="76" t="str">
        <f>IFERROR(INDEX(M_SKU!$A$18:$J$57,MATCH(J236,M_SKU!$B$18:$B$57,0),1),"UNKNOWN SKU")</f>
        <v>Fanta Passion Pet 500ML ( x12)</v>
      </c>
      <c r="L236" s="73" t="s">
        <v>524</v>
      </c>
      <c r="M236" s="72">
        <v>46151</v>
      </c>
      <c r="N236" s="72">
        <v>46262</v>
      </c>
      <c r="O236" s="77">
        <v>4</v>
      </c>
      <c r="P236" s="78" t="s">
        <v>521</v>
      </c>
      <c r="Q236" s="79"/>
      <c r="R236" s="80"/>
      <c r="S236" s="81"/>
      <c r="T236" s="81"/>
      <c r="U236" s="82" t="str">
        <f t="shared" si="3"/>
        <v>MOS100654|PH004|CK5-33334</v>
      </c>
    </row>
    <row r="237" spans="1:21" ht="15" customHeight="1" x14ac:dyDescent="0.3">
      <c r="A237" s="60" t="s">
        <v>572</v>
      </c>
      <c r="B237" s="61">
        <v>166157</v>
      </c>
      <c r="C237" s="62">
        <v>46179</v>
      </c>
      <c r="D237" s="63" t="s">
        <v>427</v>
      </c>
      <c r="E237" s="64" t="s">
        <v>573</v>
      </c>
      <c r="F237" s="65">
        <f>IFERROR(INDEX(M_User!$A$12:$J$67,MATCH(D237,M_User!$D$12:$D$67,0),1),"UNMAPPED")</f>
        <v>29</v>
      </c>
      <c r="G237" s="66" t="str">
        <f>IFERROR(INDEX(M_User!$A$12:$J$67,MATCH(D237,M_User!$D$12:$D$67,0),3),"UNMAPPED")</f>
        <v>Piniel Julius Singo</v>
      </c>
      <c r="H237" s="65" t="str">
        <f>IFERROR(INDEX(M_User!$A$12:$J$67,MATCH(D237,M_User!$D$12:$D$67,0),5),"UNMAPPED")</f>
        <v>MOS</v>
      </c>
      <c r="I237" s="63" t="s">
        <v>149</v>
      </c>
      <c r="J237" s="63" t="s">
        <v>242</v>
      </c>
      <c r="K237" s="66" t="str">
        <f>IFERROR(INDEX(M_SKU!$A$18:$J$57,MATCH(J237,M_SKU!$B$18:$B$57,0),1),"UNKNOWN SKU")</f>
        <v>Stoney Tangawizi Pet 500 ml ( x12)</v>
      </c>
      <c r="L237" s="63" t="s">
        <v>525</v>
      </c>
      <c r="M237" s="62">
        <v>46161</v>
      </c>
      <c r="N237" s="62">
        <v>46272</v>
      </c>
      <c r="O237" s="67">
        <v>1</v>
      </c>
      <c r="P237" s="68" t="s">
        <v>521</v>
      </c>
      <c r="Q237" s="63"/>
      <c r="R237" s="62"/>
      <c r="S237" s="69"/>
      <c r="T237" s="69"/>
      <c r="U237" s="66" t="str">
        <f t="shared" si="3"/>
        <v>MOS100654|PH007|CK6-33375</v>
      </c>
    </row>
    <row r="238" spans="1:21" ht="15" customHeight="1" x14ac:dyDescent="0.3">
      <c r="A238" s="70" t="s">
        <v>572</v>
      </c>
      <c r="B238" s="71">
        <v>166157</v>
      </c>
      <c r="C238" s="72">
        <v>46179</v>
      </c>
      <c r="D238" s="73" t="s">
        <v>427</v>
      </c>
      <c r="E238" s="74" t="s">
        <v>573</v>
      </c>
      <c r="F238" s="75">
        <f>IFERROR(INDEX(M_User!$A$12:$J$67,MATCH(D238,M_User!$D$12:$D$67,0),1),"UNMAPPED")</f>
        <v>29</v>
      </c>
      <c r="G238" s="76" t="str">
        <f>IFERROR(INDEX(M_User!$A$12:$J$67,MATCH(D238,M_User!$D$12:$D$67,0),3),"UNMAPPED")</f>
        <v>Piniel Julius Singo</v>
      </c>
      <c r="H238" s="75" t="str">
        <f>IFERROR(INDEX(M_User!$A$12:$J$67,MATCH(D238,M_User!$D$12:$D$67,0),5),"UNMAPPED")</f>
        <v>MOS</v>
      </c>
      <c r="I238" s="73" t="s">
        <v>149</v>
      </c>
      <c r="J238" s="73" t="s">
        <v>244</v>
      </c>
      <c r="K238" s="76" t="str">
        <f>IFERROR(INDEX(M_SKU!$A$18:$J$57,MATCH(J238,M_SKU!$B$18:$B$57,0),1),"UNKNOWN SKU")</f>
        <v>Sparletta Pinenut Pet 500 ml ( x12)</v>
      </c>
      <c r="L238" s="73" t="s">
        <v>526</v>
      </c>
      <c r="M238" s="72">
        <v>46161</v>
      </c>
      <c r="N238" s="72">
        <v>46272</v>
      </c>
      <c r="O238" s="77">
        <v>2</v>
      </c>
      <c r="P238" s="78" t="s">
        <v>521</v>
      </c>
      <c r="Q238" s="79"/>
      <c r="R238" s="80"/>
      <c r="S238" s="81"/>
      <c r="T238" s="81"/>
      <c r="U238" s="82" t="str">
        <f t="shared" si="3"/>
        <v>MOS100654|PH008|CK5-33370</v>
      </c>
    </row>
    <row r="239" spans="1:21" ht="15" customHeight="1" x14ac:dyDescent="0.3">
      <c r="A239" s="60" t="s">
        <v>575</v>
      </c>
      <c r="B239" s="61">
        <v>166158</v>
      </c>
      <c r="C239" s="62">
        <v>46179</v>
      </c>
      <c r="D239" s="63" t="s">
        <v>376</v>
      </c>
      <c r="E239" s="64" t="s">
        <v>576</v>
      </c>
      <c r="F239" s="65">
        <f>IFERROR(INDEX(M_User!$A$12:$J$67,MATCH(D239,M_User!$D$12:$D$67,0),1),"UNMAPPED")</f>
        <v>61</v>
      </c>
      <c r="G239" s="66" t="str">
        <f>IFERROR(INDEX(M_User!$A$12:$J$67,MATCH(D239,M_User!$D$12:$D$67,0),3),"UNMAPPED")</f>
        <v>Zefania Julius Ngoma</v>
      </c>
      <c r="H239" s="65" t="str">
        <f>IFERROR(INDEX(M_User!$A$12:$J$67,MATCH(D239,M_User!$D$12:$D$67,0),5),"UNMAPPED")</f>
        <v>MOS</v>
      </c>
      <c r="I239" s="63" t="s">
        <v>149</v>
      </c>
      <c r="J239" s="63" t="s">
        <v>170</v>
      </c>
      <c r="K239" s="66" t="str">
        <f>IFERROR(INDEX(M_SKU!$A$18:$J$57,MATCH(J239,M_SKU!$B$18:$B$57,0),1),"UNKNOWN SKU")</f>
        <v>Coke RGB 350ml</v>
      </c>
      <c r="L239" s="63" t="s">
        <v>530</v>
      </c>
      <c r="M239" s="62">
        <v>46175</v>
      </c>
      <c r="N239" s="62">
        <v>46539</v>
      </c>
      <c r="O239" s="67">
        <v>50</v>
      </c>
      <c r="P239" s="68" t="s">
        <v>521</v>
      </c>
      <c r="Q239" s="63"/>
      <c r="R239" s="62"/>
      <c r="S239" s="69"/>
      <c r="T239" s="69"/>
      <c r="U239" s="66" t="str">
        <f t="shared" si="3"/>
        <v>MOS100144|FG001|CK3-33409</v>
      </c>
    </row>
    <row r="240" spans="1:21" ht="15" customHeight="1" x14ac:dyDescent="0.3">
      <c r="A240" s="70" t="s">
        <v>575</v>
      </c>
      <c r="B240" s="71">
        <v>166158</v>
      </c>
      <c r="C240" s="72">
        <v>46179</v>
      </c>
      <c r="D240" s="73" t="s">
        <v>376</v>
      </c>
      <c r="E240" s="74" t="s">
        <v>576</v>
      </c>
      <c r="F240" s="75">
        <f>IFERROR(INDEX(M_User!$A$12:$J$67,MATCH(D240,M_User!$D$12:$D$67,0),1),"UNMAPPED")</f>
        <v>61</v>
      </c>
      <c r="G240" s="76" t="str">
        <f>IFERROR(INDEX(M_User!$A$12:$J$67,MATCH(D240,M_User!$D$12:$D$67,0),3),"UNMAPPED")</f>
        <v>Zefania Julius Ngoma</v>
      </c>
      <c r="H240" s="75" t="str">
        <f>IFERROR(INDEX(M_User!$A$12:$J$67,MATCH(D240,M_User!$D$12:$D$67,0),5),"UNMAPPED")</f>
        <v>MOS</v>
      </c>
      <c r="I240" s="73" t="s">
        <v>149</v>
      </c>
      <c r="J240" s="73" t="s">
        <v>178</v>
      </c>
      <c r="K240" s="76" t="str">
        <f>IFERROR(INDEX(M_SKU!$A$18:$J$57,MATCH(J240,M_SKU!$B$18:$B$57,0),1),"UNKNOWN SKU")</f>
        <v>Fanta Orange RGB 350ml</v>
      </c>
      <c r="L240" s="73" t="s">
        <v>531</v>
      </c>
      <c r="M240" s="72">
        <v>46174</v>
      </c>
      <c r="N240" s="72">
        <v>46538</v>
      </c>
      <c r="O240" s="77">
        <v>10</v>
      </c>
      <c r="P240" s="78" t="s">
        <v>521</v>
      </c>
      <c r="Q240" s="79"/>
      <c r="R240" s="80"/>
      <c r="S240" s="81"/>
      <c r="T240" s="81"/>
      <c r="U240" s="82" t="str">
        <f t="shared" si="3"/>
        <v>MOS100144|FG002|CK3-33407</v>
      </c>
    </row>
    <row r="241" spans="1:21" ht="15" customHeight="1" x14ac:dyDescent="0.3">
      <c r="A241" s="60" t="s">
        <v>575</v>
      </c>
      <c r="B241" s="61">
        <v>166158</v>
      </c>
      <c r="C241" s="62">
        <v>46179</v>
      </c>
      <c r="D241" s="63" t="s">
        <v>376</v>
      </c>
      <c r="E241" s="64" t="s">
        <v>576</v>
      </c>
      <c r="F241" s="65">
        <f>IFERROR(INDEX(M_User!$A$12:$J$67,MATCH(D241,M_User!$D$12:$D$67,0),1),"UNMAPPED")</f>
        <v>61</v>
      </c>
      <c r="G241" s="66" t="str">
        <f>IFERROR(INDEX(M_User!$A$12:$J$67,MATCH(D241,M_User!$D$12:$D$67,0),3),"UNMAPPED")</f>
        <v>Zefania Julius Ngoma</v>
      </c>
      <c r="H241" s="65" t="str">
        <f>IFERROR(INDEX(M_User!$A$12:$J$67,MATCH(D241,M_User!$D$12:$D$67,0),5),"UNMAPPED")</f>
        <v>MOS</v>
      </c>
      <c r="I241" s="63" t="s">
        <v>149</v>
      </c>
      <c r="J241" s="63" t="s">
        <v>181</v>
      </c>
      <c r="K241" s="66" t="str">
        <f>IFERROR(INDEX(M_SKU!$A$18:$J$57,MATCH(J241,M_SKU!$B$18:$B$57,0),1),"UNKNOWN SKU")</f>
        <v>Fanta Passion RGB 350ml</v>
      </c>
      <c r="L241" s="63" t="s">
        <v>550</v>
      </c>
      <c r="M241" s="62">
        <v>46158</v>
      </c>
      <c r="N241" s="62">
        <v>46521</v>
      </c>
      <c r="O241" s="67">
        <v>5</v>
      </c>
      <c r="P241" s="68" t="s">
        <v>521</v>
      </c>
      <c r="Q241" s="63"/>
      <c r="R241" s="62"/>
      <c r="S241" s="69"/>
      <c r="T241" s="69"/>
      <c r="U241" s="66" t="str">
        <f t="shared" si="3"/>
        <v>MOS100144|FG003|CK3-33356</v>
      </c>
    </row>
    <row r="242" spans="1:21" ht="15" customHeight="1" x14ac:dyDescent="0.3">
      <c r="A242" s="70" t="s">
        <v>575</v>
      </c>
      <c r="B242" s="71">
        <v>166158</v>
      </c>
      <c r="C242" s="72">
        <v>46179</v>
      </c>
      <c r="D242" s="73" t="s">
        <v>376</v>
      </c>
      <c r="E242" s="74" t="s">
        <v>576</v>
      </c>
      <c r="F242" s="75">
        <f>IFERROR(INDEX(M_User!$A$12:$J$67,MATCH(D242,M_User!$D$12:$D$67,0),1),"UNMAPPED")</f>
        <v>61</v>
      </c>
      <c r="G242" s="76" t="str">
        <f>IFERROR(INDEX(M_User!$A$12:$J$67,MATCH(D242,M_User!$D$12:$D$67,0),3),"UNMAPPED")</f>
        <v>Zefania Julius Ngoma</v>
      </c>
      <c r="H242" s="75" t="str">
        <f>IFERROR(INDEX(M_User!$A$12:$J$67,MATCH(D242,M_User!$D$12:$D$67,0),5),"UNMAPPED")</f>
        <v>MOS</v>
      </c>
      <c r="I242" s="73" t="s">
        <v>149</v>
      </c>
      <c r="J242" s="73" t="s">
        <v>183</v>
      </c>
      <c r="K242" s="76" t="str">
        <f>IFERROR(INDEX(M_SKU!$A$18:$J$57,MATCH(J242,M_SKU!$B$18:$B$57,0),1),"UNKNOWN SKU")</f>
        <v>Fanta Pineapple RGB 350ml</v>
      </c>
      <c r="L242" s="73" t="s">
        <v>533</v>
      </c>
      <c r="M242" s="72">
        <v>46163</v>
      </c>
      <c r="N242" s="72">
        <v>46527</v>
      </c>
      <c r="O242" s="77">
        <v>10</v>
      </c>
      <c r="P242" s="78" t="s">
        <v>521</v>
      </c>
      <c r="Q242" s="79"/>
      <c r="R242" s="80"/>
      <c r="S242" s="81"/>
      <c r="T242" s="81"/>
      <c r="U242" s="82" t="str">
        <f t="shared" si="3"/>
        <v>MOS100144|FG004|CK3-33385</v>
      </c>
    </row>
    <row r="243" spans="1:21" ht="15" customHeight="1" x14ac:dyDescent="0.3">
      <c r="A243" s="60" t="s">
        <v>575</v>
      </c>
      <c r="B243" s="61">
        <v>166158</v>
      </c>
      <c r="C243" s="62">
        <v>46179</v>
      </c>
      <c r="D243" s="63" t="s">
        <v>376</v>
      </c>
      <c r="E243" s="64" t="s">
        <v>576</v>
      </c>
      <c r="F243" s="65">
        <f>IFERROR(INDEX(M_User!$A$12:$J$67,MATCH(D243,M_User!$D$12:$D$67,0),1),"UNMAPPED")</f>
        <v>61</v>
      </c>
      <c r="G243" s="66" t="str">
        <f>IFERROR(INDEX(M_User!$A$12:$J$67,MATCH(D243,M_User!$D$12:$D$67,0),3),"UNMAPPED")</f>
        <v>Zefania Julius Ngoma</v>
      </c>
      <c r="H243" s="65" t="str">
        <f>IFERROR(INDEX(M_User!$A$12:$J$67,MATCH(D243,M_User!$D$12:$D$67,0),5),"UNMAPPED")</f>
        <v>MOS</v>
      </c>
      <c r="I243" s="63" t="s">
        <v>149</v>
      </c>
      <c r="J243" s="63" t="s">
        <v>185</v>
      </c>
      <c r="K243" s="66" t="str">
        <f>IFERROR(INDEX(M_SKU!$A$18:$J$57,MATCH(J243,M_SKU!$B$18:$B$57,0),1),"UNKNOWN SKU")</f>
        <v>Fanta Fruit Blast RGB 350 ml</v>
      </c>
      <c r="L243" s="63" t="s">
        <v>534</v>
      </c>
      <c r="M243" s="62">
        <v>46171</v>
      </c>
      <c r="N243" s="62">
        <v>46535</v>
      </c>
      <c r="O243" s="67">
        <v>5</v>
      </c>
      <c r="P243" s="68" t="s">
        <v>521</v>
      </c>
      <c r="Q243" s="63"/>
      <c r="R243" s="62"/>
      <c r="S243" s="69"/>
      <c r="T243" s="69"/>
      <c r="U243" s="66" t="str">
        <f t="shared" si="3"/>
        <v>MOS100144|FG005|CK3-33402</v>
      </c>
    </row>
    <row r="244" spans="1:21" ht="15" customHeight="1" x14ac:dyDescent="0.3">
      <c r="A244" s="70" t="s">
        <v>575</v>
      </c>
      <c r="B244" s="71">
        <v>166158</v>
      </c>
      <c r="C244" s="72">
        <v>46179</v>
      </c>
      <c r="D244" s="73" t="s">
        <v>376</v>
      </c>
      <c r="E244" s="74" t="s">
        <v>576</v>
      </c>
      <c r="F244" s="75">
        <f>IFERROR(INDEX(M_User!$A$12:$J$67,MATCH(D244,M_User!$D$12:$D$67,0),1),"UNMAPPED")</f>
        <v>61</v>
      </c>
      <c r="G244" s="76" t="str">
        <f>IFERROR(INDEX(M_User!$A$12:$J$67,MATCH(D244,M_User!$D$12:$D$67,0),3),"UNMAPPED")</f>
        <v>Zefania Julius Ngoma</v>
      </c>
      <c r="H244" s="75" t="str">
        <f>IFERROR(INDEX(M_User!$A$12:$J$67,MATCH(D244,M_User!$D$12:$D$67,0),5),"UNMAPPED")</f>
        <v>MOS</v>
      </c>
      <c r="I244" s="73" t="s">
        <v>149</v>
      </c>
      <c r="J244" s="73" t="s">
        <v>187</v>
      </c>
      <c r="K244" s="76" t="str">
        <f>IFERROR(INDEX(M_SKU!$A$18:$J$57,MATCH(J244,M_SKU!$B$18:$B$57,0),1),"UNKNOWN SKU")</f>
        <v>Sprite 350ml</v>
      </c>
      <c r="L244" s="73" t="s">
        <v>535</v>
      </c>
      <c r="M244" s="72">
        <v>46177</v>
      </c>
      <c r="N244" s="72">
        <v>46541</v>
      </c>
      <c r="O244" s="77">
        <v>10</v>
      </c>
      <c r="P244" s="78" t="s">
        <v>521</v>
      </c>
      <c r="Q244" s="79"/>
      <c r="R244" s="80"/>
      <c r="S244" s="81"/>
      <c r="T244" s="81"/>
      <c r="U244" s="82" t="str">
        <f t="shared" si="3"/>
        <v>MOS100144|FG006|CK3-33414</v>
      </c>
    </row>
    <row r="245" spans="1:21" ht="15" customHeight="1" x14ac:dyDescent="0.3">
      <c r="A245" s="60" t="s">
        <v>575</v>
      </c>
      <c r="B245" s="61">
        <v>166158</v>
      </c>
      <c r="C245" s="62">
        <v>46179</v>
      </c>
      <c r="D245" s="63" t="s">
        <v>376</v>
      </c>
      <c r="E245" s="64" t="s">
        <v>576</v>
      </c>
      <c r="F245" s="65">
        <f>IFERROR(INDEX(M_User!$A$12:$J$67,MATCH(D245,M_User!$D$12:$D$67,0),1),"UNMAPPED")</f>
        <v>61</v>
      </c>
      <c r="G245" s="66" t="str">
        <f>IFERROR(INDEX(M_User!$A$12:$J$67,MATCH(D245,M_User!$D$12:$D$67,0),3),"UNMAPPED")</f>
        <v>Zefania Julius Ngoma</v>
      </c>
      <c r="H245" s="65" t="str">
        <f>IFERROR(INDEX(M_User!$A$12:$J$67,MATCH(D245,M_User!$D$12:$D$67,0),5),"UNMAPPED")</f>
        <v>MOS</v>
      </c>
      <c r="I245" s="63" t="s">
        <v>149</v>
      </c>
      <c r="J245" s="63" t="s">
        <v>190</v>
      </c>
      <c r="K245" s="66" t="str">
        <f>IFERROR(INDEX(M_SKU!$A$18:$J$57,MATCH(J245,M_SKU!$B$18:$B$57,0),1),"UNKNOWN SKU")</f>
        <v>Stoney Tangawizi RGB 350ml</v>
      </c>
      <c r="L245" s="63" t="s">
        <v>536</v>
      </c>
      <c r="M245" s="62">
        <v>46172</v>
      </c>
      <c r="N245" s="62">
        <v>46353</v>
      </c>
      <c r="O245" s="67">
        <v>5</v>
      </c>
      <c r="P245" s="68" t="s">
        <v>521</v>
      </c>
      <c r="Q245" s="63"/>
      <c r="R245" s="62"/>
      <c r="S245" s="69"/>
      <c r="T245" s="69"/>
      <c r="U245" s="66" t="str">
        <f t="shared" si="3"/>
        <v>MOS100144|FG007|CK3-33404</v>
      </c>
    </row>
    <row r="246" spans="1:21" ht="15" customHeight="1" x14ac:dyDescent="0.3">
      <c r="A246" s="70" t="s">
        <v>575</v>
      </c>
      <c r="B246" s="71">
        <v>166158</v>
      </c>
      <c r="C246" s="72">
        <v>46179</v>
      </c>
      <c r="D246" s="73" t="s">
        <v>376</v>
      </c>
      <c r="E246" s="74" t="s">
        <v>576</v>
      </c>
      <c r="F246" s="75">
        <f>IFERROR(INDEX(M_User!$A$12:$J$67,MATCH(D246,M_User!$D$12:$D$67,0),1),"UNMAPPED")</f>
        <v>61</v>
      </c>
      <c r="G246" s="76" t="str">
        <f>IFERROR(INDEX(M_User!$A$12:$J$67,MATCH(D246,M_User!$D$12:$D$67,0),3),"UNMAPPED")</f>
        <v>Zefania Julius Ngoma</v>
      </c>
      <c r="H246" s="75" t="str">
        <f>IFERROR(INDEX(M_User!$A$12:$J$67,MATCH(D246,M_User!$D$12:$D$67,0),5),"UNMAPPED")</f>
        <v>MOS</v>
      </c>
      <c r="I246" s="73" t="s">
        <v>149</v>
      </c>
      <c r="J246" s="73" t="s">
        <v>193</v>
      </c>
      <c r="K246" s="76" t="str">
        <f>IFERROR(INDEX(M_SKU!$A$18:$J$57,MATCH(J246,M_SKU!$B$18:$B$57,0),1),"UNKNOWN SKU")</f>
        <v>Sparletta Pinenut RGB 350ml</v>
      </c>
      <c r="L246" s="73" t="s">
        <v>537</v>
      </c>
      <c r="M246" s="72">
        <v>46158</v>
      </c>
      <c r="N246" s="72">
        <v>46522</v>
      </c>
      <c r="O246" s="77">
        <v>5</v>
      </c>
      <c r="P246" s="78" t="s">
        <v>521</v>
      </c>
      <c r="Q246" s="79"/>
      <c r="R246" s="80"/>
      <c r="S246" s="81"/>
      <c r="T246" s="81"/>
      <c r="U246" s="82" t="str">
        <f t="shared" si="3"/>
        <v>MOS100144|FG008|CK3-33365</v>
      </c>
    </row>
    <row r="247" spans="1:21" ht="15" customHeight="1" x14ac:dyDescent="0.3">
      <c r="A247" s="60" t="s">
        <v>575</v>
      </c>
      <c r="B247" s="61">
        <v>166158</v>
      </c>
      <c r="C247" s="62">
        <v>46179</v>
      </c>
      <c r="D247" s="63" t="s">
        <v>376</v>
      </c>
      <c r="E247" s="64" t="s">
        <v>576</v>
      </c>
      <c r="F247" s="65">
        <f>IFERROR(INDEX(M_User!$A$12:$J$67,MATCH(D247,M_User!$D$12:$D$67,0),1),"UNMAPPED")</f>
        <v>61</v>
      </c>
      <c r="G247" s="66" t="str">
        <f>IFERROR(INDEX(M_User!$A$12:$J$67,MATCH(D247,M_User!$D$12:$D$67,0),3),"UNMAPPED")</f>
        <v>Zefania Julius Ngoma</v>
      </c>
      <c r="H247" s="65" t="str">
        <f>IFERROR(INDEX(M_User!$A$12:$J$67,MATCH(D247,M_User!$D$12:$D$67,0),5),"UNMAPPED")</f>
        <v>MOS</v>
      </c>
      <c r="I247" s="63" t="s">
        <v>149</v>
      </c>
      <c r="J247" s="63" t="s">
        <v>209</v>
      </c>
      <c r="K247" s="66" t="str">
        <f>IFERROR(INDEX(M_SKU!$A$18:$J$57,MATCH(J247,M_SKU!$B$18:$B$57,0),1),"UNKNOWN SKU")</f>
        <v>Sparletta Red Apple RGB 350ml</v>
      </c>
      <c r="L247" s="63" t="s">
        <v>542</v>
      </c>
      <c r="M247" s="62">
        <v>46010</v>
      </c>
      <c r="N247" s="62">
        <v>46374</v>
      </c>
      <c r="O247" s="67">
        <v>2</v>
      </c>
      <c r="P247" s="68" t="s">
        <v>521</v>
      </c>
      <c r="Q247" s="63"/>
      <c r="R247" s="62"/>
      <c r="S247" s="69"/>
      <c r="T247" s="69"/>
      <c r="U247" s="66" t="str">
        <f t="shared" si="3"/>
        <v>MOS100144|FG024|CK3-32758</v>
      </c>
    </row>
    <row r="248" spans="1:21" ht="15" customHeight="1" x14ac:dyDescent="0.3">
      <c r="A248" s="70" t="s">
        <v>575</v>
      </c>
      <c r="B248" s="71">
        <v>166158</v>
      </c>
      <c r="C248" s="72">
        <v>46179</v>
      </c>
      <c r="D248" s="73" t="s">
        <v>376</v>
      </c>
      <c r="E248" s="74" t="s">
        <v>576</v>
      </c>
      <c r="F248" s="75">
        <f>IFERROR(INDEX(M_User!$A$12:$J$67,MATCH(D248,M_User!$D$12:$D$67,0),1),"UNMAPPED")</f>
        <v>61</v>
      </c>
      <c r="G248" s="76" t="str">
        <f>IFERROR(INDEX(M_User!$A$12:$J$67,MATCH(D248,M_User!$D$12:$D$67,0),3),"UNMAPPED")</f>
        <v>Zefania Julius Ngoma</v>
      </c>
      <c r="H248" s="75" t="str">
        <f>IFERROR(INDEX(M_User!$A$12:$J$67,MATCH(D248,M_User!$D$12:$D$67,0),5),"UNMAPPED")</f>
        <v>MOS</v>
      </c>
      <c r="I248" s="73" t="s">
        <v>149</v>
      </c>
      <c r="J248" s="73" t="s">
        <v>211</v>
      </c>
      <c r="K248" s="76" t="str">
        <f>IFERROR(INDEX(M_SKU!$A$18:$J$57,MATCH(J248,M_SKU!$B$18:$B$57,0),1),"UNKNOWN SKU")</f>
        <v>KNMW 500ml</v>
      </c>
      <c r="L248" s="73" t="s">
        <v>543</v>
      </c>
      <c r="M248" s="72">
        <v>46177</v>
      </c>
      <c r="N248" s="72">
        <v>46541</v>
      </c>
      <c r="O248" s="77">
        <v>15</v>
      </c>
      <c r="P248" s="78" t="s">
        <v>521</v>
      </c>
      <c r="Q248" s="79"/>
      <c r="R248" s="80"/>
      <c r="S248" s="81"/>
      <c r="T248" s="81"/>
      <c r="U248" s="82" t="str">
        <f t="shared" si="3"/>
        <v>MOS100144|KD001|CK6-986</v>
      </c>
    </row>
    <row r="249" spans="1:21" ht="15" customHeight="1" x14ac:dyDescent="0.3">
      <c r="A249" s="60" t="s">
        <v>575</v>
      </c>
      <c r="B249" s="61">
        <v>166158</v>
      </c>
      <c r="C249" s="62">
        <v>46179</v>
      </c>
      <c r="D249" s="63" t="s">
        <v>376</v>
      </c>
      <c r="E249" s="64" t="s">
        <v>576</v>
      </c>
      <c r="F249" s="65">
        <f>IFERROR(INDEX(M_User!$A$12:$J$67,MATCH(D249,M_User!$D$12:$D$67,0),1),"UNMAPPED")</f>
        <v>61</v>
      </c>
      <c r="G249" s="66" t="str">
        <f>IFERROR(INDEX(M_User!$A$12:$J$67,MATCH(D249,M_User!$D$12:$D$67,0),3),"UNMAPPED")</f>
        <v>Zefania Julius Ngoma</v>
      </c>
      <c r="H249" s="65" t="str">
        <f>IFERROR(INDEX(M_User!$A$12:$J$67,MATCH(D249,M_User!$D$12:$D$67,0),5),"UNMAPPED")</f>
        <v>MOS</v>
      </c>
      <c r="I249" s="63" t="s">
        <v>149</v>
      </c>
      <c r="J249" s="63" t="s">
        <v>217</v>
      </c>
      <c r="K249" s="66" t="str">
        <f>IFERROR(INDEX(M_SKU!$A$18:$J$57,MATCH(J249,M_SKU!$B$18:$B$57,0),1),"UNKNOWN SKU")</f>
        <v>KNMW 1500ml</v>
      </c>
      <c r="L249" s="63" t="s">
        <v>551</v>
      </c>
      <c r="M249" s="62">
        <v>46177</v>
      </c>
      <c r="N249" s="62">
        <v>46541</v>
      </c>
      <c r="O249" s="67">
        <v>90</v>
      </c>
      <c r="P249" s="68" t="s">
        <v>521</v>
      </c>
      <c r="Q249" s="63"/>
      <c r="R249" s="62"/>
      <c r="S249" s="69"/>
      <c r="T249" s="69"/>
      <c r="U249" s="66" t="str">
        <f t="shared" si="3"/>
        <v>MOS100144|KD003|CK4-842</v>
      </c>
    </row>
    <row r="250" spans="1:21" ht="15" customHeight="1" x14ac:dyDescent="0.3">
      <c r="A250" s="70" t="s">
        <v>575</v>
      </c>
      <c r="B250" s="71">
        <v>166158</v>
      </c>
      <c r="C250" s="72">
        <v>46179</v>
      </c>
      <c r="D250" s="73" t="s">
        <v>376</v>
      </c>
      <c r="E250" s="74" t="s">
        <v>576</v>
      </c>
      <c r="F250" s="75">
        <f>IFERROR(INDEX(M_User!$A$12:$J$67,MATCH(D250,M_User!$D$12:$D$67,0),1),"UNMAPPED")</f>
        <v>61</v>
      </c>
      <c r="G250" s="76" t="str">
        <f>IFERROR(INDEX(M_User!$A$12:$J$67,MATCH(D250,M_User!$D$12:$D$67,0),3),"UNMAPPED")</f>
        <v>Zefania Julius Ngoma</v>
      </c>
      <c r="H250" s="75" t="str">
        <f>IFERROR(INDEX(M_User!$A$12:$J$67,MATCH(D250,M_User!$D$12:$D$67,0),5),"UNMAPPED")</f>
        <v>MOS</v>
      </c>
      <c r="I250" s="73" t="s">
        <v>149</v>
      </c>
      <c r="J250" s="73" t="s">
        <v>229</v>
      </c>
      <c r="K250" s="76" t="str">
        <f>IFERROR(INDEX(M_SKU!$A$18:$J$57,MATCH(J250,M_SKU!$B$18:$B$57,0),1),"UNKNOWN SKU")</f>
        <v>Coke Pet 500ML ( x12)</v>
      </c>
      <c r="L250" s="73" t="s">
        <v>520</v>
      </c>
      <c r="M250" s="72">
        <v>46177</v>
      </c>
      <c r="N250" s="72">
        <v>46288</v>
      </c>
      <c r="O250" s="77">
        <v>20</v>
      </c>
      <c r="P250" s="78" t="s">
        <v>521</v>
      </c>
      <c r="Q250" s="79"/>
      <c r="R250" s="80"/>
      <c r="S250" s="81"/>
      <c r="T250" s="81"/>
      <c r="U250" s="82" t="str">
        <f t="shared" si="3"/>
        <v>MOS100144|PH001|CK6-33411</v>
      </c>
    </row>
    <row r="251" spans="1:21" ht="15" customHeight="1" x14ac:dyDescent="0.3">
      <c r="A251" s="60" t="s">
        <v>575</v>
      </c>
      <c r="B251" s="61">
        <v>166158</v>
      </c>
      <c r="C251" s="62">
        <v>46179</v>
      </c>
      <c r="D251" s="63" t="s">
        <v>376</v>
      </c>
      <c r="E251" s="64" t="s">
        <v>576</v>
      </c>
      <c r="F251" s="65">
        <f>IFERROR(INDEX(M_User!$A$12:$J$67,MATCH(D251,M_User!$D$12:$D$67,0),1),"UNMAPPED")</f>
        <v>61</v>
      </c>
      <c r="G251" s="66" t="str">
        <f>IFERROR(INDEX(M_User!$A$12:$J$67,MATCH(D251,M_User!$D$12:$D$67,0),3),"UNMAPPED")</f>
        <v>Zefania Julius Ngoma</v>
      </c>
      <c r="H251" s="65" t="str">
        <f>IFERROR(INDEX(M_User!$A$12:$J$67,MATCH(D251,M_User!$D$12:$D$67,0),5),"UNMAPPED")</f>
        <v>MOS</v>
      </c>
      <c r="I251" s="63" t="s">
        <v>149</v>
      </c>
      <c r="J251" s="63" t="s">
        <v>232</v>
      </c>
      <c r="K251" s="66" t="str">
        <f>IFERROR(INDEX(M_SKU!$A$18:$J$57,MATCH(J251,M_SKU!$B$18:$B$57,0),1),"UNKNOWN SKU")</f>
        <v>Sprite Pet 500ML (x 12)</v>
      </c>
      <c r="L251" s="63" t="s">
        <v>522</v>
      </c>
      <c r="M251" s="62">
        <v>46158</v>
      </c>
      <c r="N251" s="62">
        <v>46269</v>
      </c>
      <c r="O251" s="67">
        <v>5</v>
      </c>
      <c r="P251" s="68" t="s">
        <v>521</v>
      </c>
      <c r="Q251" s="63"/>
      <c r="R251" s="62"/>
      <c r="S251" s="69"/>
      <c r="T251" s="69"/>
      <c r="U251" s="66" t="str">
        <f t="shared" si="3"/>
        <v>MOS100144|PH002|CK6-33362</v>
      </c>
    </row>
    <row r="252" spans="1:21" ht="15" customHeight="1" x14ac:dyDescent="0.3">
      <c r="A252" s="70" t="s">
        <v>575</v>
      </c>
      <c r="B252" s="71">
        <v>166158</v>
      </c>
      <c r="C252" s="72">
        <v>46179</v>
      </c>
      <c r="D252" s="73" t="s">
        <v>376</v>
      </c>
      <c r="E252" s="74" t="s">
        <v>576</v>
      </c>
      <c r="F252" s="75">
        <f>IFERROR(INDEX(M_User!$A$12:$J$67,MATCH(D252,M_User!$D$12:$D$67,0),1),"UNMAPPED")</f>
        <v>61</v>
      </c>
      <c r="G252" s="76" t="str">
        <f>IFERROR(INDEX(M_User!$A$12:$J$67,MATCH(D252,M_User!$D$12:$D$67,0),3),"UNMAPPED")</f>
        <v>Zefania Julius Ngoma</v>
      </c>
      <c r="H252" s="75" t="str">
        <f>IFERROR(INDEX(M_User!$A$12:$J$67,MATCH(D252,M_User!$D$12:$D$67,0),5),"UNMAPPED")</f>
        <v>MOS</v>
      </c>
      <c r="I252" s="73" t="s">
        <v>149</v>
      </c>
      <c r="J252" s="73" t="s">
        <v>234</v>
      </c>
      <c r="K252" s="76" t="str">
        <f>IFERROR(INDEX(M_SKU!$A$18:$J$57,MATCH(J252,M_SKU!$B$18:$B$57,0),1),"UNKNOWN SKU")</f>
        <v>Fanta Orange Pet 500ML ( x 12)</v>
      </c>
      <c r="L252" s="73" t="s">
        <v>523</v>
      </c>
      <c r="M252" s="72">
        <v>46172</v>
      </c>
      <c r="N252" s="72">
        <v>46283</v>
      </c>
      <c r="O252" s="77">
        <v>6</v>
      </c>
      <c r="P252" s="78" t="s">
        <v>521</v>
      </c>
      <c r="Q252" s="79"/>
      <c r="R252" s="80"/>
      <c r="S252" s="81"/>
      <c r="T252" s="81"/>
      <c r="U252" s="82" t="str">
        <f t="shared" si="3"/>
        <v>MOS100144|PH003|CK6-33405</v>
      </c>
    </row>
    <row r="253" spans="1:21" ht="15" customHeight="1" x14ac:dyDescent="0.3">
      <c r="A253" s="60" t="s">
        <v>575</v>
      </c>
      <c r="B253" s="61">
        <v>166158</v>
      </c>
      <c r="C253" s="62">
        <v>46179</v>
      </c>
      <c r="D253" s="63" t="s">
        <v>376</v>
      </c>
      <c r="E253" s="64" t="s">
        <v>576</v>
      </c>
      <c r="F253" s="65">
        <f>IFERROR(INDEX(M_User!$A$12:$J$67,MATCH(D253,M_User!$D$12:$D$67,0),1),"UNMAPPED")</f>
        <v>61</v>
      </c>
      <c r="G253" s="66" t="str">
        <f>IFERROR(INDEX(M_User!$A$12:$J$67,MATCH(D253,M_User!$D$12:$D$67,0),3),"UNMAPPED")</f>
        <v>Zefania Julius Ngoma</v>
      </c>
      <c r="H253" s="65" t="str">
        <f>IFERROR(INDEX(M_User!$A$12:$J$67,MATCH(D253,M_User!$D$12:$D$67,0),5),"UNMAPPED")</f>
        <v>MOS</v>
      </c>
      <c r="I253" s="63" t="s">
        <v>149</v>
      </c>
      <c r="J253" s="63" t="s">
        <v>236</v>
      </c>
      <c r="K253" s="66" t="str">
        <f>IFERROR(INDEX(M_SKU!$A$18:$J$57,MATCH(J253,M_SKU!$B$18:$B$57,0),1),"UNKNOWN SKU")</f>
        <v>Fanta Passion Pet 500ML ( x12)</v>
      </c>
      <c r="L253" s="63" t="s">
        <v>524</v>
      </c>
      <c r="M253" s="62">
        <v>46151</v>
      </c>
      <c r="N253" s="62">
        <v>46262</v>
      </c>
      <c r="O253" s="67">
        <v>5</v>
      </c>
      <c r="P253" s="68" t="s">
        <v>521</v>
      </c>
      <c r="Q253" s="63"/>
      <c r="R253" s="62"/>
      <c r="S253" s="69"/>
      <c r="T253" s="69"/>
      <c r="U253" s="66" t="str">
        <f t="shared" si="3"/>
        <v>MOS100144|PH004|CK5-33334</v>
      </c>
    </row>
    <row r="254" spans="1:21" ht="15" customHeight="1" x14ac:dyDescent="0.3">
      <c r="A254" s="70" t="s">
        <v>575</v>
      </c>
      <c r="B254" s="71">
        <v>166158</v>
      </c>
      <c r="C254" s="72">
        <v>46179</v>
      </c>
      <c r="D254" s="73" t="s">
        <v>376</v>
      </c>
      <c r="E254" s="74" t="s">
        <v>576</v>
      </c>
      <c r="F254" s="75">
        <f>IFERROR(INDEX(M_User!$A$12:$J$67,MATCH(D254,M_User!$D$12:$D$67,0),1),"UNMAPPED")</f>
        <v>61</v>
      </c>
      <c r="G254" s="76" t="str">
        <f>IFERROR(INDEX(M_User!$A$12:$J$67,MATCH(D254,M_User!$D$12:$D$67,0),3),"UNMAPPED")</f>
        <v>Zefania Julius Ngoma</v>
      </c>
      <c r="H254" s="75" t="str">
        <f>IFERROR(INDEX(M_User!$A$12:$J$67,MATCH(D254,M_User!$D$12:$D$67,0),5),"UNMAPPED")</f>
        <v>MOS</v>
      </c>
      <c r="I254" s="73" t="s">
        <v>149</v>
      </c>
      <c r="J254" s="73" t="s">
        <v>240</v>
      </c>
      <c r="K254" s="76" t="str">
        <f>IFERROR(INDEX(M_SKU!$A$18:$J$57,MATCH(J254,M_SKU!$B$18:$B$57,0),1),"UNKNOWN SKU")</f>
        <v>Fanta Fruit Blast Pet 500ML (x12)</v>
      </c>
      <c r="L254" s="73" t="s">
        <v>553</v>
      </c>
      <c r="M254" s="72">
        <v>46151</v>
      </c>
      <c r="N254" s="72">
        <v>46262</v>
      </c>
      <c r="O254" s="77">
        <v>2</v>
      </c>
      <c r="P254" s="78" t="s">
        <v>521</v>
      </c>
      <c r="Q254" s="79"/>
      <c r="R254" s="80"/>
      <c r="S254" s="81"/>
      <c r="T254" s="81"/>
      <c r="U254" s="82" t="str">
        <f t="shared" si="3"/>
        <v>MOS100144|PH006|CK6-33334</v>
      </c>
    </row>
    <row r="255" spans="1:21" ht="15" customHeight="1" x14ac:dyDescent="0.3">
      <c r="A255" s="60" t="s">
        <v>575</v>
      </c>
      <c r="B255" s="61">
        <v>166158</v>
      </c>
      <c r="C255" s="62">
        <v>46179</v>
      </c>
      <c r="D255" s="63" t="s">
        <v>376</v>
      </c>
      <c r="E255" s="64" t="s">
        <v>576</v>
      </c>
      <c r="F255" s="65">
        <f>IFERROR(INDEX(M_User!$A$12:$J$67,MATCH(D255,M_User!$D$12:$D$67,0),1),"UNMAPPED")</f>
        <v>61</v>
      </c>
      <c r="G255" s="66" t="str">
        <f>IFERROR(INDEX(M_User!$A$12:$J$67,MATCH(D255,M_User!$D$12:$D$67,0),3),"UNMAPPED")</f>
        <v>Zefania Julius Ngoma</v>
      </c>
      <c r="H255" s="65" t="str">
        <f>IFERROR(INDEX(M_User!$A$12:$J$67,MATCH(D255,M_User!$D$12:$D$67,0),5),"UNMAPPED")</f>
        <v>MOS</v>
      </c>
      <c r="I255" s="63" t="s">
        <v>149</v>
      </c>
      <c r="J255" s="63" t="s">
        <v>242</v>
      </c>
      <c r="K255" s="66" t="str">
        <f>IFERROR(INDEX(M_SKU!$A$18:$J$57,MATCH(J255,M_SKU!$B$18:$B$57,0),1),"UNKNOWN SKU")</f>
        <v>Stoney Tangawizi Pet 500 ml ( x12)</v>
      </c>
      <c r="L255" s="63" t="s">
        <v>525</v>
      </c>
      <c r="M255" s="62">
        <v>46161</v>
      </c>
      <c r="N255" s="62">
        <v>46272</v>
      </c>
      <c r="O255" s="67">
        <v>3</v>
      </c>
      <c r="P255" s="68" t="s">
        <v>521</v>
      </c>
      <c r="Q255" s="63"/>
      <c r="R255" s="62"/>
      <c r="S255" s="69"/>
      <c r="T255" s="69"/>
      <c r="U255" s="66" t="str">
        <f t="shared" si="3"/>
        <v>MOS100144|PH007|CK6-33375</v>
      </c>
    </row>
    <row r="256" spans="1:21" ht="15" customHeight="1" x14ac:dyDescent="0.3">
      <c r="A256" s="70" t="s">
        <v>577</v>
      </c>
      <c r="B256" s="71">
        <v>166160</v>
      </c>
      <c r="C256" s="72">
        <v>46179</v>
      </c>
      <c r="D256" s="73" t="s">
        <v>401</v>
      </c>
      <c r="E256" s="74" t="s">
        <v>578</v>
      </c>
      <c r="F256" s="75">
        <f>IFERROR(INDEX(M_User!$A$12:$J$67,MATCH(D256,M_User!$D$12:$D$67,0),1),"UNMAPPED")</f>
        <v>51</v>
      </c>
      <c r="G256" s="76" t="str">
        <f>IFERROR(INDEX(M_User!$A$12:$J$67,MATCH(D256,M_User!$D$12:$D$67,0),3),"UNMAPPED")</f>
        <v>Alice Jonathan Mfuru</v>
      </c>
      <c r="H256" s="75" t="str">
        <f>IFERROR(INDEX(M_User!$A$12:$J$67,MATCH(D256,M_User!$D$12:$D$67,0),5),"UNMAPPED")</f>
        <v>MOS</v>
      </c>
      <c r="I256" s="73" t="s">
        <v>149</v>
      </c>
      <c r="J256" s="73" t="s">
        <v>170</v>
      </c>
      <c r="K256" s="76" t="str">
        <f>IFERROR(INDEX(M_SKU!$A$18:$J$57,MATCH(J256,M_SKU!$B$18:$B$57,0),1),"UNKNOWN SKU")</f>
        <v>Coke RGB 350ml</v>
      </c>
      <c r="L256" s="73" t="s">
        <v>530</v>
      </c>
      <c r="M256" s="72">
        <v>46175</v>
      </c>
      <c r="N256" s="72">
        <v>46539</v>
      </c>
      <c r="O256" s="77">
        <v>65</v>
      </c>
      <c r="P256" s="78" t="s">
        <v>521</v>
      </c>
      <c r="Q256" s="79"/>
      <c r="R256" s="80"/>
      <c r="S256" s="81"/>
      <c r="T256" s="81"/>
      <c r="U256" s="82" t="str">
        <f t="shared" si="3"/>
        <v>MOS100823|FG001|CK3-33409</v>
      </c>
    </row>
    <row r="257" spans="1:21" ht="15" customHeight="1" x14ac:dyDescent="0.3">
      <c r="A257" s="60" t="s">
        <v>577</v>
      </c>
      <c r="B257" s="61">
        <v>166160</v>
      </c>
      <c r="C257" s="62">
        <v>46179</v>
      </c>
      <c r="D257" s="63" t="s">
        <v>401</v>
      </c>
      <c r="E257" s="64" t="s">
        <v>578</v>
      </c>
      <c r="F257" s="65">
        <f>IFERROR(INDEX(M_User!$A$12:$J$67,MATCH(D257,M_User!$D$12:$D$67,0),1),"UNMAPPED")</f>
        <v>51</v>
      </c>
      <c r="G257" s="66" t="str">
        <f>IFERROR(INDEX(M_User!$A$12:$J$67,MATCH(D257,M_User!$D$12:$D$67,0),3),"UNMAPPED")</f>
        <v>Alice Jonathan Mfuru</v>
      </c>
      <c r="H257" s="65" t="str">
        <f>IFERROR(INDEX(M_User!$A$12:$J$67,MATCH(D257,M_User!$D$12:$D$67,0),5),"UNMAPPED")</f>
        <v>MOS</v>
      </c>
      <c r="I257" s="63" t="s">
        <v>149</v>
      </c>
      <c r="J257" s="63" t="s">
        <v>178</v>
      </c>
      <c r="K257" s="66" t="str">
        <f>IFERROR(INDEX(M_SKU!$A$18:$J$57,MATCH(J257,M_SKU!$B$18:$B$57,0),1),"UNKNOWN SKU")</f>
        <v>Fanta Orange RGB 350ml</v>
      </c>
      <c r="L257" s="63" t="s">
        <v>531</v>
      </c>
      <c r="M257" s="62">
        <v>46174</v>
      </c>
      <c r="N257" s="62">
        <v>46538</v>
      </c>
      <c r="O257" s="67">
        <v>15</v>
      </c>
      <c r="P257" s="68" t="s">
        <v>521</v>
      </c>
      <c r="Q257" s="63"/>
      <c r="R257" s="62"/>
      <c r="S257" s="69"/>
      <c r="T257" s="69"/>
      <c r="U257" s="66" t="str">
        <f t="shared" si="3"/>
        <v>MOS100823|FG002|CK3-33407</v>
      </c>
    </row>
    <row r="258" spans="1:21" ht="15" customHeight="1" x14ac:dyDescent="0.3">
      <c r="A258" s="70" t="s">
        <v>577</v>
      </c>
      <c r="B258" s="71">
        <v>166160</v>
      </c>
      <c r="C258" s="72">
        <v>46179</v>
      </c>
      <c r="D258" s="73" t="s">
        <v>401</v>
      </c>
      <c r="E258" s="74" t="s">
        <v>578</v>
      </c>
      <c r="F258" s="75">
        <f>IFERROR(INDEX(M_User!$A$12:$J$67,MATCH(D258,M_User!$D$12:$D$67,0),1),"UNMAPPED")</f>
        <v>51</v>
      </c>
      <c r="G258" s="76" t="str">
        <f>IFERROR(INDEX(M_User!$A$12:$J$67,MATCH(D258,M_User!$D$12:$D$67,0),3),"UNMAPPED")</f>
        <v>Alice Jonathan Mfuru</v>
      </c>
      <c r="H258" s="75" t="str">
        <f>IFERROR(INDEX(M_User!$A$12:$J$67,MATCH(D258,M_User!$D$12:$D$67,0),5),"UNMAPPED")</f>
        <v>MOS</v>
      </c>
      <c r="I258" s="73" t="s">
        <v>149</v>
      </c>
      <c r="J258" s="73" t="s">
        <v>181</v>
      </c>
      <c r="K258" s="76" t="str">
        <f>IFERROR(INDEX(M_SKU!$A$18:$J$57,MATCH(J258,M_SKU!$B$18:$B$57,0),1),"UNKNOWN SKU")</f>
        <v>Fanta Passion RGB 350ml</v>
      </c>
      <c r="L258" s="73" t="s">
        <v>550</v>
      </c>
      <c r="M258" s="72">
        <v>46158</v>
      </c>
      <c r="N258" s="72">
        <v>46521</v>
      </c>
      <c r="O258" s="77">
        <v>8</v>
      </c>
      <c r="P258" s="78" t="s">
        <v>521</v>
      </c>
      <c r="Q258" s="79"/>
      <c r="R258" s="80"/>
      <c r="S258" s="81"/>
      <c r="T258" s="81"/>
      <c r="U258" s="82" t="str">
        <f t="shared" si="3"/>
        <v>MOS100823|FG003|CK3-33356</v>
      </c>
    </row>
    <row r="259" spans="1:21" ht="15" customHeight="1" x14ac:dyDescent="0.3">
      <c r="A259" s="60" t="s">
        <v>577</v>
      </c>
      <c r="B259" s="61">
        <v>166160</v>
      </c>
      <c r="C259" s="62">
        <v>46179</v>
      </c>
      <c r="D259" s="63" t="s">
        <v>401</v>
      </c>
      <c r="E259" s="64" t="s">
        <v>578</v>
      </c>
      <c r="F259" s="65">
        <f>IFERROR(INDEX(M_User!$A$12:$J$67,MATCH(D259,M_User!$D$12:$D$67,0),1),"UNMAPPED")</f>
        <v>51</v>
      </c>
      <c r="G259" s="66" t="str">
        <f>IFERROR(INDEX(M_User!$A$12:$J$67,MATCH(D259,M_User!$D$12:$D$67,0),3),"UNMAPPED")</f>
        <v>Alice Jonathan Mfuru</v>
      </c>
      <c r="H259" s="65" t="str">
        <f>IFERROR(INDEX(M_User!$A$12:$J$67,MATCH(D259,M_User!$D$12:$D$67,0),5),"UNMAPPED")</f>
        <v>MOS</v>
      </c>
      <c r="I259" s="63" t="s">
        <v>149</v>
      </c>
      <c r="J259" s="63" t="s">
        <v>183</v>
      </c>
      <c r="K259" s="66" t="str">
        <f>IFERROR(INDEX(M_SKU!$A$18:$J$57,MATCH(J259,M_SKU!$B$18:$B$57,0),1),"UNKNOWN SKU")</f>
        <v>Fanta Pineapple RGB 350ml</v>
      </c>
      <c r="L259" s="63" t="s">
        <v>533</v>
      </c>
      <c r="M259" s="62">
        <v>46163</v>
      </c>
      <c r="N259" s="62">
        <v>46527</v>
      </c>
      <c r="O259" s="67">
        <v>8</v>
      </c>
      <c r="P259" s="68" t="s">
        <v>521</v>
      </c>
      <c r="Q259" s="63"/>
      <c r="R259" s="62"/>
      <c r="S259" s="69"/>
      <c r="T259" s="69"/>
      <c r="U259" s="66" t="str">
        <f t="shared" si="3"/>
        <v>MOS100823|FG004|CK3-33385</v>
      </c>
    </row>
    <row r="260" spans="1:21" ht="15" customHeight="1" x14ac:dyDescent="0.3">
      <c r="A260" s="70" t="s">
        <v>577</v>
      </c>
      <c r="B260" s="71">
        <v>166160</v>
      </c>
      <c r="C260" s="72">
        <v>46179</v>
      </c>
      <c r="D260" s="73" t="s">
        <v>401</v>
      </c>
      <c r="E260" s="74" t="s">
        <v>578</v>
      </c>
      <c r="F260" s="75">
        <f>IFERROR(INDEX(M_User!$A$12:$J$67,MATCH(D260,M_User!$D$12:$D$67,0),1),"UNMAPPED")</f>
        <v>51</v>
      </c>
      <c r="G260" s="76" t="str">
        <f>IFERROR(INDEX(M_User!$A$12:$J$67,MATCH(D260,M_User!$D$12:$D$67,0),3),"UNMAPPED")</f>
        <v>Alice Jonathan Mfuru</v>
      </c>
      <c r="H260" s="75" t="str">
        <f>IFERROR(INDEX(M_User!$A$12:$J$67,MATCH(D260,M_User!$D$12:$D$67,0),5),"UNMAPPED")</f>
        <v>MOS</v>
      </c>
      <c r="I260" s="73" t="s">
        <v>149</v>
      </c>
      <c r="J260" s="73" t="s">
        <v>185</v>
      </c>
      <c r="K260" s="76" t="str">
        <f>IFERROR(INDEX(M_SKU!$A$18:$J$57,MATCH(J260,M_SKU!$B$18:$B$57,0),1),"UNKNOWN SKU")</f>
        <v>Fanta Fruit Blast RGB 350 ml</v>
      </c>
      <c r="L260" s="73" t="s">
        <v>534</v>
      </c>
      <c r="M260" s="72">
        <v>46171</v>
      </c>
      <c r="N260" s="72">
        <v>46535</v>
      </c>
      <c r="O260" s="77">
        <v>3</v>
      </c>
      <c r="P260" s="78" t="s">
        <v>521</v>
      </c>
      <c r="Q260" s="79"/>
      <c r="R260" s="80"/>
      <c r="S260" s="81"/>
      <c r="T260" s="81"/>
      <c r="U260" s="82" t="str">
        <f t="shared" si="3"/>
        <v>MOS100823|FG005|CK3-33402</v>
      </c>
    </row>
    <row r="261" spans="1:21" ht="15" customHeight="1" x14ac:dyDescent="0.3">
      <c r="A261" s="60" t="s">
        <v>577</v>
      </c>
      <c r="B261" s="61">
        <v>166160</v>
      </c>
      <c r="C261" s="62">
        <v>46179</v>
      </c>
      <c r="D261" s="63" t="s">
        <v>401</v>
      </c>
      <c r="E261" s="64" t="s">
        <v>578</v>
      </c>
      <c r="F261" s="65">
        <f>IFERROR(INDEX(M_User!$A$12:$J$67,MATCH(D261,M_User!$D$12:$D$67,0),1),"UNMAPPED")</f>
        <v>51</v>
      </c>
      <c r="G261" s="66" t="str">
        <f>IFERROR(INDEX(M_User!$A$12:$J$67,MATCH(D261,M_User!$D$12:$D$67,0),3),"UNMAPPED")</f>
        <v>Alice Jonathan Mfuru</v>
      </c>
      <c r="H261" s="65" t="str">
        <f>IFERROR(INDEX(M_User!$A$12:$J$67,MATCH(D261,M_User!$D$12:$D$67,0),5),"UNMAPPED")</f>
        <v>MOS</v>
      </c>
      <c r="I261" s="63" t="s">
        <v>149</v>
      </c>
      <c r="J261" s="63" t="s">
        <v>187</v>
      </c>
      <c r="K261" s="66" t="str">
        <f>IFERROR(INDEX(M_SKU!$A$18:$J$57,MATCH(J261,M_SKU!$B$18:$B$57,0),1),"UNKNOWN SKU")</f>
        <v>Sprite 350ml</v>
      </c>
      <c r="L261" s="63" t="s">
        <v>535</v>
      </c>
      <c r="M261" s="62">
        <v>46177</v>
      </c>
      <c r="N261" s="62">
        <v>46541</v>
      </c>
      <c r="O261" s="67">
        <v>8</v>
      </c>
      <c r="P261" s="68" t="s">
        <v>521</v>
      </c>
      <c r="Q261" s="63"/>
      <c r="R261" s="62"/>
      <c r="S261" s="69"/>
      <c r="T261" s="69"/>
      <c r="U261" s="66" t="str">
        <f t="shared" si="3"/>
        <v>MOS100823|FG006|CK3-33414</v>
      </c>
    </row>
    <row r="262" spans="1:21" ht="15" customHeight="1" x14ac:dyDescent="0.3">
      <c r="A262" s="70" t="s">
        <v>577</v>
      </c>
      <c r="B262" s="71">
        <v>166160</v>
      </c>
      <c r="C262" s="72">
        <v>46179</v>
      </c>
      <c r="D262" s="73" t="s">
        <v>401</v>
      </c>
      <c r="E262" s="74" t="s">
        <v>578</v>
      </c>
      <c r="F262" s="75">
        <f>IFERROR(INDEX(M_User!$A$12:$J$67,MATCH(D262,M_User!$D$12:$D$67,0),1),"UNMAPPED")</f>
        <v>51</v>
      </c>
      <c r="G262" s="76" t="str">
        <f>IFERROR(INDEX(M_User!$A$12:$J$67,MATCH(D262,M_User!$D$12:$D$67,0),3),"UNMAPPED")</f>
        <v>Alice Jonathan Mfuru</v>
      </c>
      <c r="H262" s="75" t="str">
        <f>IFERROR(INDEX(M_User!$A$12:$J$67,MATCH(D262,M_User!$D$12:$D$67,0),5),"UNMAPPED")</f>
        <v>MOS</v>
      </c>
      <c r="I262" s="73" t="s">
        <v>149</v>
      </c>
      <c r="J262" s="73" t="s">
        <v>190</v>
      </c>
      <c r="K262" s="76" t="str">
        <f>IFERROR(INDEX(M_SKU!$A$18:$J$57,MATCH(J262,M_SKU!$B$18:$B$57,0),1),"UNKNOWN SKU")</f>
        <v>Stoney Tangawizi RGB 350ml</v>
      </c>
      <c r="L262" s="73" t="s">
        <v>536</v>
      </c>
      <c r="M262" s="72">
        <v>46172</v>
      </c>
      <c r="N262" s="72">
        <v>46353</v>
      </c>
      <c r="O262" s="77">
        <v>2</v>
      </c>
      <c r="P262" s="78" t="s">
        <v>521</v>
      </c>
      <c r="Q262" s="79"/>
      <c r="R262" s="80"/>
      <c r="S262" s="81"/>
      <c r="T262" s="81"/>
      <c r="U262" s="82" t="str">
        <f t="shared" si="3"/>
        <v>MOS100823|FG007|CK3-33404</v>
      </c>
    </row>
    <row r="263" spans="1:21" ht="15" customHeight="1" x14ac:dyDescent="0.3">
      <c r="A263" s="60" t="s">
        <v>577</v>
      </c>
      <c r="B263" s="61">
        <v>166160</v>
      </c>
      <c r="C263" s="62">
        <v>46179</v>
      </c>
      <c r="D263" s="63" t="s">
        <v>401</v>
      </c>
      <c r="E263" s="64" t="s">
        <v>578</v>
      </c>
      <c r="F263" s="65">
        <f>IFERROR(INDEX(M_User!$A$12:$J$67,MATCH(D263,M_User!$D$12:$D$67,0),1),"UNMAPPED")</f>
        <v>51</v>
      </c>
      <c r="G263" s="66" t="str">
        <f>IFERROR(INDEX(M_User!$A$12:$J$67,MATCH(D263,M_User!$D$12:$D$67,0),3),"UNMAPPED")</f>
        <v>Alice Jonathan Mfuru</v>
      </c>
      <c r="H263" s="65" t="str">
        <f>IFERROR(INDEX(M_User!$A$12:$J$67,MATCH(D263,M_User!$D$12:$D$67,0),5),"UNMAPPED")</f>
        <v>MOS</v>
      </c>
      <c r="I263" s="63" t="s">
        <v>149</v>
      </c>
      <c r="J263" s="63" t="s">
        <v>193</v>
      </c>
      <c r="K263" s="66" t="str">
        <f>IFERROR(INDEX(M_SKU!$A$18:$J$57,MATCH(J263,M_SKU!$B$18:$B$57,0),1),"UNKNOWN SKU")</f>
        <v>Sparletta Pinenut RGB 350ml</v>
      </c>
      <c r="L263" s="63" t="s">
        <v>537</v>
      </c>
      <c r="M263" s="62">
        <v>46158</v>
      </c>
      <c r="N263" s="62">
        <v>46522</v>
      </c>
      <c r="O263" s="67">
        <v>2</v>
      </c>
      <c r="P263" s="68" t="s">
        <v>521</v>
      </c>
      <c r="Q263" s="63"/>
      <c r="R263" s="62"/>
      <c r="S263" s="69"/>
      <c r="T263" s="69"/>
      <c r="U263" s="66" t="str">
        <f t="shared" si="3"/>
        <v>MOS100823|FG008|CK3-33365</v>
      </c>
    </row>
    <row r="264" spans="1:21" ht="15" customHeight="1" x14ac:dyDescent="0.3">
      <c r="A264" s="70" t="s">
        <v>577</v>
      </c>
      <c r="B264" s="71">
        <v>166160</v>
      </c>
      <c r="C264" s="72">
        <v>46179</v>
      </c>
      <c r="D264" s="73" t="s">
        <v>401</v>
      </c>
      <c r="E264" s="74" t="s">
        <v>578</v>
      </c>
      <c r="F264" s="75">
        <f>IFERROR(INDEX(M_User!$A$12:$J$67,MATCH(D264,M_User!$D$12:$D$67,0),1),"UNMAPPED")</f>
        <v>51</v>
      </c>
      <c r="G264" s="76" t="str">
        <f>IFERROR(INDEX(M_User!$A$12:$J$67,MATCH(D264,M_User!$D$12:$D$67,0),3),"UNMAPPED")</f>
        <v>Alice Jonathan Mfuru</v>
      </c>
      <c r="H264" s="75" t="str">
        <f>IFERROR(INDEX(M_User!$A$12:$J$67,MATCH(D264,M_User!$D$12:$D$67,0),5),"UNMAPPED")</f>
        <v>MOS</v>
      </c>
      <c r="I264" s="73" t="s">
        <v>149</v>
      </c>
      <c r="J264" s="73" t="s">
        <v>209</v>
      </c>
      <c r="K264" s="76" t="str">
        <f>IFERROR(INDEX(M_SKU!$A$18:$J$57,MATCH(J264,M_SKU!$B$18:$B$57,0),1),"UNKNOWN SKU")</f>
        <v>Sparletta Red Apple RGB 350ml</v>
      </c>
      <c r="L264" s="73" t="s">
        <v>542</v>
      </c>
      <c r="M264" s="72">
        <v>46010</v>
      </c>
      <c r="N264" s="72">
        <v>46374</v>
      </c>
      <c r="O264" s="77">
        <v>2</v>
      </c>
      <c r="P264" s="78" t="s">
        <v>521</v>
      </c>
      <c r="Q264" s="79"/>
      <c r="R264" s="80"/>
      <c r="S264" s="81"/>
      <c r="T264" s="81"/>
      <c r="U264" s="82" t="str">
        <f t="shared" si="3"/>
        <v>MOS100823|FG024|CK3-32758</v>
      </c>
    </row>
    <row r="265" spans="1:21" ht="15" customHeight="1" x14ac:dyDescent="0.3">
      <c r="A265" s="60" t="s">
        <v>577</v>
      </c>
      <c r="B265" s="61">
        <v>166160</v>
      </c>
      <c r="C265" s="62">
        <v>46179</v>
      </c>
      <c r="D265" s="63" t="s">
        <v>401</v>
      </c>
      <c r="E265" s="64" t="s">
        <v>578</v>
      </c>
      <c r="F265" s="65">
        <f>IFERROR(INDEX(M_User!$A$12:$J$67,MATCH(D265,M_User!$D$12:$D$67,0),1),"UNMAPPED")</f>
        <v>51</v>
      </c>
      <c r="G265" s="66" t="str">
        <f>IFERROR(INDEX(M_User!$A$12:$J$67,MATCH(D265,M_User!$D$12:$D$67,0),3),"UNMAPPED")</f>
        <v>Alice Jonathan Mfuru</v>
      </c>
      <c r="H265" s="65" t="str">
        <f>IFERROR(INDEX(M_User!$A$12:$J$67,MATCH(D265,M_User!$D$12:$D$67,0),5),"UNMAPPED")</f>
        <v>MOS</v>
      </c>
      <c r="I265" s="63" t="s">
        <v>149</v>
      </c>
      <c r="J265" s="63" t="s">
        <v>211</v>
      </c>
      <c r="K265" s="66" t="str">
        <f>IFERROR(INDEX(M_SKU!$A$18:$J$57,MATCH(J265,M_SKU!$B$18:$B$57,0),1),"UNKNOWN SKU")</f>
        <v>KNMW 500ml</v>
      </c>
      <c r="L265" s="63" t="s">
        <v>543</v>
      </c>
      <c r="M265" s="62">
        <v>46177</v>
      </c>
      <c r="N265" s="62">
        <v>46541</v>
      </c>
      <c r="O265" s="67">
        <v>20</v>
      </c>
      <c r="P265" s="68" t="s">
        <v>521</v>
      </c>
      <c r="Q265" s="63"/>
      <c r="R265" s="62"/>
      <c r="S265" s="69"/>
      <c r="T265" s="69"/>
      <c r="U265" s="66" t="str">
        <f t="shared" ref="U265:U328" si="4">D265 &amp; "|" &amp; J265 &amp; "|" &amp; L265</f>
        <v>MOS100823|KD001|CK6-986</v>
      </c>
    </row>
    <row r="266" spans="1:21" ht="15" customHeight="1" x14ac:dyDescent="0.3">
      <c r="A266" s="70" t="s">
        <v>577</v>
      </c>
      <c r="B266" s="71">
        <v>166160</v>
      </c>
      <c r="C266" s="72">
        <v>46179</v>
      </c>
      <c r="D266" s="73" t="s">
        <v>401</v>
      </c>
      <c r="E266" s="74" t="s">
        <v>578</v>
      </c>
      <c r="F266" s="75">
        <f>IFERROR(INDEX(M_User!$A$12:$J$67,MATCH(D266,M_User!$D$12:$D$67,0),1),"UNMAPPED")</f>
        <v>51</v>
      </c>
      <c r="G266" s="76" t="str">
        <f>IFERROR(INDEX(M_User!$A$12:$J$67,MATCH(D266,M_User!$D$12:$D$67,0),3),"UNMAPPED")</f>
        <v>Alice Jonathan Mfuru</v>
      </c>
      <c r="H266" s="75" t="str">
        <f>IFERROR(INDEX(M_User!$A$12:$J$67,MATCH(D266,M_User!$D$12:$D$67,0),5),"UNMAPPED")</f>
        <v>MOS</v>
      </c>
      <c r="I266" s="73" t="s">
        <v>149</v>
      </c>
      <c r="J266" s="73" t="s">
        <v>217</v>
      </c>
      <c r="K266" s="76" t="str">
        <f>IFERROR(INDEX(M_SKU!$A$18:$J$57,MATCH(J266,M_SKU!$B$18:$B$57,0),1),"UNKNOWN SKU")</f>
        <v>KNMW 1500ml</v>
      </c>
      <c r="L266" s="73" t="s">
        <v>551</v>
      </c>
      <c r="M266" s="72">
        <v>46177</v>
      </c>
      <c r="N266" s="72">
        <v>46541</v>
      </c>
      <c r="O266" s="77">
        <v>90</v>
      </c>
      <c r="P266" s="78" t="s">
        <v>521</v>
      </c>
      <c r="Q266" s="79"/>
      <c r="R266" s="80"/>
      <c r="S266" s="81"/>
      <c r="T266" s="81"/>
      <c r="U266" s="82" t="str">
        <f t="shared" si="4"/>
        <v>MOS100823|KD003|CK4-842</v>
      </c>
    </row>
    <row r="267" spans="1:21" ht="15" customHeight="1" x14ac:dyDescent="0.3">
      <c r="A267" s="60" t="s">
        <v>577</v>
      </c>
      <c r="B267" s="61">
        <v>166160</v>
      </c>
      <c r="C267" s="62">
        <v>46179</v>
      </c>
      <c r="D267" s="63" t="s">
        <v>401</v>
      </c>
      <c r="E267" s="64" t="s">
        <v>578</v>
      </c>
      <c r="F267" s="65">
        <f>IFERROR(INDEX(M_User!$A$12:$J$67,MATCH(D267,M_User!$D$12:$D$67,0),1),"UNMAPPED")</f>
        <v>51</v>
      </c>
      <c r="G267" s="66" t="str">
        <f>IFERROR(INDEX(M_User!$A$12:$J$67,MATCH(D267,M_User!$D$12:$D$67,0),3),"UNMAPPED")</f>
        <v>Alice Jonathan Mfuru</v>
      </c>
      <c r="H267" s="65" t="str">
        <f>IFERROR(INDEX(M_User!$A$12:$J$67,MATCH(D267,M_User!$D$12:$D$67,0),5),"UNMAPPED")</f>
        <v>MOS</v>
      </c>
      <c r="I267" s="63" t="s">
        <v>149</v>
      </c>
      <c r="J267" s="63" t="s">
        <v>222</v>
      </c>
      <c r="K267" s="66" t="str">
        <f>IFERROR(INDEX(M_SKU!$A$18:$J$57,MATCH(J267,M_SKU!$B$18:$B$57,0),1),"UNKNOWN SKU")</f>
        <v>Kilimanjaro Drinking Water 12000 ML</v>
      </c>
      <c r="L267" s="63" t="s">
        <v>566</v>
      </c>
      <c r="M267" s="62">
        <v>46170</v>
      </c>
      <c r="N267" s="62">
        <v>46534</v>
      </c>
      <c r="O267" s="67">
        <v>5</v>
      </c>
      <c r="P267" s="68" t="s">
        <v>521</v>
      </c>
      <c r="Q267" s="63"/>
      <c r="R267" s="62"/>
      <c r="S267" s="69"/>
      <c r="T267" s="69"/>
      <c r="U267" s="66" t="str">
        <f t="shared" si="4"/>
        <v>MOS100823|KD005|CK7-913</v>
      </c>
    </row>
    <row r="268" spans="1:21" ht="15" customHeight="1" x14ac:dyDescent="0.3">
      <c r="A268" s="70" t="s">
        <v>577</v>
      </c>
      <c r="B268" s="71">
        <v>166160</v>
      </c>
      <c r="C268" s="72">
        <v>46179</v>
      </c>
      <c r="D268" s="73" t="s">
        <v>401</v>
      </c>
      <c r="E268" s="74" t="s">
        <v>578</v>
      </c>
      <c r="F268" s="75">
        <f>IFERROR(INDEX(M_User!$A$12:$J$67,MATCH(D268,M_User!$D$12:$D$67,0),1),"UNMAPPED")</f>
        <v>51</v>
      </c>
      <c r="G268" s="76" t="str">
        <f>IFERROR(INDEX(M_User!$A$12:$J$67,MATCH(D268,M_User!$D$12:$D$67,0),3),"UNMAPPED")</f>
        <v>Alice Jonathan Mfuru</v>
      </c>
      <c r="H268" s="75" t="str">
        <f>IFERROR(INDEX(M_User!$A$12:$J$67,MATCH(D268,M_User!$D$12:$D$67,0),5),"UNMAPPED")</f>
        <v>MOS</v>
      </c>
      <c r="I268" s="73" t="s">
        <v>149</v>
      </c>
      <c r="J268" s="73" t="s">
        <v>225</v>
      </c>
      <c r="K268" s="76" t="str">
        <f>IFERROR(INDEX(M_SKU!$A$18:$J$57,MATCH(J268,M_SKU!$B$18:$B$57,0),1),"UNKNOWN SKU")</f>
        <v>Kilimanjaro Drinking Water 18900 ML</v>
      </c>
      <c r="L268" s="73" t="s">
        <v>567</v>
      </c>
      <c r="M268" s="72">
        <v>46172</v>
      </c>
      <c r="N268" s="72">
        <v>46536</v>
      </c>
      <c r="O268" s="77">
        <v>5</v>
      </c>
      <c r="P268" s="78" t="s">
        <v>521</v>
      </c>
      <c r="Q268" s="79"/>
      <c r="R268" s="80"/>
      <c r="S268" s="81"/>
      <c r="T268" s="81"/>
      <c r="U268" s="82" t="str">
        <f t="shared" si="4"/>
        <v>MOS100823|KD006|CK7-915</v>
      </c>
    </row>
    <row r="269" spans="1:21" ht="15" customHeight="1" x14ac:dyDescent="0.3">
      <c r="A269" s="60" t="s">
        <v>577</v>
      </c>
      <c r="B269" s="61">
        <v>166160</v>
      </c>
      <c r="C269" s="62">
        <v>46179</v>
      </c>
      <c r="D269" s="63" t="s">
        <v>401</v>
      </c>
      <c r="E269" s="64" t="s">
        <v>578</v>
      </c>
      <c r="F269" s="65">
        <f>IFERROR(INDEX(M_User!$A$12:$J$67,MATCH(D269,M_User!$D$12:$D$67,0),1),"UNMAPPED")</f>
        <v>51</v>
      </c>
      <c r="G269" s="66" t="str">
        <f>IFERROR(INDEX(M_User!$A$12:$J$67,MATCH(D269,M_User!$D$12:$D$67,0),3),"UNMAPPED")</f>
        <v>Alice Jonathan Mfuru</v>
      </c>
      <c r="H269" s="65" t="str">
        <f>IFERROR(INDEX(M_User!$A$12:$J$67,MATCH(D269,M_User!$D$12:$D$67,0),5),"UNMAPPED")</f>
        <v>MOS</v>
      </c>
      <c r="I269" s="63" t="s">
        <v>149</v>
      </c>
      <c r="J269" s="63" t="s">
        <v>229</v>
      </c>
      <c r="K269" s="66" t="str">
        <f>IFERROR(INDEX(M_SKU!$A$18:$J$57,MATCH(J269,M_SKU!$B$18:$B$57,0),1),"UNKNOWN SKU")</f>
        <v>Coke Pet 500ML ( x12)</v>
      </c>
      <c r="L269" s="63" t="s">
        <v>520</v>
      </c>
      <c r="M269" s="62">
        <v>46177</v>
      </c>
      <c r="N269" s="62">
        <v>46288</v>
      </c>
      <c r="O269" s="67">
        <v>70</v>
      </c>
      <c r="P269" s="68" t="s">
        <v>521</v>
      </c>
      <c r="Q269" s="63"/>
      <c r="R269" s="62"/>
      <c r="S269" s="69"/>
      <c r="T269" s="69"/>
      <c r="U269" s="66" t="str">
        <f t="shared" si="4"/>
        <v>MOS100823|PH001|CK6-33411</v>
      </c>
    </row>
    <row r="270" spans="1:21" ht="15" customHeight="1" x14ac:dyDescent="0.3">
      <c r="A270" s="70" t="s">
        <v>577</v>
      </c>
      <c r="B270" s="71">
        <v>166160</v>
      </c>
      <c r="C270" s="72">
        <v>46179</v>
      </c>
      <c r="D270" s="73" t="s">
        <v>401</v>
      </c>
      <c r="E270" s="74" t="s">
        <v>578</v>
      </c>
      <c r="F270" s="75">
        <f>IFERROR(INDEX(M_User!$A$12:$J$67,MATCH(D270,M_User!$D$12:$D$67,0),1),"UNMAPPED")</f>
        <v>51</v>
      </c>
      <c r="G270" s="76" t="str">
        <f>IFERROR(INDEX(M_User!$A$12:$J$67,MATCH(D270,M_User!$D$12:$D$67,0),3),"UNMAPPED")</f>
        <v>Alice Jonathan Mfuru</v>
      </c>
      <c r="H270" s="75" t="str">
        <f>IFERROR(INDEX(M_User!$A$12:$J$67,MATCH(D270,M_User!$D$12:$D$67,0),5),"UNMAPPED")</f>
        <v>MOS</v>
      </c>
      <c r="I270" s="73" t="s">
        <v>149</v>
      </c>
      <c r="J270" s="73" t="s">
        <v>232</v>
      </c>
      <c r="K270" s="76" t="str">
        <f>IFERROR(INDEX(M_SKU!$A$18:$J$57,MATCH(J270,M_SKU!$B$18:$B$57,0),1),"UNKNOWN SKU")</f>
        <v>Sprite Pet 500ML (x 12)</v>
      </c>
      <c r="L270" s="73" t="s">
        <v>522</v>
      </c>
      <c r="M270" s="72">
        <v>46158</v>
      </c>
      <c r="N270" s="72">
        <v>46269</v>
      </c>
      <c r="O270" s="77">
        <v>15</v>
      </c>
      <c r="P270" s="78" t="s">
        <v>521</v>
      </c>
      <c r="Q270" s="79"/>
      <c r="R270" s="80"/>
      <c r="S270" s="81"/>
      <c r="T270" s="81"/>
      <c r="U270" s="82" t="str">
        <f t="shared" si="4"/>
        <v>MOS100823|PH002|CK6-33362</v>
      </c>
    </row>
    <row r="271" spans="1:21" ht="15" customHeight="1" x14ac:dyDescent="0.3">
      <c r="A271" s="60" t="s">
        <v>577</v>
      </c>
      <c r="B271" s="61">
        <v>166160</v>
      </c>
      <c r="C271" s="62">
        <v>46179</v>
      </c>
      <c r="D271" s="63" t="s">
        <v>401</v>
      </c>
      <c r="E271" s="64" t="s">
        <v>578</v>
      </c>
      <c r="F271" s="65">
        <f>IFERROR(INDEX(M_User!$A$12:$J$67,MATCH(D271,M_User!$D$12:$D$67,0),1),"UNMAPPED")</f>
        <v>51</v>
      </c>
      <c r="G271" s="66" t="str">
        <f>IFERROR(INDEX(M_User!$A$12:$J$67,MATCH(D271,M_User!$D$12:$D$67,0),3),"UNMAPPED")</f>
        <v>Alice Jonathan Mfuru</v>
      </c>
      <c r="H271" s="65" t="str">
        <f>IFERROR(INDEX(M_User!$A$12:$J$67,MATCH(D271,M_User!$D$12:$D$67,0),5),"UNMAPPED")</f>
        <v>MOS</v>
      </c>
      <c r="I271" s="63" t="s">
        <v>149</v>
      </c>
      <c r="J271" s="63" t="s">
        <v>234</v>
      </c>
      <c r="K271" s="66" t="str">
        <f>IFERROR(INDEX(M_SKU!$A$18:$J$57,MATCH(J271,M_SKU!$B$18:$B$57,0),1),"UNKNOWN SKU")</f>
        <v>Fanta Orange Pet 500ML ( x 12)</v>
      </c>
      <c r="L271" s="63" t="s">
        <v>523</v>
      </c>
      <c r="M271" s="62">
        <v>46172</v>
      </c>
      <c r="N271" s="62">
        <v>46283</v>
      </c>
      <c r="O271" s="67">
        <v>40</v>
      </c>
      <c r="P271" s="68" t="s">
        <v>521</v>
      </c>
      <c r="Q271" s="63"/>
      <c r="R271" s="62"/>
      <c r="S271" s="69"/>
      <c r="T271" s="69"/>
      <c r="U271" s="66" t="str">
        <f t="shared" si="4"/>
        <v>MOS100823|PH003|CK6-33405</v>
      </c>
    </row>
    <row r="272" spans="1:21" ht="15" customHeight="1" x14ac:dyDescent="0.3">
      <c r="A272" s="70" t="s">
        <v>577</v>
      </c>
      <c r="B272" s="71">
        <v>166160</v>
      </c>
      <c r="C272" s="72">
        <v>46179</v>
      </c>
      <c r="D272" s="73" t="s">
        <v>401</v>
      </c>
      <c r="E272" s="74" t="s">
        <v>578</v>
      </c>
      <c r="F272" s="75">
        <f>IFERROR(INDEX(M_User!$A$12:$J$67,MATCH(D272,M_User!$D$12:$D$67,0),1),"UNMAPPED")</f>
        <v>51</v>
      </c>
      <c r="G272" s="76" t="str">
        <f>IFERROR(INDEX(M_User!$A$12:$J$67,MATCH(D272,M_User!$D$12:$D$67,0),3),"UNMAPPED")</f>
        <v>Alice Jonathan Mfuru</v>
      </c>
      <c r="H272" s="75" t="str">
        <f>IFERROR(INDEX(M_User!$A$12:$J$67,MATCH(D272,M_User!$D$12:$D$67,0),5),"UNMAPPED")</f>
        <v>MOS</v>
      </c>
      <c r="I272" s="73" t="s">
        <v>149</v>
      </c>
      <c r="J272" s="73" t="s">
        <v>236</v>
      </c>
      <c r="K272" s="76" t="str">
        <f>IFERROR(INDEX(M_SKU!$A$18:$J$57,MATCH(J272,M_SKU!$B$18:$B$57,0),1),"UNKNOWN SKU")</f>
        <v>Fanta Passion Pet 500ML ( x12)</v>
      </c>
      <c r="L272" s="73" t="s">
        <v>524</v>
      </c>
      <c r="M272" s="72">
        <v>46151</v>
      </c>
      <c r="N272" s="72">
        <v>46262</v>
      </c>
      <c r="O272" s="77">
        <v>15</v>
      </c>
      <c r="P272" s="78" t="s">
        <v>521</v>
      </c>
      <c r="Q272" s="79"/>
      <c r="R272" s="80"/>
      <c r="S272" s="81"/>
      <c r="T272" s="81"/>
      <c r="U272" s="82" t="str">
        <f t="shared" si="4"/>
        <v>MOS100823|PH004|CK5-33334</v>
      </c>
    </row>
    <row r="273" spans="1:21" ht="15" customHeight="1" x14ac:dyDescent="0.3">
      <c r="A273" s="60" t="s">
        <v>577</v>
      </c>
      <c r="B273" s="61">
        <v>166160</v>
      </c>
      <c r="C273" s="62">
        <v>46179</v>
      </c>
      <c r="D273" s="63" t="s">
        <v>401</v>
      </c>
      <c r="E273" s="64" t="s">
        <v>578</v>
      </c>
      <c r="F273" s="65">
        <f>IFERROR(INDEX(M_User!$A$12:$J$67,MATCH(D273,M_User!$D$12:$D$67,0),1),"UNMAPPED")</f>
        <v>51</v>
      </c>
      <c r="G273" s="66" t="str">
        <f>IFERROR(INDEX(M_User!$A$12:$J$67,MATCH(D273,M_User!$D$12:$D$67,0),3),"UNMAPPED")</f>
        <v>Alice Jonathan Mfuru</v>
      </c>
      <c r="H273" s="65" t="str">
        <f>IFERROR(INDEX(M_User!$A$12:$J$67,MATCH(D273,M_User!$D$12:$D$67,0),5),"UNMAPPED")</f>
        <v>MOS</v>
      </c>
      <c r="I273" s="63" t="s">
        <v>149</v>
      </c>
      <c r="J273" s="63" t="s">
        <v>242</v>
      </c>
      <c r="K273" s="66" t="str">
        <f>IFERROR(INDEX(M_SKU!$A$18:$J$57,MATCH(J273,M_SKU!$B$18:$B$57,0),1),"UNKNOWN SKU")</f>
        <v>Stoney Tangawizi Pet 500 ml ( x12)</v>
      </c>
      <c r="L273" s="63" t="s">
        <v>525</v>
      </c>
      <c r="M273" s="62">
        <v>46161</v>
      </c>
      <c r="N273" s="62">
        <v>46272</v>
      </c>
      <c r="O273" s="67">
        <v>5</v>
      </c>
      <c r="P273" s="68" t="s">
        <v>521</v>
      </c>
      <c r="Q273" s="63"/>
      <c r="R273" s="62"/>
      <c r="S273" s="69"/>
      <c r="T273" s="69"/>
      <c r="U273" s="66" t="str">
        <f t="shared" si="4"/>
        <v>MOS100823|PH007|CK6-33375</v>
      </c>
    </row>
    <row r="274" spans="1:21" ht="15" customHeight="1" x14ac:dyDescent="0.3">
      <c r="A274" s="70" t="s">
        <v>577</v>
      </c>
      <c r="B274" s="71">
        <v>166160</v>
      </c>
      <c r="C274" s="72">
        <v>46179</v>
      </c>
      <c r="D274" s="73" t="s">
        <v>401</v>
      </c>
      <c r="E274" s="74" t="s">
        <v>578</v>
      </c>
      <c r="F274" s="75">
        <f>IFERROR(INDEX(M_User!$A$12:$J$67,MATCH(D274,M_User!$D$12:$D$67,0),1),"UNMAPPED")</f>
        <v>51</v>
      </c>
      <c r="G274" s="76" t="str">
        <f>IFERROR(INDEX(M_User!$A$12:$J$67,MATCH(D274,M_User!$D$12:$D$67,0),3),"UNMAPPED")</f>
        <v>Alice Jonathan Mfuru</v>
      </c>
      <c r="H274" s="75" t="str">
        <f>IFERROR(INDEX(M_User!$A$12:$J$67,MATCH(D274,M_User!$D$12:$D$67,0),5),"UNMAPPED")</f>
        <v>MOS</v>
      </c>
      <c r="I274" s="73" t="s">
        <v>149</v>
      </c>
      <c r="J274" s="73" t="s">
        <v>244</v>
      </c>
      <c r="K274" s="76" t="str">
        <f>IFERROR(INDEX(M_SKU!$A$18:$J$57,MATCH(J274,M_SKU!$B$18:$B$57,0),1),"UNKNOWN SKU")</f>
        <v>Sparletta Pinenut Pet 500 ml ( x12)</v>
      </c>
      <c r="L274" s="73" t="s">
        <v>526</v>
      </c>
      <c r="M274" s="72">
        <v>46161</v>
      </c>
      <c r="N274" s="72">
        <v>46272</v>
      </c>
      <c r="O274" s="77">
        <v>5</v>
      </c>
      <c r="P274" s="78" t="s">
        <v>521</v>
      </c>
      <c r="Q274" s="79"/>
      <c r="R274" s="80"/>
      <c r="S274" s="81"/>
      <c r="T274" s="81"/>
      <c r="U274" s="82" t="str">
        <f t="shared" si="4"/>
        <v>MOS100823|PH008|CK5-33370</v>
      </c>
    </row>
    <row r="275" spans="1:21" ht="15" customHeight="1" x14ac:dyDescent="0.3">
      <c r="A275" s="60" t="s">
        <v>579</v>
      </c>
      <c r="B275" s="61">
        <v>166161</v>
      </c>
      <c r="C275" s="62">
        <v>46179</v>
      </c>
      <c r="D275" s="63" t="s">
        <v>350</v>
      </c>
      <c r="E275" s="64" t="s">
        <v>349</v>
      </c>
      <c r="F275" s="65">
        <f>IFERROR(INDEX(M_User!$A$12:$J$67,MATCH(D275,M_User!$D$12:$D$67,0),1),"UNMAPPED")</f>
        <v>69</v>
      </c>
      <c r="G275" s="66" t="str">
        <f>IFERROR(INDEX(M_User!$A$12:$J$67,MATCH(D275,M_User!$D$12:$D$67,0),3),"UNMAPPED")</f>
        <v>Samson Felix Ngowi</v>
      </c>
      <c r="H275" s="65" t="str">
        <f>IFERROR(INDEX(M_User!$A$12:$J$67,MATCH(D275,M_User!$D$12:$D$67,0),5),"UNMAPPED")</f>
        <v>MOS</v>
      </c>
      <c r="I275" s="63" t="s">
        <v>149</v>
      </c>
      <c r="J275" s="63" t="s">
        <v>170</v>
      </c>
      <c r="K275" s="66" t="str">
        <f>IFERROR(INDEX(M_SKU!$A$18:$J$57,MATCH(J275,M_SKU!$B$18:$B$57,0),1),"UNKNOWN SKU")</f>
        <v>Coke RGB 350ml</v>
      </c>
      <c r="L275" s="63" t="s">
        <v>530</v>
      </c>
      <c r="M275" s="62">
        <v>46175</v>
      </c>
      <c r="N275" s="62">
        <v>46539</v>
      </c>
      <c r="O275" s="67">
        <v>45</v>
      </c>
      <c r="P275" s="68" t="s">
        <v>521</v>
      </c>
      <c r="Q275" s="63"/>
      <c r="R275" s="62"/>
      <c r="S275" s="69"/>
      <c r="T275" s="69"/>
      <c r="U275" s="66" t="str">
        <f t="shared" si="4"/>
        <v>MOS100842|FG001|CK3-33409</v>
      </c>
    </row>
    <row r="276" spans="1:21" ht="15" customHeight="1" x14ac:dyDescent="0.3">
      <c r="A276" s="70" t="s">
        <v>579</v>
      </c>
      <c r="B276" s="71">
        <v>166161</v>
      </c>
      <c r="C276" s="72">
        <v>46179</v>
      </c>
      <c r="D276" s="73" t="s">
        <v>350</v>
      </c>
      <c r="E276" s="74" t="s">
        <v>349</v>
      </c>
      <c r="F276" s="75">
        <f>IFERROR(INDEX(M_User!$A$12:$J$67,MATCH(D276,M_User!$D$12:$D$67,0),1),"UNMAPPED")</f>
        <v>69</v>
      </c>
      <c r="G276" s="76" t="str">
        <f>IFERROR(INDEX(M_User!$A$12:$J$67,MATCH(D276,M_User!$D$12:$D$67,0),3),"UNMAPPED")</f>
        <v>Samson Felix Ngowi</v>
      </c>
      <c r="H276" s="75" t="str">
        <f>IFERROR(INDEX(M_User!$A$12:$J$67,MATCH(D276,M_User!$D$12:$D$67,0),5),"UNMAPPED")</f>
        <v>MOS</v>
      </c>
      <c r="I276" s="73" t="s">
        <v>149</v>
      </c>
      <c r="J276" s="73" t="s">
        <v>178</v>
      </c>
      <c r="K276" s="76" t="str">
        <f>IFERROR(INDEX(M_SKU!$A$18:$J$57,MATCH(J276,M_SKU!$B$18:$B$57,0),1),"UNKNOWN SKU")</f>
        <v>Fanta Orange RGB 350ml</v>
      </c>
      <c r="L276" s="73" t="s">
        <v>531</v>
      </c>
      <c r="M276" s="72">
        <v>46174</v>
      </c>
      <c r="N276" s="72">
        <v>46538</v>
      </c>
      <c r="O276" s="77">
        <v>18</v>
      </c>
      <c r="P276" s="78" t="s">
        <v>521</v>
      </c>
      <c r="Q276" s="79"/>
      <c r="R276" s="80"/>
      <c r="S276" s="81"/>
      <c r="T276" s="81"/>
      <c r="U276" s="82" t="str">
        <f t="shared" si="4"/>
        <v>MOS100842|FG002|CK3-33407</v>
      </c>
    </row>
    <row r="277" spans="1:21" ht="15" customHeight="1" x14ac:dyDescent="0.3">
      <c r="A277" s="60" t="s">
        <v>579</v>
      </c>
      <c r="B277" s="61">
        <v>166161</v>
      </c>
      <c r="C277" s="62">
        <v>46179</v>
      </c>
      <c r="D277" s="63" t="s">
        <v>350</v>
      </c>
      <c r="E277" s="64" t="s">
        <v>349</v>
      </c>
      <c r="F277" s="65">
        <f>IFERROR(INDEX(M_User!$A$12:$J$67,MATCH(D277,M_User!$D$12:$D$67,0),1),"UNMAPPED")</f>
        <v>69</v>
      </c>
      <c r="G277" s="66" t="str">
        <f>IFERROR(INDEX(M_User!$A$12:$J$67,MATCH(D277,M_User!$D$12:$D$67,0),3),"UNMAPPED")</f>
        <v>Samson Felix Ngowi</v>
      </c>
      <c r="H277" s="65" t="str">
        <f>IFERROR(INDEX(M_User!$A$12:$J$67,MATCH(D277,M_User!$D$12:$D$67,0),5),"UNMAPPED")</f>
        <v>MOS</v>
      </c>
      <c r="I277" s="63" t="s">
        <v>149</v>
      </c>
      <c r="J277" s="63" t="s">
        <v>181</v>
      </c>
      <c r="K277" s="66" t="str">
        <f>IFERROR(INDEX(M_SKU!$A$18:$J$57,MATCH(J277,M_SKU!$B$18:$B$57,0),1),"UNKNOWN SKU")</f>
        <v>Fanta Passion RGB 350ml</v>
      </c>
      <c r="L277" s="63" t="s">
        <v>550</v>
      </c>
      <c r="M277" s="62">
        <v>46158</v>
      </c>
      <c r="N277" s="62">
        <v>46521</v>
      </c>
      <c r="O277" s="67">
        <v>8</v>
      </c>
      <c r="P277" s="68" t="s">
        <v>521</v>
      </c>
      <c r="Q277" s="63"/>
      <c r="R277" s="62"/>
      <c r="S277" s="69"/>
      <c r="T277" s="69"/>
      <c r="U277" s="66" t="str">
        <f t="shared" si="4"/>
        <v>MOS100842|FG003|CK3-33356</v>
      </c>
    </row>
    <row r="278" spans="1:21" ht="15" customHeight="1" x14ac:dyDescent="0.3">
      <c r="A278" s="70" t="s">
        <v>579</v>
      </c>
      <c r="B278" s="71">
        <v>166161</v>
      </c>
      <c r="C278" s="72">
        <v>46179</v>
      </c>
      <c r="D278" s="73" t="s">
        <v>350</v>
      </c>
      <c r="E278" s="74" t="s">
        <v>349</v>
      </c>
      <c r="F278" s="75">
        <f>IFERROR(INDEX(M_User!$A$12:$J$67,MATCH(D278,M_User!$D$12:$D$67,0),1),"UNMAPPED")</f>
        <v>69</v>
      </c>
      <c r="G278" s="76" t="str">
        <f>IFERROR(INDEX(M_User!$A$12:$J$67,MATCH(D278,M_User!$D$12:$D$67,0),3),"UNMAPPED")</f>
        <v>Samson Felix Ngowi</v>
      </c>
      <c r="H278" s="75" t="str">
        <f>IFERROR(INDEX(M_User!$A$12:$J$67,MATCH(D278,M_User!$D$12:$D$67,0),5),"UNMAPPED")</f>
        <v>MOS</v>
      </c>
      <c r="I278" s="73" t="s">
        <v>149</v>
      </c>
      <c r="J278" s="73" t="s">
        <v>183</v>
      </c>
      <c r="K278" s="76" t="str">
        <f>IFERROR(INDEX(M_SKU!$A$18:$J$57,MATCH(J278,M_SKU!$B$18:$B$57,0),1),"UNKNOWN SKU")</f>
        <v>Fanta Pineapple RGB 350ml</v>
      </c>
      <c r="L278" s="73" t="s">
        <v>533</v>
      </c>
      <c r="M278" s="72">
        <v>46163</v>
      </c>
      <c r="N278" s="72">
        <v>46527</v>
      </c>
      <c r="O278" s="77">
        <v>8</v>
      </c>
      <c r="P278" s="78" t="s">
        <v>521</v>
      </c>
      <c r="Q278" s="79"/>
      <c r="R278" s="80"/>
      <c r="S278" s="81"/>
      <c r="T278" s="81"/>
      <c r="U278" s="82" t="str">
        <f t="shared" si="4"/>
        <v>MOS100842|FG004|CK3-33385</v>
      </c>
    </row>
    <row r="279" spans="1:21" ht="15" customHeight="1" x14ac:dyDescent="0.3">
      <c r="A279" s="60" t="s">
        <v>579</v>
      </c>
      <c r="B279" s="61">
        <v>166161</v>
      </c>
      <c r="C279" s="62">
        <v>46179</v>
      </c>
      <c r="D279" s="63" t="s">
        <v>350</v>
      </c>
      <c r="E279" s="64" t="s">
        <v>349</v>
      </c>
      <c r="F279" s="65">
        <f>IFERROR(INDEX(M_User!$A$12:$J$67,MATCH(D279,M_User!$D$12:$D$67,0),1),"UNMAPPED")</f>
        <v>69</v>
      </c>
      <c r="G279" s="66" t="str">
        <f>IFERROR(INDEX(M_User!$A$12:$J$67,MATCH(D279,M_User!$D$12:$D$67,0),3),"UNMAPPED")</f>
        <v>Samson Felix Ngowi</v>
      </c>
      <c r="H279" s="65" t="str">
        <f>IFERROR(INDEX(M_User!$A$12:$J$67,MATCH(D279,M_User!$D$12:$D$67,0),5),"UNMAPPED")</f>
        <v>MOS</v>
      </c>
      <c r="I279" s="63" t="s">
        <v>149</v>
      </c>
      <c r="J279" s="63" t="s">
        <v>185</v>
      </c>
      <c r="K279" s="66" t="str">
        <f>IFERROR(INDEX(M_SKU!$A$18:$J$57,MATCH(J279,M_SKU!$B$18:$B$57,0),1),"UNKNOWN SKU")</f>
        <v>Fanta Fruit Blast RGB 350 ml</v>
      </c>
      <c r="L279" s="63" t="s">
        <v>534</v>
      </c>
      <c r="M279" s="62">
        <v>46171</v>
      </c>
      <c r="N279" s="62">
        <v>46535</v>
      </c>
      <c r="O279" s="67">
        <v>3</v>
      </c>
      <c r="P279" s="68" t="s">
        <v>521</v>
      </c>
      <c r="Q279" s="63"/>
      <c r="R279" s="62"/>
      <c r="S279" s="69"/>
      <c r="T279" s="69"/>
      <c r="U279" s="66" t="str">
        <f t="shared" si="4"/>
        <v>MOS100842|FG005|CK3-33402</v>
      </c>
    </row>
    <row r="280" spans="1:21" ht="15" customHeight="1" x14ac:dyDescent="0.3">
      <c r="A280" s="70" t="s">
        <v>579</v>
      </c>
      <c r="B280" s="71">
        <v>166161</v>
      </c>
      <c r="C280" s="72">
        <v>46179</v>
      </c>
      <c r="D280" s="73" t="s">
        <v>350</v>
      </c>
      <c r="E280" s="74" t="s">
        <v>349</v>
      </c>
      <c r="F280" s="75">
        <f>IFERROR(INDEX(M_User!$A$12:$J$67,MATCH(D280,M_User!$D$12:$D$67,0),1),"UNMAPPED")</f>
        <v>69</v>
      </c>
      <c r="G280" s="76" t="str">
        <f>IFERROR(INDEX(M_User!$A$12:$J$67,MATCH(D280,M_User!$D$12:$D$67,0),3),"UNMAPPED")</f>
        <v>Samson Felix Ngowi</v>
      </c>
      <c r="H280" s="75" t="str">
        <f>IFERROR(INDEX(M_User!$A$12:$J$67,MATCH(D280,M_User!$D$12:$D$67,0),5),"UNMAPPED")</f>
        <v>MOS</v>
      </c>
      <c r="I280" s="73" t="s">
        <v>149</v>
      </c>
      <c r="J280" s="73" t="s">
        <v>187</v>
      </c>
      <c r="K280" s="76" t="str">
        <f>IFERROR(INDEX(M_SKU!$A$18:$J$57,MATCH(J280,M_SKU!$B$18:$B$57,0),1),"UNKNOWN SKU")</f>
        <v>Sprite 350ml</v>
      </c>
      <c r="L280" s="73" t="s">
        <v>535</v>
      </c>
      <c r="M280" s="72">
        <v>46177</v>
      </c>
      <c r="N280" s="72">
        <v>46541</v>
      </c>
      <c r="O280" s="77">
        <v>8</v>
      </c>
      <c r="P280" s="78" t="s">
        <v>521</v>
      </c>
      <c r="Q280" s="79"/>
      <c r="R280" s="80"/>
      <c r="S280" s="81"/>
      <c r="T280" s="81"/>
      <c r="U280" s="82" t="str">
        <f t="shared" si="4"/>
        <v>MOS100842|FG006|CK3-33414</v>
      </c>
    </row>
    <row r="281" spans="1:21" ht="15" customHeight="1" x14ac:dyDescent="0.3">
      <c r="A281" s="60" t="s">
        <v>579</v>
      </c>
      <c r="B281" s="61">
        <v>166161</v>
      </c>
      <c r="C281" s="62">
        <v>46179</v>
      </c>
      <c r="D281" s="63" t="s">
        <v>350</v>
      </c>
      <c r="E281" s="64" t="s">
        <v>349</v>
      </c>
      <c r="F281" s="65">
        <f>IFERROR(INDEX(M_User!$A$12:$J$67,MATCH(D281,M_User!$D$12:$D$67,0),1),"UNMAPPED")</f>
        <v>69</v>
      </c>
      <c r="G281" s="66" t="str">
        <f>IFERROR(INDEX(M_User!$A$12:$J$67,MATCH(D281,M_User!$D$12:$D$67,0),3),"UNMAPPED")</f>
        <v>Samson Felix Ngowi</v>
      </c>
      <c r="H281" s="65" t="str">
        <f>IFERROR(INDEX(M_User!$A$12:$J$67,MATCH(D281,M_User!$D$12:$D$67,0),5),"UNMAPPED")</f>
        <v>MOS</v>
      </c>
      <c r="I281" s="63" t="s">
        <v>149</v>
      </c>
      <c r="J281" s="63" t="s">
        <v>190</v>
      </c>
      <c r="K281" s="66" t="str">
        <f>IFERROR(INDEX(M_SKU!$A$18:$J$57,MATCH(J281,M_SKU!$B$18:$B$57,0),1),"UNKNOWN SKU")</f>
        <v>Stoney Tangawizi RGB 350ml</v>
      </c>
      <c r="L281" s="63" t="s">
        <v>536</v>
      </c>
      <c r="M281" s="62">
        <v>46172</v>
      </c>
      <c r="N281" s="62">
        <v>46353</v>
      </c>
      <c r="O281" s="67">
        <v>3</v>
      </c>
      <c r="P281" s="68" t="s">
        <v>521</v>
      </c>
      <c r="Q281" s="63"/>
      <c r="R281" s="62"/>
      <c r="S281" s="69"/>
      <c r="T281" s="69"/>
      <c r="U281" s="66" t="str">
        <f t="shared" si="4"/>
        <v>MOS100842|FG007|CK3-33404</v>
      </c>
    </row>
    <row r="282" spans="1:21" ht="15" customHeight="1" x14ac:dyDescent="0.3">
      <c r="A282" s="70" t="s">
        <v>579</v>
      </c>
      <c r="B282" s="71">
        <v>166161</v>
      </c>
      <c r="C282" s="72">
        <v>46179</v>
      </c>
      <c r="D282" s="73" t="s">
        <v>350</v>
      </c>
      <c r="E282" s="74" t="s">
        <v>349</v>
      </c>
      <c r="F282" s="75">
        <f>IFERROR(INDEX(M_User!$A$12:$J$67,MATCH(D282,M_User!$D$12:$D$67,0),1),"UNMAPPED")</f>
        <v>69</v>
      </c>
      <c r="G282" s="76" t="str">
        <f>IFERROR(INDEX(M_User!$A$12:$J$67,MATCH(D282,M_User!$D$12:$D$67,0),3),"UNMAPPED")</f>
        <v>Samson Felix Ngowi</v>
      </c>
      <c r="H282" s="75" t="str">
        <f>IFERROR(INDEX(M_User!$A$12:$J$67,MATCH(D282,M_User!$D$12:$D$67,0),5),"UNMAPPED")</f>
        <v>MOS</v>
      </c>
      <c r="I282" s="73" t="s">
        <v>149</v>
      </c>
      <c r="J282" s="73" t="s">
        <v>193</v>
      </c>
      <c r="K282" s="76" t="str">
        <f>IFERROR(INDEX(M_SKU!$A$18:$J$57,MATCH(J282,M_SKU!$B$18:$B$57,0),1),"UNKNOWN SKU")</f>
        <v>Sparletta Pinenut RGB 350ml</v>
      </c>
      <c r="L282" s="73" t="s">
        <v>580</v>
      </c>
      <c r="M282" s="72">
        <v>46158</v>
      </c>
      <c r="N282" s="72">
        <v>46522</v>
      </c>
      <c r="O282" s="77">
        <v>3</v>
      </c>
      <c r="P282" s="78" t="s">
        <v>521</v>
      </c>
      <c r="Q282" s="79"/>
      <c r="R282" s="80"/>
      <c r="S282" s="81"/>
      <c r="T282" s="81"/>
      <c r="U282" s="82" t="str">
        <f t="shared" si="4"/>
        <v>MOS100842|FG008|CK3-33367</v>
      </c>
    </row>
    <row r="283" spans="1:21" ht="15" customHeight="1" x14ac:dyDescent="0.3">
      <c r="A283" s="60" t="s">
        <v>579</v>
      </c>
      <c r="B283" s="61">
        <v>166161</v>
      </c>
      <c r="C283" s="62">
        <v>46179</v>
      </c>
      <c r="D283" s="63" t="s">
        <v>350</v>
      </c>
      <c r="E283" s="64" t="s">
        <v>349</v>
      </c>
      <c r="F283" s="65">
        <f>IFERROR(INDEX(M_User!$A$12:$J$67,MATCH(D283,M_User!$D$12:$D$67,0),1),"UNMAPPED")</f>
        <v>69</v>
      </c>
      <c r="G283" s="66" t="str">
        <f>IFERROR(INDEX(M_User!$A$12:$J$67,MATCH(D283,M_User!$D$12:$D$67,0),3),"UNMAPPED")</f>
        <v>Samson Felix Ngowi</v>
      </c>
      <c r="H283" s="65" t="str">
        <f>IFERROR(INDEX(M_User!$A$12:$J$67,MATCH(D283,M_User!$D$12:$D$67,0),5),"UNMAPPED")</f>
        <v>MOS</v>
      </c>
      <c r="I283" s="63" t="s">
        <v>149</v>
      </c>
      <c r="J283" s="63" t="s">
        <v>196</v>
      </c>
      <c r="K283" s="66" t="str">
        <f>IFERROR(INDEX(M_SKU!$A$18:$J$57,MATCH(J283,M_SKU!$B$18:$B$57,0),1),"UNKNOWN SKU")</f>
        <v>Krest Bitter Lemon RGB 300ml</v>
      </c>
      <c r="L283" s="63" t="s">
        <v>538</v>
      </c>
      <c r="M283" s="62">
        <v>46154</v>
      </c>
      <c r="N283" s="62">
        <v>46518</v>
      </c>
      <c r="O283" s="67">
        <v>2</v>
      </c>
      <c r="P283" s="68" t="s">
        <v>521</v>
      </c>
      <c r="Q283" s="63"/>
      <c r="R283" s="62"/>
      <c r="S283" s="69"/>
      <c r="T283" s="69"/>
      <c r="U283" s="66" t="str">
        <f t="shared" si="4"/>
        <v>MOS100842|FG009|CK3-33348</v>
      </c>
    </row>
    <row r="284" spans="1:21" ht="15" customHeight="1" x14ac:dyDescent="0.3">
      <c r="A284" s="70" t="s">
        <v>579</v>
      </c>
      <c r="B284" s="71">
        <v>166161</v>
      </c>
      <c r="C284" s="72">
        <v>46179</v>
      </c>
      <c r="D284" s="73" t="s">
        <v>350</v>
      </c>
      <c r="E284" s="74" t="s">
        <v>349</v>
      </c>
      <c r="F284" s="75">
        <f>IFERROR(INDEX(M_User!$A$12:$J$67,MATCH(D284,M_User!$D$12:$D$67,0),1),"UNMAPPED")</f>
        <v>69</v>
      </c>
      <c r="G284" s="76" t="str">
        <f>IFERROR(INDEX(M_User!$A$12:$J$67,MATCH(D284,M_User!$D$12:$D$67,0),3),"UNMAPPED")</f>
        <v>Samson Felix Ngowi</v>
      </c>
      <c r="H284" s="75" t="str">
        <f>IFERROR(INDEX(M_User!$A$12:$J$67,MATCH(D284,M_User!$D$12:$D$67,0),5),"UNMAPPED")</f>
        <v>MOS</v>
      </c>
      <c r="I284" s="73" t="s">
        <v>149</v>
      </c>
      <c r="J284" s="73" t="s">
        <v>199</v>
      </c>
      <c r="K284" s="76" t="str">
        <f>IFERROR(INDEX(M_SKU!$A$18:$J$57,MATCH(J284,M_SKU!$B$18:$B$57,0),1),"UNKNOWN SKU")</f>
        <v>Krest Club Soda RGB 300ml</v>
      </c>
      <c r="L284" s="73" t="s">
        <v>539</v>
      </c>
      <c r="M284" s="72">
        <v>46140</v>
      </c>
      <c r="N284" s="72">
        <v>46504</v>
      </c>
      <c r="O284" s="77">
        <v>2</v>
      </c>
      <c r="P284" s="78" t="s">
        <v>521</v>
      </c>
      <c r="Q284" s="79"/>
      <c r="R284" s="80"/>
      <c r="S284" s="81"/>
      <c r="T284" s="81"/>
      <c r="U284" s="82" t="str">
        <f t="shared" si="4"/>
        <v>MOS100842|FG010|CK3-33301</v>
      </c>
    </row>
    <row r="285" spans="1:21" ht="15" customHeight="1" x14ac:dyDescent="0.3">
      <c r="A285" s="60" t="s">
        <v>579</v>
      </c>
      <c r="B285" s="61">
        <v>166161</v>
      </c>
      <c r="C285" s="62">
        <v>46179</v>
      </c>
      <c r="D285" s="63" t="s">
        <v>350</v>
      </c>
      <c r="E285" s="64" t="s">
        <v>349</v>
      </c>
      <c r="F285" s="65">
        <f>IFERROR(INDEX(M_User!$A$12:$J$67,MATCH(D285,M_User!$D$12:$D$67,0),1),"UNMAPPED")</f>
        <v>69</v>
      </c>
      <c r="G285" s="66" t="str">
        <f>IFERROR(INDEX(M_User!$A$12:$J$67,MATCH(D285,M_User!$D$12:$D$67,0),3),"UNMAPPED")</f>
        <v>Samson Felix Ngowi</v>
      </c>
      <c r="H285" s="65" t="str">
        <f>IFERROR(INDEX(M_User!$A$12:$J$67,MATCH(D285,M_User!$D$12:$D$67,0),5),"UNMAPPED")</f>
        <v>MOS</v>
      </c>
      <c r="I285" s="63" t="s">
        <v>149</v>
      </c>
      <c r="J285" s="63" t="s">
        <v>201</v>
      </c>
      <c r="K285" s="66" t="str">
        <f>IFERROR(INDEX(M_SKU!$A$18:$J$57,MATCH(J285,M_SKU!$B$18:$B$57,0),1),"UNKNOWN SKU")</f>
        <v>Krest Tonic Water RGB 300ml</v>
      </c>
      <c r="L285" s="63" t="s">
        <v>540</v>
      </c>
      <c r="M285" s="62">
        <v>46154</v>
      </c>
      <c r="N285" s="62">
        <v>46518</v>
      </c>
      <c r="O285" s="67">
        <v>2</v>
      </c>
      <c r="P285" s="68" t="s">
        <v>521</v>
      </c>
      <c r="Q285" s="63"/>
      <c r="R285" s="62"/>
      <c r="S285" s="69"/>
      <c r="T285" s="69"/>
      <c r="U285" s="66" t="str">
        <f t="shared" si="4"/>
        <v>MOS100842|FG011|CK3-33347</v>
      </c>
    </row>
    <row r="286" spans="1:21" ht="15" customHeight="1" x14ac:dyDescent="0.3">
      <c r="A286" s="70" t="s">
        <v>579</v>
      </c>
      <c r="B286" s="71">
        <v>166161</v>
      </c>
      <c r="C286" s="72">
        <v>46179</v>
      </c>
      <c r="D286" s="73" t="s">
        <v>350</v>
      </c>
      <c r="E286" s="74" t="s">
        <v>349</v>
      </c>
      <c r="F286" s="75">
        <f>IFERROR(INDEX(M_User!$A$12:$J$67,MATCH(D286,M_User!$D$12:$D$67,0),1),"UNMAPPED")</f>
        <v>69</v>
      </c>
      <c r="G286" s="76" t="str">
        <f>IFERROR(INDEX(M_User!$A$12:$J$67,MATCH(D286,M_User!$D$12:$D$67,0),3),"UNMAPPED")</f>
        <v>Samson Felix Ngowi</v>
      </c>
      <c r="H286" s="75" t="str">
        <f>IFERROR(INDEX(M_User!$A$12:$J$67,MATCH(D286,M_User!$D$12:$D$67,0),5),"UNMAPPED")</f>
        <v>MOS</v>
      </c>
      <c r="I286" s="73" t="s">
        <v>149</v>
      </c>
      <c r="J286" s="73" t="s">
        <v>203</v>
      </c>
      <c r="K286" s="76" t="str">
        <f>IFERROR(INDEX(M_SKU!$A$18:$J$57,MATCH(J286,M_SKU!$B$18:$B$57,0),1),"UNKNOWN SKU")</f>
        <v>Krest Ginger Ale RGB 300ml</v>
      </c>
      <c r="L286" s="73" t="s">
        <v>541</v>
      </c>
      <c r="M286" s="72">
        <v>46088</v>
      </c>
      <c r="N286" s="72">
        <v>46452</v>
      </c>
      <c r="O286" s="77">
        <v>2</v>
      </c>
      <c r="P286" s="78" t="s">
        <v>521</v>
      </c>
      <c r="Q286" s="79"/>
      <c r="R286" s="80"/>
      <c r="S286" s="81"/>
      <c r="T286" s="81"/>
      <c r="U286" s="82" t="str">
        <f t="shared" si="4"/>
        <v>MOS100842|FG012|CK3-33126</v>
      </c>
    </row>
    <row r="287" spans="1:21" ht="15" customHeight="1" x14ac:dyDescent="0.3">
      <c r="A287" s="60" t="s">
        <v>579</v>
      </c>
      <c r="B287" s="61">
        <v>166161</v>
      </c>
      <c r="C287" s="62">
        <v>46179</v>
      </c>
      <c r="D287" s="63" t="s">
        <v>350</v>
      </c>
      <c r="E287" s="64" t="s">
        <v>349</v>
      </c>
      <c r="F287" s="65">
        <f>IFERROR(INDEX(M_User!$A$12:$J$67,MATCH(D287,M_User!$D$12:$D$67,0),1),"UNMAPPED")</f>
        <v>69</v>
      </c>
      <c r="G287" s="66" t="str">
        <f>IFERROR(INDEX(M_User!$A$12:$J$67,MATCH(D287,M_User!$D$12:$D$67,0),3),"UNMAPPED")</f>
        <v>Samson Felix Ngowi</v>
      </c>
      <c r="H287" s="65" t="str">
        <f>IFERROR(INDEX(M_User!$A$12:$J$67,MATCH(D287,M_User!$D$12:$D$67,0),5),"UNMAPPED")</f>
        <v>MOS</v>
      </c>
      <c r="I287" s="63" t="s">
        <v>149</v>
      </c>
      <c r="J287" s="63" t="s">
        <v>209</v>
      </c>
      <c r="K287" s="66" t="str">
        <f>IFERROR(INDEX(M_SKU!$A$18:$J$57,MATCH(J287,M_SKU!$B$18:$B$57,0),1),"UNKNOWN SKU")</f>
        <v>Sparletta Red Apple RGB 350ml</v>
      </c>
      <c r="L287" s="63" t="s">
        <v>542</v>
      </c>
      <c r="M287" s="62">
        <v>46010</v>
      </c>
      <c r="N287" s="62">
        <v>46374</v>
      </c>
      <c r="O287" s="67">
        <v>2</v>
      </c>
      <c r="P287" s="68" t="s">
        <v>521</v>
      </c>
      <c r="Q287" s="63"/>
      <c r="R287" s="62"/>
      <c r="S287" s="69"/>
      <c r="T287" s="69"/>
      <c r="U287" s="66" t="str">
        <f t="shared" si="4"/>
        <v>MOS100842|FG024|CK3-32758</v>
      </c>
    </row>
    <row r="288" spans="1:21" ht="15" customHeight="1" x14ac:dyDescent="0.3">
      <c r="A288" s="70" t="s">
        <v>579</v>
      </c>
      <c r="B288" s="71">
        <v>166161</v>
      </c>
      <c r="C288" s="72">
        <v>46179</v>
      </c>
      <c r="D288" s="73" t="s">
        <v>350</v>
      </c>
      <c r="E288" s="74" t="s">
        <v>349</v>
      </c>
      <c r="F288" s="75">
        <f>IFERROR(INDEX(M_User!$A$12:$J$67,MATCH(D288,M_User!$D$12:$D$67,0),1),"UNMAPPED")</f>
        <v>69</v>
      </c>
      <c r="G288" s="76" t="str">
        <f>IFERROR(INDEX(M_User!$A$12:$J$67,MATCH(D288,M_User!$D$12:$D$67,0),3),"UNMAPPED")</f>
        <v>Samson Felix Ngowi</v>
      </c>
      <c r="H288" s="75" t="str">
        <f>IFERROR(INDEX(M_User!$A$12:$J$67,MATCH(D288,M_User!$D$12:$D$67,0),5),"UNMAPPED")</f>
        <v>MOS</v>
      </c>
      <c r="I288" s="73" t="s">
        <v>149</v>
      </c>
      <c r="J288" s="73" t="s">
        <v>211</v>
      </c>
      <c r="K288" s="76" t="str">
        <f>IFERROR(INDEX(M_SKU!$A$18:$J$57,MATCH(J288,M_SKU!$B$18:$B$57,0),1),"UNKNOWN SKU")</f>
        <v>KNMW 500ml</v>
      </c>
      <c r="L288" s="73" t="s">
        <v>543</v>
      </c>
      <c r="M288" s="72">
        <v>46177</v>
      </c>
      <c r="N288" s="72">
        <v>46541</v>
      </c>
      <c r="O288" s="77">
        <v>50</v>
      </c>
      <c r="P288" s="78" t="s">
        <v>521</v>
      </c>
      <c r="Q288" s="79"/>
      <c r="R288" s="80"/>
      <c r="S288" s="81"/>
      <c r="T288" s="81"/>
      <c r="U288" s="82" t="str">
        <f t="shared" si="4"/>
        <v>MOS100842|KD001|CK6-986</v>
      </c>
    </row>
    <row r="289" spans="1:21" ht="15" customHeight="1" x14ac:dyDescent="0.3">
      <c r="A289" s="60" t="s">
        <v>579</v>
      </c>
      <c r="B289" s="61">
        <v>166161</v>
      </c>
      <c r="C289" s="62">
        <v>46179</v>
      </c>
      <c r="D289" s="63" t="s">
        <v>350</v>
      </c>
      <c r="E289" s="64" t="s">
        <v>349</v>
      </c>
      <c r="F289" s="65">
        <f>IFERROR(INDEX(M_User!$A$12:$J$67,MATCH(D289,M_User!$D$12:$D$67,0),1),"UNMAPPED")</f>
        <v>69</v>
      </c>
      <c r="G289" s="66" t="str">
        <f>IFERROR(INDEX(M_User!$A$12:$J$67,MATCH(D289,M_User!$D$12:$D$67,0),3),"UNMAPPED")</f>
        <v>Samson Felix Ngowi</v>
      </c>
      <c r="H289" s="65" t="str">
        <f>IFERROR(INDEX(M_User!$A$12:$J$67,MATCH(D289,M_User!$D$12:$D$67,0),5),"UNMAPPED")</f>
        <v>MOS</v>
      </c>
      <c r="I289" s="63" t="s">
        <v>149</v>
      </c>
      <c r="J289" s="63" t="s">
        <v>217</v>
      </c>
      <c r="K289" s="66" t="str">
        <f>IFERROR(INDEX(M_SKU!$A$18:$J$57,MATCH(J289,M_SKU!$B$18:$B$57,0),1),"UNKNOWN SKU")</f>
        <v>KNMW 1500ml</v>
      </c>
      <c r="L289" s="63" t="s">
        <v>551</v>
      </c>
      <c r="M289" s="62">
        <v>46177</v>
      </c>
      <c r="N289" s="62">
        <v>46541</v>
      </c>
      <c r="O289" s="67">
        <v>90</v>
      </c>
      <c r="P289" s="68" t="s">
        <v>521</v>
      </c>
      <c r="Q289" s="63"/>
      <c r="R289" s="62"/>
      <c r="S289" s="69"/>
      <c r="T289" s="69"/>
      <c r="U289" s="66" t="str">
        <f t="shared" si="4"/>
        <v>MOS100842|KD003|CK4-842</v>
      </c>
    </row>
    <row r="290" spans="1:21" ht="15" customHeight="1" x14ac:dyDescent="0.3">
      <c r="A290" s="70" t="s">
        <v>579</v>
      </c>
      <c r="B290" s="71">
        <v>166161</v>
      </c>
      <c r="C290" s="72">
        <v>46179</v>
      </c>
      <c r="D290" s="73" t="s">
        <v>350</v>
      </c>
      <c r="E290" s="74" t="s">
        <v>349</v>
      </c>
      <c r="F290" s="75">
        <f>IFERROR(INDEX(M_User!$A$12:$J$67,MATCH(D290,M_User!$D$12:$D$67,0),1),"UNMAPPED")</f>
        <v>69</v>
      </c>
      <c r="G290" s="76" t="str">
        <f>IFERROR(INDEX(M_User!$A$12:$J$67,MATCH(D290,M_User!$D$12:$D$67,0),3),"UNMAPPED")</f>
        <v>Samson Felix Ngowi</v>
      </c>
      <c r="H290" s="75" t="str">
        <f>IFERROR(INDEX(M_User!$A$12:$J$67,MATCH(D290,M_User!$D$12:$D$67,0),5),"UNMAPPED")</f>
        <v>MOS</v>
      </c>
      <c r="I290" s="73" t="s">
        <v>149</v>
      </c>
      <c r="J290" s="73" t="s">
        <v>229</v>
      </c>
      <c r="K290" s="76" t="str">
        <f>IFERROR(INDEX(M_SKU!$A$18:$J$57,MATCH(J290,M_SKU!$B$18:$B$57,0),1),"UNKNOWN SKU")</f>
        <v>Coke Pet 500ML ( x12)</v>
      </c>
      <c r="L290" s="73" t="s">
        <v>520</v>
      </c>
      <c r="M290" s="72">
        <v>46177</v>
      </c>
      <c r="N290" s="72">
        <v>46288</v>
      </c>
      <c r="O290" s="77">
        <v>25</v>
      </c>
      <c r="P290" s="78" t="s">
        <v>521</v>
      </c>
      <c r="Q290" s="79"/>
      <c r="R290" s="80"/>
      <c r="S290" s="81"/>
      <c r="T290" s="81"/>
      <c r="U290" s="82" t="str">
        <f t="shared" si="4"/>
        <v>MOS100842|PH001|CK6-33411</v>
      </c>
    </row>
    <row r="291" spans="1:21" ht="15" customHeight="1" x14ac:dyDescent="0.3">
      <c r="A291" s="60" t="s">
        <v>579</v>
      </c>
      <c r="B291" s="61">
        <v>166161</v>
      </c>
      <c r="C291" s="62">
        <v>46179</v>
      </c>
      <c r="D291" s="63" t="s">
        <v>350</v>
      </c>
      <c r="E291" s="64" t="s">
        <v>349</v>
      </c>
      <c r="F291" s="65">
        <f>IFERROR(INDEX(M_User!$A$12:$J$67,MATCH(D291,M_User!$D$12:$D$67,0),1),"UNMAPPED")</f>
        <v>69</v>
      </c>
      <c r="G291" s="66" t="str">
        <f>IFERROR(INDEX(M_User!$A$12:$J$67,MATCH(D291,M_User!$D$12:$D$67,0),3),"UNMAPPED")</f>
        <v>Samson Felix Ngowi</v>
      </c>
      <c r="H291" s="65" t="str">
        <f>IFERROR(INDEX(M_User!$A$12:$J$67,MATCH(D291,M_User!$D$12:$D$67,0),5),"UNMAPPED")</f>
        <v>MOS</v>
      </c>
      <c r="I291" s="63" t="s">
        <v>149</v>
      </c>
      <c r="J291" s="63" t="s">
        <v>232</v>
      </c>
      <c r="K291" s="66" t="str">
        <f>IFERROR(INDEX(M_SKU!$A$18:$J$57,MATCH(J291,M_SKU!$B$18:$B$57,0),1),"UNKNOWN SKU")</f>
        <v>Sprite Pet 500ML (x 12)</v>
      </c>
      <c r="L291" s="63" t="s">
        <v>522</v>
      </c>
      <c r="M291" s="62">
        <v>46158</v>
      </c>
      <c r="N291" s="62">
        <v>46269</v>
      </c>
      <c r="O291" s="67">
        <v>8</v>
      </c>
      <c r="P291" s="68" t="s">
        <v>521</v>
      </c>
      <c r="Q291" s="63"/>
      <c r="R291" s="62"/>
      <c r="S291" s="69"/>
      <c r="T291" s="69"/>
      <c r="U291" s="66" t="str">
        <f t="shared" si="4"/>
        <v>MOS100842|PH002|CK6-33362</v>
      </c>
    </row>
    <row r="292" spans="1:21" ht="15" customHeight="1" x14ac:dyDescent="0.3">
      <c r="A292" s="70" t="s">
        <v>579</v>
      </c>
      <c r="B292" s="71">
        <v>166161</v>
      </c>
      <c r="C292" s="72">
        <v>46179</v>
      </c>
      <c r="D292" s="73" t="s">
        <v>350</v>
      </c>
      <c r="E292" s="74" t="s">
        <v>349</v>
      </c>
      <c r="F292" s="75">
        <f>IFERROR(INDEX(M_User!$A$12:$J$67,MATCH(D292,M_User!$D$12:$D$67,0),1),"UNMAPPED")</f>
        <v>69</v>
      </c>
      <c r="G292" s="76" t="str">
        <f>IFERROR(INDEX(M_User!$A$12:$J$67,MATCH(D292,M_User!$D$12:$D$67,0),3),"UNMAPPED")</f>
        <v>Samson Felix Ngowi</v>
      </c>
      <c r="H292" s="75" t="str">
        <f>IFERROR(INDEX(M_User!$A$12:$J$67,MATCH(D292,M_User!$D$12:$D$67,0),5),"UNMAPPED")</f>
        <v>MOS</v>
      </c>
      <c r="I292" s="73" t="s">
        <v>149</v>
      </c>
      <c r="J292" s="73" t="s">
        <v>234</v>
      </c>
      <c r="K292" s="76" t="str">
        <f>IFERROR(INDEX(M_SKU!$A$18:$J$57,MATCH(J292,M_SKU!$B$18:$B$57,0),1),"UNKNOWN SKU")</f>
        <v>Fanta Orange Pet 500ML ( x 12)</v>
      </c>
      <c r="L292" s="73" t="s">
        <v>523</v>
      </c>
      <c r="M292" s="72">
        <v>46172</v>
      </c>
      <c r="N292" s="72">
        <v>46283</v>
      </c>
      <c r="O292" s="77">
        <v>20</v>
      </c>
      <c r="P292" s="78" t="s">
        <v>521</v>
      </c>
      <c r="Q292" s="79"/>
      <c r="R292" s="80"/>
      <c r="S292" s="81"/>
      <c r="T292" s="81"/>
      <c r="U292" s="82" t="str">
        <f t="shared" si="4"/>
        <v>MOS100842|PH003|CK6-33405</v>
      </c>
    </row>
    <row r="293" spans="1:21" ht="15" customHeight="1" x14ac:dyDescent="0.3">
      <c r="A293" s="60" t="s">
        <v>579</v>
      </c>
      <c r="B293" s="61">
        <v>166161</v>
      </c>
      <c r="C293" s="62">
        <v>46179</v>
      </c>
      <c r="D293" s="63" t="s">
        <v>350</v>
      </c>
      <c r="E293" s="64" t="s">
        <v>349</v>
      </c>
      <c r="F293" s="65">
        <f>IFERROR(INDEX(M_User!$A$12:$J$67,MATCH(D293,M_User!$D$12:$D$67,0),1),"UNMAPPED")</f>
        <v>69</v>
      </c>
      <c r="G293" s="66" t="str">
        <f>IFERROR(INDEX(M_User!$A$12:$J$67,MATCH(D293,M_User!$D$12:$D$67,0),3),"UNMAPPED")</f>
        <v>Samson Felix Ngowi</v>
      </c>
      <c r="H293" s="65" t="str">
        <f>IFERROR(INDEX(M_User!$A$12:$J$67,MATCH(D293,M_User!$D$12:$D$67,0),5),"UNMAPPED")</f>
        <v>MOS</v>
      </c>
      <c r="I293" s="63" t="s">
        <v>149</v>
      </c>
      <c r="J293" s="63" t="s">
        <v>236</v>
      </c>
      <c r="K293" s="66" t="str">
        <f>IFERROR(INDEX(M_SKU!$A$18:$J$57,MATCH(J293,M_SKU!$B$18:$B$57,0),1),"UNKNOWN SKU")</f>
        <v>Fanta Passion Pet 500ML ( x12)</v>
      </c>
      <c r="L293" s="63" t="s">
        <v>524</v>
      </c>
      <c r="M293" s="62">
        <v>46151</v>
      </c>
      <c r="N293" s="62">
        <v>46262</v>
      </c>
      <c r="O293" s="67">
        <v>8</v>
      </c>
      <c r="P293" s="68" t="s">
        <v>521</v>
      </c>
      <c r="Q293" s="63"/>
      <c r="R293" s="62"/>
      <c r="S293" s="69"/>
      <c r="T293" s="69"/>
      <c r="U293" s="66" t="str">
        <f t="shared" si="4"/>
        <v>MOS100842|PH004|CK5-33334</v>
      </c>
    </row>
    <row r="294" spans="1:21" ht="15" customHeight="1" x14ac:dyDescent="0.3">
      <c r="A294" s="70" t="s">
        <v>579</v>
      </c>
      <c r="B294" s="71">
        <v>166161</v>
      </c>
      <c r="C294" s="72">
        <v>46179</v>
      </c>
      <c r="D294" s="73" t="s">
        <v>350</v>
      </c>
      <c r="E294" s="74" t="s">
        <v>349</v>
      </c>
      <c r="F294" s="75">
        <f>IFERROR(INDEX(M_User!$A$12:$J$67,MATCH(D294,M_User!$D$12:$D$67,0),1),"UNMAPPED")</f>
        <v>69</v>
      </c>
      <c r="G294" s="76" t="str">
        <f>IFERROR(INDEX(M_User!$A$12:$J$67,MATCH(D294,M_User!$D$12:$D$67,0),3),"UNMAPPED")</f>
        <v>Samson Felix Ngowi</v>
      </c>
      <c r="H294" s="75" t="str">
        <f>IFERROR(INDEX(M_User!$A$12:$J$67,MATCH(D294,M_User!$D$12:$D$67,0),5),"UNMAPPED")</f>
        <v>MOS</v>
      </c>
      <c r="I294" s="73" t="s">
        <v>149</v>
      </c>
      <c r="J294" s="73" t="s">
        <v>242</v>
      </c>
      <c r="K294" s="76" t="str">
        <f>IFERROR(INDEX(M_SKU!$A$18:$J$57,MATCH(J294,M_SKU!$B$18:$B$57,0),1),"UNKNOWN SKU")</f>
        <v>Stoney Tangawizi Pet 500 ml ( x12)</v>
      </c>
      <c r="L294" s="73" t="s">
        <v>525</v>
      </c>
      <c r="M294" s="72">
        <v>46161</v>
      </c>
      <c r="N294" s="72">
        <v>46272</v>
      </c>
      <c r="O294" s="77">
        <v>5</v>
      </c>
      <c r="P294" s="78" t="s">
        <v>521</v>
      </c>
      <c r="Q294" s="79"/>
      <c r="R294" s="80"/>
      <c r="S294" s="81"/>
      <c r="T294" s="81"/>
      <c r="U294" s="82" t="str">
        <f t="shared" si="4"/>
        <v>MOS100842|PH007|CK6-33375</v>
      </c>
    </row>
    <row r="295" spans="1:21" ht="15" customHeight="1" x14ac:dyDescent="0.3">
      <c r="A295" s="60" t="s">
        <v>579</v>
      </c>
      <c r="B295" s="61">
        <v>166161</v>
      </c>
      <c r="C295" s="62">
        <v>46179</v>
      </c>
      <c r="D295" s="63" t="s">
        <v>350</v>
      </c>
      <c r="E295" s="64" t="s">
        <v>349</v>
      </c>
      <c r="F295" s="65">
        <f>IFERROR(INDEX(M_User!$A$12:$J$67,MATCH(D295,M_User!$D$12:$D$67,0),1),"UNMAPPED")</f>
        <v>69</v>
      </c>
      <c r="G295" s="66" t="str">
        <f>IFERROR(INDEX(M_User!$A$12:$J$67,MATCH(D295,M_User!$D$12:$D$67,0),3),"UNMAPPED")</f>
        <v>Samson Felix Ngowi</v>
      </c>
      <c r="H295" s="65" t="str">
        <f>IFERROR(INDEX(M_User!$A$12:$J$67,MATCH(D295,M_User!$D$12:$D$67,0),5),"UNMAPPED")</f>
        <v>MOS</v>
      </c>
      <c r="I295" s="63" t="s">
        <v>149</v>
      </c>
      <c r="J295" s="63" t="s">
        <v>244</v>
      </c>
      <c r="K295" s="66" t="str">
        <f>IFERROR(INDEX(M_SKU!$A$18:$J$57,MATCH(J295,M_SKU!$B$18:$B$57,0),1),"UNKNOWN SKU")</f>
        <v>Sparletta Pinenut Pet 500 ml ( x12)</v>
      </c>
      <c r="L295" s="63" t="s">
        <v>526</v>
      </c>
      <c r="M295" s="62">
        <v>46161</v>
      </c>
      <c r="N295" s="62">
        <v>46272</v>
      </c>
      <c r="O295" s="67">
        <v>5</v>
      </c>
      <c r="P295" s="68" t="s">
        <v>521</v>
      </c>
      <c r="Q295" s="63"/>
      <c r="R295" s="62"/>
      <c r="S295" s="69"/>
      <c r="T295" s="69"/>
      <c r="U295" s="66" t="str">
        <f t="shared" si="4"/>
        <v>MOS100842|PH008|CK5-33370</v>
      </c>
    </row>
    <row r="296" spans="1:21" ht="15" customHeight="1" x14ac:dyDescent="0.3">
      <c r="A296" s="70" t="s">
        <v>579</v>
      </c>
      <c r="B296" s="71">
        <v>166161</v>
      </c>
      <c r="C296" s="72">
        <v>46179</v>
      </c>
      <c r="D296" s="73" t="s">
        <v>350</v>
      </c>
      <c r="E296" s="74" t="s">
        <v>349</v>
      </c>
      <c r="F296" s="75">
        <f>IFERROR(INDEX(M_User!$A$12:$J$67,MATCH(D296,M_User!$D$12:$D$67,0),1),"UNMAPPED")</f>
        <v>69</v>
      </c>
      <c r="G296" s="76" t="str">
        <f>IFERROR(INDEX(M_User!$A$12:$J$67,MATCH(D296,M_User!$D$12:$D$67,0),3),"UNMAPPED")</f>
        <v>Samson Felix Ngowi</v>
      </c>
      <c r="H296" s="75" t="str">
        <f>IFERROR(INDEX(M_User!$A$12:$J$67,MATCH(D296,M_User!$D$12:$D$67,0),5),"UNMAPPED")</f>
        <v>MOS</v>
      </c>
      <c r="I296" s="73" t="s">
        <v>149</v>
      </c>
      <c r="J296" s="73" t="s">
        <v>261</v>
      </c>
      <c r="K296" s="76" t="str">
        <f>IFERROR(INDEX(M_SKU!$A$18:$J$57,MATCH(J296,M_SKU!$B$18:$B$57,0),1),"UNKNOWN SKU")</f>
        <v>Sparletta Pine Apple Pet 300ML (x 12)</v>
      </c>
      <c r="L296" s="73" t="s">
        <v>547</v>
      </c>
      <c r="M296" s="72">
        <v>46158</v>
      </c>
      <c r="N296" s="72">
        <v>46241</v>
      </c>
      <c r="O296" s="77">
        <v>5</v>
      </c>
      <c r="P296" s="78" t="s">
        <v>521</v>
      </c>
      <c r="Q296" s="79"/>
      <c r="R296" s="80"/>
      <c r="S296" s="81"/>
      <c r="T296" s="81"/>
      <c r="U296" s="82" t="str">
        <f t="shared" si="4"/>
        <v>MOS100842|PO015|CK5-33366</v>
      </c>
    </row>
    <row r="297" spans="1:21" ht="15" customHeight="1" x14ac:dyDescent="0.3">
      <c r="A297" s="60" t="s">
        <v>581</v>
      </c>
      <c r="B297" s="61">
        <v>166162</v>
      </c>
      <c r="C297" s="62">
        <v>46179</v>
      </c>
      <c r="D297" s="63" t="s">
        <v>339</v>
      </c>
      <c r="E297" s="64" t="s">
        <v>582</v>
      </c>
      <c r="F297" s="65">
        <f>IFERROR(INDEX(M_User!$A$12:$J$67,MATCH(D297,M_User!$D$12:$D$67,0),1),"UNMAPPED")</f>
        <v>72</v>
      </c>
      <c r="G297" s="66" t="str">
        <f>IFERROR(INDEX(M_User!$A$12:$J$67,MATCH(D297,M_User!$D$12:$D$67,0),3),"UNMAPPED")</f>
        <v>Erick K. Mkama</v>
      </c>
      <c r="H297" s="65" t="str">
        <f>IFERROR(INDEX(M_User!$A$12:$J$67,MATCH(D297,M_User!$D$12:$D$67,0),5),"UNMAPPED")</f>
        <v>MOS</v>
      </c>
      <c r="I297" s="63" t="s">
        <v>149</v>
      </c>
      <c r="J297" s="63" t="s">
        <v>170</v>
      </c>
      <c r="K297" s="66" t="str">
        <f>IFERROR(INDEX(M_SKU!$A$18:$J$57,MATCH(J297,M_SKU!$B$18:$B$57,0),1),"UNKNOWN SKU")</f>
        <v>Coke RGB 350ml</v>
      </c>
      <c r="L297" s="63" t="s">
        <v>530</v>
      </c>
      <c r="M297" s="62">
        <v>46175</v>
      </c>
      <c r="N297" s="62">
        <v>46539</v>
      </c>
      <c r="O297" s="67">
        <v>34</v>
      </c>
      <c r="P297" s="68" t="s">
        <v>521</v>
      </c>
      <c r="Q297" s="63"/>
      <c r="R297" s="62"/>
      <c r="S297" s="69"/>
      <c r="T297" s="69"/>
      <c r="U297" s="66" t="str">
        <f t="shared" si="4"/>
        <v>MOS100209|FG001|CK3-33409</v>
      </c>
    </row>
    <row r="298" spans="1:21" ht="15" customHeight="1" x14ac:dyDescent="0.3">
      <c r="A298" s="70" t="s">
        <v>581</v>
      </c>
      <c r="B298" s="71">
        <v>166162</v>
      </c>
      <c r="C298" s="72">
        <v>46179</v>
      </c>
      <c r="D298" s="73" t="s">
        <v>339</v>
      </c>
      <c r="E298" s="74" t="s">
        <v>582</v>
      </c>
      <c r="F298" s="75">
        <f>IFERROR(INDEX(M_User!$A$12:$J$67,MATCH(D298,M_User!$D$12:$D$67,0),1),"UNMAPPED")</f>
        <v>72</v>
      </c>
      <c r="G298" s="76" t="str">
        <f>IFERROR(INDEX(M_User!$A$12:$J$67,MATCH(D298,M_User!$D$12:$D$67,0),3),"UNMAPPED")</f>
        <v>Erick K. Mkama</v>
      </c>
      <c r="H298" s="75" t="str">
        <f>IFERROR(INDEX(M_User!$A$12:$J$67,MATCH(D298,M_User!$D$12:$D$67,0),5),"UNMAPPED")</f>
        <v>MOS</v>
      </c>
      <c r="I298" s="73" t="s">
        <v>149</v>
      </c>
      <c r="J298" s="73" t="s">
        <v>178</v>
      </c>
      <c r="K298" s="76" t="str">
        <f>IFERROR(INDEX(M_SKU!$A$18:$J$57,MATCH(J298,M_SKU!$B$18:$B$57,0),1),"UNKNOWN SKU")</f>
        <v>Fanta Orange RGB 350ml</v>
      </c>
      <c r="L298" s="73" t="s">
        <v>531</v>
      </c>
      <c r="M298" s="72">
        <v>46174</v>
      </c>
      <c r="N298" s="72">
        <v>46538</v>
      </c>
      <c r="O298" s="77">
        <v>15</v>
      </c>
      <c r="P298" s="78" t="s">
        <v>521</v>
      </c>
      <c r="Q298" s="79"/>
      <c r="R298" s="80"/>
      <c r="S298" s="81"/>
      <c r="T298" s="81"/>
      <c r="U298" s="82" t="str">
        <f t="shared" si="4"/>
        <v>MOS100209|FG002|CK3-33407</v>
      </c>
    </row>
    <row r="299" spans="1:21" ht="15" customHeight="1" x14ac:dyDescent="0.3">
      <c r="A299" s="60" t="s">
        <v>581</v>
      </c>
      <c r="B299" s="61">
        <v>166162</v>
      </c>
      <c r="C299" s="62">
        <v>46179</v>
      </c>
      <c r="D299" s="63" t="s">
        <v>339</v>
      </c>
      <c r="E299" s="64" t="s">
        <v>582</v>
      </c>
      <c r="F299" s="65">
        <f>IFERROR(INDEX(M_User!$A$12:$J$67,MATCH(D299,M_User!$D$12:$D$67,0),1),"UNMAPPED")</f>
        <v>72</v>
      </c>
      <c r="G299" s="66" t="str">
        <f>IFERROR(INDEX(M_User!$A$12:$J$67,MATCH(D299,M_User!$D$12:$D$67,0),3),"UNMAPPED")</f>
        <v>Erick K. Mkama</v>
      </c>
      <c r="H299" s="65" t="str">
        <f>IFERROR(INDEX(M_User!$A$12:$J$67,MATCH(D299,M_User!$D$12:$D$67,0),5),"UNMAPPED")</f>
        <v>MOS</v>
      </c>
      <c r="I299" s="63" t="s">
        <v>149</v>
      </c>
      <c r="J299" s="63" t="s">
        <v>181</v>
      </c>
      <c r="K299" s="66" t="str">
        <f>IFERROR(INDEX(M_SKU!$A$18:$J$57,MATCH(J299,M_SKU!$B$18:$B$57,0),1),"UNKNOWN SKU")</f>
        <v>Fanta Passion RGB 350ml</v>
      </c>
      <c r="L299" s="63" t="s">
        <v>550</v>
      </c>
      <c r="M299" s="62">
        <v>46158</v>
      </c>
      <c r="N299" s="62">
        <v>46521</v>
      </c>
      <c r="O299" s="67">
        <v>8</v>
      </c>
      <c r="P299" s="68" t="s">
        <v>521</v>
      </c>
      <c r="Q299" s="63"/>
      <c r="R299" s="62"/>
      <c r="S299" s="69"/>
      <c r="T299" s="69"/>
      <c r="U299" s="66" t="str">
        <f t="shared" si="4"/>
        <v>MOS100209|FG003|CK3-33356</v>
      </c>
    </row>
    <row r="300" spans="1:21" ht="15" customHeight="1" x14ac:dyDescent="0.3">
      <c r="A300" s="70" t="s">
        <v>581</v>
      </c>
      <c r="B300" s="71">
        <v>166162</v>
      </c>
      <c r="C300" s="72">
        <v>46179</v>
      </c>
      <c r="D300" s="73" t="s">
        <v>339</v>
      </c>
      <c r="E300" s="74" t="s">
        <v>582</v>
      </c>
      <c r="F300" s="75">
        <f>IFERROR(INDEX(M_User!$A$12:$J$67,MATCH(D300,M_User!$D$12:$D$67,0),1),"UNMAPPED")</f>
        <v>72</v>
      </c>
      <c r="G300" s="76" t="str">
        <f>IFERROR(INDEX(M_User!$A$12:$J$67,MATCH(D300,M_User!$D$12:$D$67,0),3),"UNMAPPED")</f>
        <v>Erick K. Mkama</v>
      </c>
      <c r="H300" s="75" t="str">
        <f>IFERROR(INDEX(M_User!$A$12:$J$67,MATCH(D300,M_User!$D$12:$D$67,0),5),"UNMAPPED")</f>
        <v>MOS</v>
      </c>
      <c r="I300" s="73" t="s">
        <v>149</v>
      </c>
      <c r="J300" s="73" t="s">
        <v>183</v>
      </c>
      <c r="K300" s="76" t="str">
        <f>IFERROR(INDEX(M_SKU!$A$18:$J$57,MATCH(J300,M_SKU!$B$18:$B$57,0),1),"UNKNOWN SKU")</f>
        <v>Fanta Pineapple RGB 350ml</v>
      </c>
      <c r="L300" s="73" t="s">
        <v>533</v>
      </c>
      <c r="M300" s="72">
        <v>46163</v>
      </c>
      <c r="N300" s="72">
        <v>46527</v>
      </c>
      <c r="O300" s="77">
        <v>8</v>
      </c>
      <c r="P300" s="78" t="s">
        <v>521</v>
      </c>
      <c r="Q300" s="79"/>
      <c r="R300" s="80"/>
      <c r="S300" s="81"/>
      <c r="T300" s="81"/>
      <c r="U300" s="82" t="str">
        <f t="shared" si="4"/>
        <v>MOS100209|FG004|CK3-33385</v>
      </c>
    </row>
    <row r="301" spans="1:21" ht="15" customHeight="1" x14ac:dyDescent="0.3">
      <c r="A301" s="60" t="s">
        <v>581</v>
      </c>
      <c r="B301" s="61">
        <v>166162</v>
      </c>
      <c r="C301" s="62">
        <v>46179</v>
      </c>
      <c r="D301" s="63" t="s">
        <v>339</v>
      </c>
      <c r="E301" s="64" t="s">
        <v>582</v>
      </c>
      <c r="F301" s="65">
        <f>IFERROR(INDEX(M_User!$A$12:$J$67,MATCH(D301,M_User!$D$12:$D$67,0),1),"UNMAPPED")</f>
        <v>72</v>
      </c>
      <c r="G301" s="66" t="str">
        <f>IFERROR(INDEX(M_User!$A$12:$J$67,MATCH(D301,M_User!$D$12:$D$67,0),3),"UNMAPPED")</f>
        <v>Erick K. Mkama</v>
      </c>
      <c r="H301" s="65" t="str">
        <f>IFERROR(INDEX(M_User!$A$12:$J$67,MATCH(D301,M_User!$D$12:$D$67,0),5),"UNMAPPED")</f>
        <v>MOS</v>
      </c>
      <c r="I301" s="63" t="s">
        <v>149</v>
      </c>
      <c r="J301" s="63" t="s">
        <v>185</v>
      </c>
      <c r="K301" s="66" t="str">
        <f>IFERROR(INDEX(M_SKU!$A$18:$J$57,MATCH(J301,M_SKU!$B$18:$B$57,0),1),"UNKNOWN SKU")</f>
        <v>Fanta Fruit Blast RGB 350 ml</v>
      </c>
      <c r="L301" s="63" t="s">
        <v>534</v>
      </c>
      <c r="M301" s="62">
        <v>46171</v>
      </c>
      <c r="N301" s="62">
        <v>46535</v>
      </c>
      <c r="O301" s="67">
        <v>5</v>
      </c>
      <c r="P301" s="68" t="s">
        <v>521</v>
      </c>
      <c r="Q301" s="63"/>
      <c r="R301" s="62"/>
      <c r="S301" s="69"/>
      <c r="T301" s="69"/>
      <c r="U301" s="66" t="str">
        <f t="shared" si="4"/>
        <v>MOS100209|FG005|CK3-33402</v>
      </c>
    </row>
    <row r="302" spans="1:21" ht="15" customHeight="1" x14ac:dyDescent="0.3">
      <c r="A302" s="70" t="s">
        <v>581</v>
      </c>
      <c r="B302" s="71">
        <v>166162</v>
      </c>
      <c r="C302" s="72">
        <v>46179</v>
      </c>
      <c r="D302" s="73" t="s">
        <v>339</v>
      </c>
      <c r="E302" s="74" t="s">
        <v>582</v>
      </c>
      <c r="F302" s="75">
        <f>IFERROR(INDEX(M_User!$A$12:$J$67,MATCH(D302,M_User!$D$12:$D$67,0),1),"UNMAPPED")</f>
        <v>72</v>
      </c>
      <c r="G302" s="76" t="str">
        <f>IFERROR(INDEX(M_User!$A$12:$J$67,MATCH(D302,M_User!$D$12:$D$67,0),3),"UNMAPPED")</f>
        <v>Erick K. Mkama</v>
      </c>
      <c r="H302" s="75" t="str">
        <f>IFERROR(INDEX(M_User!$A$12:$J$67,MATCH(D302,M_User!$D$12:$D$67,0),5),"UNMAPPED")</f>
        <v>MOS</v>
      </c>
      <c r="I302" s="73" t="s">
        <v>149</v>
      </c>
      <c r="J302" s="73" t="s">
        <v>187</v>
      </c>
      <c r="K302" s="76" t="str">
        <f>IFERROR(INDEX(M_SKU!$A$18:$J$57,MATCH(J302,M_SKU!$B$18:$B$57,0),1),"UNKNOWN SKU")</f>
        <v>Sprite 350ml</v>
      </c>
      <c r="L302" s="73" t="s">
        <v>535</v>
      </c>
      <c r="M302" s="72">
        <v>46177</v>
      </c>
      <c r="N302" s="72">
        <v>46541</v>
      </c>
      <c r="O302" s="77">
        <v>10</v>
      </c>
      <c r="P302" s="78" t="s">
        <v>521</v>
      </c>
      <c r="Q302" s="79"/>
      <c r="R302" s="80"/>
      <c r="S302" s="81"/>
      <c r="T302" s="81"/>
      <c r="U302" s="82" t="str">
        <f t="shared" si="4"/>
        <v>MOS100209|FG006|CK3-33414</v>
      </c>
    </row>
    <row r="303" spans="1:21" ht="15" customHeight="1" x14ac:dyDescent="0.3">
      <c r="A303" s="60" t="s">
        <v>581</v>
      </c>
      <c r="B303" s="61">
        <v>166162</v>
      </c>
      <c r="C303" s="62">
        <v>46179</v>
      </c>
      <c r="D303" s="63" t="s">
        <v>339</v>
      </c>
      <c r="E303" s="64" t="s">
        <v>582</v>
      </c>
      <c r="F303" s="65">
        <f>IFERROR(INDEX(M_User!$A$12:$J$67,MATCH(D303,M_User!$D$12:$D$67,0),1),"UNMAPPED")</f>
        <v>72</v>
      </c>
      <c r="G303" s="66" t="str">
        <f>IFERROR(INDEX(M_User!$A$12:$J$67,MATCH(D303,M_User!$D$12:$D$67,0),3),"UNMAPPED")</f>
        <v>Erick K. Mkama</v>
      </c>
      <c r="H303" s="65" t="str">
        <f>IFERROR(INDEX(M_User!$A$12:$J$67,MATCH(D303,M_User!$D$12:$D$67,0),5),"UNMAPPED")</f>
        <v>MOS</v>
      </c>
      <c r="I303" s="63" t="s">
        <v>149</v>
      </c>
      <c r="J303" s="63" t="s">
        <v>190</v>
      </c>
      <c r="K303" s="66" t="str">
        <f>IFERROR(INDEX(M_SKU!$A$18:$J$57,MATCH(J303,M_SKU!$B$18:$B$57,0),1),"UNKNOWN SKU")</f>
        <v>Stoney Tangawizi RGB 350ml</v>
      </c>
      <c r="L303" s="63" t="s">
        <v>536</v>
      </c>
      <c r="M303" s="62">
        <v>46172</v>
      </c>
      <c r="N303" s="62">
        <v>46353</v>
      </c>
      <c r="O303" s="67">
        <v>3</v>
      </c>
      <c r="P303" s="68" t="s">
        <v>521</v>
      </c>
      <c r="Q303" s="63"/>
      <c r="R303" s="62"/>
      <c r="S303" s="69"/>
      <c r="T303" s="69"/>
      <c r="U303" s="66" t="str">
        <f t="shared" si="4"/>
        <v>MOS100209|FG007|CK3-33404</v>
      </c>
    </row>
    <row r="304" spans="1:21" ht="15" customHeight="1" x14ac:dyDescent="0.3">
      <c r="A304" s="70" t="s">
        <v>581</v>
      </c>
      <c r="B304" s="71">
        <v>166162</v>
      </c>
      <c r="C304" s="72">
        <v>46179</v>
      </c>
      <c r="D304" s="73" t="s">
        <v>339</v>
      </c>
      <c r="E304" s="74" t="s">
        <v>582</v>
      </c>
      <c r="F304" s="75">
        <f>IFERROR(INDEX(M_User!$A$12:$J$67,MATCH(D304,M_User!$D$12:$D$67,0),1),"UNMAPPED")</f>
        <v>72</v>
      </c>
      <c r="G304" s="76" t="str">
        <f>IFERROR(INDEX(M_User!$A$12:$J$67,MATCH(D304,M_User!$D$12:$D$67,0),3),"UNMAPPED")</f>
        <v>Erick K. Mkama</v>
      </c>
      <c r="H304" s="75" t="str">
        <f>IFERROR(INDEX(M_User!$A$12:$J$67,MATCH(D304,M_User!$D$12:$D$67,0),5),"UNMAPPED")</f>
        <v>MOS</v>
      </c>
      <c r="I304" s="73" t="s">
        <v>149</v>
      </c>
      <c r="J304" s="73" t="s">
        <v>193</v>
      </c>
      <c r="K304" s="76" t="str">
        <f>IFERROR(INDEX(M_SKU!$A$18:$J$57,MATCH(J304,M_SKU!$B$18:$B$57,0),1),"UNKNOWN SKU")</f>
        <v>Sparletta Pinenut RGB 350ml</v>
      </c>
      <c r="L304" s="73" t="s">
        <v>580</v>
      </c>
      <c r="M304" s="72">
        <v>46158</v>
      </c>
      <c r="N304" s="72">
        <v>46522</v>
      </c>
      <c r="O304" s="77">
        <v>3</v>
      </c>
      <c r="P304" s="78" t="s">
        <v>521</v>
      </c>
      <c r="Q304" s="79"/>
      <c r="R304" s="80"/>
      <c r="S304" s="81"/>
      <c r="T304" s="81"/>
      <c r="U304" s="82" t="str">
        <f t="shared" si="4"/>
        <v>MOS100209|FG008|CK3-33367</v>
      </c>
    </row>
    <row r="305" spans="1:21" ht="15" customHeight="1" x14ac:dyDescent="0.3">
      <c r="A305" s="60" t="s">
        <v>581</v>
      </c>
      <c r="B305" s="61">
        <v>166162</v>
      </c>
      <c r="C305" s="62">
        <v>46179</v>
      </c>
      <c r="D305" s="63" t="s">
        <v>339</v>
      </c>
      <c r="E305" s="64" t="s">
        <v>582</v>
      </c>
      <c r="F305" s="65">
        <f>IFERROR(INDEX(M_User!$A$12:$J$67,MATCH(D305,M_User!$D$12:$D$67,0),1),"UNMAPPED")</f>
        <v>72</v>
      </c>
      <c r="G305" s="66" t="str">
        <f>IFERROR(INDEX(M_User!$A$12:$J$67,MATCH(D305,M_User!$D$12:$D$67,0),3),"UNMAPPED")</f>
        <v>Erick K. Mkama</v>
      </c>
      <c r="H305" s="65" t="str">
        <f>IFERROR(INDEX(M_User!$A$12:$J$67,MATCH(D305,M_User!$D$12:$D$67,0),5),"UNMAPPED")</f>
        <v>MOS</v>
      </c>
      <c r="I305" s="63" t="s">
        <v>149</v>
      </c>
      <c r="J305" s="63" t="s">
        <v>196</v>
      </c>
      <c r="K305" s="66" t="str">
        <f>IFERROR(INDEX(M_SKU!$A$18:$J$57,MATCH(J305,M_SKU!$B$18:$B$57,0),1),"UNKNOWN SKU")</f>
        <v>Krest Bitter Lemon RGB 300ml</v>
      </c>
      <c r="L305" s="63" t="s">
        <v>538</v>
      </c>
      <c r="M305" s="62">
        <v>46154</v>
      </c>
      <c r="N305" s="62">
        <v>46518</v>
      </c>
      <c r="O305" s="67">
        <v>3</v>
      </c>
      <c r="P305" s="68" t="s">
        <v>521</v>
      </c>
      <c r="Q305" s="63"/>
      <c r="R305" s="62"/>
      <c r="S305" s="69"/>
      <c r="T305" s="69"/>
      <c r="U305" s="66" t="str">
        <f t="shared" si="4"/>
        <v>MOS100209|FG009|CK3-33348</v>
      </c>
    </row>
    <row r="306" spans="1:21" ht="15" customHeight="1" x14ac:dyDescent="0.3">
      <c r="A306" s="70" t="s">
        <v>581</v>
      </c>
      <c r="B306" s="71">
        <v>166162</v>
      </c>
      <c r="C306" s="72">
        <v>46179</v>
      </c>
      <c r="D306" s="73" t="s">
        <v>339</v>
      </c>
      <c r="E306" s="74" t="s">
        <v>582</v>
      </c>
      <c r="F306" s="75">
        <f>IFERROR(INDEX(M_User!$A$12:$J$67,MATCH(D306,M_User!$D$12:$D$67,0),1),"UNMAPPED")</f>
        <v>72</v>
      </c>
      <c r="G306" s="76" t="str">
        <f>IFERROR(INDEX(M_User!$A$12:$J$67,MATCH(D306,M_User!$D$12:$D$67,0),3),"UNMAPPED")</f>
        <v>Erick K. Mkama</v>
      </c>
      <c r="H306" s="75" t="str">
        <f>IFERROR(INDEX(M_User!$A$12:$J$67,MATCH(D306,M_User!$D$12:$D$67,0),5),"UNMAPPED")</f>
        <v>MOS</v>
      </c>
      <c r="I306" s="73" t="s">
        <v>149</v>
      </c>
      <c r="J306" s="73" t="s">
        <v>199</v>
      </c>
      <c r="K306" s="76" t="str">
        <f>IFERROR(INDEX(M_SKU!$A$18:$J$57,MATCH(J306,M_SKU!$B$18:$B$57,0),1),"UNKNOWN SKU")</f>
        <v>Krest Club Soda RGB 300ml</v>
      </c>
      <c r="L306" s="73" t="s">
        <v>539</v>
      </c>
      <c r="M306" s="72">
        <v>46140</v>
      </c>
      <c r="N306" s="72">
        <v>46504</v>
      </c>
      <c r="O306" s="77">
        <v>2</v>
      </c>
      <c r="P306" s="78" t="s">
        <v>521</v>
      </c>
      <c r="Q306" s="79"/>
      <c r="R306" s="80"/>
      <c r="S306" s="81"/>
      <c r="T306" s="81"/>
      <c r="U306" s="82" t="str">
        <f t="shared" si="4"/>
        <v>MOS100209|FG010|CK3-33301</v>
      </c>
    </row>
    <row r="307" spans="1:21" ht="15" customHeight="1" x14ac:dyDescent="0.3">
      <c r="A307" s="60" t="s">
        <v>581</v>
      </c>
      <c r="B307" s="61">
        <v>166162</v>
      </c>
      <c r="C307" s="62">
        <v>46179</v>
      </c>
      <c r="D307" s="63" t="s">
        <v>339</v>
      </c>
      <c r="E307" s="64" t="s">
        <v>582</v>
      </c>
      <c r="F307" s="65">
        <f>IFERROR(INDEX(M_User!$A$12:$J$67,MATCH(D307,M_User!$D$12:$D$67,0),1),"UNMAPPED")</f>
        <v>72</v>
      </c>
      <c r="G307" s="66" t="str">
        <f>IFERROR(INDEX(M_User!$A$12:$J$67,MATCH(D307,M_User!$D$12:$D$67,0),3),"UNMAPPED")</f>
        <v>Erick K. Mkama</v>
      </c>
      <c r="H307" s="65" t="str">
        <f>IFERROR(INDEX(M_User!$A$12:$J$67,MATCH(D307,M_User!$D$12:$D$67,0),5),"UNMAPPED")</f>
        <v>MOS</v>
      </c>
      <c r="I307" s="63" t="s">
        <v>149</v>
      </c>
      <c r="J307" s="63" t="s">
        <v>201</v>
      </c>
      <c r="K307" s="66" t="str">
        <f>IFERROR(INDEX(M_SKU!$A$18:$J$57,MATCH(J307,M_SKU!$B$18:$B$57,0),1),"UNKNOWN SKU")</f>
        <v>Krest Tonic Water RGB 300ml</v>
      </c>
      <c r="L307" s="63" t="s">
        <v>540</v>
      </c>
      <c r="M307" s="62">
        <v>46154</v>
      </c>
      <c r="N307" s="62">
        <v>46518</v>
      </c>
      <c r="O307" s="67">
        <v>3</v>
      </c>
      <c r="P307" s="68" t="s">
        <v>521</v>
      </c>
      <c r="Q307" s="63"/>
      <c r="R307" s="62"/>
      <c r="S307" s="69"/>
      <c r="T307" s="69"/>
      <c r="U307" s="66" t="str">
        <f t="shared" si="4"/>
        <v>MOS100209|FG011|CK3-33347</v>
      </c>
    </row>
    <row r="308" spans="1:21" ht="15" customHeight="1" x14ac:dyDescent="0.3">
      <c r="A308" s="70" t="s">
        <v>581</v>
      </c>
      <c r="B308" s="71">
        <v>166162</v>
      </c>
      <c r="C308" s="72">
        <v>46179</v>
      </c>
      <c r="D308" s="73" t="s">
        <v>339</v>
      </c>
      <c r="E308" s="74" t="s">
        <v>582</v>
      </c>
      <c r="F308" s="75">
        <f>IFERROR(INDEX(M_User!$A$12:$J$67,MATCH(D308,M_User!$D$12:$D$67,0),1),"UNMAPPED")</f>
        <v>72</v>
      </c>
      <c r="G308" s="76" t="str">
        <f>IFERROR(INDEX(M_User!$A$12:$J$67,MATCH(D308,M_User!$D$12:$D$67,0),3),"UNMAPPED")</f>
        <v>Erick K. Mkama</v>
      </c>
      <c r="H308" s="75" t="str">
        <f>IFERROR(INDEX(M_User!$A$12:$J$67,MATCH(D308,M_User!$D$12:$D$67,0),5),"UNMAPPED")</f>
        <v>MOS</v>
      </c>
      <c r="I308" s="73" t="s">
        <v>149</v>
      </c>
      <c r="J308" s="73" t="s">
        <v>203</v>
      </c>
      <c r="K308" s="76" t="str">
        <f>IFERROR(INDEX(M_SKU!$A$18:$J$57,MATCH(J308,M_SKU!$B$18:$B$57,0),1),"UNKNOWN SKU")</f>
        <v>Krest Ginger Ale RGB 300ml</v>
      </c>
      <c r="L308" s="73" t="s">
        <v>541</v>
      </c>
      <c r="M308" s="72">
        <v>46088</v>
      </c>
      <c r="N308" s="72">
        <v>46452</v>
      </c>
      <c r="O308" s="77">
        <v>2</v>
      </c>
      <c r="P308" s="78" t="s">
        <v>521</v>
      </c>
      <c r="Q308" s="79"/>
      <c r="R308" s="80"/>
      <c r="S308" s="81"/>
      <c r="T308" s="81"/>
      <c r="U308" s="82" t="str">
        <f t="shared" si="4"/>
        <v>MOS100209|FG012|CK3-33126</v>
      </c>
    </row>
    <row r="309" spans="1:21" ht="15" customHeight="1" x14ac:dyDescent="0.3">
      <c r="A309" s="60" t="s">
        <v>581</v>
      </c>
      <c r="B309" s="61">
        <v>166162</v>
      </c>
      <c r="C309" s="62">
        <v>46179</v>
      </c>
      <c r="D309" s="63" t="s">
        <v>339</v>
      </c>
      <c r="E309" s="64" t="s">
        <v>582</v>
      </c>
      <c r="F309" s="65">
        <f>IFERROR(INDEX(M_User!$A$12:$J$67,MATCH(D309,M_User!$D$12:$D$67,0),1),"UNMAPPED")</f>
        <v>72</v>
      </c>
      <c r="G309" s="66" t="str">
        <f>IFERROR(INDEX(M_User!$A$12:$J$67,MATCH(D309,M_User!$D$12:$D$67,0),3),"UNMAPPED")</f>
        <v>Erick K. Mkama</v>
      </c>
      <c r="H309" s="65" t="str">
        <f>IFERROR(INDEX(M_User!$A$12:$J$67,MATCH(D309,M_User!$D$12:$D$67,0),5),"UNMAPPED")</f>
        <v>MOS</v>
      </c>
      <c r="I309" s="63" t="s">
        <v>149</v>
      </c>
      <c r="J309" s="63" t="s">
        <v>209</v>
      </c>
      <c r="K309" s="66" t="str">
        <f>IFERROR(INDEX(M_SKU!$A$18:$J$57,MATCH(J309,M_SKU!$B$18:$B$57,0),1),"UNKNOWN SKU")</f>
        <v>Sparletta Red Apple RGB 350ml</v>
      </c>
      <c r="L309" s="63" t="s">
        <v>542</v>
      </c>
      <c r="M309" s="62">
        <v>46010</v>
      </c>
      <c r="N309" s="62">
        <v>46374</v>
      </c>
      <c r="O309" s="67">
        <v>2</v>
      </c>
      <c r="P309" s="68" t="s">
        <v>521</v>
      </c>
      <c r="Q309" s="63"/>
      <c r="R309" s="62"/>
      <c r="S309" s="69"/>
      <c r="T309" s="69"/>
      <c r="U309" s="66" t="str">
        <f t="shared" si="4"/>
        <v>MOS100209|FG024|CK3-32758</v>
      </c>
    </row>
    <row r="310" spans="1:21" ht="15" customHeight="1" x14ac:dyDescent="0.3">
      <c r="A310" s="70" t="s">
        <v>581</v>
      </c>
      <c r="B310" s="71">
        <v>166162</v>
      </c>
      <c r="C310" s="72">
        <v>46179</v>
      </c>
      <c r="D310" s="73" t="s">
        <v>339</v>
      </c>
      <c r="E310" s="74" t="s">
        <v>582</v>
      </c>
      <c r="F310" s="75">
        <f>IFERROR(INDEX(M_User!$A$12:$J$67,MATCH(D310,M_User!$D$12:$D$67,0),1),"UNMAPPED")</f>
        <v>72</v>
      </c>
      <c r="G310" s="76" t="str">
        <f>IFERROR(INDEX(M_User!$A$12:$J$67,MATCH(D310,M_User!$D$12:$D$67,0),3),"UNMAPPED")</f>
        <v>Erick K. Mkama</v>
      </c>
      <c r="H310" s="75" t="str">
        <f>IFERROR(INDEX(M_User!$A$12:$J$67,MATCH(D310,M_User!$D$12:$D$67,0),5),"UNMAPPED")</f>
        <v>MOS</v>
      </c>
      <c r="I310" s="73" t="s">
        <v>149</v>
      </c>
      <c r="J310" s="73" t="s">
        <v>211</v>
      </c>
      <c r="K310" s="76" t="str">
        <f>IFERROR(INDEX(M_SKU!$A$18:$J$57,MATCH(J310,M_SKU!$B$18:$B$57,0),1),"UNKNOWN SKU")</f>
        <v>KNMW 500ml</v>
      </c>
      <c r="L310" s="73" t="s">
        <v>543</v>
      </c>
      <c r="M310" s="72">
        <v>46177</v>
      </c>
      <c r="N310" s="72">
        <v>46541</v>
      </c>
      <c r="O310" s="77">
        <v>50</v>
      </c>
      <c r="P310" s="78" t="s">
        <v>521</v>
      </c>
      <c r="Q310" s="79"/>
      <c r="R310" s="80"/>
      <c r="S310" s="81"/>
      <c r="T310" s="81"/>
      <c r="U310" s="82" t="str">
        <f t="shared" si="4"/>
        <v>MOS100209|KD001|CK6-986</v>
      </c>
    </row>
    <row r="311" spans="1:21" ht="15" customHeight="1" x14ac:dyDescent="0.3">
      <c r="A311" s="60" t="s">
        <v>581</v>
      </c>
      <c r="B311" s="61">
        <v>166162</v>
      </c>
      <c r="C311" s="62">
        <v>46179</v>
      </c>
      <c r="D311" s="63" t="s">
        <v>339</v>
      </c>
      <c r="E311" s="64" t="s">
        <v>582</v>
      </c>
      <c r="F311" s="65">
        <f>IFERROR(INDEX(M_User!$A$12:$J$67,MATCH(D311,M_User!$D$12:$D$67,0),1),"UNMAPPED")</f>
        <v>72</v>
      </c>
      <c r="G311" s="66" t="str">
        <f>IFERROR(INDEX(M_User!$A$12:$J$67,MATCH(D311,M_User!$D$12:$D$67,0),3),"UNMAPPED")</f>
        <v>Erick K. Mkama</v>
      </c>
      <c r="H311" s="65" t="str">
        <f>IFERROR(INDEX(M_User!$A$12:$J$67,MATCH(D311,M_User!$D$12:$D$67,0),5),"UNMAPPED")</f>
        <v>MOS</v>
      </c>
      <c r="I311" s="63" t="s">
        <v>149</v>
      </c>
      <c r="J311" s="63" t="s">
        <v>217</v>
      </c>
      <c r="K311" s="66" t="str">
        <f>IFERROR(INDEX(M_SKU!$A$18:$J$57,MATCH(J311,M_SKU!$B$18:$B$57,0),1),"UNKNOWN SKU")</f>
        <v>KNMW 1500ml</v>
      </c>
      <c r="L311" s="63" t="s">
        <v>551</v>
      </c>
      <c r="M311" s="62">
        <v>46177</v>
      </c>
      <c r="N311" s="62">
        <v>46541</v>
      </c>
      <c r="O311" s="67">
        <v>90</v>
      </c>
      <c r="P311" s="68" t="s">
        <v>521</v>
      </c>
      <c r="Q311" s="63"/>
      <c r="R311" s="62"/>
      <c r="S311" s="69"/>
      <c r="T311" s="69"/>
      <c r="U311" s="66" t="str">
        <f t="shared" si="4"/>
        <v>MOS100209|KD003|CK4-842</v>
      </c>
    </row>
    <row r="312" spans="1:21" ht="15" customHeight="1" x14ac:dyDescent="0.3">
      <c r="A312" s="70" t="s">
        <v>581</v>
      </c>
      <c r="B312" s="71">
        <v>166162</v>
      </c>
      <c r="C312" s="72">
        <v>46179</v>
      </c>
      <c r="D312" s="73" t="s">
        <v>339</v>
      </c>
      <c r="E312" s="74" t="s">
        <v>582</v>
      </c>
      <c r="F312" s="75">
        <f>IFERROR(INDEX(M_User!$A$12:$J$67,MATCH(D312,M_User!$D$12:$D$67,0),1),"UNMAPPED")</f>
        <v>72</v>
      </c>
      <c r="G312" s="76" t="str">
        <f>IFERROR(INDEX(M_User!$A$12:$J$67,MATCH(D312,M_User!$D$12:$D$67,0),3),"UNMAPPED")</f>
        <v>Erick K. Mkama</v>
      </c>
      <c r="H312" s="75" t="str">
        <f>IFERROR(INDEX(M_User!$A$12:$J$67,MATCH(D312,M_User!$D$12:$D$67,0),5),"UNMAPPED")</f>
        <v>MOS</v>
      </c>
      <c r="I312" s="73" t="s">
        <v>149</v>
      </c>
      <c r="J312" s="73" t="s">
        <v>229</v>
      </c>
      <c r="K312" s="76" t="str">
        <f>IFERROR(INDEX(M_SKU!$A$18:$J$57,MATCH(J312,M_SKU!$B$18:$B$57,0),1),"UNKNOWN SKU")</f>
        <v>Coke Pet 500ML ( x12)</v>
      </c>
      <c r="L312" s="73" t="s">
        <v>520</v>
      </c>
      <c r="M312" s="72">
        <v>46177</v>
      </c>
      <c r="N312" s="72">
        <v>46288</v>
      </c>
      <c r="O312" s="77">
        <v>50</v>
      </c>
      <c r="P312" s="78" t="s">
        <v>521</v>
      </c>
      <c r="Q312" s="79"/>
      <c r="R312" s="80"/>
      <c r="S312" s="81"/>
      <c r="T312" s="81"/>
      <c r="U312" s="82" t="str">
        <f t="shared" si="4"/>
        <v>MOS100209|PH001|CK6-33411</v>
      </c>
    </row>
    <row r="313" spans="1:21" ht="15" customHeight="1" x14ac:dyDescent="0.3">
      <c r="A313" s="60" t="s">
        <v>581</v>
      </c>
      <c r="B313" s="61">
        <v>166162</v>
      </c>
      <c r="C313" s="62">
        <v>46179</v>
      </c>
      <c r="D313" s="63" t="s">
        <v>339</v>
      </c>
      <c r="E313" s="64" t="s">
        <v>582</v>
      </c>
      <c r="F313" s="65">
        <f>IFERROR(INDEX(M_User!$A$12:$J$67,MATCH(D313,M_User!$D$12:$D$67,0),1),"UNMAPPED")</f>
        <v>72</v>
      </c>
      <c r="G313" s="66" t="str">
        <f>IFERROR(INDEX(M_User!$A$12:$J$67,MATCH(D313,M_User!$D$12:$D$67,0),3),"UNMAPPED")</f>
        <v>Erick K. Mkama</v>
      </c>
      <c r="H313" s="65" t="str">
        <f>IFERROR(INDEX(M_User!$A$12:$J$67,MATCH(D313,M_User!$D$12:$D$67,0),5),"UNMAPPED")</f>
        <v>MOS</v>
      </c>
      <c r="I313" s="63" t="s">
        <v>149</v>
      </c>
      <c r="J313" s="63" t="s">
        <v>232</v>
      </c>
      <c r="K313" s="66" t="str">
        <f>IFERROR(INDEX(M_SKU!$A$18:$J$57,MATCH(J313,M_SKU!$B$18:$B$57,0),1),"UNKNOWN SKU")</f>
        <v>Sprite Pet 500ML (x 12)</v>
      </c>
      <c r="L313" s="63" t="s">
        <v>522</v>
      </c>
      <c r="M313" s="62">
        <v>46158</v>
      </c>
      <c r="N313" s="62">
        <v>46269</v>
      </c>
      <c r="O313" s="67">
        <v>10</v>
      </c>
      <c r="P313" s="68" t="s">
        <v>521</v>
      </c>
      <c r="Q313" s="63"/>
      <c r="R313" s="62"/>
      <c r="S313" s="69"/>
      <c r="T313" s="69"/>
      <c r="U313" s="66" t="str">
        <f t="shared" si="4"/>
        <v>MOS100209|PH002|CK6-33362</v>
      </c>
    </row>
    <row r="314" spans="1:21" ht="15" customHeight="1" x14ac:dyDescent="0.3">
      <c r="A314" s="70" t="s">
        <v>581</v>
      </c>
      <c r="B314" s="71">
        <v>166162</v>
      </c>
      <c r="C314" s="72">
        <v>46179</v>
      </c>
      <c r="D314" s="73" t="s">
        <v>339</v>
      </c>
      <c r="E314" s="74" t="s">
        <v>582</v>
      </c>
      <c r="F314" s="75">
        <f>IFERROR(INDEX(M_User!$A$12:$J$67,MATCH(D314,M_User!$D$12:$D$67,0),1),"UNMAPPED")</f>
        <v>72</v>
      </c>
      <c r="G314" s="76" t="str">
        <f>IFERROR(INDEX(M_User!$A$12:$J$67,MATCH(D314,M_User!$D$12:$D$67,0),3),"UNMAPPED")</f>
        <v>Erick K. Mkama</v>
      </c>
      <c r="H314" s="75" t="str">
        <f>IFERROR(INDEX(M_User!$A$12:$J$67,MATCH(D314,M_User!$D$12:$D$67,0),5),"UNMAPPED")</f>
        <v>MOS</v>
      </c>
      <c r="I314" s="73" t="s">
        <v>149</v>
      </c>
      <c r="J314" s="73" t="s">
        <v>234</v>
      </c>
      <c r="K314" s="76" t="str">
        <f>IFERROR(INDEX(M_SKU!$A$18:$J$57,MATCH(J314,M_SKU!$B$18:$B$57,0),1),"UNKNOWN SKU")</f>
        <v>Fanta Orange Pet 500ML ( x 12)</v>
      </c>
      <c r="L314" s="73" t="s">
        <v>523</v>
      </c>
      <c r="M314" s="72">
        <v>46172</v>
      </c>
      <c r="N314" s="72">
        <v>46283</v>
      </c>
      <c r="O314" s="77">
        <v>30</v>
      </c>
      <c r="P314" s="78" t="s">
        <v>521</v>
      </c>
      <c r="Q314" s="79"/>
      <c r="R314" s="80"/>
      <c r="S314" s="81"/>
      <c r="T314" s="81"/>
      <c r="U314" s="82" t="str">
        <f t="shared" si="4"/>
        <v>MOS100209|PH003|CK6-33405</v>
      </c>
    </row>
    <row r="315" spans="1:21" ht="15" customHeight="1" x14ac:dyDescent="0.3">
      <c r="A315" s="60" t="s">
        <v>581</v>
      </c>
      <c r="B315" s="61">
        <v>166162</v>
      </c>
      <c r="C315" s="62">
        <v>46179</v>
      </c>
      <c r="D315" s="63" t="s">
        <v>339</v>
      </c>
      <c r="E315" s="64" t="s">
        <v>582</v>
      </c>
      <c r="F315" s="65">
        <f>IFERROR(INDEX(M_User!$A$12:$J$67,MATCH(D315,M_User!$D$12:$D$67,0),1),"UNMAPPED")</f>
        <v>72</v>
      </c>
      <c r="G315" s="66" t="str">
        <f>IFERROR(INDEX(M_User!$A$12:$J$67,MATCH(D315,M_User!$D$12:$D$67,0),3),"UNMAPPED")</f>
        <v>Erick K. Mkama</v>
      </c>
      <c r="H315" s="65" t="str">
        <f>IFERROR(INDEX(M_User!$A$12:$J$67,MATCH(D315,M_User!$D$12:$D$67,0),5),"UNMAPPED")</f>
        <v>MOS</v>
      </c>
      <c r="I315" s="63" t="s">
        <v>149</v>
      </c>
      <c r="J315" s="63" t="s">
        <v>236</v>
      </c>
      <c r="K315" s="66" t="str">
        <f>IFERROR(INDEX(M_SKU!$A$18:$J$57,MATCH(J315,M_SKU!$B$18:$B$57,0),1),"UNKNOWN SKU")</f>
        <v>Fanta Passion Pet 500ML ( x12)</v>
      </c>
      <c r="L315" s="63" t="s">
        <v>524</v>
      </c>
      <c r="M315" s="62">
        <v>46151</v>
      </c>
      <c r="N315" s="62">
        <v>46262</v>
      </c>
      <c r="O315" s="67">
        <v>8</v>
      </c>
      <c r="P315" s="68" t="s">
        <v>521</v>
      </c>
      <c r="Q315" s="63"/>
      <c r="R315" s="62"/>
      <c r="S315" s="69"/>
      <c r="T315" s="69"/>
      <c r="U315" s="66" t="str">
        <f t="shared" si="4"/>
        <v>MOS100209|PH004|CK5-33334</v>
      </c>
    </row>
    <row r="316" spans="1:21" ht="15" customHeight="1" x14ac:dyDescent="0.3">
      <c r="A316" s="70" t="s">
        <v>581</v>
      </c>
      <c r="B316" s="71">
        <v>166162</v>
      </c>
      <c r="C316" s="72">
        <v>46179</v>
      </c>
      <c r="D316" s="73" t="s">
        <v>339</v>
      </c>
      <c r="E316" s="74" t="s">
        <v>582</v>
      </c>
      <c r="F316" s="75">
        <f>IFERROR(INDEX(M_User!$A$12:$J$67,MATCH(D316,M_User!$D$12:$D$67,0),1),"UNMAPPED")</f>
        <v>72</v>
      </c>
      <c r="G316" s="76" t="str">
        <f>IFERROR(INDEX(M_User!$A$12:$J$67,MATCH(D316,M_User!$D$12:$D$67,0),3),"UNMAPPED")</f>
        <v>Erick K. Mkama</v>
      </c>
      <c r="H316" s="75" t="str">
        <f>IFERROR(INDEX(M_User!$A$12:$J$67,MATCH(D316,M_User!$D$12:$D$67,0),5),"UNMAPPED")</f>
        <v>MOS</v>
      </c>
      <c r="I316" s="73" t="s">
        <v>149</v>
      </c>
      <c r="J316" s="73" t="s">
        <v>240</v>
      </c>
      <c r="K316" s="76" t="str">
        <f>IFERROR(INDEX(M_SKU!$A$18:$J$57,MATCH(J316,M_SKU!$B$18:$B$57,0),1),"UNKNOWN SKU")</f>
        <v>Fanta Fruit Blast Pet 500ML (x12)</v>
      </c>
      <c r="L316" s="73" t="s">
        <v>553</v>
      </c>
      <c r="M316" s="72">
        <v>46151</v>
      </c>
      <c r="N316" s="72">
        <v>46262</v>
      </c>
      <c r="O316" s="77">
        <v>5</v>
      </c>
      <c r="P316" s="78" t="s">
        <v>521</v>
      </c>
      <c r="Q316" s="79"/>
      <c r="R316" s="80"/>
      <c r="S316" s="81"/>
      <c r="T316" s="81"/>
      <c r="U316" s="82" t="str">
        <f t="shared" si="4"/>
        <v>MOS100209|PH006|CK6-33334</v>
      </c>
    </row>
    <row r="317" spans="1:21" ht="15" customHeight="1" x14ac:dyDescent="0.3">
      <c r="A317" s="60" t="s">
        <v>581</v>
      </c>
      <c r="B317" s="61">
        <v>166162</v>
      </c>
      <c r="C317" s="62">
        <v>46179</v>
      </c>
      <c r="D317" s="63" t="s">
        <v>339</v>
      </c>
      <c r="E317" s="64" t="s">
        <v>582</v>
      </c>
      <c r="F317" s="65">
        <f>IFERROR(INDEX(M_User!$A$12:$J$67,MATCH(D317,M_User!$D$12:$D$67,0),1),"UNMAPPED")</f>
        <v>72</v>
      </c>
      <c r="G317" s="66" t="str">
        <f>IFERROR(INDEX(M_User!$A$12:$J$67,MATCH(D317,M_User!$D$12:$D$67,0),3),"UNMAPPED")</f>
        <v>Erick K. Mkama</v>
      </c>
      <c r="H317" s="65" t="str">
        <f>IFERROR(INDEX(M_User!$A$12:$J$67,MATCH(D317,M_User!$D$12:$D$67,0),5),"UNMAPPED")</f>
        <v>MOS</v>
      </c>
      <c r="I317" s="63" t="s">
        <v>149</v>
      </c>
      <c r="J317" s="63" t="s">
        <v>242</v>
      </c>
      <c r="K317" s="66" t="str">
        <f>IFERROR(INDEX(M_SKU!$A$18:$J$57,MATCH(J317,M_SKU!$B$18:$B$57,0),1),"UNKNOWN SKU")</f>
        <v>Stoney Tangawizi Pet 500 ml ( x12)</v>
      </c>
      <c r="L317" s="63" t="s">
        <v>525</v>
      </c>
      <c r="M317" s="62">
        <v>46161</v>
      </c>
      <c r="N317" s="62">
        <v>46272</v>
      </c>
      <c r="O317" s="67">
        <v>3</v>
      </c>
      <c r="P317" s="68" t="s">
        <v>521</v>
      </c>
      <c r="Q317" s="63"/>
      <c r="R317" s="62"/>
      <c r="S317" s="69"/>
      <c r="T317" s="69"/>
      <c r="U317" s="66" t="str">
        <f t="shared" si="4"/>
        <v>MOS100209|PH007|CK6-33375</v>
      </c>
    </row>
    <row r="318" spans="1:21" ht="15" customHeight="1" x14ac:dyDescent="0.3">
      <c r="A318" s="70" t="s">
        <v>581</v>
      </c>
      <c r="B318" s="71">
        <v>166162</v>
      </c>
      <c r="C318" s="72">
        <v>46179</v>
      </c>
      <c r="D318" s="73" t="s">
        <v>339</v>
      </c>
      <c r="E318" s="74" t="s">
        <v>582</v>
      </c>
      <c r="F318" s="75">
        <f>IFERROR(INDEX(M_User!$A$12:$J$67,MATCH(D318,M_User!$D$12:$D$67,0),1),"UNMAPPED")</f>
        <v>72</v>
      </c>
      <c r="G318" s="76" t="str">
        <f>IFERROR(INDEX(M_User!$A$12:$J$67,MATCH(D318,M_User!$D$12:$D$67,0),3),"UNMAPPED")</f>
        <v>Erick K. Mkama</v>
      </c>
      <c r="H318" s="75" t="str">
        <f>IFERROR(INDEX(M_User!$A$12:$J$67,MATCH(D318,M_User!$D$12:$D$67,0),5),"UNMAPPED")</f>
        <v>MOS</v>
      </c>
      <c r="I318" s="73" t="s">
        <v>149</v>
      </c>
      <c r="J318" s="73" t="s">
        <v>244</v>
      </c>
      <c r="K318" s="76" t="str">
        <f>IFERROR(INDEX(M_SKU!$A$18:$J$57,MATCH(J318,M_SKU!$B$18:$B$57,0),1),"UNKNOWN SKU")</f>
        <v>Sparletta Pinenut Pet 500 ml ( x12)</v>
      </c>
      <c r="L318" s="73" t="s">
        <v>526</v>
      </c>
      <c r="M318" s="72">
        <v>46161</v>
      </c>
      <c r="N318" s="72">
        <v>46272</v>
      </c>
      <c r="O318" s="77">
        <v>3</v>
      </c>
      <c r="P318" s="78" t="s">
        <v>521</v>
      </c>
      <c r="Q318" s="79"/>
      <c r="R318" s="80"/>
      <c r="S318" s="81"/>
      <c r="T318" s="81"/>
      <c r="U318" s="82" t="str">
        <f t="shared" si="4"/>
        <v>MOS100209|PH008|CK5-33370</v>
      </c>
    </row>
    <row r="319" spans="1:21" ht="15" customHeight="1" x14ac:dyDescent="0.3">
      <c r="A319" s="60" t="s">
        <v>581</v>
      </c>
      <c r="B319" s="61">
        <v>166162</v>
      </c>
      <c r="C319" s="62">
        <v>46179</v>
      </c>
      <c r="D319" s="63" t="s">
        <v>339</v>
      </c>
      <c r="E319" s="64" t="s">
        <v>582</v>
      </c>
      <c r="F319" s="65">
        <f>IFERROR(INDEX(M_User!$A$12:$J$67,MATCH(D319,M_User!$D$12:$D$67,0),1),"UNMAPPED")</f>
        <v>72</v>
      </c>
      <c r="G319" s="66" t="str">
        <f>IFERROR(INDEX(M_User!$A$12:$J$67,MATCH(D319,M_User!$D$12:$D$67,0),3),"UNMAPPED")</f>
        <v>Erick K. Mkama</v>
      </c>
      <c r="H319" s="65" t="str">
        <f>IFERROR(INDEX(M_User!$A$12:$J$67,MATCH(D319,M_User!$D$12:$D$67,0),5),"UNMAPPED")</f>
        <v>MOS</v>
      </c>
      <c r="I319" s="63" t="s">
        <v>149</v>
      </c>
      <c r="J319" s="63" t="s">
        <v>246</v>
      </c>
      <c r="K319" s="66" t="str">
        <f>IFERROR(INDEX(M_SKU!$A$18:$J$57,MATCH(J319,M_SKU!$B$18:$B$57,0),1),"UNKNOWN SKU")</f>
        <v>Coke Zero Pet 500ML ( X 12)</v>
      </c>
      <c r="L319" s="63" t="s">
        <v>554</v>
      </c>
      <c r="M319" s="62">
        <v>46154</v>
      </c>
      <c r="N319" s="62">
        <v>46265</v>
      </c>
      <c r="O319" s="67">
        <v>5</v>
      </c>
      <c r="P319" s="68" t="s">
        <v>521</v>
      </c>
      <c r="Q319" s="63"/>
      <c r="R319" s="62"/>
      <c r="S319" s="69"/>
      <c r="T319" s="69"/>
      <c r="U319" s="66" t="str">
        <f t="shared" si="4"/>
        <v>MOS100209|PH009|CK6-33241</v>
      </c>
    </row>
    <row r="320" spans="1:21" ht="15" customHeight="1" x14ac:dyDescent="0.3">
      <c r="A320" s="70" t="s">
        <v>581</v>
      </c>
      <c r="B320" s="71">
        <v>166162</v>
      </c>
      <c r="C320" s="72">
        <v>46179</v>
      </c>
      <c r="D320" s="73" t="s">
        <v>339</v>
      </c>
      <c r="E320" s="74" t="s">
        <v>582</v>
      </c>
      <c r="F320" s="75">
        <f>IFERROR(INDEX(M_User!$A$12:$J$67,MATCH(D320,M_User!$D$12:$D$67,0),1),"UNMAPPED")</f>
        <v>72</v>
      </c>
      <c r="G320" s="76" t="str">
        <f>IFERROR(INDEX(M_User!$A$12:$J$67,MATCH(D320,M_User!$D$12:$D$67,0),3),"UNMAPPED")</f>
        <v>Erick K. Mkama</v>
      </c>
      <c r="H320" s="75" t="str">
        <f>IFERROR(INDEX(M_User!$A$12:$J$67,MATCH(D320,M_User!$D$12:$D$67,0),5),"UNMAPPED")</f>
        <v>MOS</v>
      </c>
      <c r="I320" s="73" t="s">
        <v>149</v>
      </c>
      <c r="J320" s="73" t="s">
        <v>252</v>
      </c>
      <c r="K320" s="76" t="str">
        <f>IFERROR(INDEX(M_SKU!$A$18:$J$57,MATCH(J320,M_SKU!$B$18:$B$57,0),1),"UNKNOWN SKU")</f>
        <v>Sprite Zero Pet 300ML (x 12)</v>
      </c>
      <c r="L320" s="73" t="s">
        <v>545</v>
      </c>
      <c r="M320" s="72">
        <v>46158</v>
      </c>
      <c r="N320" s="72">
        <v>46241</v>
      </c>
      <c r="O320" s="77">
        <v>10</v>
      </c>
      <c r="P320" s="78" t="s">
        <v>521</v>
      </c>
      <c r="Q320" s="79"/>
      <c r="R320" s="80"/>
      <c r="S320" s="81"/>
      <c r="T320" s="81"/>
      <c r="U320" s="82" t="str">
        <f t="shared" si="4"/>
        <v>MOS100209|PO010|CK5-33360</v>
      </c>
    </row>
    <row r="321" spans="1:21" ht="15" customHeight="1" x14ac:dyDescent="0.3">
      <c r="A321" s="60" t="s">
        <v>581</v>
      </c>
      <c r="B321" s="61">
        <v>166162</v>
      </c>
      <c r="C321" s="62">
        <v>46179</v>
      </c>
      <c r="D321" s="63" t="s">
        <v>339</v>
      </c>
      <c r="E321" s="64" t="s">
        <v>582</v>
      </c>
      <c r="F321" s="65">
        <f>IFERROR(INDEX(M_User!$A$12:$J$67,MATCH(D321,M_User!$D$12:$D$67,0),1),"UNMAPPED")</f>
        <v>72</v>
      </c>
      <c r="G321" s="66" t="str">
        <f>IFERROR(INDEX(M_User!$A$12:$J$67,MATCH(D321,M_User!$D$12:$D$67,0),3),"UNMAPPED")</f>
        <v>Erick K. Mkama</v>
      </c>
      <c r="H321" s="65" t="str">
        <f>IFERROR(INDEX(M_User!$A$12:$J$67,MATCH(D321,M_User!$D$12:$D$67,0),5),"UNMAPPED")</f>
        <v>MOS</v>
      </c>
      <c r="I321" s="63" t="s">
        <v>149</v>
      </c>
      <c r="J321" s="63" t="s">
        <v>254</v>
      </c>
      <c r="K321" s="66" t="str">
        <f>IFERROR(INDEX(M_SKU!$A$18:$J$57,MATCH(J321,M_SKU!$B$18:$B$57,0),1),"UNKNOWN SKU")</f>
        <v>Fanta Zero Pet 300ML (x 12)</v>
      </c>
      <c r="L321" s="63" t="s">
        <v>546</v>
      </c>
      <c r="M321" s="62">
        <v>46159</v>
      </c>
      <c r="N321" s="62">
        <v>46242</v>
      </c>
      <c r="O321" s="67">
        <v>10</v>
      </c>
      <c r="P321" s="68" t="s">
        <v>521</v>
      </c>
      <c r="Q321" s="63"/>
      <c r="R321" s="62"/>
      <c r="S321" s="69"/>
      <c r="T321" s="69"/>
      <c r="U321" s="66" t="str">
        <f t="shared" si="4"/>
        <v>MOS100209|PO012|CK5-33369</v>
      </c>
    </row>
    <row r="322" spans="1:21" ht="15" customHeight="1" x14ac:dyDescent="0.3">
      <c r="A322" s="70" t="s">
        <v>581</v>
      </c>
      <c r="B322" s="71">
        <v>166162</v>
      </c>
      <c r="C322" s="72">
        <v>46179</v>
      </c>
      <c r="D322" s="73" t="s">
        <v>339</v>
      </c>
      <c r="E322" s="74" t="s">
        <v>582</v>
      </c>
      <c r="F322" s="75">
        <f>IFERROR(INDEX(M_User!$A$12:$J$67,MATCH(D322,M_User!$D$12:$D$67,0),1),"UNMAPPED")</f>
        <v>72</v>
      </c>
      <c r="G322" s="76" t="str">
        <f>IFERROR(INDEX(M_User!$A$12:$J$67,MATCH(D322,M_User!$D$12:$D$67,0),3),"UNMAPPED")</f>
        <v>Erick K. Mkama</v>
      </c>
      <c r="H322" s="75" t="str">
        <f>IFERROR(INDEX(M_User!$A$12:$J$67,MATCH(D322,M_User!$D$12:$D$67,0),5),"UNMAPPED")</f>
        <v>MOS</v>
      </c>
      <c r="I322" s="73" t="s">
        <v>149</v>
      </c>
      <c r="J322" s="73" t="s">
        <v>261</v>
      </c>
      <c r="K322" s="76" t="str">
        <f>IFERROR(INDEX(M_SKU!$A$18:$J$57,MATCH(J322,M_SKU!$B$18:$B$57,0),1),"UNKNOWN SKU")</f>
        <v>Sparletta Pine Apple Pet 300ML (x 12)</v>
      </c>
      <c r="L322" s="73" t="s">
        <v>547</v>
      </c>
      <c r="M322" s="72">
        <v>46158</v>
      </c>
      <c r="N322" s="72">
        <v>46241</v>
      </c>
      <c r="O322" s="77">
        <v>15</v>
      </c>
      <c r="P322" s="78" t="s">
        <v>521</v>
      </c>
      <c r="Q322" s="79"/>
      <c r="R322" s="80"/>
      <c r="S322" s="81"/>
      <c r="T322" s="81"/>
      <c r="U322" s="82" t="str">
        <f t="shared" si="4"/>
        <v>MOS100209|PO015|CK5-33366</v>
      </c>
    </row>
    <row r="323" spans="1:21" ht="15" customHeight="1" x14ac:dyDescent="0.3">
      <c r="A323" s="60" t="s">
        <v>583</v>
      </c>
      <c r="B323" s="61">
        <v>166164</v>
      </c>
      <c r="C323" s="62">
        <v>46179</v>
      </c>
      <c r="D323" s="63" t="s">
        <v>336</v>
      </c>
      <c r="E323" s="64" t="s">
        <v>584</v>
      </c>
      <c r="F323" s="65">
        <f>IFERROR(INDEX(M_User!$A$12:$J$67,MATCH(D323,M_User!$D$12:$D$67,0),1),"UNMAPPED")</f>
        <v>73</v>
      </c>
      <c r="G323" s="66" t="str">
        <f>IFERROR(INDEX(M_User!$A$12:$J$67,MATCH(D323,M_User!$D$12:$D$67,0),3),"UNMAPPED")</f>
        <v>George Gibson Mmary</v>
      </c>
      <c r="H323" s="65" t="str">
        <f>IFERROR(INDEX(M_User!$A$12:$J$67,MATCH(D323,M_User!$D$12:$D$67,0),5),"UNMAPPED")</f>
        <v>MOS</v>
      </c>
      <c r="I323" s="63" t="s">
        <v>149</v>
      </c>
      <c r="J323" s="63" t="s">
        <v>170</v>
      </c>
      <c r="K323" s="66" t="str">
        <f>IFERROR(INDEX(M_SKU!$A$18:$J$57,MATCH(J323,M_SKU!$B$18:$B$57,0),1),"UNKNOWN SKU")</f>
        <v>Coke RGB 350ml</v>
      </c>
      <c r="L323" s="63" t="s">
        <v>585</v>
      </c>
      <c r="M323" s="62">
        <v>46175</v>
      </c>
      <c r="N323" s="62">
        <v>46539</v>
      </c>
      <c r="O323" s="67">
        <v>83</v>
      </c>
      <c r="P323" s="68" t="s">
        <v>521</v>
      </c>
      <c r="Q323" s="63"/>
      <c r="R323" s="62"/>
      <c r="S323" s="69"/>
      <c r="T323" s="69"/>
      <c r="U323" s="66" t="str">
        <f t="shared" si="4"/>
        <v>MOS100200|FG001|CK3-33410</v>
      </c>
    </row>
    <row r="324" spans="1:21" ht="15" customHeight="1" x14ac:dyDescent="0.3">
      <c r="A324" s="70" t="s">
        <v>583</v>
      </c>
      <c r="B324" s="71">
        <v>166164</v>
      </c>
      <c r="C324" s="72">
        <v>46179</v>
      </c>
      <c r="D324" s="73" t="s">
        <v>336</v>
      </c>
      <c r="E324" s="74" t="s">
        <v>584</v>
      </c>
      <c r="F324" s="75">
        <f>IFERROR(INDEX(M_User!$A$12:$J$67,MATCH(D324,M_User!$D$12:$D$67,0),1),"UNMAPPED")</f>
        <v>73</v>
      </c>
      <c r="G324" s="76" t="str">
        <f>IFERROR(INDEX(M_User!$A$12:$J$67,MATCH(D324,M_User!$D$12:$D$67,0),3),"UNMAPPED")</f>
        <v>George Gibson Mmary</v>
      </c>
      <c r="H324" s="75" t="str">
        <f>IFERROR(INDEX(M_User!$A$12:$J$67,MATCH(D324,M_User!$D$12:$D$67,0),5),"UNMAPPED")</f>
        <v>MOS</v>
      </c>
      <c r="I324" s="73" t="s">
        <v>149</v>
      </c>
      <c r="J324" s="73" t="s">
        <v>178</v>
      </c>
      <c r="K324" s="76" t="str">
        <f>IFERROR(INDEX(M_SKU!$A$18:$J$57,MATCH(J324,M_SKU!$B$18:$B$57,0),1),"UNKNOWN SKU")</f>
        <v>Fanta Orange RGB 350ml</v>
      </c>
      <c r="L324" s="73" t="s">
        <v>531</v>
      </c>
      <c r="M324" s="72">
        <v>46174</v>
      </c>
      <c r="N324" s="72">
        <v>46538</v>
      </c>
      <c r="O324" s="77">
        <v>30</v>
      </c>
      <c r="P324" s="78" t="s">
        <v>521</v>
      </c>
      <c r="Q324" s="79"/>
      <c r="R324" s="80"/>
      <c r="S324" s="81"/>
      <c r="T324" s="81"/>
      <c r="U324" s="82" t="str">
        <f t="shared" si="4"/>
        <v>MOS100200|FG002|CK3-33407</v>
      </c>
    </row>
    <row r="325" spans="1:21" ht="15" customHeight="1" x14ac:dyDescent="0.3">
      <c r="A325" s="60" t="s">
        <v>583</v>
      </c>
      <c r="B325" s="61">
        <v>166164</v>
      </c>
      <c r="C325" s="62">
        <v>46179</v>
      </c>
      <c r="D325" s="63" t="s">
        <v>336</v>
      </c>
      <c r="E325" s="64" t="s">
        <v>584</v>
      </c>
      <c r="F325" s="65">
        <f>IFERROR(INDEX(M_User!$A$12:$J$67,MATCH(D325,M_User!$D$12:$D$67,0),1),"UNMAPPED")</f>
        <v>73</v>
      </c>
      <c r="G325" s="66" t="str">
        <f>IFERROR(INDEX(M_User!$A$12:$J$67,MATCH(D325,M_User!$D$12:$D$67,0),3),"UNMAPPED")</f>
        <v>George Gibson Mmary</v>
      </c>
      <c r="H325" s="65" t="str">
        <f>IFERROR(INDEX(M_User!$A$12:$J$67,MATCH(D325,M_User!$D$12:$D$67,0),5),"UNMAPPED")</f>
        <v>MOS</v>
      </c>
      <c r="I325" s="63" t="s">
        <v>149</v>
      </c>
      <c r="J325" s="63" t="s">
        <v>181</v>
      </c>
      <c r="K325" s="66" t="str">
        <f>IFERROR(INDEX(M_SKU!$A$18:$J$57,MATCH(J325,M_SKU!$B$18:$B$57,0),1),"UNKNOWN SKU")</f>
        <v>Fanta Passion RGB 350ml</v>
      </c>
      <c r="L325" s="63" t="s">
        <v>550</v>
      </c>
      <c r="M325" s="62">
        <v>46158</v>
      </c>
      <c r="N325" s="62">
        <v>46521</v>
      </c>
      <c r="O325" s="67">
        <v>15</v>
      </c>
      <c r="P325" s="68" t="s">
        <v>521</v>
      </c>
      <c r="Q325" s="63"/>
      <c r="R325" s="62"/>
      <c r="S325" s="69"/>
      <c r="T325" s="69"/>
      <c r="U325" s="66" t="str">
        <f t="shared" si="4"/>
        <v>MOS100200|FG003|CK3-33356</v>
      </c>
    </row>
    <row r="326" spans="1:21" ht="15" customHeight="1" x14ac:dyDescent="0.3">
      <c r="A326" s="70" t="s">
        <v>583</v>
      </c>
      <c r="B326" s="71">
        <v>166164</v>
      </c>
      <c r="C326" s="72">
        <v>46179</v>
      </c>
      <c r="D326" s="73" t="s">
        <v>336</v>
      </c>
      <c r="E326" s="74" t="s">
        <v>584</v>
      </c>
      <c r="F326" s="75">
        <f>IFERROR(INDEX(M_User!$A$12:$J$67,MATCH(D326,M_User!$D$12:$D$67,0),1),"UNMAPPED")</f>
        <v>73</v>
      </c>
      <c r="G326" s="76" t="str">
        <f>IFERROR(INDEX(M_User!$A$12:$J$67,MATCH(D326,M_User!$D$12:$D$67,0),3),"UNMAPPED")</f>
        <v>George Gibson Mmary</v>
      </c>
      <c r="H326" s="75" t="str">
        <f>IFERROR(INDEX(M_User!$A$12:$J$67,MATCH(D326,M_User!$D$12:$D$67,0),5),"UNMAPPED")</f>
        <v>MOS</v>
      </c>
      <c r="I326" s="73" t="s">
        <v>149</v>
      </c>
      <c r="J326" s="73" t="s">
        <v>183</v>
      </c>
      <c r="K326" s="76" t="str">
        <f>IFERROR(INDEX(M_SKU!$A$18:$J$57,MATCH(J326,M_SKU!$B$18:$B$57,0),1),"UNKNOWN SKU")</f>
        <v>Fanta Pineapple RGB 350ml</v>
      </c>
      <c r="L326" s="73" t="s">
        <v>533</v>
      </c>
      <c r="M326" s="72">
        <v>46163</v>
      </c>
      <c r="N326" s="72">
        <v>46527</v>
      </c>
      <c r="O326" s="77">
        <v>15</v>
      </c>
      <c r="P326" s="78" t="s">
        <v>521</v>
      </c>
      <c r="Q326" s="79"/>
      <c r="R326" s="80"/>
      <c r="S326" s="81"/>
      <c r="T326" s="81"/>
      <c r="U326" s="82" t="str">
        <f t="shared" si="4"/>
        <v>MOS100200|FG004|CK3-33385</v>
      </c>
    </row>
    <row r="327" spans="1:21" ht="15" customHeight="1" x14ac:dyDescent="0.3">
      <c r="A327" s="60" t="s">
        <v>583</v>
      </c>
      <c r="B327" s="61">
        <v>166164</v>
      </c>
      <c r="C327" s="62">
        <v>46179</v>
      </c>
      <c r="D327" s="63" t="s">
        <v>336</v>
      </c>
      <c r="E327" s="64" t="s">
        <v>584</v>
      </c>
      <c r="F327" s="65">
        <f>IFERROR(INDEX(M_User!$A$12:$J$67,MATCH(D327,M_User!$D$12:$D$67,0),1),"UNMAPPED")</f>
        <v>73</v>
      </c>
      <c r="G327" s="66" t="str">
        <f>IFERROR(INDEX(M_User!$A$12:$J$67,MATCH(D327,M_User!$D$12:$D$67,0),3),"UNMAPPED")</f>
        <v>George Gibson Mmary</v>
      </c>
      <c r="H327" s="65" t="str">
        <f>IFERROR(INDEX(M_User!$A$12:$J$67,MATCH(D327,M_User!$D$12:$D$67,0),5),"UNMAPPED")</f>
        <v>MOS</v>
      </c>
      <c r="I327" s="63" t="s">
        <v>149</v>
      </c>
      <c r="J327" s="63" t="s">
        <v>185</v>
      </c>
      <c r="K327" s="66" t="str">
        <f>IFERROR(INDEX(M_SKU!$A$18:$J$57,MATCH(J327,M_SKU!$B$18:$B$57,0),1),"UNKNOWN SKU")</f>
        <v>Fanta Fruit Blast RGB 350 ml</v>
      </c>
      <c r="L327" s="63" t="s">
        <v>534</v>
      </c>
      <c r="M327" s="62">
        <v>46171</v>
      </c>
      <c r="N327" s="62">
        <v>46535</v>
      </c>
      <c r="O327" s="67">
        <v>5</v>
      </c>
      <c r="P327" s="68" t="s">
        <v>521</v>
      </c>
      <c r="Q327" s="63"/>
      <c r="R327" s="62"/>
      <c r="S327" s="69"/>
      <c r="T327" s="69"/>
      <c r="U327" s="66" t="str">
        <f t="shared" si="4"/>
        <v>MOS100200|FG005|CK3-33402</v>
      </c>
    </row>
    <row r="328" spans="1:21" ht="15" customHeight="1" x14ac:dyDescent="0.3">
      <c r="A328" s="70" t="s">
        <v>583</v>
      </c>
      <c r="B328" s="71">
        <v>166164</v>
      </c>
      <c r="C328" s="72">
        <v>46179</v>
      </c>
      <c r="D328" s="73" t="s">
        <v>336</v>
      </c>
      <c r="E328" s="74" t="s">
        <v>584</v>
      </c>
      <c r="F328" s="75">
        <f>IFERROR(INDEX(M_User!$A$12:$J$67,MATCH(D328,M_User!$D$12:$D$67,0),1),"UNMAPPED")</f>
        <v>73</v>
      </c>
      <c r="G328" s="76" t="str">
        <f>IFERROR(INDEX(M_User!$A$12:$J$67,MATCH(D328,M_User!$D$12:$D$67,0),3),"UNMAPPED")</f>
        <v>George Gibson Mmary</v>
      </c>
      <c r="H328" s="75" t="str">
        <f>IFERROR(INDEX(M_User!$A$12:$J$67,MATCH(D328,M_User!$D$12:$D$67,0),5),"UNMAPPED")</f>
        <v>MOS</v>
      </c>
      <c r="I328" s="73" t="s">
        <v>149</v>
      </c>
      <c r="J328" s="73" t="s">
        <v>187</v>
      </c>
      <c r="K328" s="76" t="str">
        <f>IFERROR(INDEX(M_SKU!$A$18:$J$57,MATCH(J328,M_SKU!$B$18:$B$57,0),1),"UNKNOWN SKU")</f>
        <v>Sprite 350ml</v>
      </c>
      <c r="L328" s="73" t="s">
        <v>535</v>
      </c>
      <c r="M328" s="72">
        <v>46177</v>
      </c>
      <c r="N328" s="72">
        <v>46541</v>
      </c>
      <c r="O328" s="77">
        <v>30</v>
      </c>
      <c r="P328" s="78" t="s">
        <v>521</v>
      </c>
      <c r="Q328" s="79"/>
      <c r="R328" s="80"/>
      <c r="S328" s="81"/>
      <c r="T328" s="81"/>
      <c r="U328" s="82" t="str">
        <f t="shared" si="4"/>
        <v>MOS100200|FG006|CK3-33414</v>
      </c>
    </row>
    <row r="329" spans="1:21" ht="15" customHeight="1" x14ac:dyDescent="0.3">
      <c r="A329" s="60" t="s">
        <v>583</v>
      </c>
      <c r="B329" s="61">
        <v>166164</v>
      </c>
      <c r="C329" s="62">
        <v>46179</v>
      </c>
      <c r="D329" s="63" t="s">
        <v>336</v>
      </c>
      <c r="E329" s="64" t="s">
        <v>584</v>
      </c>
      <c r="F329" s="65">
        <f>IFERROR(INDEX(M_User!$A$12:$J$67,MATCH(D329,M_User!$D$12:$D$67,0),1),"UNMAPPED")</f>
        <v>73</v>
      </c>
      <c r="G329" s="66" t="str">
        <f>IFERROR(INDEX(M_User!$A$12:$J$67,MATCH(D329,M_User!$D$12:$D$67,0),3),"UNMAPPED")</f>
        <v>George Gibson Mmary</v>
      </c>
      <c r="H329" s="65" t="str">
        <f>IFERROR(INDEX(M_User!$A$12:$J$67,MATCH(D329,M_User!$D$12:$D$67,0),5),"UNMAPPED")</f>
        <v>MOS</v>
      </c>
      <c r="I329" s="63" t="s">
        <v>149</v>
      </c>
      <c r="J329" s="63" t="s">
        <v>190</v>
      </c>
      <c r="K329" s="66" t="str">
        <f>IFERROR(INDEX(M_SKU!$A$18:$J$57,MATCH(J329,M_SKU!$B$18:$B$57,0),1),"UNKNOWN SKU")</f>
        <v>Stoney Tangawizi RGB 350ml</v>
      </c>
      <c r="L329" s="63" t="s">
        <v>536</v>
      </c>
      <c r="M329" s="62">
        <v>46172</v>
      </c>
      <c r="N329" s="62">
        <v>46353</v>
      </c>
      <c r="O329" s="67">
        <v>5</v>
      </c>
      <c r="P329" s="68" t="s">
        <v>521</v>
      </c>
      <c r="Q329" s="63"/>
      <c r="R329" s="62"/>
      <c r="S329" s="69"/>
      <c r="T329" s="69"/>
      <c r="U329" s="66" t="str">
        <f t="shared" ref="U329:U392" si="5">D329 &amp; "|" &amp; J329 &amp; "|" &amp; L329</f>
        <v>MOS100200|FG007|CK3-33404</v>
      </c>
    </row>
    <row r="330" spans="1:21" ht="15" customHeight="1" x14ac:dyDescent="0.3">
      <c r="A330" s="70" t="s">
        <v>583</v>
      </c>
      <c r="B330" s="71">
        <v>166164</v>
      </c>
      <c r="C330" s="72">
        <v>46179</v>
      </c>
      <c r="D330" s="73" t="s">
        <v>336</v>
      </c>
      <c r="E330" s="74" t="s">
        <v>584</v>
      </c>
      <c r="F330" s="75">
        <f>IFERROR(INDEX(M_User!$A$12:$J$67,MATCH(D330,M_User!$D$12:$D$67,0),1),"UNMAPPED")</f>
        <v>73</v>
      </c>
      <c r="G330" s="76" t="str">
        <f>IFERROR(INDEX(M_User!$A$12:$J$67,MATCH(D330,M_User!$D$12:$D$67,0),3),"UNMAPPED")</f>
        <v>George Gibson Mmary</v>
      </c>
      <c r="H330" s="75" t="str">
        <f>IFERROR(INDEX(M_User!$A$12:$J$67,MATCH(D330,M_User!$D$12:$D$67,0),5),"UNMAPPED")</f>
        <v>MOS</v>
      </c>
      <c r="I330" s="73" t="s">
        <v>149</v>
      </c>
      <c r="J330" s="73" t="s">
        <v>193</v>
      </c>
      <c r="K330" s="76" t="str">
        <f>IFERROR(INDEX(M_SKU!$A$18:$J$57,MATCH(J330,M_SKU!$B$18:$B$57,0),1),"UNKNOWN SKU")</f>
        <v>Sparletta Pinenut RGB 350ml</v>
      </c>
      <c r="L330" s="73" t="s">
        <v>537</v>
      </c>
      <c r="M330" s="72">
        <v>46158</v>
      </c>
      <c r="N330" s="72">
        <v>46522</v>
      </c>
      <c r="O330" s="77">
        <v>5</v>
      </c>
      <c r="P330" s="78" t="s">
        <v>521</v>
      </c>
      <c r="Q330" s="79"/>
      <c r="R330" s="80"/>
      <c r="S330" s="81"/>
      <c r="T330" s="81"/>
      <c r="U330" s="82" t="str">
        <f t="shared" si="5"/>
        <v>MOS100200|FG008|CK3-33365</v>
      </c>
    </row>
    <row r="331" spans="1:21" ht="15" customHeight="1" x14ac:dyDescent="0.3">
      <c r="A331" s="60" t="s">
        <v>583</v>
      </c>
      <c r="B331" s="61">
        <v>166164</v>
      </c>
      <c r="C331" s="62">
        <v>46179</v>
      </c>
      <c r="D331" s="63" t="s">
        <v>336</v>
      </c>
      <c r="E331" s="64" t="s">
        <v>584</v>
      </c>
      <c r="F331" s="65">
        <f>IFERROR(INDEX(M_User!$A$12:$J$67,MATCH(D331,M_User!$D$12:$D$67,0),1),"UNMAPPED")</f>
        <v>73</v>
      </c>
      <c r="G331" s="66" t="str">
        <f>IFERROR(INDEX(M_User!$A$12:$J$67,MATCH(D331,M_User!$D$12:$D$67,0),3),"UNMAPPED")</f>
        <v>George Gibson Mmary</v>
      </c>
      <c r="H331" s="65" t="str">
        <f>IFERROR(INDEX(M_User!$A$12:$J$67,MATCH(D331,M_User!$D$12:$D$67,0),5),"UNMAPPED")</f>
        <v>MOS</v>
      </c>
      <c r="I331" s="63" t="s">
        <v>149</v>
      </c>
      <c r="J331" s="63" t="s">
        <v>196</v>
      </c>
      <c r="K331" s="66" t="str">
        <f>IFERROR(INDEX(M_SKU!$A$18:$J$57,MATCH(J331,M_SKU!$B$18:$B$57,0),1),"UNKNOWN SKU")</f>
        <v>Krest Bitter Lemon RGB 300ml</v>
      </c>
      <c r="L331" s="63" t="s">
        <v>538</v>
      </c>
      <c r="M331" s="62">
        <v>46154</v>
      </c>
      <c r="N331" s="62">
        <v>46518</v>
      </c>
      <c r="O331" s="67">
        <v>3</v>
      </c>
      <c r="P331" s="68" t="s">
        <v>521</v>
      </c>
      <c r="Q331" s="63"/>
      <c r="R331" s="62"/>
      <c r="S331" s="69"/>
      <c r="T331" s="69"/>
      <c r="U331" s="66" t="str">
        <f t="shared" si="5"/>
        <v>MOS100200|FG009|CK3-33348</v>
      </c>
    </row>
    <row r="332" spans="1:21" ht="15" customHeight="1" x14ac:dyDescent="0.3">
      <c r="A332" s="70" t="s">
        <v>583</v>
      </c>
      <c r="B332" s="71">
        <v>166164</v>
      </c>
      <c r="C332" s="72">
        <v>46179</v>
      </c>
      <c r="D332" s="73" t="s">
        <v>336</v>
      </c>
      <c r="E332" s="74" t="s">
        <v>584</v>
      </c>
      <c r="F332" s="75">
        <f>IFERROR(INDEX(M_User!$A$12:$J$67,MATCH(D332,M_User!$D$12:$D$67,0),1),"UNMAPPED")</f>
        <v>73</v>
      </c>
      <c r="G332" s="76" t="str">
        <f>IFERROR(INDEX(M_User!$A$12:$J$67,MATCH(D332,M_User!$D$12:$D$67,0),3),"UNMAPPED")</f>
        <v>George Gibson Mmary</v>
      </c>
      <c r="H332" s="75" t="str">
        <f>IFERROR(INDEX(M_User!$A$12:$J$67,MATCH(D332,M_User!$D$12:$D$67,0),5),"UNMAPPED")</f>
        <v>MOS</v>
      </c>
      <c r="I332" s="73" t="s">
        <v>149</v>
      </c>
      <c r="J332" s="73" t="s">
        <v>199</v>
      </c>
      <c r="K332" s="76" t="str">
        <f>IFERROR(INDEX(M_SKU!$A$18:$J$57,MATCH(J332,M_SKU!$B$18:$B$57,0),1),"UNKNOWN SKU")</f>
        <v>Krest Club Soda RGB 300ml</v>
      </c>
      <c r="L332" s="73" t="s">
        <v>539</v>
      </c>
      <c r="M332" s="72">
        <v>46140</v>
      </c>
      <c r="N332" s="72">
        <v>46504</v>
      </c>
      <c r="O332" s="77">
        <v>3</v>
      </c>
      <c r="P332" s="78" t="s">
        <v>521</v>
      </c>
      <c r="Q332" s="79"/>
      <c r="R332" s="80"/>
      <c r="S332" s="81"/>
      <c r="T332" s="81"/>
      <c r="U332" s="82" t="str">
        <f t="shared" si="5"/>
        <v>MOS100200|FG010|CK3-33301</v>
      </c>
    </row>
    <row r="333" spans="1:21" ht="15" customHeight="1" x14ac:dyDescent="0.3">
      <c r="A333" s="60" t="s">
        <v>583</v>
      </c>
      <c r="B333" s="61">
        <v>166164</v>
      </c>
      <c r="C333" s="62">
        <v>46179</v>
      </c>
      <c r="D333" s="63" t="s">
        <v>336</v>
      </c>
      <c r="E333" s="64" t="s">
        <v>584</v>
      </c>
      <c r="F333" s="65">
        <f>IFERROR(INDEX(M_User!$A$12:$J$67,MATCH(D333,M_User!$D$12:$D$67,0),1),"UNMAPPED")</f>
        <v>73</v>
      </c>
      <c r="G333" s="66" t="str">
        <f>IFERROR(INDEX(M_User!$A$12:$J$67,MATCH(D333,M_User!$D$12:$D$67,0),3),"UNMAPPED")</f>
        <v>George Gibson Mmary</v>
      </c>
      <c r="H333" s="65" t="str">
        <f>IFERROR(INDEX(M_User!$A$12:$J$67,MATCH(D333,M_User!$D$12:$D$67,0),5),"UNMAPPED")</f>
        <v>MOS</v>
      </c>
      <c r="I333" s="63" t="s">
        <v>149</v>
      </c>
      <c r="J333" s="63" t="s">
        <v>201</v>
      </c>
      <c r="K333" s="66" t="str">
        <f>IFERROR(INDEX(M_SKU!$A$18:$J$57,MATCH(J333,M_SKU!$B$18:$B$57,0),1),"UNKNOWN SKU")</f>
        <v>Krest Tonic Water RGB 300ml</v>
      </c>
      <c r="L333" s="63" t="s">
        <v>540</v>
      </c>
      <c r="M333" s="62">
        <v>46154</v>
      </c>
      <c r="N333" s="62">
        <v>46518</v>
      </c>
      <c r="O333" s="67">
        <v>3</v>
      </c>
      <c r="P333" s="68" t="s">
        <v>521</v>
      </c>
      <c r="Q333" s="63"/>
      <c r="R333" s="62"/>
      <c r="S333" s="69"/>
      <c r="T333" s="69"/>
      <c r="U333" s="66" t="str">
        <f t="shared" si="5"/>
        <v>MOS100200|FG011|CK3-33347</v>
      </c>
    </row>
    <row r="334" spans="1:21" ht="15" customHeight="1" x14ac:dyDescent="0.3">
      <c r="A334" s="70" t="s">
        <v>583</v>
      </c>
      <c r="B334" s="71">
        <v>166164</v>
      </c>
      <c r="C334" s="72">
        <v>46179</v>
      </c>
      <c r="D334" s="73" t="s">
        <v>336</v>
      </c>
      <c r="E334" s="74" t="s">
        <v>584</v>
      </c>
      <c r="F334" s="75">
        <f>IFERROR(INDEX(M_User!$A$12:$J$67,MATCH(D334,M_User!$D$12:$D$67,0),1),"UNMAPPED")</f>
        <v>73</v>
      </c>
      <c r="G334" s="76" t="str">
        <f>IFERROR(INDEX(M_User!$A$12:$J$67,MATCH(D334,M_User!$D$12:$D$67,0),3),"UNMAPPED")</f>
        <v>George Gibson Mmary</v>
      </c>
      <c r="H334" s="75" t="str">
        <f>IFERROR(INDEX(M_User!$A$12:$J$67,MATCH(D334,M_User!$D$12:$D$67,0),5),"UNMAPPED")</f>
        <v>MOS</v>
      </c>
      <c r="I334" s="73" t="s">
        <v>149</v>
      </c>
      <c r="J334" s="73" t="s">
        <v>203</v>
      </c>
      <c r="K334" s="76" t="str">
        <f>IFERROR(INDEX(M_SKU!$A$18:$J$57,MATCH(J334,M_SKU!$B$18:$B$57,0),1),"UNKNOWN SKU")</f>
        <v>Krest Ginger Ale RGB 300ml</v>
      </c>
      <c r="L334" s="73" t="s">
        <v>541</v>
      </c>
      <c r="M334" s="72">
        <v>46088</v>
      </c>
      <c r="N334" s="72">
        <v>46452</v>
      </c>
      <c r="O334" s="77">
        <v>3</v>
      </c>
      <c r="P334" s="78" t="s">
        <v>521</v>
      </c>
      <c r="Q334" s="79"/>
      <c r="R334" s="80"/>
      <c r="S334" s="81"/>
      <c r="T334" s="81"/>
      <c r="U334" s="82" t="str">
        <f t="shared" si="5"/>
        <v>MOS100200|FG012|CK3-33126</v>
      </c>
    </row>
    <row r="335" spans="1:21" ht="15" customHeight="1" x14ac:dyDescent="0.3">
      <c r="A335" s="60" t="s">
        <v>583</v>
      </c>
      <c r="B335" s="61">
        <v>166164</v>
      </c>
      <c r="C335" s="62">
        <v>46179</v>
      </c>
      <c r="D335" s="63" t="s">
        <v>336</v>
      </c>
      <c r="E335" s="64" t="s">
        <v>584</v>
      </c>
      <c r="F335" s="65">
        <f>IFERROR(INDEX(M_User!$A$12:$J$67,MATCH(D335,M_User!$D$12:$D$67,0),1),"UNMAPPED")</f>
        <v>73</v>
      </c>
      <c r="G335" s="66" t="str">
        <f>IFERROR(INDEX(M_User!$A$12:$J$67,MATCH(D335,M_User!$D$12:$D$67,0),3),"UNMAPPED")</f>
        <v>George Gibson Mmary</v>
      </c>
      <c r="H335" s="65" t="str">
        <f>IFERROR(INDEX(M_User!$A$12:$J$67,MATCH(D335,M_User!$D$12:$D$67,0),5),"UNMAPPED")</f>
        <v>MOS</v>
      </c>
      <c r="I335" s="63" t="s">
        <v>149</v>
      </c>
      <c r="J335" s="63" t="s">
        <v>209</v>
      </c>
      <c r="K335" s="66" t="str">
        <f>IFERROR(INDEX(M_SKU!$A$18:$J$57,MATCH(J335,M_SKU!$B$18:$B$57,0),1),"UNKNOWN SKU")</f>
        <v>Sparletta Red Apple RGB 350ml</v>
      </c>
      <c r="L335" s="63" t="s">
        <v>542</v>
      </c>
      <c r="M335" s="62">
        <v>46010</v>
      </c>
      <c r="N335" s="62">
        <v>46374</v>
      </c>
      <c r="O335" s="67">
        <v>2</v>
      </c>
      <c r="P335" s="68" t="s">
        <v>521</v>
      </c>
      <c r="Q335" s="63"/>
      <c r="R335" s="62"/>
      <c r="S335" s="69"/>
      <c r="T335" s="69"/>
      <c r="U335" s="66" t="str">
        <f t="shared" si="5"/>
        <v>MOS100200|FG024|CK3-32758</v>
      </c>
    </row>
    <row r="336" spans="1:21" ht="15" customHeight="1" x14ac:dyDescent="0.3">
      <c r="A336" s="70" t="s">
        <v>583</v>
      </c>
      <c r="B336" s="71">
        <v>166164</v>
      </c>
      <c r="C336" s="72">
        <v>46179</v>
      </c>
      <c r="D336" s="73" t="s">
        <v>336</v>
      </c>
      <c r="E336" s="74" t="s">
        <v>584</v>
      </c>
      <c r="F336" s="75">
        <f>IFERROR(INDEX(M_User!$A$12:$J$67,MATCH(D336,M_User!$D$12:$D$67,0),1),"UNMAPPED")</f>
        <v>73</v>
      </c>
      <c r="G336" s="76" t="str">
        <f>IFERROR(INDEX(M_User!$A$12:$J$67,MATCH(D336,M_User!$D$12:$D$67,0),3),"UNMAPPED")</f>
        <v>George Gibson Mmary</v>
      </c>
      <c r="H336" s="75" t="str">
        <f>IFERROR(INDEX(M_User!$A$12:$J$67,MATCH(D336,M_User!$D$12:$D$67,0),5),"UNMAPPED")</f>
        <v>MOS</v>
      </c>
      <c r="I336" s="73" t="s">
        <v>149</v>
      </c>
      <c r="J336" s="73" t="s">
        <v>211</v>
      </c>
      <c r="K336" s="76" t="str">
        <f>IFERROR(INDEX(M_SKU!$A$18:$J$57,MATCH(J336,M_SKU!$B$18:$B$57,0),1),"UNKNOWN SKU")</f>
        <v>KNMW 500ml</v>
      </c>
      <c r="L336" s="73" t="s">
        <v>543</v>
      </c>
      <c r="M336" s="72">
        <v>46177</v>
      </c>
      <c r="N336" s="72">
        <v>46541</v>
      </c>
      <c r="O336" s="77">
        <v>100</v>
      </c>
      <c r="P336" s="78" t="s">
        <v>521</v>
      </c>
      <c r="Q336" s="79"/>
      <c r="R336" s="80"/>
      <c r="S336" s="81"/>
      <c r="T336" s="81"/>
      <c r="U336" s="82" t="str">
        <f t="shared" si="5"/>
        <v>MOS100200|KD001|CK6-986</v>
      </c>
    </row>
    <row r="337" spans="1:21" ht="15" customHeight="1" x14ac:dyDescent="0.3">
      <c r="A337" s="60" t="s">
        <v>583</v>
      </c>
      <c r="B337" s="61">
        <v>166164</v>
      </c>
      <c r="C337" s="62">
        <v>46179</v>
      </c>
      <c r="D337" s="63" t="s">
        <v>336</v>
      </c>
      <c r="E337" s="64" t="s">
        <v>584</v>
      </c>
      <c r="F337" s="65">
        <f>IFERROR(INDEX(M_User!$A$12:$J$67,MATCH(D337,M_User!$D$12:$D$67,0),1),"UNMAPPED")</f>
        <v>73</v>
      </c>
      <c r="G337" s="66" t="str">
        <f>IFERROR(INDEX(M_User!$A$12:$J$67,MATCH(D337,M_User!$D$12:$D$67,0),3),"UNMAPPED")</f>
        <v>George Gibson Mmary</v>
      </c>
      <c r="H337" s="65" t="str">
        <f>IFERROR(INDEX(M_User!$A$12:$J$67,MATCH(D337,M_User!$D$12:$D$67,0),5),"UNMAPPED")</f>
        <v>MOS</v>
      </c>
      <c r="I337" s="63" t="s">
        <v>149</v>
      </c>
      <c r="J337" s="63" t="s">
        <v>217</v>
      </c>
      <c r="K337" s="66" t="str">
        <f>IFERROR(INDEX(M_SKU!$A$18:$J$57,MATCH(J337,M_SKU!$B$18:$B$57,0),1),"UNKNOWN SKU")</f>
        <v>KNMW 1500ml</v>
      </c>
      <c r="L337" s="63" t="s">
        <v>551</v>
      </c>
      <c r="M337" s="62">
        <v>46177</v>
      </c>
      <c r="N337" s="62">
        <v>46541</v>
      </c>
      <c r="O337" s="67">
        <v>90</v>
      </c>
      <c r="P337" s="68" t="s">
        <v>521</v>
      </c>
      <c r="Q337" s="63"/>
      <c r="R337" s="62"/>
      <c r="S337" s="69"/>
      <c r="T337" s="69"/>
      <c r="U337" s="66" t="str">
        <f t="shared" si="5"/>
        <v>MOS100200|KD003|CK4-842</v>
      </c>
    </row>
    <row r="338" spans="1:21" ht="15" customHeight="1" x14ac:dyDescent="0.3">
      <c r="A338" s="70" t="s">
        <v>583</v>
      </c>
      <c r="B338" s="71">
        <v>166164</v>
      </c>
      <c r="C338" s="72">
        <v>46179</v>
      </c>
      <c r="D338" s="73" t="s">
        <v>336</v>
      </c>
      <c r="E338" s="74" t="s">
        <v>584</v>
      </c>
      <c r="F338" s="75">
        <f>IFERROR(INDEX(M_User!$A$12:$J$67,MATCH(D338,M_User!$D$12:$D$67,0),1),"UNMAPPED")</f>
        <v>73</v>
      </c>
      <c r="G338" s="76" t="str">
        <f>IFERROR(INDEX(M_User!$A$12:$J$67,MATCH(D338,M_User!$D$12:$D$67,0),3),"UNMAPPED")</f>
        <v>George Gibson Mmary</v>
      </c>
      <c r="H338" s="75" t="str">
        <f>IFERROR(INDEX(M_User!$A$12:$J$67,MATCH(D338,M_User!$D$12:$D$67,0),5),"UNMAPPED")</f>
        <v>MOS</v>
      </c>
      <c r="I338" s="73" t="s">
        <v>149</v>
      </c>
      <c r="J338" s="73" t="s">
        <v>229</v>
      </c>
      <c r="K338" s="76" t="str">
        <f>IFERROR(INDEX(M_SKU!$A$18:$J$57,MATCH(J338,M_SKU!$B$18:$B$57,0),1),"UNKNOWN SKU")</f>
        <v>Coke Pet 500ML ( x12)</v>
      </c>
      <c r="L338" s="73" t="s">
        <v>520</v>
      </c>
      <c r="M338" s="72">
        <v>46177</v>
      </c>
      <c r="N338" s="72">
        <v>46288</v>
      </c>
      <c r="O338" s="77">
        <v>80</v>
      </c>
      <c r="P338" s="78" t="s">
        <v>521</v>
      </c>
      <c r="Q338" s="79"/>
      <c r="R338" s="80"/>
      <c r="S338" s="81"/>
      <c r="T338" s="81"/>
      <c r="U338" s="82" t="str">
        <f t="shared" si="5"/>
        <v>MOS100200|PH001|CK6-33411</v>
      </c>
    </row>
    <row r="339" spans="1:21" ht="15" customHeight="1" x14ac:dyDescent="0.3">
      <c r="A339" s="60" t="s">
        <v>583</v>
      </c>
      <c r="B339" s="61">
        <v>166164</v>
      </c>
      <c r="C339" s="62">
        <v>46179</v>
      </c>
      <c r="D339" s="63" t="s">
        <v>336</v>
      </c>
      <c r="E339" s="64" t="s">
        <v>584</v>
      </c>
      <c r="F339" s="65">
        <f>IFERROR(INDEX(M_User!$A$12:$J$67,MATCH(D339,M_User!$D$12:$D$67,0),1),"UNMAPPED")</f>
        <v>73</v>
      </c>
      <c r="G339" s="66" t="str">
        <f>IFERROR(INDEX(M_User!$A$12:$J$67,MATCH(D339,M_User!$D$12:$D$67,0),3),"UNMAPPED")</f>
        <v>George Gibson Mmary</v>
      </c>
      <c r="H339" s="65" t="str">
        <f>IFERROR(INDEX(M_User!$A$12:$J$67,MATCH(D339,M_User!$D$12:$D$67,0),5),"UNMAPPED")</f>
        <v>MOS</v>
      </c>
      <c r="I339" s="63" t="s">
        <v>149</v>
      </c>
      <c r="J339" s="63" t="s">
        <v>232</v>
      </c>
      <c r="K339" s="66" t="str">
        <f>IFERROR(INDEX(M_SKU!$A$18:$J$57,MATCH(J339,M_SKU!$B$18:$B$57,0),1),"UNKNOWN SKU")</f>
        <v>Sprite Pet 500ML (x 12)</v>
      </c>
      <c r="L339" s="63" t="s">
        <v>522</v>
      </c>
      <c r="M339" s="62">
        <v>46158</v>
      </c>
      <c r="N339" s="62">
        <v>46269</v>
      </c>
      <c r="O339" s="67">
        <v>10</v>
      </c>
      <c r="P339" s="68" t="s">
        <v>521</v>
      </c>
      <c r="Q339" s="63"/>
      <c r="R339" s="62"/>
      <c r="S339" s="69"/>
      <c r="T339" s="69"/>
      <c r="U339" s="66" t="str">
        <f t="shared" si="5"/>
        <v>MOS100200|PH002|CK6-33362</v>
      </c>
    </row>
    <row r="340" spans="1:21" ht="15" customHeight="1" x14ac:dyDescent="0.3">
      <c r="A340" s="70" t="s">
        <v>583</v>
      </c>
      <c r="B340" s="71">
        <v>166164</v>
      </c>
      <c r="C340" s="72">
        <v>46179</v>
      </c>
      <c r="D340" s="73" t="s">
        <v>336</v>
      </c>
      <c r="E340" s="74" t="s">
        <v>584</v>
      </c>
      <c r="F340" s="75">
        <f>IFERROR(INDEX(M_User!$A$12:$J$67,MATCH(D340,M_User!$D$12:$D$67,0),1),"UNMAPPED")</f>
        <v>73</v>
      </c>
      <c r="G340" s="76" t="str">
        <f>IFERROR(INDEX(M_User!$A$12:$J$67,MATCH(D340,M_User!$D$12:$D$67,0),3),"UNMAPPED")</f>
        <v>George Gibson Mmary</v>
      </c>
      <c r="H340" s="75" t="str">
        <f>IFERROR(INDEX(M_User!$A$12:$J$67,MATCH(D340,M_User!$D$12:$D$67,0),5),"UNMAPPED")</f>
        <v>MOS</v>
      </c>
      <c r="I340" s="73" t="s">
        <v>149</v>
      </c>
      <c r="J340" s="73" t="s">
        <v>234</v>
      </c>
      <c r="K340" s="76" t="str">
        <f>IFERROR(INDEX(M_SKU!$A$18:$J$57,MATCH(J340,M_SKU!$B$18:$B$57,0),1),"UNKNOWN SKU")</f>
        <v>Fanta Orange Pet 500ML ( x 12)</v>
      </c>
      <c r="L340" s="73" t="s">
        <v>523</v>
      </c>
      <c r="M340" s="72">
        <v>46172</v>
      </c>
      <c r="N340" s="72">
        <v>46283</v>
      </c>
      <c r="O340" s="77">
        <v>40</v>
      </c>
      <c r="P340" s="78" t="s">
        <v>521</v>
      </c>
      <c r="Q340" s="79"/>
      <c r="R340" s="80"/>
      <c r="S340" s="81"/>
      <c r="T340" s="81"/>
      <c r="U340" s="82" t="str">
        <f t="shared" si="5"/>
        <v>MOS100200|PH003|CK6-33405</v>
      </c>
    </row>
    <row r="341" spans="1:21" ht="15" customHeight="1" x14ac:dyDescent="0.3">
      <c r="A341" s="60" t="s">
        <v>583</v>
      </c>
      <c r="B341" s="61">
        <v>166164</v>
      </c>
      <c r="C341" s="62">
        <v>46179</v>
      </c>
      <c r="D341" s="63" t="s">
        <v>336</v>
      </c>
      <c r="E341" s="64" t="s">
        <v>584</v>
      </c>
      <c r="F341" s="65">
        <f>IFERROR(INDEX(M_User!$A$12:$J$67,MATCH(D341,M_User!$D$12:$D$67,0),1),"UNMAPPED")</f>
        <v>73</v>
      </c>
      <c r="G341" s="66" t="str">
        <f>IFERROR(INDEX(M_User!$A$12:$J$67,MATCH(D341,M_User!$D$12:$D$67,0),3),"UNMAPPED")</f>
        <v>George Gibson Mmary</v>
      </c>
      <c r="H341" s="65" t="str">
        <f>IFERROR(INDEX(M_User!$A$12:$J$67,MATCH(D341,M_User!$D$12:$D$67,0),5),"UNMAPPED")</f>
        <v>MOS</v>
      </c>
      <c r="I341" s="63" t="s">
        <v>149</v>
      </c>
      <c r="J341" s="63" t="s">
        <v>236</v>
      </c>
      <c r="K341" s="66" t="str">
        <f>IFERROR(INDEX(M_SKU!$A$18:$J$57,MATCH(J341,M_SKU!$B$18:$B$57,0),1),"UNKNOWN SKU")</f>
        <v>Fanta Passion Pet 500ML ( x12)</v>
      </c>
      <c r="L341" s="63" t="s">
        <v>524</v>
      </c>
      <c r="M341" s="62">
        <v>46151</v>
      </c>
      <c r="N341" s="62">
        <v>46262</v>
      </c>
      <c r="O341" s="67">
        <v>10</v>
      </c>
      <c r="P341" s="68" t="s">
        <v>521</v>
      </c>
      <c r="Q341" s="63"/>
      <c r="R341" s="62"/>
      <c r="S341" s="69"/>
      <c r="T341" s="69"/>
      <c r="U341" s="66" t="str">
        <f t="shared" si="5"/>
        <v>MOS100200|PH004|CK5-33334</v>
      </c>
    </row>
    <row r="342" spans="1:21" ht="15" customHeight="1" x14ac:dyDescent="0.3">
      <c r="A342" s="70" t="s">
        <v>583</v>
      </c>
      <c r="B342" s="71">
        <v>166164</v>
      </c>
      <c r="C342" s="72">
        <v>46179</v>
      </c>
      <c r="D342" s="73" t="s">
        <v>336</v>
      </c>
      <c r="E342" s="74" t="s">
        <v>584</v>
      </c>
      <c r="F342" s="75">
        <f>IFERROR(INDEX(M_User!$A$12:$J$67,MATCH(D342,M_User!$D$12:$D$67,0),1),"UNMAPPED")</f>
        <v>73</v>
      </c>
      <c r="G342" s="76" t="str">
        <f>IFERROR(INDEX(M_User!$A$12:$J$67,MATCH(D342,M_User!$D$12:$D$67,0),3),"UNMAPPED")</f>
        <v>George Gibson Mmary</v>
      </c>
      <c r="H342" s="75" t="str">
        <f>IFERROR(INDEX(M_User!$A$12:$J$67,MATCH(D342,M_User!$D$12:$D$67,0),5),"UNMAPPED")</f>
        <v>MOS</v>
      </c>
      <c r="I342" s="73" t="s">
        <v>149</v>
      </c>
      <c r="J342" s="73" t="s">
        <v>242</v>
      </c>
      <c r="K342" s="76" t="str">
        <f>IFERROR(INDEX(M_SKU!$A$18:$J$57,MATCH(J342,M_SKU!$B$18:$B$57,0),1),"UNKNOWN SKU")</f>
        <v>Stoney Tangawizi Pet 500 ml ( x12)</v>
      </c>
      <c r="L342" s="73" t="s">
        <v>525</v>
      </c>
      <c r="M342" s="72">
        <v>46161</v>
      </c>
      <c r="N342" s="72">
        <v>46272</v>
      </c>
      <c r="O342" s="77">
        <v>10</v>
      </c>
      <c r="P342" s="78" t="s">
        <v>521</v>
      </c>
      <c r="Q342" s="79"/>
      <c r="R342" s="80"/>
      <c r="S342" s="81"/>
      <c r="T342" s="81"/>
      <c r="U342" s="82" t="str">
        <f t="shared" si="5"/>
        <v>MOS100200|PH007|CK6-33375</v>
      </c>
    </row>
    <row r="343" spans="1:21" ht="15" customHeight="1" x14ac:dyDescent="0.3">
      <c r="A343" s="60" t="s">
        <v>583</v>
      </c>
      <c r="B343" s="61">
        <v>166164</v>
      </c>
      <c r="C343" s="62">
        <v>46179</v>
      </c>
      <c r="D343" s="63" t="s">
        <v>336</v>
      </c>
      <c r="E343" s="64" t="s">
        <v>584</v>
      </c>
      <c r="F343" s="65">
        <f>IFERROR(INDEX(M_User!$A$12:$J$67,MATCH(D343,M_User!$D$12:$D$67,0),1),"UNMAPPED")</f>
        <v>73</v>
      </c>
      <c r="G343" s="66" t="str">
        <f>IFERROR(INDEX(M_User!$A$12:$J$67,MATCH(D343,M_User!$D$12:$D$67,0),3),"UNMAPPED")</f>
        <v>George Gibson Mmary</v>
      </c>
      <c r="H343" s="65" t="str">
        <f>IFERROR(INDEX(M_User!$A$12:$J$67,MATCH(D343,M_User!$D$12:$D$67,0),5),"UNMAPPED")</f>
        <v>MOS</v>
      </c>
      <c r="I343" s="63" t="s">
        <v>149</v>
      </c>
      <c r="J343" s="63" t="s">
        <v>244</v>
      </c>
      <c r="K343" s="66" t="str">
        <f>IFERROR(INDEX(M_SKU!$A$18:$J$57,MATCH(J343,M_SKU!$B$18:$B$57,0),1),"UNKNOWN SKU")</f>
        <v>Sparletta Pinenut Pet 500 ml ( x12)</v>
      </c>
      <c r="L343" s="63" t="s">
        <v>526</v>
      </c>
      <c r="M343" s="62">
        <v>46161</v>
      </c>
      <c r="N343" s="62">
        <v>46272</v>
      </c>
      <c r="O343" s="67">
        <v>5</v>
      </c>
      <c r="P343" s="68" t="s">
        <v>521</v>
      </c>
      <c r="Q343" s="63"/>
      <c r="R343" s="62"/>
      <c r="S343" s="69"/>
      <c r="T343" s="69"/>
      <c r="U343" s="66" t="str">
        <f t="shared" si="5"/>
        <v>MOS100200|PH008|CK5-33370</v>
      </c>
    </row>
    <row r="344" spans="1:21" ht="15" customHeight="1" x14ac:dyDescent="0.3">
      <c r="A344" s="70" t="s">
        <v>583</v>
      </c>
      <c r="B344" s="71">
        <v>166164</v>
      </c>
      <c r="C344" s="72">
        <v>46179</v>
      </c>
      <c r="D344" s="73" t="s">
        <v>336</v>
      </c>
      <c r="E344" s="74" t="s">
        <v>584</v>
      </c>
      <c r="F344" s="75">
        <f>IFERROR(INDEX(M_User!$A$12:$J$67,MATCH(D344,M_User!$D$12:$D$67,0),1),"UNMAPPED")</f>
        <v>73</v>
      </c>
      <c r="G344" s="76" t="str">
        <f>IFERROR(INDEX(M_User!$A$12:$J$67,MATCH(D344,M_User!$D$12:$D$67,0),3),"UNMAPPED")</f>
        <v>George Gibson Mmary</v>
      </c>
      <c r="H344" s="75" t="str">
        <f>IFERROR(INDEX(M_User!$A$12:$J$67,MATCH(D344,M_User!$D$12:$D$67,0),5),"UNMAPPED")</f>
        <v>MOS</v>
      </c>
      <c r="I344" s="73" t="s">
        <v>149</v>
      </c>
      <c r="J344" s="73" t="s">
        <v>252</v>
      </c>
      <c r="K344" s="76" t="str">
        <f>IFERROR(INDEX(M_SKU!$A$18:$J$57,MATCH(J344,M_SKU!$B$18:$B$57,0),1),"UNKNOWN SKU")</f>
        <v>Sprite Zero Pet 300ML (x 12)</v>
      </c>
      <c r="L344" s="73" t="s">
        <v>545</v>
      </c>
      <c r="M344" s="72">
        <v>46158</v>
      </c>
      <c r="N344" s="72">
        <v>46241</v>
      </c>
      <c r="O344" s="77">
        <v>5</v>
      </c>
      <c r="P344" s="78" t="s">
        <v>521</v>
      </c>
      <c r="Q344" s="79"/>
      <c r="R344" s="80"/>
      <c r="S344" s="81"/>
      <c r="T344" s="81"/>
      <c r="U344" s="82" t="str">
        <f t="shared" si="5"/>
        <v>MOS100200|PO010|CK5-33360</v>
      </c>
    </row>
    <row r="345" spans="1:21" ht="15" customHeight="1" x14ac:dyDescent="0.3">
      <c r="A345" s="60" t="s">
        <v>583</v>
      </c>
      <c r="B345" s="61">
        <v>166164</v>
      </c>
      <c r="C345" s="62">
        <v>46179</v>
      </c>
      <c r="D345" s="63" t="s">
        <v>336</v>
      </c>
      <c r="E345" s="64" t="s">
        <v>584</v>
      </c>
      <c r="F345" s="65">
        <f>IFERROR(INDEX(M_User!$A$12:$J$67,MATCH(D345,M_User!$D$12:$D$67,0),1),"UNMAPPED")</f>
        <v>73</v>
      </c>
      <c r="G345" s="66" t="str">
        <f>IFERROR(INDEX(M_User!$A$12:$J$67,MATCH(D345,M_User!$D$12:$D$67,0),3),"UNMAPPED")</f>
        <v>George Gibson Mmary</v>
      </c>
      <c r="H345" s="65" t="str">
        <f>IFERROR(INDEX(M_User!$A$12:$J$67,MATCH(D345,M_User!$D$12:$D$67,0),5),"UNMAPPED")</f>
        <v>MOS</v>
      </c>
      <c r="I345" s="63" t="s">
        <v>149</v>
      </c>
      <c r="J345" s="63" t="s">
        <v>254</v>
      </c>
      <c r="K345" s="66" t="str">
        <f>IFERROR(INDEX(M_SKU!$A$18:$J$57,MATCH(J345,M_SKU!$B$18:$B$57,0),1),"UNKNOWN SKU")</f>
        <v>Fanta Zero Pet 300ML (x 12)</v>
      </c>
      <c r="L345" s="63" t="s">
        <v>546</v>
      </c>
      <c r="M345" s="62">
        <v>46159</v>
      </c>
      <c r="N345" s="62">
        <v>46242</v>
      </c>
      <c r="O345" s="67">
        <v>5</v>
      </c>
      <c r="P345" s="68" t="s">
        <v>521</v>
      </c>
      <c r="Q345" s="63"/>
      <c r="R345" s="62"/>
      <c r="S345" s="69"/>
      <c r="T345" s="69"/>
      <c r="U345" s="66" t="str">
        <f t="shared" si="5"/>
        <v>MOS100200|PO012|CK5-33369</v>
      </c>
    </row>
    <row r="346" spans="1:21" ht="15" customHeight="1" x14ac:dyDescent="0.3">
      <c r="A346" s="70" t="s">
        <v>586</v>
      </c>
      <c r="B346" s="71">
        <v>166165</v>
      </c>
      <c r="C346" s="72">
        <v>46179</v>
      </c>
      <c r="D346" s="73" t="s">
        <v>361</v>
      </c>
      <c r="E346" s="74" t="s">
        <v>587</v>
      </c>
      <c r="F346" s="75">
        <f>IFERROR(INDEX(M_User!$A$12:$J$67,MATCH(D346,M_User!$D$12:$D$67,0),1),"UNMAPPED")</f>
        <v>66</v>
      </c>
      <c r="G346" s="76" t="str">
        <f>IFERROR(INDEX(M_User!$A$12:$J$67,MATCH(D346,M_User!$D$12:$D$67,0),3),"UNMAPPED")</f>
        <v>Masunga Mwala Ramadhani</v>
      </c>
      <c r="H346" s="75" t="str">
        <f>IFERROR(INDEX(M_User!$A$12:$J$67,MATCH(D346,M_User!$D$12:$D$67,0),5),"UNMAPPED")</f>
        <v>MOS</v>
      </c>
      <c r="I346" s="73" t="s">
        <v>149</v>
      </c>
      <c r="J346" s="73" t="s">
        <v>170</v>
      </c>
      <c r="K346" s="76" t="str">
        <f>IFERROR(INDEX(M_SKU!$A$18:$J$57,MATCH(J346,M_SKU!$B$18:$B$57,0),1),"UNKNOWN SKU")</f>
        <v>Coke RGB 350ml</v>
      </c>
      <c r="L346" s="73" t="s">
        <v>529</v>
      </c>
      <c r="M346" s="72">
        <v>46175</v>
      </c>
      <c r="N346" s="72">
        <v>46539</v>
      </c>
      <c r="O346" s="77">
        <v>11.71</v>
      </c>
      <c r="P346" s="78" t="s">
        <v>521</v>
      </c>
      <c r="Q346" s="79"/>
      <c r="R346" s="80"/>
      <c r="S346" s="81"/>
      <c r="T346" s="81"/>
      <c r="U346" s="82" t="str">
        <f t="shared" si="5"/>
        <v>MOS100788|FG001|CK3-33408</v>
      </c>
    </row>
    <row r="347" spans="1:21" ht="15" customHeight="1" x14ac:dyDescent="0.3">
      <c r="A347" s="60" t="s">
        <v>586</v>
      </c>
      <c r="B347" s="61">
        <v>166165</v>
      </c>
      <c r="C347" s="62">
        <v>46179</v>
      </c>
      <c r="D347" s="63" t="s">
        <v>361</v>
      </c>
      <c r="E347" s="64" t="s">
        <v>587</v>
      </c>
      <c r="F347" s="65">
        <f>IFERROR(INDEX(M_User!$A$12:$J$67,MATCH(D347,M_User!$D$12:$D$67,0),1),"UNMAPPED")</f>
        <v>66</v>
      </c>
      <c r="G347" s="66" t="str">
        <f>IFERROR(INDEX(M_User!$A$12:$J$67,MATCH(D347,M_User!$D$12:$D$67,0),3),"UNMAPPED")</f>
        <v>Masunga Mwala Ramadhani</v>
      </c>
      <c r="H347" s="65" t="str">
        <f>IFERROR(INDEX(M_User!$A$12:$J$67,MATCH(D347,M_User!$D$12:$D$67,0),5),"UNMAPPED")</f>
        <v>MOS</v>
      </c>
      <c r="I347" s="63" t="s">
        <v>149</v>
      </c>
      <c r="J347" s="63" t="s">
        <v>170</v>
      </c>
      <c r="K347" s="66" t="str">
        <f>IFERROR(INDEX(M_SKU!$A$18:$J$57,MATCH(J347,M_SKU!$B$18:$B$57,0),1),"UNKNOWN SKU")</f>
        <v>Coke RGB 350ml</v>
      </c>
      <c r="L347" s="63" t="s">
        <v>585</v>
      </c>
      <c r="M347" s="62">
        <v>46175</v>
      </c>
      <c r="N347" s="62">
        <v>46539</v>
      </c>
      <c r="O347" s="67">
        <v>48.29</v>
      </c>
      <c r="P347" s="68" t="s">
        <v>521</v>
      </c>
      <c r="Q347" s="63"/>
      <c r="R347" s="62"/>
      <c r="S347" s="69"/>
      <c r="T347" s="69"/>
      <c r="U347" s="66" t="str">
        <f t="shared" si="5"/>
        <v>MOS100788|FG001|CK3-33410</v>
      </c>
    </row>
    <row r="348" spans="1:21" ht="15" customHeight="1" x14ac:dyDescent="0.3">
      <c r="A348" s="70" t="s">
        <v>586</v>
      </c>
      <c r="B348" s="71">
        <v>166165</v>
      </c>
      <c r="C348" s="72">
        <v>46179</v>
      </c>
      <c r="D348" s="73" t="s">
        <v>361</v>
      </c>
      <c r="E348" s="74" t="s">
        <v>587</v>
      </c>
      <c r="F348" s="75">
        <f>IFERROR(INDEX(M_User!$A$12:$J$67,MATCH(D348,M_User!$D$12:$D$67,0),1),"UNMAPPED")</f>
        <v>66</v>
      </c>
      <c r="G348" s="76" t="str">
        <f>IFERROR(INDEX(M_User!$A$12:$J$67,MATCH(D348,M_User!$D$12:$D$67,0),3),"UNMAPPED")</f>
        <v>Masunga Mwala Ramadhani</v>
      </c>
      <c r="H348" s="75" t="str">
        <f>IFERROR(INDEX(M_User!$A$12:$J$67,MATCH(D348,M_User!$D$12:$D$67,0),5),"UNMAPPED")</f>
        <v>MOS</v>
      </c>
      <c r="I348" s="73" t="s">
        <v>149</v>
      </c>
      <c r="J348" s="73" t="s">
        <v>178</v>
      </c>
      <c r="K348" s="76" t="str">
        <f>IFERROR(INDEX(M_SKU!$A$18:$J$57,MATCH(J348,M_SKU!$B$18:$B$57,0),1),"UNKNOWN SKU")</f>
        <v>Fanta Orange RGB 350ml</v>
      </c>
      <c r="L348" s="73" t="s">
        <v>531</v>
      </c>
      <c r="M348" s="72">
        <v>46174</v>
      </c>
      <c r="N348" s="72">
        <v>46538</v>
      </c>
      <c r="O348" s="77">
        <v>35</v>
      </c>
      <c r="P348" s="78" t="s">
        <v>521</v>
      </c>
      <c r="Q348" s="79"/>
      <c r="R348" s="80"/>
      <c r="S348" s="81"/>
      <c r="T348" s="81"/>
      <c r="U348" s="82" t="str">
        <f t="shared" si="5"/>
        <v>MOS100788|FG002|CK3-33407</v>
      </c>
    </row>
    <row r="349" spans="1:21" ht="15" customHeight="1" x14ac:dyDescent="0.3">
      <c r="A349" s="60" t="s">
        <v>586</v>
      </c>
      <c r="B349" s="61">
        <v>166165</v>
      </c>
      <c r="C349" s="62">
        <v>46179</v>
      </c>
      <c r="D349" s="63" t="s">
        <v>361</v>
      </c>
      <c r="E349" s="64" t="s">
        <v>587</v>
      </c>
      <c r="F349" s="65">
        <f>IFERROR(INDEX(M_User!$A$12:$J$67,MATCH(D349,M_User!$D$12:$D$67,0),1),"UNMAPPED")</f>
        <v>66</v>
      </c>
      <c r="G349" s="66" t="str">
        <f>IFERROR(INDEX(M_User!$A$12:$J$67,MATCH(D349,M_User!$D$12:$D$67,0),3),"UNMAPPED")</f>
        <v>Masunga Mwala Ramadhani</v>
      </c>
      <c r="H349" s="65" t="str">
        <f>IFERROR(INDEX(M_User!$A$12:$J$67,MATCH(D349,M_User!$D$12:$D$67,0),5),"UNMAPPED")</f>
        <v>MOS</v>
      </c>
      <c r="I349" s="63" t="s">
        <v>149</v>
      </c>
      <c r="J349" s="63" t="s">
        <v>181</v>
      </c>
      <c r="K349" s="66" t="str">
        <f>IFERROR(INDEX(M_SKU!$A$18:$J$57,MATCH(J349,M_SKU!$B$18:$B$57,0),1),"UNKNOWN SKU")</f>
        <v>Fanta Passion RGB 350ml</v>
      </c>
      <c r="L349" s="63" t="s">
        <v>550</v>
      </c>
      <c r="M349" s="62">
        <v>46158</v>
      </c>
      <c r="N349" s="62">
        <v>46521</v>
      </c>
      <c r="O349" s="67">
        <v>10</v>
      </c>
      <c r="P349" s="68" t="s">
        <v>521</v>
      </c>
      <c r="Q349" s="63"/>
      <c r="R349" s="62"/>
      <c r="S349" s="69"/>
      <c r="T349" s="69"/>
      <c r="U349" s="66" t="str">
        <f t="shared" si="5"/>
        <v>MOS100788|FG003|CK3-33356</v>
      </c>
    </row>
    <row r="350" spans="1:21" ht="15" customHeight="1" x14ac:dyDescent="0.3">
      <c r="A350" s="70" t="s">
        <v>586</v>
      </c>
      <c r="B350" s="71">
        <v>166165</v>
      </c>
      <c r="C350" s="72">
        <v>46179</v>
      </c>
      <c r="D350" s="73" t="s">
        <v>361</v>
      </c>
      <c r="E350" s="74" t="s">
        <v>587</v>
      </c>
      <c r="F350" s="75">
        <f>IFERROR(INDEX(M_User!$A$12:$J$67,MATCH(D350,M_User!$D$12:$D$67,0),1),"UNMAPPED")</f>
        <v>66</v>
      </c>
      <c r="G350" s="76" t="str">
        <f>IFERROR(INDEX(M_User!$A$12:$J$67,MATCH(D350,M_User!$D$12:$D$67,0),3),"UNMAPPED")</f>
        <v>Masunga Mwala Ramadhani</v>
      </c>
      <c r="H350" s="75" t="str">
        <f>IFERROR(INDEX(M_User!$A$12:$J$67,MATCH(D350,M_User!$D$12:$D$67,0),5),"UNMAPPED")</f>
        <v>MOS</v>
      </c>
      <c r="I350" s="73" t="s">
        <v>149</v>
      </c>
      <c r="J350" s="73" t="s">
        <v>183</v>
      </c>
      <c r="K350" s="76" t="str">
        <f>IFERROR(INDEX(M_SKU!$A$18:$J$57,MATCH(J350,M_SKU!$B$18:$B$57,0),1),"UNKNOWN SKU")</f>
        <v>Fanta Pineapple RGB 350ml</v>
      </c>
      <c r="L350" s="73" t="s">
        <v>533</v>
      </c>
      <c r="M350" s="72">
        <v>46163</v>
      </c>
      <c r="N350" s="72">
        <v>46527</v>
      </c>
      <c r="O350" s="77">
        <v>15</v>
      </c>
      <c r="P350" s="78" t="s">
        <v>521</v>
      </c>
      <c r="Q350" s="79"/>
      <c r="R350" s="80"/>
      <c r="S350" s="81"/>
      <c r="T350" s="81"/>
      <c r="U350" s="82" t="str">
        <f t="shared" si="5"/>
        <v>MOS100788|FG004|CK3-33385</v>
      </c>
    </row>
    <row r="351" spans="1:21" ht="15" customHeight="1" x14ac:dyDescent="0.3">
      <c r="A351" s="60" t="s">
        <v>586</v>
      </c>
      <c r="B351" s="61">
        <v>166165</v>
      </c>
      <c r="C351" s="62">
        <v>46179</v>
      </c>
      <c r="D351" s="63" t="s">
        <v>361</v>
      </c>
      <c r="E351" s="64" t="s">
        <v>587</v>
      </c>
      <c r="F351" s="65">
        <f>IFERROR(INDEX(M_User!$A$12:$J$67,MATCH(D351,M_User!$D$12:$D$67,0),1),"UNMAPPED")</f>
        <v>66</v>
      </c>
      <c r="G351" s="66" t="str">
        <f>IFERROR(INDEX(M_User!$A$12:$J$67,MATCH(D351,M_User!$D$12:$D$67,0),3),"UNMAPPED")</f>
        <v>Masunga Mwala Ramadhani</v>
      </c>
      <c r="H351" s="65" t="str">
        <f>IFERROR(INDEX(M_User!$A$12:$J$67,MATCH(D351,M_User!$D$12:$D$67,0),5),"UNMAPPED")</f>
        <v>MOS</v>
      </c>
      <c r="I351" s="63" t="s">
        <v>149</v>
      </c>
      <c r="J351" s="63" t="s">
        <v>185</v>
      </c>
      <c r="K351" s="66" t="str">
        <f>IFERROR(INDEX(M_SKU!$A$18:$J$57,MATCH(J351,M_SKU!$B$18:$B$57,0),1),"UNKNOWN SKU")</f>
        <v>Fanta Fruit Blast RGB 350 ml</v>
      </c>
      <c r="L351" s="63" t="s">
        <v>534</v>
      </c>
      <c r="M351" s="62">
        <v>46171</v>
      </c>
      <c r="N351" s="62">
        <v>46535</v>
      </c>
      <c r="O351" s="67">
        <v>6</v>
      </c>
      <c r="P351" s="68" t="s">
        <v>521</v>
      </c>
      <c r="Q351" s="63"/>
      <c r="R351" s="62"/>
      <c r="S351" s="69"/>
      <c r="T351" s="69"/>
      <c r="U351" s="66" t="str">
        <f t="shared" si="5"/>
        <v>MOS100788|FG005|CK3-33402</v>
      </c>
    </row>
    <row r="352" spans="1:21" ht="15" customHeight="1" x14ac:dyDescent="0.3">
      <c r="A352" s="70" t="s">
        <v>586</v>
      </c>
      <c r="B352" s="71">
        <v>166165</v>
      </c>
      <c r="C352" s="72">
        <v>46179</v>
      </c>
      <c r="D352" s="73" t="s">
        <v>361</v>
      </c>
      <c r="E352" s="74" t="s">
        <v>587</v>
      </c>
      <c r="F352" s="75">
        <f>IFERROR(INDEX(M_User!$A$12:$J$67,MATCH(D352,M_User!$D$12:$D$67,0),1),"UNMAPPED")</f>
        <v>66</v>
      </c>
      <c r="G352" s="76" t="str">
        <f>IFERROR(INDEX(M_User!$A$12:$J$67,MATCH(D352,M_User!$D$12:$D$67,0),3),"UNMAPPED")</f>
        <v>Masunga Mwala Ramadhani</v>
      </c>
      <c r="H352" s="75" t="str">
        <f>IFERROR(INDEX(M_User!$A$12:$J$67,MATCH(D352,M_User!$D$12:$D$67,0),5),"UNMAPPED")</f>
        <v>MOS</v>
      </c>
      <c r="I352" s="73" t="s">
        <v>149</v>
      </c>
      <c r="J352" s="73" t="s">
        <v>187</v>
      </c>
      <c r="K352" s="76" t="str">
        <f>IFERROR(INDEX(M_SKU!$A$18:$J$57,MATCH(J352,M_SKU!$B$18:$B$57,0),1),"UNKNOWN SKU")</f>
        <v>Sprite 350ml</v>
      </c>
      <c r="L352" s="73" t="s">
        <v>535</v>
      </c>
      <c r="M352" s="72">
        <v>46177</v>
      </c>
      <c r="N352" s="72">
        <v>46541</v>
      </c>
      <c r="O352" s="77">
        <v>13</v>
      </c>
      <c r="P352" s="78" t="s">
        <v>521</v>
      </c>
      <c r="Q352" s="79"/>
      <c r="R352" s="80"/>
      <c r="S352" s="81"/>
      <c r="T352" s="81"/>
      <c r="U352" s="82" t="str">
        <f t="shared" si="5"/>
        <v>MOS100788|FG006|CK3-33414</v>
      </c>
    </row>
    <row r="353" spans="1:21" ht="15" customHeight="1" x14ac:dyDescent="0.3">
      <c r="A353" s="60" t="s">
        <v>586</v>
      </c>
      <c r="B353" s="61">
        <v>166165</v>
      </c>
      <c r="C353" s="62">
        <v>46179</v>
      </c>
      <c r="D353" s="63" t="s">
        <v>361</v>
      </c>
      <c r="E353" s="64" t="s">
        <v>587</v>
      </c>
      <c r="F353" s="65">
        <f>IFERROR(INDEX(M_User!$A$12:$J$67,MATCH(D353,M_User!$D$12:$D$67,0),1),"UNMAPPED")</f>
        <v>66</v>
      </c>
      <c r="G353" s="66" t="str">
        <f>IFERROR(INDEX(M_User!$A$12:$J$67,MATCH(D353,M_User!$D$12:$D$67,0),3),"UNMAPPED")</f>
        <v>Masunga Mwala Ramadhani</v>
      </c>
      <c r="H353" s="65" t="str">
        <f>IFERROR(INDEX(M_User!$A$12:$J$67,MATCH(D353,M_User!$D$12:$D$67,0),5),"UNMAPPED")</f>
        <v>MOS</v>
      </c>
      <c r="I353" s="63" t="s">
        <v>149</v>
      </c>
      <c r="J353" s="63" t="s">
        <v>190</v>
      </c>
      <c r="K353" s="66" t="str">
        <f>IFERROR(INDEX(M_SKU!$A$18:$J$57,MATCH(J353,M_SKU!$B$18:$B$57,0),1),"UNKNOWN SKU")</f>
        <v>Stoney Tangawizi RGB 350ml</v>
      </c>
      <c r="L353" s="63" t="s">
        <v>536</v>
      </c>
      <c r="M353" s="62">
        <v>46172</v>
      </c>
      <c r="N353" s="62">
        <v>46353</v>
      </c>
      <c r="O353" s="67">
        <v>6</v>
      </c>
      <c r="P353" s="68" t="s">
        <v>521</v>
      </c>
      <c r="Q353" s="63"/>
      <c r="R353" s="62"/>
      <c r="S353" s="69"/>
      <c r="T353" s="69"/>
      <c r="U353" s="66" t="str">
        <f t="shared" si="5"/>
        <v>MOS100788|FG007|CK3-33404</v>
      </c>
    </row>
    <row r="354" spans="1:21" ht="15" customHeight="1" x14ac:dyDescent="0.3">
      <c r="A354" s="70" t="s">
        <v>586</v>
      </c>
      <c r="B354" s="71">
        <v>166165</v>
      </c>
      <c r="C354" s="72">
        <v>46179</v>
      </c>
      <c r="D354" s="73" t="s">
        <v>361</v>
      </c>
      <c r="E354" s="74" t="s">
        <v>587</v>
      </c>
      <c r="F354" s="75">
        <f>IFERROR(INDEX(M_User!$A$12:$J$67,MATCH(D354,M_User!$D$12:$D$67,0),1),"UNMAPPED")</f>
        <v>66</v>
      </c>
      <c r="G354" s="76" t="str">
        <f>IFERROR(INDEX(M_User!$A$12:$J$67,MATCH(D354,M_User!$D$12:$D$67,0),3),"UNMAPPED")</f>
        <v>Masunga Mwala Ramadhani</v>
      </c>
      <c r="H354" s="75" t="str">
        <f>IFERROR(INDEX(M_User!$A$12:$J$67,MATCH(D354,M_User!$D$12:$D$67,0),5),"UNMAPPED")</f>
        <v>MOS</v>
      </c>
      <c r="I354" s="73" t="s">
        <v>149</v>
      </c>
      <c r="J354" s="73" t="s">
        <v>193</v>
      </c>
      <c r="K354" s="76" t="str">
        <f>IFERROR(INDEX(M_SKU!$A$18:$J$57,MATCH(J354,M_SKU!$B$18:$B$57,0),1),"UNKNOWN SKU")</f>
        <v>Sparletta Pinenut RGB 350ml</v>
      </c>
      <c r="L354" s="73" t="s">
        <v>537</v>
      </c>
      <c r="M354" s="72">
        <v>46158</v>
      </c>
      <c r="N354" s="72">
        <v>46522</v>
      </c>
      <c r="O354" s="77">
        <v>6</v>
      </c>
      <c r="P354" s="78" t="s">
        <v>521</v>
      </c>
      <c r="Q354" s="79"/>
      <c r="R354" s="80"/>
      <c r="S354" s="81"/>
      <c r="T354" s="81"/>
      <c r="U354" s="82" t="str">
        <f t="shared" si="5"/>
        <v>MOS100788|FG008|CK3-33365</v>
      </c>
    </row>
    <row r="355" spans="1:21" ht="15" customHeight="1" x14ac:dyDescent="0.3">
      <c r="A355" s="60" t="s">
        <v>586</v>
      </c>
      <c r="B355" s="61">
        <v>166165</v>
      </c>
      <c r="C355" s="62">
        <v>46179</v>
      </c>
      <c r="D355" s="63" t="s">
        <v>361</v>
      </c>
      <c r="E355" s="64" t="s">
        <v>587</v>
      </c>
      <c r="F355" s="65">
        <f>IFERROR(INDEX(M_User!$A$12:$J$67,MATCH(D355,M_User!$D$12:$D$67,0),1),"UNMAPPED")</f>
        <v>66</v>
      </c>
      <c r="G355" s="66" t="str">
        <f>IFERROR(INDEX(M_User!$A$12:$J$67,MATCH(D355,M_User!$D$12:$D$67,0),3),"UNMAPPED")</f>
        <v>Masunga Mwala Ramadhani</v>
      </c>
      <c r="H355" s="65" t="str">
        <f>IFERROR(INDEX(M_User!$A$12:$J$67,MATCH(D355,M_User!$D$12:$D$67,0),5),"UNMAPPED")</f>
        <v>MOS</v>
      </c>
      <c r="I355" s="63" t="s">
        <v>149</v>
      </c>
      <c r="J355" s="63" t="s">
        <v>196</v>
      </c>
      <c r="K355" s="66" t="str">
        <f>IFERROR(INDEX(M_SKU!$A$18:$J$57,MATCH(J355,M_SKU!$B$18:$B$57,0),1),"UNKNOWN SKU")</f>
        <v>Krest Bitter Lemon RGB 300ml</v>
      </c>
      <c r="L355" s="63" t="s">
        <v>538</v>
      </c>
      <c r="M355" s="62">
        <v>46154</v>
      </c>
      <c r="N355" s="62">
        <v>46518</v>
      </c>
      <c r="O355" s="67">
        <v>4</v>
      </c>
      <c r="P355" s="68" t="s">
        <v>521</v>
      </c>
      <c r="Q355" s="63"/>
      <c r="R355" s="62"/>
      <c r="S355" s="69"/>
      <c r="T355" s="69"/>
      <c r="U355" s="66" t="str">
        <f t="shared" si="5"/>
        <v>MOS100788|FG009|CK3-33348</v>
      </c>
    </row>
    <row r="356" spans="1:21" ht="15" customHeight="1" x14ac:dyDescent="0.3">
      <c r="A356" s="70" t="s">
        <v>586</v>
      </c>
      <c r="B356" s="71">
        <v>166165</v>
      </c>
      <c r="C356" s="72">
        <v>46179</v>
      </c>
      <c r="D356" s="73" t="s">
        <v>361</v>
      </c>
      <c r="E356" s="74" t="s">
        <v>587</v>
      </c>
      <c r="F356" s="75">
        <f>IFERROR(INDEX(M_User!$A$12:$J$67,MATCH(D356,M_User!$D$12:$D$67,0),1),"UNMAPPED")</f>
        <v>66</v>
      </c>
      <c r="G356" s="76" t="str">
        <f>IFERROR(INDEX(M_User!$A$12:$J$67,MATCH(D356,M_User!$D$12:$D$67,0),3),"UNMAPPED")</f>
        <v>Masunga Mwala Ramadhani</v>
      </c>
      <c r="H356" s="75" t="str">
        <f>IFERROR(INDEX(M_User!$A$12:$J$67,MATCH(D356,M_User!$D$12:$D$67,0),5),"UNMAPPED")</f>
        <v>MOS</v>
      </c>
      <c r="I356" s="73" t="s">
        <v>149</v>
      </c>
      <c r="J356" s="73" t="s">
        <v>199</v>
      </c>
      <c r="K356" s="76" t="str">
        <f>IFERROR(INDEX(M_SKU!$A$18:$J$57,MATCH(J356,M_SKU!$B$18:$B$57,0),1),"UNKNOWN SKU")</f>
        <v>Krest Club Soda RGB 300ml</v>
      </c>
      <c r="L356" s="73" t="s">
        <v>539</v>
      </c>
      <c r="M356" s="72">
        <v>46140</v>
      </c>
      <c r="N356" s="72">
        <v>46504</v>
      </c>
      <c r="O356" s="77">
        <v>4</v>
      </c>
      <c r="P356" s="78" t="s">
        <v>521</v>
      </c>
      <c r="Q356" s="79"/>
      <c r="R356" s="80"/>
      <c r="S356" s="81"/>
      <c r="T356" s="81"/>
      <c r="U356" s="82" t="str">
        <f t="shared" si="5"/>
        <v>MOS100788|FG010|CK3-33301</v>
      </c>
    </row>
    <row r="357" spans="1:21" ht="15" customHeight="1" x14ac:dyDescent="0.3">
      <c r="A357" s="60" t="s">
        <v>586</v>
      </c>
      <c r="B357" s="61">
        <v>166165</v>
      </c>
      <c r="C357" s="62">
        <v>46179</v>
      </c>
      <c r="D357" s="63" t="s">
        <v>361</v>
      </c>
      <c r="E357" s="64" t="s">
        <v>587</v>
      </c>
      <c r="F357" s="65">
        <f>IFERROR(INDEX(M_User!$A$12:$J$67,MATCH(D357,M_User!$D$12:$D$67,0),1),"UNMAPPED")</f>
        <v>66</v>
      </c>
      <c r="G357" s="66" t="str">
        <f>IFERROR(INDEX(M_User!$A$12:$J$67,MATCH(D357,M_User!$D$12:$D$67,0),3),"UNMAPPED")</f>
        <v>Masunga Mwala Ramadhani</v>
      </c>
      <c r="H357" s="65" t="str">
        <f>IFERROR(INDEX(M_User!$A$12:$J$67,MATCH(D357,M_User!$D$12:$D$67,0),5),"UNMAPPED")</f>
        <v>MOS</v>
      </c>
      <c r="I357" s="63" t="s">
        <v>149</v>
      </c>
      <c r="J357" s="63" t="s">
        <v>201</v>
      </c>
      <c r="K357" s="66" t="str">
        <f>IFERROR(INDEX(M_SKU!$A$18:$J$57,MATCH(J357,M_SKU!$B$18:$B$57,0),1),"UNKNOWN SKU")</f>
        <v>Krest Tonic Water RGB 300ml</v>
      </c>
      <c r="L357" s="63" t="s">
        <v>540</v>
      </c>
      <c r="M357" s="62">
        <v>46154</v>
      </c>
      <c r="N357" s="62">
        <v>46518</v>
      </c>
      <c r="O357" s="67">
        <v>5</v>
      </c>
      <c r="P357" s="68" t="s">
        <v>521</v>
      </c>
      <c r="Q357" s="63"/>
      <c r="R357" s="62"/>
      <c r="S357" s="69"/>
      <c r="T357" s="69"/>
      <c r="U357" s="66" t="str">
        <f t="shared" si="5"/>
        <v>MOS100788|FG011|CK3-33347</v>
      </c>
    </row>
    <row r="358" spans="1:21" ht="15" customHeight="1" x14ac:dyDescent="0.3">
      <c r="A358" s="70" t="s">
        <v>586</v>
      </c>
      <c r="B358" s="71">
        <v>166165</v>
      </c>
      <c r="C358" s="72">
        <v>46179</v>
      </c>
      <c r="D358" s="73" t="s">
        <v>361</v>
      </c>
      <c r="E358" s="74" t="s">
        <v>587</v>
      </c>
      <c r="F358" s="75">
        <f>IFERROR(INDEX(M_User!$A$12:$J$67,MATCH(D358,M_User!$D$12:$D$67,0),1),"UNMAPPED")</f>
        <v>66</v>
      </c>
      <c r="G358" s="76" t="str">
        <f>IFERROR(INDEX(M_User!$A$12:$J$67,MATCH(D358,M_User!$D$12:$D$67,0),3),"UNMAPPED")</f>
        <v>Masunga Mwala Ramadhani</v>
      </c>
      <c r="H358" s="75" t="str">
        <f>IFERROR(INDEX(M_User!$A$12:$J$67,MATCH(D358,M_User!$D$12:$D$67,0),5),"UNMAPPED")</f>
        <v>MOS</v>
      </c>
      <c r="I358" s="73" t="s">
        <v>149</v>
      </c>
      <c r="J358" s="73" t="s">
        <v>203</v>
      </c>
      <c r="K358" s="76" t="str">
        <f>IFERROR(INDEX(M_SKU!$A$18:$J$57,MATCH(J358,M_SKU!$B$18:$B$57,0),1),"UNKNOWN SKU")</f>
        <v>Krest Ginger Ale RGB 300ml</v>
      </c>
      <c r="L358" s="73" t="s">
        <v>541</v>
      </c>
      <c r="M358" s="72">
        <v>46088</v>
      </c>
      <c r="N358" s="72">
        <v>46452</v>
      </c>
      <c r="O358" s="77">
        <v>4</v>
      </c>
      <c r="P358" s="78" t="s">
        <v>521</v>
      </c>
      <c r="Q358" s="79"/>
      <c r="R358" s="80"/>
      <c r="S358" s="81"/>
      <c r="T358" s="81"/>
      <c r="U358" s="82" t="str">
        <f t="shared" si="5"/>
        <v>MOS100788|FG012|CK3-33126</v>
      </c>
    </row>
    <row r="359" spans="1:21" ht="15" customHeight="1" x14ac:dyDescent="0.3">
      <c r="A359" s="60" t="s">
        <v>586</v>
      </c>
      <c r="B359" s="61">
        <v>166165</v>
      </c>
      <c r="C359" s="62">
        <v>46179</v>
      </c>
      <c r="D359" s="63" t="s">
        <v>361</v>
      </c>
      <c r="E359" s="64" t="s">
        <v>587</v>
      </c>
      <c r="F359" s="65">
        <f>IFERROR(INDEX(M_User!$A$12:$J$67,MATCH(D359,M_User!$D$12:$D$67,0),1),"UNMAPPED")</f>
        <v>66</v>
      </c>
      <c r="G359" s="66" t="str">
        <f>IFERROR(INDEX(M_User!$A$12:$J$67,MATCH(D359,M_User!$D$12:$D$67,0),3),"UNMAPPED")</f>
        <v>Masunga Mwala Ramadhani</v>
      </c>
      <c r="H359" s="65" t="str">
        <f>IFERROR(INDEX(M_User!$A$12:$J$67,MATCH(D359,M_User!$D$12:$D$67,0),5),"UNMAPPED")</f>
        <v>MOS</v>
      </c>
      <c r="I359" s="63" t="s">
        <v>149</v>
      </c>
      <c r="J359" s="63" t="s">
        <v>209</v>
      </c>
      <c r="K359" s="66" t="str">
        <f>IFERROR(INDEX(M_SKU!$A$18:$J$57,MATCH(J359,M_SKU!$B$18:$B$57,0),1),"UNKNOWN SKU")</f>
        <v>Sparletta Red Apple RGB 350ml</v>
      </c>
      <c r="L359" s="63" t="s">
        <v>542</v>
      </c>
      <c r="M359" s="62">
        <v>46010</v>
      </c>
      <c r="N359" s="62">
        <v>46374</v>
      </c>
      <c r="O359" s="67">
        <v>2</v>
      </c>
      <c r="P359" s="68" t="s">
        <v>521</v>
      </c>
      <c r="Q359" s="63"/>
      <c r="R359" s="62"/>
      <c r="S359" s="69"/>
      <c r="T359" s="69"/>
      <c r="U359" s="66" t="str">
        <f t="shared" si="5"/>
        <v>MOS100788|FG024|CK3-32758</v>
      </c>
    </row>
    <row r="360" spans="1:21" ht="15" customHeight="1" x14ac:dyDescent="0.3">
      <c r="A360" s="70" t="s">
        <v>586</v>
      </c>
      <c r="B360" s="71">
        <v>166165</v>
      </c>
      <c r="C360" s="72">
        <v>46179</v>
      </c>
      <c r="D360" s="73" t="s">
        <v>361</v>
      </c>
      <c r="E360" s="74" t="s">
        <v>587</v>
      </c>
      <c r="F360" s="75">
        <f>IFERROR(INDEX(M_User!$A$12:$J$67,MATCH(D360,M_User!$D$12:$D$67,0),1),"UNMAPPED")</f>
        <v>66</v>
      </c>
      <c r="G360" s="76" t="str">
        <f>IFERROR(INDEX(M_User!$A$12:$J$67,MATCH(D360,M_User!$D$12:$D$67,0),3),"UNMAPPED")</f>
        <v>Masunga Mwala Ramadhani</v>
      </c>
      <c r="H360" s="75" t="str">
        <f>IFERROR(INDEX(M_User!$A$12:$J$67,MATCH(D360,M_User!$D$12:$D$67,0),5),"UNMAPPED")</f>
        <v>MOS</v>
      </c>
      <c r="I360" s="73" t="s">
        <v>149</v>
      </c>
      <c r="J360" s="73" t="s">
        <v>211</v>
      </c>
      <c r="K360" s="76" t="str">
        <f>IFERROR(INDEX(M_SKU!$A$18:$J$57,MATCH(J360,M_SKU!$B$18:$B$57,0),1),"UNKNOWN SKU")</f>
        <v>KNMW 500ml</v>
      </c>
      <c r="L360" s="73" t="s">
        <v>543</v>
      </c>
      <c r="M360" s="72">
        <v>46177</v>
      </c>
      <c r="N360" s="72">
        <v>46541</v>
      </c>
      <c r="O360" s="77">
        <v>80</v>
      </c>
      <c r="P360" s="78" t="s">
        <v>521</v>
      </c>
      <c r="Q360" s="79"/>
      <c r="R360" s="80"/>
      <c r="S360" s="81"/>
      <c r="T360" s="81"/>
      <c r="U360" s="82" t="str">
        <f t="shared" si="5"/>
        <v>MOS100788|KD001|CK6-986</v>
      </c>
    </row>
    <row r="361" spans="1:21" ht="15" customHeight="1" x14ac:dyDescent="0.3">
      <c r="A361" s="60" t="s">
        <v>586</v>
      </c>
      <c r="B361" s="61">
        <v>166165</v>
      </c>
      <c r="C361" s="62">
        <v>46179</v>
      </c>
      <c r="D361" s="63" t="s">
        <v>361</v>
      </c>
      <c r="E361" s="64" t="s">
        <v>587</v>
      </c>
      <c r="F361" s="65">
        <f>IFERROR(INDEX(M_User!$A$12:$J$67,MATCH(D361,M_User!$D$12:$D$67,0),1),"UNMAPPED")</f>
        <v>66</v>
      </c>
      <c r="G361" s="66" t="str">
        <f>IFERROR(INDEX(M_User!$A$12:$J$67,MATCH(D361,M_User!$D$12:$D$67,0),3),"UNMAPPED")</f>
        <v>Masunga Mwala Ramadhani</v>
      </c>
      <c r="H361" s="65" t="str">
        <f>IFERROR(INDEX(M_User!$A$12:$J$67,MATCH(D361,M_User!$D$12:$D$67,0),5),"UNMAPPED")</f>
        <v>MOS</v>
      </c>
      <c r="I361" s="63" t="s">
        <v>149</v>
      </c>
      <c r="J361" s="63" t="s">
        <v>217</v>
      </c>
      <c r="K361" s="66" t="str">
        <f>IFERROR(INDEX(M_SKU!$A$18:$J$57,MATCH(J361,M_SKU!$B$18:$B$57,0),1),"UNKNOWN SKU")</f>
        <v>KNMW 1500ml</v>
      </c>
      <c r="L361" s="63" t="s">
        <v>551</v>
      </c>
      <c r="M361" s="62">
        <v>46177</v>
      </c>
      <c r="N361" s="62">
        <v>46541</v>
      </c>
      <c r="O361" s="67">
        <v>180</v>
      </c>
      <c r="P361" s="68" t="s">
        <v>521</v>
      </c>
      <c r="Q361" s="63"/>
      <c r="R361" s="62"/>
      <c r="S361" s="69"/>
      <c r="T361" s="69"/>
      <c r="U361" s="66" t="str">
        <f t="shared" si="5"/>
        <v>MOS100788|KD003|CK4-842</v>
      </c>
    </row>
    <row r="362" spans="1:21" ht="15" customHeight="1" x14ac:dyDescent="0.3">
      <c r="A362" s="70" t="s">
        <v>586</v>
      </c>
      <c r="B362" s="71">
        <v>166165</v>
      </c>
      <c r="C362" s="72">
        <v>46179</v>
      </c>
      <c r="D362" s="73" t="s">
        <v>361</v>
      </c>
      <c r="E362" s="74" t="s">
        <v>587</v>
      </c>
      <c r="F362" s="75">
        <f>IFERROR(INDEX(M_User!$A$12:$J$67,MATCH(D362,M_User!$D$12:$D$67,0),1),"UNMAPPED")</f>
        <v>66</v>
      </c>
      <c r="G362" s="76" t="str">
        <f>IFERROR(INDEX(M_User!$A$12:$J$67,MATCH(D362,M_User!$D$12:$D$67,0),3),"UNMAPPED")</f>
        <v>Masunga Mwala Ramadhani</v>
      </c>
      <c r="H362" s="75" t="str">
        <f>IFERROR(INDEX(M_User!$A$12:$J$67,MATCH(D362,M_User!$D$12:$D$67,0),5),"UNMAPPED")</f>
        <v>MOS</v>
      </c>
      <c r="I362" s="73" t="s">
        <v>149</v>
      </c>
      <c r="J362" s="73" t="s">
        <v>229</v>
      </c>
      <c r="K362" s="76" t="str">
        <f>IFERROR(INDEX(M_SKU!$A$18:$J$57,MATCH(J362,M_SKU!$B$18:$B$57,0),1),"UNKNOWN SKU")</f>
        <v>Coke Pet 500ML ( x12)</v>
      </c>
      <c r="L362" s="73" t="s">
        <v>520</v>
      </c>
      <c r="M362" s="72">
        <v>46177</v>
      </c>
      <c r="N362" s="72">
        <v>46288</v>
      </c>
      <c r="O362" s="77">
        <v>65</v>
      </c>
      <c r="P362" s="78" t="s">
        <v>521</v>
      </c>
      <c r="Q362" s="79"/>
      <c r="R362" s="80"/>
      <c r="S362" s="81"/>
      <c r="T362" s="81"/>
      <c r="U362" s="82" t="str">
        <f t="shared" si="5"/>
        <v>MOS100788|PH001|CK6-33411</v>
      </c>
    </row>
    <row r="363" spans="1:21" ht="15" customHeight="1" x14ac:dyDescent="0.3">
      <c r="A363" s="60" t="s">
        <v>586</v>
      </c>
      <c r="B363" s="61">
        <v>166165</v>
      </c>
      <c r="C363" s="62">
        <v>46179</v>
      </c>
      <c r="D363" s="63" t="s">
        <v>361</v>
      </c>
      <c r="E363" s="64" t="s">
        <v>587</v>
      </c>
      <c r="F363" s="65">
        <f>IFERROR(INDEX(M_User!$A$12:$J$67,MATCH(D363,M_User!$D$12:$D$67,0),1),"UNMAPPED")</f>
        <v>66</v>
      </c>
      <c r="G363" s="66" t="str">
        <f>IFERROR(INDEX(M_User!$A$12:$J$67,MATCH(D363,M_User!$D$12:$D$67,0),3),"UNMAPPED")</f>
        <v>Masunga Mwala Ramadhani</v>
      </c>
      <c r="H363" s="65" t="str">
        <f>IFERROR(INDEX(M_User!$A$12:$J$67,MATCH(D363,M_User!$D$12:$D$67,0),5),"UNMAPPED")</f>
        <v>MOS</v>
      </c>
      <c r="I363" s="63" t="s">
        <v>149</v>
      </c>
      <c r="J363" s="63" t="s">
        <v>232</v>
      </c>
      <c r="K363" s="66" t="str">
        <f>IFERROR(INDEX(M_SKU!$A$18:$J$57,MATCH(J363,M_SKU!$B$18:$B$57,0),1),"UNKNOWN SKU")</f>
        <v>Sprite Pet 500ML (x 12)</v>
      </c>
      <c r="L363" s="63" t="s">
        <v>522</v>
      </c>
      <c r="M363" s="62">
        <v>46158</v>
      </c>
      <c r="N363" s="62">
        <v>46269</v>
      </c>
      <c r="O363" s="67">
        <v>10</v>
      </c>
      <c r="P363" s="68" t="s">
        <v>521</v>
      </c>
      <c r="Q363" s="63"/>
      <c r="R363" s="62"/>
      <c r="S363" s="69"/>
      <c r="T363" s="69"/>
      <c r="U363" s="66" t="str">
        <f t="shared" si="5"/>
        <v>MOS100788|PH002|CK6-33362</v>
      </c>
    </row>
    <row r="364" spans="1:21" ht="15" customHeight="1" x14ac:dyDescent="0.3">
      <c r="A364" s="70" t="s">
        <v>586</v>
      </c>
      <c r="B364" s="71">
        <v>166165</v>
      </c>
      <c r="C364" s="72">
        <v>46179</v>
      </c>
      <c r="D364" s="73" t="s">
        <v>361</v>
      </c>
      <c r="E364" s="74" t="s">
        <v>587</v>
      </c>
      <c r="F364" s="75">
        <f>IFERROR(INDEX(M_User!$A$12:$J$67,MATCH(D364,M_User!$D$12:$D$67,0),1),"UNMAPPED")</f>
        <v>66</v>
      </c>
      <c r="G364" s="76" t="str">
        <f>IFERROR(INDEX(M_User!$A$12:$J$67,MATCH(D364,M_User!$D$12:$D$67,0),3),"UNMAPPED")</f>
        <v>Masunga Mwala Ramadhani</v>
      </c>
      <c r="H364" s="75" t="str">
        <f>IFERROR(INDEX(M_User!$A$12:$J$67,MATCH(D364,M_User!$D$12:$D$67,0),5),"UNMAPPED")</f>
        <v>MOS</v>
      </c>
      <c r="I364" s="73" t="s">
        <v>149</v>
      </c>
      <c r="J364" s="73" t="s">
        <v>234</v>
      </c>
      <c r="K364" s="76" t="str">
        <f>IFERROR(INDEX(M_SKU!$A$18:$J$57,MATCH(J364,M_SKU!$B$18:$B$57,0),1),"UNKNOWN SKU")</f>
        <v>Fanta Orange Pet 500ML ( x 12)</v>
      </c>
      <c r="L364" s="73" t="s">
        <v>523</v>
      </c>
      <c r="M364" s="72">
        <v>46172</v>
      </c>
      <c r="N364" s="72">
        <v>46283</v>
      </c>
      <c r="O364" s="77">
        <v>35</v>
      </c>
      <c r="P364" s="78" t="s">
        <v>521</v>
      </c>
      <c r="Q364" s="79"/>
      <c r="R364" s="80"/>
      <c r="S364" s="81"/>
      <c r="T364" s="81"/>
      <c r="U364" s="82" t="str">
        <f t="shared" si="5"/>
        <v>MOS100788|PH003|CK6-33405</v>
      </c>
    </row>
    <row r="365" spans="1:21" ht="15" customHeight="1" x14ac:dyDescent="0.3">
      <c r="A365" s="60" t="s">
        <v>586</v>
      </c>
      <c r="B365" s="61">
        <v>166165</v>
      </c>
      <c r="C365" s="62">
        <v>46179</v>
      </c>
      <c r="D365" s="63" t="s">
        <v>361</v>
      </c>
      <c r="E365" s="64" t="s">
        <v>587</v>
      </c>
      <c r="F365" s="65">
        <f>IFERROR(INDEX(M_User!$A$12:$J$67,MATCH(D365,M_User!$D$12:$D$67,0),1),"UNMAPPED")</f>
        <v>66</v>
      </c>
      <c r="G365" s="66" t="str">
        <f>IFERROR(INDEX(M_User!$A$12:$J$67,MATCH(D365,M_User!$D$12:$D$67,0),3),"UNMAPPED")</f>
        <v>Masunga Mwala Ramadhani</v>
      </c>
      <c r="H365" s="65" t="str">
        <f>IFERROR(INDEX(M_User!$A$12:$J$67,MATCH(D365,M_User!$D$12:$D$67,0),5),"UNMAPPED")</f>
        <v>MOS</v>
      </c>
      <c r="I365" s="63" t="s">
        <v>149</v>
      </c>
      <c r="J365" s="63" t="s">
        <v>236</v>
      </c>
      <c r="K365" s="66" t="str">
        <f>IFERROR(INDEX(M_SKU!$A$18:$J$57,MATCH(J365,M_SKU!$B$18:$B$57,0),1),"UNKNOWN SKU")</f>
        <v>Fanta Passion Pet 500ML ( x12)</v>
      </c>
      <c r="L365" s="63" t="s">
        <v>524</v>
      </c>
      <c r="M365" s="62">
        <v>46151</v>
      </c>
      <c r="N365" s="62">
        <v>46262</v>
      </c>
      <c r="O365" s="67">
        <v>10</v>
      </c>
      <c r="P365" s="68" t="s">
        <v>521</v>
      </c>
      <c r="Q365" s="63"/>
      <c r="R365" s="62"/>
      <c r="S365" s="69"/>
      <c r="T365" s="69"/>
      <c r="U365" s="66" t="str">
        <f t="shared" si="5"/>
        <v>MOS100788|PH004|CK5-33334</v>
      </c>
    </row>
    <row r="366" spans="1:21" ht="15" customHeight="1" x14ac:dyDescent="0.3">
      <c r="A366" s="70" t="s">
        <v>586</v>
      </c>
      <c r="B366" s="71">
        <v>166165</v>
      </c>
      <c r="C366" s="72">
        <v>46179</v>
      </c>
      <c r="D366" s="73" t="s">
        <v>361</v>
      </c>
      <c r="E366" s="74" t="s">
        <v>587</v>
      </c>
      <c r="F366" s="75">
        <f>IFERROR(INDEX(M_User!$A$12:$J$67,MATCH(D366,M_User!$D$12:$D$67,0),1),"UNMAPPED")</f>
        <v>66</v>
      </c>
      <c r="G366" s="76" t="str">
        <f>IFERROR(INDEX(M_User!$A$12:$J$67,MATCH(D366,M_User!$D$12:$D$67,0),3),"UNMAPPED")</f>
        <v>Masunga Mwala Ramadhani</v>
      </c>
      <c r="H366" s="75" t="str">
        <f>IFERROR(INDEX(M_User!$A$12:$J$67,MATCH(D366,M_User!$D$12:$D$67,0),5),"UNMAPPED")</f>
        <v>MOS</v>
      </c>
      <c r="I366" s="73" t="s">
        <v>149</v>
      </c>
      <c r="J366" s="73" t="s">
        <v>242</v>
      </c>
      <c r="K366" s="76" t="str">
        <f>IFERROR(INDEX(M_SKU!$A$18:$J$57,MATCH(J366,M_SKU!$B$18:$B$57,0),1),"UNKNOWN SKU")</f>
        <v>Stoney Tangawizi Pet 500 ml ( x12)</v>
      </c>
      <c r="L366" s="73" t="s">
        <v>525</v>
      </c>
      <c r="M366" s="72">
        <v>46161</v>
      </c>
      <c r="N366" s="72">
        <v>46272</v>
      </c>
      <c r="O366" s="77">
        <v>6</v>
      </c>
      <c r="P366" s="78" t="s">
        <v>521</v>
      </c>
      <c r="Q366" s="79"/>
      <c r="R366" s="80"/>
      <c r="S366" s="81"/>
      <c r="T366" s="81"/>
      <c r="U366" s="82" t="str">
        <f t="shared" si="5"/>
        <v>MOS100788|PH007|CK6-33375</v>
      </c>
    </row>
    <row r="367" spans="1:21" ht="15" customHeight="1" x14ac:dyDescent="0.3">
      <c r="A367" s="60" t="s">
        <v>586</v>
      </c>
      <c r="B367" s="61">
        <v>166165</v>
      </c>
      <c r="C367" s="62">
        <v>46179</v>
      </c>
      <c r="D367" s="63" t="s">
        <v>361</v>
      </c>
      <c r="E367" s="64" t="s">
        <v>587</v>
      </c>
      <c r="F367" s="65">
        <f>IFERROR(INDEX(M_User!$A$12:$J$67,MATCH(D367,M_User!$D$12:$D$67,0),1),"UNMAPPED")</f>
        <v>66</v>
      </c>
      <c r="G367" s="66" t="str">
        <f>IFERROR(INDEX(M_User!$A$12:$J$67,MATCH(D367,M_User!$D$12:$D$67,0),3),"UNMAPPED")</f>
        <v>Masunga Mwala Ramadhani</v>
      </c>
      <c r="H367" s="65" t="str">
        <f>IFERROR(INDEX(M_User!$A$12:$J$67,MATCH(D367,M_User!$D$12:$D$67,0),5),"UNMAPPED")</f>
        <v>MOS</v>
      </c>
      <c r="I367" s="63" t="s">
        <v>149</v>
      </c>
      <c r="J367" s="63" t="s">
        <v>244</v>
      </c>
      <c r="K367" s="66" t="str">
        <f>IFERROR(INDEX(M_SKU!$A$18:$J$57,MATCH(J367,M_SKU!$B$18:$B$57,0),1),"UNKNOWN SKU")</f>
        <v>Sparletta Pinenut Pet 500 ml ( x12)</v>
      </c>
      <c r="L367" s="63" t="s">
        <v>526</v>
      </c>
      <c r="M367" s="62">
        <v>46161</v>
      </c>
      <c r="N367" s="62">
        <v>46272</v>
      </c>
      <c r="O367" s="67">
        <v>6</v>
      </c>
      <c r="P367" s="68" t="s">
        <v>521</v>
      </c>
      <c r="Q367" s="63"/>
      <c r="R367" s="62"/>
      <c r="S367" s="69"/>
      <c r="T367" s="69"/>
      <c r="U367" s="66" t="str">
        <f t="shared" si="5"/>
        <v>MOS100788|PH008|CK5-33370</v>
      </c>
    </row>
    <row r="368" spans="1:21" ht="15" customHeight="1" x14ac:dyDescent="0.3">
      <c r="A368" s="70" t="s">
        <v>586</v>
      </c>
      <c r="B368" s="71">
        <v>166165</v>
      </c>
      <c r="C368" s="72">
        <v>46179</v>
      </c>
      <c r="D368" s="73" t="s">
        <v>361</v>
      </c>
      <c r="E368" s="74" t="s">
        <v>587</v>
      </c>
      <c r="F368" s="75">
        <f>IFERROR(INDEX(M_User!$A$12:$J$67,MATCH(D368,M_User!$D$12:$D$67,0),1),"UNMAPPED")</f>
        <v>66</v>
      </c>
      <c r="G368" s="76" t="str">
        <f>IFERROR(INDEX(M_User!$A$12:$J$67,MATCH(D368,M_User!$D$12:$D$67,0),3),"UNMAPPED")</f>
        <v>Masunga Mwala Ramadhani</v>
      </c>
      <c r="H368" s="75" t="str">
        <f>IFERROR(INDEX(M_User!$A$12:$J$67,MATCH(D368,M_User!$D$12:$D$67,0),5),"UNMAPPED")</f>
        <v>MOS</v>
      </c>
      <c r="I368" s="73" t="s">
        <v>149</v>
      </c>
      <c r="J368" s="73" t="s">
        <v>252</v>
      </c>
      <c r="K368" s="76" t="str">
        <f>IFERROR(INDEX(M_SKU!$A$18:$J$57,MATCH(J368,M_SKU!$B$18:$B$57,0),1),"UNKNOWN SKU")</f>
        <v>Sprite Zero Pet 300ML (x 12)</v>
      </c>
      <c r="L368" s="73" t="s">
        <v>545</v>
      </c>
      <c r="M368" s="72">
        <v>46158</v>
      </c>
      <c r="N368" s="72">
        <v>46241</v>
      </c>
      <c r="O368" s="77">
        <v>5</v>
      </c>
      <c r="P368" s="78" t="s">
        <v>521</v>
      </c>
      <c r="Q368" s="79"/>
      <c r="R368" s="80"/>
      <c r="S368" s="81"/>
      <c r="T368" s="81"/>
      <c r="U368" s="82" t="str">
        <f t="shared" si="5"/>
        <v>MOS100788|PO010|CK5-33360</v>
      </c>
    </row>
    <row r="369" spans="1:21" ht="15" customHeight="1" x14ac:dyDescent="0.3">
      <c r="A369" s="60" t="s">
        <v>586</v>
      </c>
      <c r="B369" s="61">
        <v>166165</v>
      </c>
      <c r="C369" s="62">
        <v>46179</v>
      </c>
      <c r="D369" s="63" t="s">
        <v>361</v>
      </c>
      <c r="E369" s="64" t="s">
        <v>587</v>
      </c>
      <c r="F369" s="65">
        <f>IFERROR(INDEX(M_User!$A$12:$J$67,MATCH(D369,M_User!$D$12:$D$67,0),1),"UNMAPPED")</f>
        <v>66</v>
      </c>
      <c r="G369" s="66" t="str">
        <f>IFERROR(INDEX(M_User!$A$12:$J$67,MATCH(D369,M_User!$D$12:$D$67,0),3),"UNMAPPED")</f>
        <v>Masunga Mwala Ramadhani</v>
      </c>
      <c r="H369" s="65" t="str">
        <f>IFERROR(INDEX(M_User!$A$12:$J$67,MATCH(D369,M_User!$D$12:$D$67,0),5),"UNMAPPED")</f>
        <v>MOS</v>
      </c>
      <c r="I369" s="63" t="s">
        <v>149</v>
      </c>
      <c r="J369" s="63" t="s">
        <v>254</v>
      </c>
      <c r="K369" s="66" t="str">
        <f>IFERROR(INDEX(M_SKU!$A$18:$J$57,MATCH(J369,M_SKU!$B$18:$B$57,0),1),"UNKNOWN SKU")</f>
        <v>Fanta Zero Pet 300ML (x 12)</v>
      </c>
      <c r="L369" s="63" t="s">
        <v>546</v>
      </c>
      <c r="M369" s="62">
        <v>46159</v>
      </c>
      <c r="N369" s="62">
        <v>46242</v>
      </c>
      <c r="O369" s="67">
        <v>5</v>
      </c>
      <c r="P369" s="68" t="s">
        <v>521</v>
      </c>
      <c r="Q369" s="63"/>
      <c r="R369" s="62"/>
      <c r="S369" s="69"/>
      <c r="T369" s="69"/>
      <c r="U369" s="66" t="str">
        <f t="shared" si="5"/>
        <v>MOS100788|PO012|CK5-33369</v>
      </c>
    </row>
    <row r="370" spans="1:21" ht="15" customHeight="1" x14ac:dyDescent="0.3">
      <c r="A370" s="70" t="s">
        <v>586</v>
      </c>
      <c r="B370" s="71">
        <v>166165</v>
      </c>
      <c r="C370" s="72">
        <v>46179</v>
      </c>
      <c r="D370" s="73" t="s">
        <v>361</v>
      </c>
      <c r="E370" s="74" t="s">
        <v>587</v>
      </c>
      <c r="F370" s="75">
        <f>IFERROR(INDEX(M_User!$A$12:$J$67,MATCH(D370,M_User!$D$12:$D$67,0),1),"UNMAPPED")</f>
        <v>66</v>
      </c>
      <c r="G370" s="76" t="str">
        <f>IFERROR(INDEX(M_User!$A$12:$J$67,MATCH(D370,M_User!$D$12:$D$67,0),3),"UNMAPPED")</f>
        <v>Masunga Mwala Ramadhani</v>
      </c>
      <c r="H370" s="75" t="str">
        <f>IFERROR(INDEX(M_User!$A$12:$J$67,MATCH(D370,M_User!$D$12:$D$67,0),5),"UNMAPPED")</f>
        <v>MOS</v>
      </c>
      <c r="I370" s="73" t="s">
        <v>149</v>
      </c>
      <c r="J370" s="73" t="s">
        <v>261</v>
      </c>
      <c r="K370" s="76" t="str">
        <f>IFERROR(INDEX(M_SKU!$A$18:$J$57,MATCH(J370,M_SKU!$B$18:$B$57,0),1),"UNKNOWN SKU")</f>
        <v>Sparletta Pine Apple Pet 300ML (x 12)</v>
      </c>
      <c r="L370" s="73" t="s">
        <v>547</v>
      </c>
      <c r="M370" s="72">
        <v>46158</v>
      </c>
      <c r="N370" s="72">
        <v>46241</v>
      </c>
      <c r="O370" s="77">
        <v>10</v>
      </c>
      <c r="P370" s="78" t="s">
        <v>521</v>
      </c>
      <c r="Q370" s="79"/>
      <c r="R370" s="80"/>
      <c r="S370" s="81"/>
      <c r="T370" s="81"/>
      <c r="U370" s="82" t="str">
        <f t="shared" si="5"/>
        <v>MOS100788|PO015|CK5-33366</v>
      </c>
    </row>
    <row r="371" spans="1:21" ht="15" customHeight="1" x14ac:dyDescent="0.3">
      <c r="A371" s="60" t="s">
        <v>588</v>
      </c>
      <c r="B371" s="61">
        <v>166170</v>
      </c>
      <c r="C371" s="62">
        <v>46179</v>
      </c>
      <c r="D371" s="63" t="s">
        <v>415</v>
      </c>
      <c r="E371" s="64" t="s">
        <v>414</v>
      </c>
      <c r="F371" s="65">
        <f>IFERROR(INDEX(M_User!$A$12:$J$67,MATCH(D371,M_User!$D$12:$D$67,0),1),"UNMAPPED")</f>
        <v>45</v>
      </c>
      <c r="G371" s="66" t="str">
        <f>IFERROR(INDEX(M_User!$A$12:$J$67,MATCH(D371,M_User!$D$12:$D$67,0),3),"UNMAPPED")</f>
        <v>Joyline J Lyimo</v>
      </c>
      <c r="H371" s="65" t="str">
        <f>IFERROR(INDEX(M_User!$A$12:$J$67,MATCH(D371,M_User!$D$12:$D$67,0),5),"UNMAPPED")</f>
        <v>MOS</v>
      </c>
      <c r="I371" s="63" t="s">
        <v>149</v>
      </c>
      <c r="J371" s="63" t="s">
        <v>170</v>
      </c>
      <c r="K371" s="66" t="str">
        <f>IFERROR(INDEX(M_SKU!$A$18:$J$57,MATCH(J371,M_SKU!$B$18:$B$57,0),1),"UNKNOWN SKU")</f>
        <v>Coke RGB 350ml</v>
      </c>
      <c r="L371" s="63" t="s">
        <v>585</v>
      </c>
      <c r="M371" s="62">
        <v>46175</v>
      </c>
      <c r="N371" s="62">
        <v>46539</v>
      </c>
      <c r="O371" s="67">
        <v>67</v>
      </c>
      <c r="P371" s="68" t="s">
        <v>521</v>
      </c>
      <c r="Q371" s="63"/>
      <c r="R371" s="62"/>
      <c r="S371" s="69"/>
      <c r="T371" s="69"/>
      <c r="U371" s="66" t="str">
        <f t="shared" si="5"/>
        <v>MOS100802|FG001|CK3-33410</v>
      </c>
    </row>
    <row r="372" spans="1:21" ht="15" customHeight="1" x14ac:dyDescent="0.3">
      <c r="A372" s="70" t="s">
        <v>588</v>
      </c>
      <c r="B372" s="71">
        <v>166170</v>
      </c>
      <c r="C372" s="72">
        <v>46179</v>
      </c>
      <c r="D372" s="73" t="s">
        <v>415</v>
      </c>
      <c r="E372" s="74" t="s">
        <v>414</v>
      </c>
      <c r="F372" s="75">
        <f>IFERROR(INDEX(M_User!$A$12:$J$67,MATCH(D372,M_User!$D$12:$D$67,0),1),"UNMAPPED")</f>
        <v>45</v>
      </c>
      <c r="G372" s="76" t="str">
        <f>IFERROR(INDEX(M_User!$A$12:$J$67,MATCH(D372,M_User!$D$12:$D$67,0),3),"UNMAPPED")</f>
        <v>Joyline J Lyimo</v>
      </c>
      <c r="H372" s="75" t="str">
        <f>IFERROR(INDEX(M_User!$A$12:$J$67,MATCH(D372,M_User!$D$12:$D$67,0),5),"UNMAPPED")</f>
        <v>MOS</v>
      </c>
      <c r="I372" s="73" t="s">
        <v>149</v>
      </c>
      <c r="J372" s="73" t="s">
        <v>178</v>
      </c>
      <c r="K372" s="76" t="str">
        <f>IFERROR(INDEX(M_SKU!$A$18:$J$57,MATCH(J372,M_SKU!$B$18:$B$57,0),1),"UNKNOWN SKU")</f>
        <v>Fanta Orange RGB 350ml</v>
      </c>
      <c r="L372" s="73" t="s">
        <v>531</v>
      </c>
      <c r="M372" s="72">
        <v>46174</v>
      </c>
      <c r="N372" s="72">
        <v>46538</v>
      </c>
      <c r="O372" s="77">
        <v>25</v>
      </c>
      <c r="P372" s="78" t="s">
        <v>521</v>
      </c>
      <c r="Q372" s="79"/>
      <c r="R372" s="80"/>
      <c r="S372" s="81"/>
      <c r="T372" s="81"/>
      <c r="U372" s="82" t="str">
        <f t="shared" si="5"/>
        <v>MOS100802|FG002|CK3-33407</v>
      </c>
    </row>
    <row r="373" spans="1:21" ht="15" customHeight="1" x14ac:dyDescent="0.3">
      <c r="A373" s="60" t="s">
        <v>588</v>
      </c>
      <c r="B373" s="61">
        <v>166170</v>
      </c>
      <c r="C373" s="62">
        <v>46179</v>
      </c>
      <c r="D373" s="63" t="s">
        <v>415</v>
      </c>
      <c r="E373" s="64" t="s">
        <v>414</v>
      </c>
      <c r="F373" s="65">
        <f>IFERROR(INDEX(M_User!$A$12:$J$67,MATCH(D373,M_User!$D$12:$D$67,0),1),"UNMAPPED")</f>
        <v>45</v>
      </c>
      <c r="G373" s="66" t="str">
        <f>IFERROR(INDEX(M_User!$A$12:$J$67,MATCH(D373,M_User!$D$12:$D$67,0),3),"UNMAPPED")</f>
        <v>Joyline J Lyimo</v>
      </c>
      <c r="H373" s="65" t="str">
        <f>IFERROR(INDEX(M_User!$A$12:$J$67,MATCH(D373,M_User!$D$12:$D$67,0),5),"UNMAPPED")</f>
        <v>MOS</v>
      </c>
      <c r="I373" s="63" t="s">
        <v>149</v>
      </c>
      <c r="J373" s="63" t="s">
        <v>181</v>
      </c>
      <c r="K373" s="66" t="str">
        <f>IFERROR(INDEX(M_SKU!$A$18:$J$57,MATCH(J373,M_SKU!$B$18:$B$57,0),1),"UNKNOWN SKU")</f>
        <v>Fanta Passion RGB 350ml</v>
      </c>
      <c r="L373" s="63" t="s">
        <v>550</v>
      </c>
      <c r="M373" s="62">
        <v>46158</v>
      </c>
      <c r="N373" s="62">
        <v>46521</v>
      </c>
      <c r="O373" s="67">
        <v>8</v>
      </c>
      <c r="P373" s="68" t="s">
        <v>521</v>
      </c>
      <c r="Q373" s="63"/>
      <c r="R373" s="62"/>
      <c r="S373" s="69"/>
      <c r="T373" s="69"/>
      <c r="U373" s="66" t="str">
        <f t="shared" si="5"/>
        <v>MOS100802|FG003|CK3-33356</v>
      </c>
    </row>
    <row r="374" spans="1:21" ht="15" customHeight="1" x14ac:dyDescent="0.3">
      <c r="A374" s="70" t="s">
        <v>588</v>
      </c>
      <c r="B374" s="71">
        <v>166170</v>
      </c>
      <c r="C374" s="72">
        <v>46179</v>
      </c>
      <c r="D374" s="73" t="s">
        <v>415</v>
      </c>
      <c r="E374" s="74" t="s">
        <v>414</v>
      </c>
      <c r="F374" s="75">
        <f>IFERROR(INDEX(M_User!$A$12:$J$67,MATCH(D374,M_User!$D$12:$D$67,0),1),"UNMAPPED")</f>
        <v>45</v>
      </c>
      <c r="G374" s="76" t="str">
        <f>IFERROR(INDEX(M_User!$A$12:$J$67,MATCH(D374,M_User!$D$12:$D$67,0),3),"UNMAPPED")</f>
        <v>Joyline J Lyimo</v>
      </c>
      <c r="H374" s="75" t="str">
        <f>IFERROR(INDEX(M_User!$A$12:$J$67,MATCH(D374,M_User!$D$12:$D$67,0),5),"UNMAPPED")</f>
        <v>MOS</v>
      </c>
      <c r="I374" s="73" t="s">
        <v>149</v>
      </c>
      <c r="J374" s="73" t="s">
        <v>183</v>
      </c>
      <c r="K374" s="76" t="str">
        <f>IFERROR(INDEX(M_SKU!$A$18:$J$57,MATCH(J374,M_SKU!$B$18:$B$57,0),1),"UNKNOWN SKU")</f>
        <v>Fanta Pineapple RGB 350ml</v>
      </c>
      <c r="L374" s="73" t="s">
        <v>533</v>
      </c>
      <c r="M374" s="72">
        <v>46163</v>
      </c>
      <c r="N374" s="72">
        <v>46527</v>
      </c>
      <c r="O374" s="77">
        <v>12</v>
      </c>
      <c r="P374" s="78" t="s">
        <v>521</v>
      </c>
      <c r="Q374" s="79"/>
      <c r="R374" s="80"/>
      <c r="S374" s="81"/>
      <c r="T374" s="81"/>
      <c r="U374" s="82" t="str">
        <f t="shared" si="5"/>
        <v>MOS100802|FG004|CK3-33385</v>
      </c>
    </row>
    <row r="375" spans="1:21" ht="15" customHeight="1" x14ac:dyDescent="0.3">
      <c r="A375" s="60" t="s">
        <v>588</v>
      </c>
      <c r="B375" s="61">
        <v>166170</v>
      </c>
      <c r="C375" s="62">
        <v>46179</v>
      </c>
      <c r="D375" s="63" t="s">
        <v>415</v>
      </c>
      <c r="E375" s="64" t="s">
        <v>414</v>
      </c>
      <c r="F375" s="65">
        <f>IFERROR(INDEX(M_User!$A$12:$J$67,MATCH(D375,M_User!$D$12:$D$67,0),1),"UNMAPPED")</f>
        <v>45</v>
      </c>
      <c r="G375" s="66" t="str">
        <f>IFERROR(INDEX(M_User!$A$12:$J$67,MATCH(D375,M_User!$D$12:$D$67,0),3),"UNMAPPED")</f>
        <v>Joyline J Lyimo</v>
      </c>
      <c r="H375" s="65" t="str">
        <f>IFERROR(INDEX(M_User!$A$12:$J$67,MATCH(D375,M_User!$D$12:$D$67,0),5),"UNMAPPED")</f>
        <v>MOS</v>
      </c>
      <c r="I375" s="63" t="s">
        <v>149</v>
      </c>
      <c r="J375" s="63" t="s">
        <v>185</v>
      </c>
      <c r="K375" s="66" t="str">
        <f>IFERROR(INDEX(M_SKU!$A$18:$J$57,MATCH(J375,M_SKU!$B$18:$B$57,0),1),"UNKNOWN SKU")</f>
        <v>Fanta Fruit Blast RGB 350 ml</v>
      </c>
      <c r="L375" s="63" t="s">
        <v>534</v>
      </c>
      <c r="M375" s="62">
        <v>46171</v>
      </c>
      <c r="N375" s="62">
        <v>46535</v>
      </c>
      <c r="O375" s="67">
        <v>3</v>
      </c>
      <c r="P375" s="68" t="s">
        <v>521</v>
      </c>
      <c r="Q375" s="63"/>
      <c r="R375" s="62"/>
      <c r="S375" s="69"/>
      <c r="T375" s="69"/>
      <c r="U375" s="66" t="str">
        <f t="shared" si="5"/>
        <v>MOS100802|FG005|CK3-33402</v>
      </c>
    </row>
    <row r="376" spans="1:21" ht="15" customHeight="1" x14ac:dyDescent="0.3">
      <c r="A376" s="70" t="s">
        <v>588</v>
      </c>
      <c r="B376" s="71">
        <v>166170</v>
      </c>
      <c r="C376" s="72">
        <v>46179</v>
      </c>
      <c r="D376" s="73" t="s">
        <v>415</v>
      </c>
      <c r="E376" s="74" t="s">
        <v>414</v>
      </c>
      <c r="F376" s="75">
        <f>IFERROR(INDEX(M_User!$A$12:$J$67,MATCH(D376,M_User!$D$12:$D$67,0),1),"UNMAPPED")</f>
        <v>45</v>
      </c>
      <c r="G376" s="76" t="str">
        <f>IFERROR(INDEX(M_User!$A$12:$J$67,MATCH(D376,M_User!$D$12:$D$67,0),3),"UNMAPPED")</f>
        <v>Joyline J Lyimo</v>
      </c>
      <c r="H376" s="75" t="str">
        <f>IFERROR(INDEX(M_User!$A$12:$J$67,MATCH(D376,M_User!$D$12:$D$67,0),5),"UNMAPPED")</f>
        <v>MOS</v>
      </c>
      <c r="I376" s="73" t="s">
        <v>149</v>
      </c>
      <c r="J376" s="73" t="s">
        <v>187</v>
      </c>
      <c r="K376" s="76" t="str">
        <f>IFERROR(INDEX(M_SKU!$A$18:$J$57,MATCH(J376,M_SKU!$B$18:$B$57,0),1),"UNKNOWN SKU")</f>
        <v>Sprite 350ml</v>
      </c>
      <c r="L376" s="73" t="s">
        <v>535</v>
      </c>
      <c r="M376" s="72">
        <v>46177</v>
      </c>
      <c r="N376" s="72">
        <v>46541</v>
      </c>
      <c r="O376" s="77">
        <v>15</v>
      </c>
      <c r="P376" s="78" t="s">
        <v>521</v>
      </c>
      <c r="Q376" s="79"/>
      <c r="R376" s="80"/>
      <c r="S376" s="81"/>
      <c r="T376" s="81"/>
      <c r="U376" s="82" t="str">
        <f t="shared" si="5"/>
        <v>MOS100802|FG006|CK3-33414</v>
      </c>
    </row>
    <row r="377" spans="1:21" ht="15" customHeight="1" x14ac:dyDescent="0.3">
      <c r="A377" s="60" t="s">
        <v>588</v>
      </c>
      <c r="B377" s="61">
        <v>166170</v>
      </c>
      <c r="C377" s="62">
        <v>46179</v>
      </c>
      <c r="D377" s="63" t="s">
        <v>415</v>
      </c>
      <c r="E377" s="64" t="s">
        <v>414</v>
      </c>
      <c r="F377" s="65">
        <f>IFERROR(INDEX(M_User!$A$12:$J$67,MATCH(D377,M_User!$D$12:$D$67,0),1),"UNMAPPED")</f>
        <v>45</v>
      </c>
      <c r="G377" s="66" t="str">
        <f>IFERROR(INDEX(M_User!$A$12:$J$67,MATCH(D377,M_User!$D$12:$D$67,0),3),"UNMAPPED")</f>
        <v>Joyline J Lyimo</v>
      </c>
      <c r="H377" s="65" t="str">
        <f>IFERROR(INDEX(M_User!$A$12:$J$67,MATCH(D377,M_User!$D$12:$D$67,0),5),"UNMAPPED")</f>
        <v>MOS</v>
      </c>
      <c r="I377" s="63" t="s">
        <v>149</v>
      </c>
      <c r="J377" s="63" t="s">
        <v>190</v>
      </c>
      <c r="K377" s="66" t="str">
        <f>IFERROR(INDEX(M_SKU!$A$18:$J$57,MATCH(J377,M_SKU!$B$18:$B$57,0),1),"UNKNOWN SKU")</f>
        <v>Stoney Tangawizi RGB 350ml</v>
      </c>
      <c r="L377" s="63" t="s">
        <v>536</v>
      </c>
      <c r="M377" s="62">
        <v>46172</v>
      </c>
      <c r="N377" s="62">
        <v>46353</v>
      </c>
      <c r="O377" s="67">
        <v>3</v>
      </c>
      <c r="P377" s="68" t="s">
        <v>521</v>
      </c>
      <c r="Q377" s="63"/>
      <c r="R377" s="62"/>
      <c r="S377" s="69"/>
      <c r="T377" s="69"/>
      <c r="U377" s="66" t="str">
        <f t="shared" si="5"/>
        <v>MOS100802|FG007|CK3-33404</v>
      </c>
    </row>
    <row r="378" spans="1:21" ht="15" customHeight="1" x14ac:dyDescent="0.3">
      <c r="A378" s="70" t="s">
        <v>588</v>
      </c>
      <c r="B378" s="71">
        <v>166170</v>
      </c>
      <c r="C378" s="72">
        <v>46179</v>
      </c>
      <c r="D378" s="73" t="s">
        <v>415</v>
      </c>
      <c r="E378" s="74" t="s">
        <v>414</v>
      </c>
      <c r="F378" s="75">
        <f>IFERROR(INDEX(M_User!$A$12:$J$67,MATCH(D378,M_User!$D$12:$D$67,0),1),"UNMAPPED")</f>
        <v>45</v>
      </c>
      <c r="G378" s="76" t="str">
        <f>IFERROR(INDEX(M_User!$A$12:$J$67,MATCH(D378,M_User!$D$12:$D$67,0),3),"UNMAPPED")</f>
        <v>Joyline J Lyimo</v>
      </c>
      <c r="H378" s="75" t="str">
        <f>IFERROR(INDEX(M_User!$A$12:$J$67,MATCH(D378,M_User!$D$12:$D$67,0),5),"UNMAPPED")</f>
        <v>MOS</v>
      </c>
      <c r="I378" s="73" t="s">
        <v>149</v>
      </c>
      <c r="J378" s="73" t="s">
        <v>193</v>
      </c>
      <c r="K378" s="76" t="str">
        <f>IFERROR(INDEX(M_SKU!$A$18:$J$57,MATCH(J378,M_SKU!$B$18:$B$57,0),1),"UNKNOWN SKU")</f>
        <v>Sparletta Pinenut RGB 350ml</v>
      </c>
      <c r="L378" s="73" t="s">
        <v>537</v>
      </c>
      <c r="M378" s="72">
        <v>46158</v>
      </c>
      <c r="N378" s="72">
        <v>46522</v>
      </c>
      <c r="O378" s="77">
        <v>3</v>
      </c>
      <c r="P378" s="78" t="s">
        <v>521</v>
      </c>
      <c r="Q378" s="79"/>
      <c r="R378" s="80"/>
      <c r="S378" s="81"/>
      <c r="T378" s="81"/>
      <c r="U378" s="82" t="str">
        <f t="shared" si="5"/>
        <v>MOS100802|FG008|CK3-33365</v>
      </c>
    </row>
    <row r="379" spans="1:21" ht="15" customHeight="1" x14ac:dyDescent="0.3">
      <c r="A379" s="60" t="s">
        <v>588</v>
      </c>
      <c r="B379" s="61">
        <v>166170</v>
      </c>
      <c r="C379" s="62">
        <v>46179</v>
      </c>
      <c r="D379" s="63" t="s">
        <v>415</v>
      </c>
      <c r="E379" s="64" t="s">
        <v>414</v>
      </c>
      <c r="F379" s="65">
        <f>IFERROR(INDEX(M_User!$A$12:$J$67,MATCH(D379,M_User!$D$12:$D$67,0),1),"UNMAPPED")</f>
        <v>45</v>
      </c>
      <c r="G379" s="66" t="str">
        <f>IFERROR(INDEX(M_User!$A$12:$J$67,MATCH(D379,M_User!$D$12:$D$67,0),3),"UNMAPPED")</f>
        <v>Joyline J Lyimo</v>
      </c>
      <c r="H379" s="65" t="str">
        <f>IFERROR(INDEX(M_User!$A$12:$J$67,MATCH(D379,M_User!$D$12:$D$67,0),5),"UNMAPPED")</f>
        <v>MOS</v>
      </c>
      <c r="I379" s="63" t="s">
        <v>149</v>
      </c>
      <c r="J379" s="63" t="s">
        <v>196</v>
      </c>
      <c r="K379" s="66" t="str">
        <f>IFERROR(INDEX(M_SKU!$A$18:$J$57,MATCH(J379,M_SKU!$B$18:$B$57,0),1),"UNKNOWN SKU")</f>
        <v>Krest Bitter Lemon RGB 300ml</v>
      </c>
      <c r="L379" s="63" t="s">
        <v>538</v>
      </c>
      <c r="M379" s="62">
        <v>46154</v>
      </c>
      <c r="N379" s="62">
        <v>46518</v>
      </c>
      <c r="O379" s="67">
        <v>2</v>
      </c>
      <c r="P379" s="68" t="s">
        <v>521</v>
      </c>
      <c r="Q379" s="63"/>
      <c r="R379" s="62"/>
      <c r="S379" s="69"/>
      <c r="T379" s="69"/>
      <c r="U379" s="66" t="str">
        <f t="shared" si="5"/>
        <v>MOS100802|FG009|CK3-33348</v>
      </c>
    </row>
    <row r="380" spans="1:21" ht="15" customHeight="1" x14ac:dyDescent="0.3">
      <c r="A380" s="70" t="s">
        <v>588</v>
      </c>
      <c r="B380" s="71">
        <v>166170</v>
      </c>
      <c r="C380" s="72">
        <v>46179</v>
      </c>
      <c r="D380" s="73" t="s">
        <v>415</v>
      </c>
      <c r="E380" s="74" t="s">
        <v>414</v>
      </c>
      <c r="F380" s="75">
        <f>IFERROR(INDEX(M_User!$A$12:$J$67,MATCH(D380,M_User!$D$12:$D$67,0),1),"UNMAPPED")</f>
        <v>45</v>
      </c>
      <c r="G380" s="76" t="str">
        <f>IFERROR(INDEX(M_User!$A$12:$J$67,MATCH(D380,M_User!$D$12:$D$67,0),3),"UNMAPPED")</f>
        <v>Joyline J Lyimo</v>
      </c>
      <c r="H380" s="75" t="str">
        <f>IFERROR(INDEX(M_User!$A$12:$J$67,MATCH(D380,M_User!$D$12:$D$67,0),5),"UNMAPPED")</f>
        <v>MOS</v>
      </c>
      <c r="I380" s="73" t="s">
        <v>149</v>
      </c>
      <c r="J380" s="73" t="s">
        <v>199</v>
      </c>
      <c r="K380" s="76" t="str">
        <f>IFERROR(INDEX(M_SKU!$A$18:$J$57,MATCH(J380,M_SKU!$B$18:$B$57,0),1),"UNKNOWN SKU")</f>
        <v>Krest Club Soda RGB 300ml</v>
      </c>
      <c r="L380" s="73" t="s">
        <v>539</v>
      </c>
      <c r="M380" s="72">
        <v>46140</v>
      </c>
      <c r="N380" s="72">
        <v>46504</v>
      </c>
      <c r="O380" s="77">
        <v>2</v>
      </c>
      <c r="P380" s="78" t="s">
        <v>521</v>
      </c>
      <c r="Q380" s="79"/>
      <c r="R380" s="80"/>
      <c r="S380" s="81"/>
      <c r="T380" s="81"/>
      <c r="U380" s="82" t="str">
        <f t="shared" si="5"/>
        <v>MOS100802|FG010|CK3-33301</v>
      </c>
    </row>
    <row r="381" spans="1:21" ht="15" customHeight="1" x14ac:dyDescent="0.3">
      <c r="A381" s="60" t="s">
        <v>588</v>
      </c>
      <c r="B381" s="61">
        <v>166170</v>
      </c>
      <c r="C381" s="62">
        <v>46179</v>
      </c>
      <c r="D381" s="63" t="s">
        <v>415</v>
      </c>
      <c r="E381" s="64" t="s">
        <v>414</v>
      </c>
      <c r="F381" s="65">
        <f>IFERROR(INDEX(M_User!$A$12:$J$67,MATCH(D381,M_User!$D$12:$D$67,0),1),"UNMAPPED")</f>
        <v>45</v>
      </c>
      <c r="G381" s="66" t="str">
        <f>IFERROR(INDEX(M_User!$A$12:$J$67,MATCH(D381,M_User!$D$12:$D$67,0),3),"UNMAPPED")</f>
        <v>Joyline J Lyimo</v>
      </c>
      <c r="H381" s="65" t="str">
        <f>IFERROR(INDEX(M_User!$A$12:$J$67,MATCH(D381,M_User!$D$12:$D$67,0),5),"UNMAPPED")</f>
        <v>MOS</v>
      </c>
      <c r="I381" s="63" t="s">
        <v>149</v>
      </c>
      <c r="J381" s="63" t="s">
        <v>201</v>
      </c>
      <c r="K381" s="66" t="str">
        <f>IFERROR(INDEX(M_SKU!$A$18:$J$57,MATCH(J381,M_SKU!$B$18:$B$57,0),1),"UNKNOWN SKU")</f>
        <v>Krest Tonic Water RGB 300ml</v>
      </c>
      <c r="L381" s="63" t="s">
        <v>540</v>
      </c>
      <c r="M381" s="62">
        <v>46154</v>
      </c>
      <c r="N381" s="62">
        <v>46518</v>
      </c>
      <c r="O381" s="67">
        <v>2</v>
      </c>
      <c r="P381" s="68" t="s">
        <v>521</v>
      </c>
      <c r="Q381" s="63"/>
      <c r="R381" s="62"/>
      <c r="S381" s="69"/>
      <c r="T381" s="69"/>
      <c r="U381" s="66" t="str">
        <f t="shared" si="5"/>
        <v>MOS100802|FG011|CK3-33347</v>
      </c>
    </row>
    <row r="382" spans="1:21" ht="15" customHeight="1" x14ac:dyDescent="0.3">
      <c r="A382" s="70" t="s">
        <v>588</v>
      </c>
      <c r="B382" s="71">
        <v>166170</v>
      </c>
      <c r="C382" s="72">
        <v>46179</v>
      </c>
      <c r="D382" s="73" t="s">
        <v>415</v>
      </c>
      <c r="E382" s="74" t="s">
        <v>414</v>
      </c>
      <c r="F382" s="75">
        <f>IFERROR(INDEX(M_User!$A$12:$J$67,MATCH(D382,M_User!$D$12:$D$67,0),1),"UNMAPPED")</f>
        <v>45</v>
      </c>
      <c r="G382" s="76" t="str">
        <f>IFERROR(INDEX(M_User!$A$12:$J$67,MATCH(D382,M_User!$D$12:$D$67,0),3),"UNMAPPED")</f>
        <v>Joyline J Lyimo</v>
      </c>
      <c r="H382" s="75" t="str">
        <f>IFERROR(INDEX(M_User!$A$12:$J$67,MATCH(D382,M_User!$D$12:$D$67,0),5),"UNMAPPED")</f>
        <v>MOS</v>
      </c>
      <c r="I382" s="73" t="s">
        <v>149</v>
      </c>
      <c r="J382" s="73" t="s">
        <v>203</v>
      </c>
      <c r="K382" s="76" t="str">
        <f>IFERROR(INDEX(M_SKU!$A$18:$J$57,MATCH(J382,M_SKU!$B$18:$B$57,0),1),"UNKNOWN SKU")</f>
        <v>Krest Ginger Ale RGB 300ml</v>
      </c>
      <c r="L382" s="73" t="s">
        <v>541</v>
      </c>
      <c r="M382" s="72">
        <v>46088</v>
      </c>
      <c r="N382" s="72">
        <v>46452</v>
      </c>
      <c r="O382" s="77">
        <v>2</v>
      </c>
      <c r="P382" s="78" t="s">
        <v>521</v>
      </c>
      <c r="Q382" s="79"/>
      <c r="R382" s="80"/>
      <c r="S382" s="81"/>
      <c r="T382" s="81"/>
      <c r="U382" s="82" t="str">
        <f t="shared" si="5"/>
        <v>MOS100802|FG012|CK3-33126</v>
      </c>
    </row>
    <row r="383" spans="1:21" ht="15" customHeight="1" x14ac:dyDescent="0.3">
      <c r="A383" s="60" t="s">
        <v>588</v>
      </c>
      <c r="B383" s="61">
        <v>166170</v>
      </c>
      <c r="C383" s="62">
        <v>46179</v>
      </c>
      <c r="D383" s="63" t="s">
        <v>415</v>
      </c>
      <c r="E383" s="64" t="s">
        <v>414</v>
      </c>
      <c r="F383" s="65">
        <f>IFERROR(INDEX(M_User!$A$12:$J$67,MATCH(D383,M_User!$D$12:$D$67,0),1),"UNMAPPED")</f>
        <v>45</v>
      </c>
      <c r="G383" s="66" t="str">
        <f>IFERROR(INDEX(M_User!$A$12:$J$67,MATCH(D383,M_User!$D$12:$D$67,0),3),"UNMAPPED")</f>
        <v>Joyline J Lyimo</v>
      </c>
      <c r="H383" s="65" t="str">
        <f>IFERROR(INDEX(M_User!$A$12:$J$67,MATCH(D383,M_User!$D$12:$D$67,0),5),"UNMAPPED")</f>
        <v>MOS</v>
      </c>
      <c r="I383" s="63" t="s">
        <v>149</v>
      </c>
      <c r="J383" s="63" t="s">
        <v>211</v>
      </c>
      <c r="K383" s="66" t="str">
        <f>IFERROR(INDEX(M_SKU!$A$18:$J$57,MATCH(J383,M_SKU!$B$18:$B$57,0),1),"UNKNOWN SKU")</f>
        <v>KNMW 500ml</v>
      </c>
      <c r="L383" s="63" t="s">
        <v>543</v>
      </c>
      <c r="M383" s="62">
        <v>46177</v>
      </c>
      <c r="N383" s="62">
        <v>46541</v>
      </c>
      <c r="O383" s="67">
        <v>120</v>
      </c>
      <c r="P383" s="68" t="s">
        <v>521</v>
      </c>
      <c r="Q383" s="63"/>
      <c r="R383" s="62"/>
      <c r="S383" s="69"/>
      <c r="T383" s="69"/>
      <c r="U383" s="66" t="str">
        <f t="shared" si="5"/>
        <v>MOS100802|KD001|CK6-986</v>
      </c>
    </row>
    <row r="384" spans="1:21" ht="15" customHeight="1" x14ac:dyDescent="0.3">
      <c r="A384" s="70" t="s">
        <v>588</v>
      </c>
      <c r="B384" s="71">
        <v>166170</v>
      </c>
      <c r="C384" s="72">
        <v>46179</v>
      </c>
      <c r="D384" s="73" t="s">
        <v>415</v>
      </c>
      <c r="E384" s="74" t="s">
        <v>414</v>
      </c>
      <c r="F384" s="75">
        <f>IFERROR(INDEX(M_User!$A$12:$J$67,MATCH(D384,M_User!$D$12:$D$67,0),1),"UNMAPPED")</f>
        <v>45</v>
      </c>
      <c r="G384" s="76" t="str">
        <f>IFERROR(INDEX(M_User!$A$12:$J$67,MATCH(D384,M_User!$D$12:$D$67,0),3),"UNMAPPED")</f>
        <v>Joyline J Lyimo</v>
      </c>
      <c r="H384" s="75" t="str">
        <f>IFERROR(INDEX(M_User!$A$12:$J$67,MATCH(D384,M_User!$D$12:$D$67,0),5),"UNMAPPED")</f>
        <v>MOS</v>
      </c>
      <c r="I384" s="73" t="s">
        <v>149</v>
      </c>
      <c r="J384" s="73" t="s">
        <v>217</v>
      </c>
      <c r="K384" s="76" t="str">
        <f>IFERROR(INDEX(M_SKU!$A$18:$J$57,MATCH(J384,M_SKU!$B$18:$B$57,0),1),"UNKNOWN SKU")</f>
        <v>KNMW 1500ml</v>
      </c>
      <c r="L384" s="73" t="s">
        <v>551</v>
      </c>
      <c r="M384" s="72">
        <v>46177</v>
      </c>
      <c r="N384" s="72">
        <v>46541</v>
      </c>
      <c r="O384" s="77">
        <v>90</v>
      </c>
      <c r="P384" s="78" t="s">
        <v>521</v>
      </c>
      <c r="Q384" s="79"/>
      <c r="R384" s="80"/>
      <c r="S384" s="81"/>
      <c r="T384" s="81"/>
      <c r="U384" s="82" t="str">
        <f t="shared" si="5"/>
        <v>MOS100802|KD003|CK4-842</v>
      </c>
    </row>
    <row r="385" spans="1:21" ht="15" customHeight="1" x14ac:dyDescent="0.3">
      <c r="A385" s="60" t="s">
        <v>588</v>
      </c>
      <c r="B385" s="61">
        <v>166170</v>
      </c>
      <c r="C385" s="62">
        <v>46179</v>
      </c>
      <c r="D385" s="63" t="s">
        <v>415</v>
      </c>
      <c r="E385" s="64" t="s">
        <v>414</v>
      </c>
      <c r="F385" s="65">
        <f>IFERROR(INDEX(M_User!$A$12:$J$67,MATCH(D385,M_User!$D$12:$D$67,0),1),"UNMAPPED")</f>
        <v>45</v>
      </c>
      <c r="G385" s="66" t="str">
        <f>IFERROR(INDEX(M_User!$A$12:$J$67,MATCH(D385,M_User!$D$12:$D$67,0),3),"UNMAPPED")</f>
        <v>Joyline J Lyimo</v>
      </c>
      <c r="H385" s="65" t="str">
        <f>IFERROR(INDEX(M_User!$A$12:$J$67,MATCH(D385,M_User!$D$12:$D$67,0),5),"UNMAPPED")</f>
        <v>MOS</v>
      </c>
      <c r="I385" s="63" t="s">
        <v>149</v>
      </c>
      <c r="J385" s="63" t="s">
        <v>252</v>
      </c>
      <c r="K385" s="66" t="str">
        <f>IFERROR(INDEX(M_SKU!$A$18:$J$57,MATCH(J385,M_SKU!$B$18:$B$57,0),1),"UNKNOWN SKU")</f>
        <v>Sprite Zero Pet 300ML (x 12)</v>
      </c>
      <c r="L385" s="63" t="s">
        <v>545</v>
      </c>
      <c r="M385" s="62">
        <v>46158</v>
      </c>
      <c r="N385" s="62">
        <v>46241</v>
      </c>
      <c r="O385" s="67">
        <v>5</v>
      </c>
      <c r="P385" s="68" t="s">
        <v>521</v>
      </c>
      <c r="Q385" s="63"/>
      <c r="R385" s="62"/>
      <c r="S385" s="69"/>
      <c r="T385" s="69"/>
      <c r="U385" s="66" t="str">
        <f t="shared" si="5"/>
        <v>MOS100802|PO010|CK5-33360</v>
      </c>
    </row>
    <row r="386" spans="1:21" ht="15" customHeight="1" x14ac:dyDescent="0.3">
      <c r="A386" s="70" t="s">
        <v>588</v>
      </c>
      <c r="B386" s="71">
        <v>166170</v>
      </c>
      <c r="C386" s="72">
        <v>46179</v>
      </c>
      <c r="D386" s="73" t="s">
        <v>415</v>
      </c>
      <c r="E386" s="74" t="s">
        <v>414</v>
      </c>
      <c r="F386" s="75">
        <f>IFERROR(INDEX(M_User!$A$12:$J$67,MATCH(D386,M_User!$D$12:$D$67,0),1),"UNMAPPED")</f>
        <v>45</v>
      </c>
      <c r="G386" s="76" t="str">
        <f>IFERROR(INDEX(M_User!$A$12:$J$67,MATCH(D386,M_User!$D$12:$D$67,0),3),"UNMAPPED")</f>
        <v>Joyline J Lyimo</v>
      </c>
      <c r="H386" s="75" t="str">
        <f>IFERROR(INDEX(M_User!$A$12:$J$67,MATCH(D386,M_User!$D$12:$D$67,0),5),"UNMAPPED")</f>
        <v>MOS</v>
      </c>
      <c r="I386" s="73" t="s">
        <v>149</v>
      </c>
      <c r="J386" s="73" t="s">
        <v>254</v>
      </c>
      <c r="K386" s="76" t="str">
        <f>IFERROR(INDEX(M_SKU!$A$18:$J$57,MATCH(J386,M_SKU!$B$18:$B$57,0),1),"UNKNOWN SKU")</f>
        <v>Fanta Zero Pet 300ML (x 12)</v>
      </c>
      <c r="L386" s="73" t="s">
        <v>546</v>
      </c>
      <c r="M386" s="72">
        <v>46159</v>
      </c>
      <c r="N386" s="72">
        <v>46242</v>
      </c>
      <c r="O386" s="77">
        <v>5</v>
      </c>
      <c r="P386" s="78" t="s">
        <v>521</v>
      </c>
      <c r="Q386" s="79"/>
      <c r="R386" s="80"/>
      <c r="S386" s="81"/>
      <c r="T386" s="81"/>
      <c r="U386" s="82" t="str">
        <f t="shared" si="5"/>
        <v>MOS100802|PO012|CK5-33369</v>
      </c>
    </row>
    <row r="387" spans="1:21" ht="15" customHeight="1" x14ac:dyDescent="0.3">
      <c r="A387" s="60" t="s">
        <v>588</v>
      </c>
      <c r="B387" s="61">
        <v>166170</v>
      </c>
      <c r="C387" s="62">
        <v>46179</v>
      </c>
      <c r="D387" s="63" t="s">
        <v>415</v>
      </c>
      <c r="E387" s="64" t="s">
        <v>414</v>
      </c>
      <c r="F387" s="65">
        <f>IFERROR(INDEX(M_User!$A$12:$J$67,MATCH(D387,M_User!$D$12:$D$67,0),1),"UNMAPPED")</f>
        <v>45</v>
      </c>
      <c r="G387" s="66" t="str">
        <f>IFERROR(INDEX(M_User!$A$12:$J$67,MATCH(D387,M_User!$D$12:$D$67,0),3),"UNMAPPED")</f>
        <v>Joyline J Lyimo</v>
      </c>
      <c r="H387" s="65" t="str">
        <f>IFERROR(INDEX(M_User!$A$12:$J$67,MATCH(D387,M_User!$D$12:$D$67,0),5),"UNMAPPED")</f>
        <v>MOS</v>
      </c>
      <c r="I387" s="63" t="s">
        <v>149</v>
      </c>
      <c r="J387" s="63" t="s">
        <v>261</v>
      </c>
      <c r="K387" s="66" t="str">
        <f>IFERROR(INDEX(M_SKU!$A$18:$J$57,MATCH(J387,M_SKU!$B$18:$B$57,0),1),"UNKNOWN SKU")</f>
        <v>Sparletta Pine Apple Pet 300ML (x 12)</v>
      </c>
      <c r="L387" s="63" t="s">
        <v>547</v>
      </c>
      <c r="M387" s="62">
        <v>46158</v>
      </c>
      <c r="N387" s="62">
        <v>46241</v>
      </c>
      <c r="O387" s="67">
        <v>20</v>
      </c>
      <c r="P387" s="68" t="s">
        <v>521</v>
      </c>
      <c r="Q387" s="63"/>
      <c r="R387" s="62"/>
      <c r="S387" s="69"/>
      <c r="T387" s="69"/>
      <c r="U387" s="66" t="str">
        <f t="shared" si="5"/>
        <v>MOS100802|PO015|CK5-33366</v>
      </c>
    </row>
    <row r="388" spans="1:21" ht="15" customHeight="1" x14ac:dyDescent="0.3">
      <c r="A388" s="70" t="s">
        <v>589</v>
      </c>
      <c r="B388" s="71">
        <v>166176</v>
      </c>
      <c r="C388" s="72">
        <v>46179</v>
      </c>
      <c r="D388" s="73" t="s">
        <v>350</v>
      </c>
      <c r="E388" s="74" t="s">
        <v>349</v>
      </c>
      <c r="F388" s="75">
        <f>IFERROR(INDEX(M_User!$A$12:$J$67,MATCH(D388,M_User!$D$12:$D$67,0),1),"UNMAPPED")</f>
        <v>69</v>
      </c>
      <c r="G388" s="76" t="str">
        <f>IFERROR(INDEX(M_User!$A$12:$J$67,MATCH(D388,M_User!$D$12:$D$67,0),3),"UNMAPPED")</f>
        <v>Samson Felix Ngowi</v>
      </c>
      <c r="H388" s="75" t="str">
        <f>IFERROR(INDEX(M_User!$A$12:$J$67,MATCH(D388,M_User!$D$12:$D$67,0),5),"UNMAPPED")</f>
        <v>MOS</v>
      </c>
      <c r="I388" s="73" t="s">
        <v>149</v>
      </c>
      <c r="J388" s="73" t="s">
        <v>170</v>
      </c>
      <c r="K388" s="76" t="str">
        <f>IFERROR(INDEX(M_SKU!$A$18:$J$57,MATCH(J388,M_SKU!$B$18:$B$57,0),1),"UNKNOWN SKU")</f>
        <v>Coke RGB 350ml</v>
      </c>
      <c r="L388" s="73" t="s">
        <v>585</v>
      </c>
      <c r="M388" s="72">
        <v>46175</v>
      </c>
      <c r="N388" s="72">
        <v>46539</v>
      </c>
      <c r="O388" s="77">
        <v>8</v>
      </c>
      <c r="P388" s="78" t="s">
        <v>521</v>
      </c>
      <c r="Q388" s="79"/>
      <c r="R388" s="80"/>
      <c r="S388" s="81"/>
      <c r="T388" s="81"/>
      <c r="U388" s="82" t="str">
        <f t="shared" si="5"/>
        <v>MOS100842|FG001|CK3-33410</v>
      </c>
    </row>
    <row r="389" spans="1:21" ht="15" customHeight="1" x14ac:dyDescent="0.3">
      <c r="A389" s="60" t="s">
        <v>589</v>
      </c>
      <c r="B389" s="61">
        <v>166176</v>
      </c>
      <c r="C389" s="62">
        <v>46179</v>
      </c>
      <c r="D389" s="63" t="s">
        <v>350</v>
      </c>
      <c r="E389" s="64" t="s">
        <v>349</v>
      </c>
      <c r="F389" s="65">
        <f>IFERROR(INDEX(M_User!$A$12:$J$67,MATCH(D389,M_User!$D$12:$D$67,0),1),"UNMAPPED")</f>
        <v>69</v>
      </c>
      <c r="G389" s="66" t="str">
        <f>IFERROR(INDEX(M_User!$A$12:$J$67,MATCH(D389,M_User!$D$12:$D$67,0),3),"UNMAPPED")</f>
        <v>Samson Felix Ngowi</v>
      </c>
      <c r="H389" s="65" t="str">
        <f>IFERROR(INDEX(M_User!$A$12:$J$67,MATCH(D389,M_User!$D$12:$D$67,0),5),"UNMAPPED")</f>
        <v>MOS</v>
      </c>
      <c r="I389" s="63" t="s">
        <v>149</v>
      </c>
      <c r="J389" s="63" t="s">
        <v>178</v>
      </c>
      <c r="K389" s="66" t="str">
        <f>IFERROR(INDEX(M_SKU!$A$18:$J$57,MATCH(J389,M_SKU!$B$18:$B$57,0),1),"UNKNOWN SKU")</f>
        <v>Fanta Orange RGB 350ml</v>
      </c>
      <c r="L389" s="63" t="s">
        <v>590</v>
      </c>
      <c r="M389" s="62">
        <v>46174</v>
      </c>
      <c r="N389" s="62">
        <v>46538</v>
      </c>
      <c r="O389" s="67">
        <v>2</v>
      </c>
      <c r="P389" s="68" t="s">
        <v>521</v>
      </c>
      <c r="Q389" s="63"/>
      <c r="R389" s="62"/>
      <c r="S389" s="69"/>
      <c r="T389" s="69"/>
      <c r="U389" s="66" t="str">
        <f t="shared" si="5"/>
        <v>MOS100842|FG002|CK3-33406</v>
      </c>
    </row>
    <row r="390" spans="1:21" ht="15" customHeight="1" x14ac:dyDescent="0.3">
      <c r="A390" s="70" t="s">
        <v>589</v>
      </c>
      <c r="B390" s="71">
        <v>166176</v>
      </c>
      <c r="C390" s="72">
        <v>46179</v>
      </c>
      <c r="D390" s="73" t="s">
        <v>350</v>
      </c>
      <c r="E390" s="74" t="s">
        <v>349</v>
      </c>
      <c r="F390" s="75">
        <f>IFERROR(INDEX(M_User!$A$12:$J$67,MATCH(D390,M_User!$D$12:$D$67,0),1),"UNMAPPED")</f>
        <v>69</v>
      </c>
      <c r="G390" s="76" t="str">
        <f>IFERROR(INDEX(M_User!$A$12:$J$67,MATCH(D390,M_User!$D$12:$D$67,0),3),"UNMAPPED")</f>
        <v>Samson Felix Ngowi</v>
      </c>
      <c r="H390" s="75" t="str">
        <f>IFERROR(INDEX(M_User!$A$12:$J$67,MATCH(D390,M_User!$D$12:$D$67,0),5),"UNMAPPED")</f>
        <v>MOS</v>
      </c>
      <c r="I390" s="73" t="s">
        <v>149</v>
      </c>
      <c r="J390" s="73" t="s">
        <v>181</v>
      </c>
      <c r="K390" s="76" t="str">
        <f>IFERROR(INDEX(M_SKU!$A$18:$J$57,MATCH(J390,M_SKU!$B$18:$B$57,0),1),"UNKNOWN SKU")</f>
        <v>Fanta Passion RGB 350ml</v>
      </c>
      <c r="L390" s="73" t="s">
        <v>532</v>
      </c>
      <c r="M390" s="72">
        <v>46164</v>
      </c>
      <c r="N390" s="72">
        <v>46528</v>
      </c>
      <c r="O390" s="77">
        <v>2</v>
      </c>
      <c r="P390" s="78" t="s">
        <v>521</v>
      </c>
      <c r="Q390" s="79"/>
      <c r="R390" s="80"/>
      <c r="S390" s="81"/>
      <c r="T390" s="81"/>
      <c r="U390" s="82" t="str">
        <f t="shared" si="5"/>
        <v>MOS100842|FG003|CK3-33387</v>
      </c>
    </row>
    <row r="391" spans="1:21" ht="15" customHeight="1" x14ac:dyDescent="0.3">
      <c r="A391" s="60" t="s">
        <v>589</v>
      </c>
      <c r="B391" s="61">
        <v>166176</v>
      </c>
      <c r="C391" s="62">
        <v>46179</v>
      </c>
      <c r="D391" s="63" t="s">
        <v>350</v>
      </c>
      <c r="E391" s="64" t="s">
        <v>349</v>
      </c>
      <c r="F391" s="65">
        <f>IFERROR(INDEX(M_User!$A$12:$J$67,MATCH(D391,M_User!$D$12:$D$67,0),1),"UNMAPPED")</f>
        <v>69</v>
      </c>
      <c r="G391" s="66" t="str">
        <f>IFERROR(INDEX(M_User!$A$12:$J$67,MATCH(D391,M_User!$D$12:$D$67,0),3),"UNMAPPED")</f>
        <v>Samson Felix Ngowi</v>
      </c>
      <c r="H391" s="65" t="str">
        <f>IFERROR(INDEX(M_User!$A$12:$J$67,MATCH(D391,M_User!$D$12:$D$67,0),5),"UNMAPPED")</f>
        <v>MOS</v>
      </c>
      <c r="I391" s="63" t="s">
        <v>149</v>
      </c>
      <c r="J391" s="63" t="s">
        <v>183</v>
      </c>
      <c r="K391" s="66" t="str">
        <f>IFERROR(INDEX(M_SKU!$A$18:$J$57,MATCH(J391,M_SKU!$B$18:$B$57,0),1),"UNKNOWN SKU")</f>
        <v>Fanta Pineapple RGB 350ml</v>
      </c>
      <c r="L391" s="63" t="s">
        <v>533</v>
      </c>
      <c r="M391" s="62">
        <v>46163</v>
      </c>
      <c r="N391" s="62">
        <v>46527</v>
      </c>
      <c r="O391" s="67">
        <v>2</v>
      </c>
      <c r="P391" s="68" t="s">
        <v>521</v>
      </c>
      <c r="Q391" s="63"/>
      <c r="R391" s="62"/>
      <c r="S391" s="69"/>
      <c r="T391" s="69"/>
      <c r="U391" s="66" t="str">
        <f t="shared" si="5"/>
        <v>MOS100842|FG004|CK3-33385</v>
      </c>
    </row>
    <row r="392" spans="1:21" ht="15" customHeight="1" x14ac:dyDescent="0.3">
      <c r="A392" s="70" t="s">
        <v>589</v>
      </c>
      <c r="B392" s="71">
        <v>166176</v>
      </c>
      <c r="C392" s="72">
        <v>46179</v>
      </c>
      <c r="D392" s="73" t="s">
        <v>350</v>
      </c>
      <c r="E392" s="74" t="s">
        <v>349</v>
      </c>
      <c r="F392" s="75">
        <f>IFERROR(INDEX(M_User!$A$12:$J$67,MATCH(D392,M_User!$D$12:$D$67,0),1),"UNMAPPED")</f>
        <v>69</v>
      </c>
      <c r="G392" s="76" t="str">
        <f>IFERROR(INDEX(M_User!$A$12:$J$67,MATCH(D392,M_User!$D$12:$D$67,0),3),"UNMAPPED")</f>
        <v>Samson Felix Ngowi</v>
      </c>
      <c r="H392" s="75" t="str">
        <f>IFERROR(INDEX(M_User!$A$12:$J$67,MATCH(D392,M_User!$D$12:$D$67,0),5),"UNMAPPED")</f>
        <v>MOS</v>
      </c>
      <c r="I392" s="73" t="s">
        <v>149</v>
      </c>
      <c r="J392" s="73" t="s">
        <v>185</v>
      </c>
      <c r="K392" s="76" t="str">
        <f>IFERROR(INDEX(M_SKU!$A$18:$J$57,MATCH(J392,M_SKU!$B$18:$B$57,0),1),"UNKNOWN SKU")</f>
        <v>Fanta Fruit Blast RGB 350 ml</v>
      </c>
      <c r="L392" s="73" t="s">
        <v>534</v>
      </c>
      <c r="M392" s="72">
        <v>46171</v>
      </c>
      <c r="N392" s="72">
        <v>46535</v>
      </c>
      <c r="O392" s="77">
        <v>1</v>
      </c>
      <c r="P392" s="78" t="s">
        <v>521</v>
      </c>
      <c r="Q392" s="79"/>
      <c r="R392" s="80"/>
      <c r="S392" s="81"/>
      <c r="T392" s="81"/>
      <c r="U392" s="82" t="str">
        <f t="shared" si="5"/>
        <v>MOS100842|FG005|CK3-33402</v>
      </c>
    </row>
    <row r="393" spans="1:21" ht="15" customHeight="1" x14ac:dyDescent="0.3">
      <c r="A393" s="60" t="s">
        <v>589</v>
      </c>
      <c r="B393" s="61">
        <v>166176</v>
      </c>
      <c r="C393" s="62">
        <v>46179</v>
      </c>
      <c r="D393" s="63" t="s">
        <v>350</v>
      </c>
      <c r="E393" s="64" t="s">
        <v>349</v>
      </c>
      <c r="F393" s="65">
        <f>IFERROR(INDEX(M_User!$A$12:$J$67,MATCH(D393,M_User!$D$12:$D$67,0),1),"UNMAPPED")</f>
        <v>69</v>
      </c>
      <c r="G393" s="66" t="str">
        <f>IFERROR(INDEX(M_User!$A$12:$J$67,MATCH(D393,M_User!$D$12:$D$67,0),3),"UNMAPPED")</f>
        <v>Samson Felix Ngowi</v>
      </c>
      <c r="H393" s="65" t="str">
        <f>IFERROR(INDEX(M_User!$A$12:$J$67,MATCH(D393,M_User!$D$12:$D$67,0),5),"UNMAPPED")</f>
        <v>MOS</v>
      </c>
      <c r="I393" s="63" t="s">
        <v>149</v>
      </c>
      <c r="J393" s="63" t="s">
        <v>187</v>
      </c>
      <c r="K393" s="66" t="str">
        <f>IFERROR(INDEX(M_SKU!$A$18:$J$57,MATCH(J393,M_SKU!$B$18:$B$57,0),1),"UNKNOWN SKU")</f>
        <v>Sprite 350ml</v>
      </c>
      <c r="L393" s="63" t="s">
        <v>535</v>
      </c>
      <c r="M393" s="62">
        <v>46177</v>
      </c>
      <c r="N393" s="62">
        <v>46541</v>
      </c>
      <c r="O393" s="67">
        <v>2</v>
      </c>
      <c r="P393" s="68" t="s">
        <v>521</v>
      </c>
      <c r="Q393" s="63"/>
      <c r="R393" s="62"/>
      <c r="S393" s="69"/>
      <c r="T393" s="69"/>
      <c r="U393" s="66" t="str">
        <f t="shared" ref="U393:U439" si="6">D393 &amp; "|" &amp; J393 &amp; "|" &amp; L393</f>
        <v>MOS100842|FG006|CK3-33414</v>
      </c>
    </row>
    <row r="394" spans="1:21" ht="15" customHeight="1" x14ac:dyDescent="0.3">
      <c r="A394" s="70" t="s">
        <v>589</v>
      </c>
      <c r="B394" s="71">
        <v>166176</v>
      </c>
      <c r="C394" s="72">
        <v>46179</v>
      </c>
      <c r="D394" s="73" t="s">
        <v>350</v>
      </c>
      <c r="E394" s="74" t="s">
        <v>349</v>
      </c>
      <c r="F394" s="75">
        <f>IFERROR(INDEX(M_User!$A$12:$J$67,MATCH(D394,M_User!$D$12:$D$67,0),1),"UNMAPPED")</f>
        <v>69</v>
      </c>
      <c r="G394" s="76" t="str">
        <f>IFERROR(INDEX(M_User!$A$12:$J$67,MATCH(D394,M_User!$D$12:$D$67,0),3),"UNMAPPED")</f>
        <v>Samson Felix Ngowi</v>
      </c>
      <c r="H394" s="75" t="str">
        <f>IFERROR(INDEX(M_User!$A$12:$J$67,MATCH(D394,M_User!$D$12:$D$67,0),5),"UNMAPPED")</f>
        <v>MOS</v>
      </c>
      <c r="I394" s="73" t="s">
        <v>149</v>
      </c>
      <c r="J394" s="73" t="s">
        <v>190</v>
      </c>
      <c r="K394" s="76" t="str">
        <f>IFERROR(INDEX(M_SKU!$A$18:$J$57,MATCH(J394,M_SKU!$B$18:$B$57,0),1),"UNKNOWN SKU")</f>
        <v>Stoney Tangawizi RGB 350ml</v>
      </c>
      <c r="L394" s="73" t="s">
        <v>536</v>
      </c>
      <c r="M394" s="72">
        <v>46172</v>
      </c>
      <c r="N394" s="72">
        <v>46353</v>
      </c>
      <c r="O394" s="77">
        <v>1</v>
      </c>
      <c r="P394" s="78" t="s">
        <v>521</v>
      </c>
      <c r="Q394" s="79"/>
      <c r="R394" s="80"/>
      <c r="S394" s="81"/>
      <c r="T394" s="81"/>
      <c r="U394" s="82" t="str">
        <f t="shared" si="6"/>
        <v>MOS100842|FG007|CK3-33404</v>
      </c>
    </row>
    <row r="395" spans="1:21" ht="15" customHeight="1" x14ac:dyDescent="0.3">
      <c r="A395" s="60" t="s">
        <v>589</v>
      </c>
      <c r="B395" s="61">
        <v>166176</v>
      </c>
      <c r="C395" s="62">
        <v>46179</v>
      </c>
      <c r="D395" s="63" t="s">
        <v>350</v>
      </c>
      <c r="E395" s="64" t="s">
        <v>349</v>
      </c>
      <c r="F395" s="65">
        <f>IFERROR(INDEX(M_User!$A$12:$J$67,MATCH(D395,M_User!$D$12:$D$67,0),1),"UNMAPPED")</f>
        <v>69</v>
      </c>
      <c r="G395" s="66" t="str">
        <f>IFERROR(INDEX(M_User!$A$12:$J$67,MATCH(D395,M_User!$D$12:$D$67,0),3),"UNMAPPED")</f>
        <v>Samson Felix Ngowi</v>
      </c>
      <c r="H395" s="65" t="str">
        <f>IFERROR(INDEX(M_User!$A$12:$J$67,MATCH(D395,M_User!$D$12:$D$67,0),5),"UNMAPPED")</f>
        <v>MOS</v>
      </c>
      <c r="I395" s="63" t="s">
        <v>149</v>
      </c>
      <c r="J395" s="63" t="s">
        <v>193</v>
      </c>
      <c r="K395" s="66" t="str">
        <f>IFERROR(INDEX(M_SKU!$A$18:$J$57,MATCH(J395,M_SKU!$B$18:$B$57,0),1),"UNKNOWN SKU")</f>
        <v>Sparletta Pinenut RGB 350ml</v>
      </c>
      <c r="L395" s="63" t="s">
        <v>591</v>
      </c>
      <c r="M395" s="62">
        <v>46133</v>
      </c>
      <c r="N395" s="62">
        <v>46497</v>
      </c>
      <c r="O395" s="67">
        <v>1</v>
      </c>
      <c r="P395" s="68" t="s">
        <v>521</v>
      </c>
      <c r="Q395" s="63"/>
      <c r="R395" s="62"/>
      <c r="S395" s="69"/>
      <c r="T395" s="69"/>
      <c r="U395" s="66" t="str">
        <f t="shared" si="6"/>
        <v>MOS100842|FG008|CK3-33261</v>
      </c>
    </row>
    <row r="396" spans="1:21" ht="15" customHeight="1" x14ac:dyDescent="0.3">
      <c r="A396" s="70" t="s">
        <v>589</v>
      </c>
      <c r="B396" s="71">
        <v>166176</v>
      </c>
      <c r="C396" s="72">
        <v>46179</v>
      </c>
      <c r="D396" s="73" t="s">
        <v>350</v>
      </c>
      <c r="E396" s="74" t="s">
        <v>349</v>
      </c>
      <c r="F396" s="75">
        <f>IFERROR(INDEX(M_User!$A$12:$J$67,MATCH(D396,M_User!$D$12:$D$67,0),1),"UNMAPPED")</f>
        <v>69</v>
      </c>
      <c r="G396" s="76" t="str">
        <f>IFERROR(INDEX(M_User!$A$12:$J$67,MATCH(D396,M_User!$D$12:$D$67,0),3),"UNMAPPED")</f>
        <v>Samson Felix Ngowi</v>
      </c>
      <c r="H396" s="75" t="str">
        <f>IFERROR(INDEX(M_User!$A$12:$J$67,MATCH(D396,M_User!$D$12:$D$67,0),5),"UNMAPPED")</f>
        <v>MOS</v>
      </c>
      <c r="I396" s="73" t="s">
        <v>149</v>
      </c>
      <c r="J396" s="73" t="s">
        <v>196</v>
      </c>
      <c r="K396" s="76" t="str">
        <f>IFERROR(INDEX(M_SKU!$A$18:$J$57,MATCH(J396,M_SKU!$B$18:$B$57,0),1),"UNKNOWN SKU")</f>
        <v>Krest Bitter Lemon RGB 300ml</v>
      </c>
      <c r="L396" s="73" t="s">
        <v>538</v>
      </c>
      <c r="M396" s="72">
        <v>46154</v>
      </c>
      <c r="N396" s="72">
        <v>46518</v>
      </c>
      <c r="O396" s="77">
        <v>1</v>
      </c>
      <c r="P396" s="78" t="s">
        <v>521</v>
      </c>
      <c r="Q396" s="79"/>
      <c r="R396" s="80"/>
      <c r="S396" s="81"/>
      <c r="T396" s="81"/>
      <c r="U396" s="82" t="str">
        <f t="shared" si="6"/>
        <v>MOS100842|FG009|CK3-33348</v>
      </c>
    </row>
    <row r="397" spans="1:21" ht="15" customHeight="1" x14ac:dyDescent="0.3">
      <c r="A397" s="60" t="s">
        <v>589</v>
      </c>
      <c r="B397" s="61">
        <v>166176</v>
      </c>
      <c r="C397" s="62">
        <v>46179</v>
      </c>
      <c r="D397" s="63" t="s">
        <v>350</v>
      </c>
      <c r="E397" s="64" t="s">
        <v>349</v>
      </c>
      <c r="F397" s="65">
        <f>IFERROR(INDEX(M_User!$A$12:$J$67,MATCH(D397,M_User!$D$12:$D$67,0),1),"UNMAPPED")</f>
        <v>69</v>
      </c>
      <c r="G397" s="66" t="str">
        <f>IFERROR(INDEX(M_User!$A$12:$J$67,MATCH(D397,M_User!$D$12:$D$67,0),3),"UNMAPPED")</f>
        <v>Samson Felix Ngowi</v>
      </c>
      <c r="H397" s="65" t="str">
        <f>IFERROR(INDEX(M_User!$A$12:$J$67,MATCH(D397,M_User!$D$12:$D$67,0),5),"UNMAPPED")</f>
        <v>MOS</v>
      </c>
      <c r="I397" s="63" t="s">
        <v>149</v>
      </c>
      <c r="J397" s="63" t="s">
        <v>199</v>
      </c>
      <c r="K397" s="66" t="str">
        <f>IFERROR(INDEX(M_SKU!$A$18:$J$57,MATCH(J397,M_SKU!$B$18:$B$57,0),1),"UNKNOWN SKU")</f>
        <v>Krest Club Soda RGB 300ml</v>
      </c>
      <c r="L397" s="63" t="s">
        <v>592</v>
      </c>
      <c r="M397" s="62">
        <v>46076</v>
      </c>
      <c r="N397" s="62">
        <v>46440</v>
      </c>
      <c r="O397" s="67">
        <v>1</v>
      </c>
      <c r="P397" s="68" t="s">
        <v>521</v>
      </c>
      <c r="Q397" s="63"/>
      <c r="R397" s="62"/>
      <c r="S397" s="69"/>
      <c r="T397" s="69"/>
      <c r="U397" s="66" t="str">
        <f t="shared" si="6"/>
        <v>MOS100842|FG010|CK3-33070</v>
      </c>
    </row>
    <row r="398" spans="1:21" ht="15" customHeight="1" x14ac:dyDescent="0.3">
      <c r="A398" s="70" t="s">
        <v>589</v>
      </c>
      <c r="B398" s="71">
        <v>166176</v>
      </c>
      <c r="C398" s="72">
        <v>46179</v>
      </c>
      <c r="D398" s="73" t="s">
        <v>350</v>
      </c>
      <c r="E398" s="74" t="s">
        <v>349</v>
      </c>
      <c r="F398" s="75">
        <f>IFERROR(INDEX(M_User!$A$12:$J$67,MATCH(D398,M_User!$D$12:$D$67,0),1),"UNMAPPED")</f>
        <v>69</v>
      </c>
      <c r="G398" s="76" t="str">
        <f>IFERROR(INDEX(M_User!$A$12:$J$67,MATCH(D398,M_User!$D$12:$D$67,0),3),"UNMAPPED")</f>
        <v>Samson Felix Ngowi</v>
      </c>
      <c r="H398" s="75" t="str">
        <f>IFERROR(INDEX(M_User!$A$12:$J$67,MATCH(D398,M_User!$D$12:$D$67,0),5),"UNMAPPED")</f>
        <v>MOS</v>
      </c>
      <c r="I398" s="73" t="s">
        <v>149</v>
      </c>
      <c r="J398" s="73" t="s">
        <v>201</v>
      </c>
      <c r="K398" s="76" t="str">
        <f>IFERROR(INDEX(M_SKU!$A$18:$J$57,MATCH(J398,M_SKU!$B$18:$B$57,0),1),"UNKNOWN SKU")</f>
        <v>Krest Tonic Water RGB 300ml</v>
      </c>
      <c r="L398" s="73" t="s">
        <v>540</v>
      </c>
      <c r="M398" s="72">
        <v>46154</v>
      </c>
      <c r="N398" s="72">
        <v>46518</v>
      </c>
      <c r="O398" s="77">
        <v>1</v>
      </c>
      <c r="P398" s="78" t="s">
        <v>521</v>
      </c>
      <c r="Q398" s="79"/>
      <c r="R398" s="80"/>
      <c r="S398" s="81"/>
      <c r="T398" s="81"/>
      <c r="U398" s="82" t="str">
        <f t="shared" si="6"/>
        <v>MOS100842|FG011|CK3-33347</v>
      </c>
    </row>
    <row r="399" spans="1:21" ht="15" customHeight="1" x14ac:dyDescent="0.3">
      <c r="A399" s="60" t="s">
        <v>589</v>
      </c>
      <c r="B399" s="61">
        <v>166176</v>
      </c>
      <c r="C399" s="62">
        <v>46179</v>
      </c>
      <c r="D399" s="63" t="s">
        <v>350</v>
      </c>
      <c r="E399" s="64" t="s">
        <v>349</v>
      </c>
      <c r="F399" s="65">
        <f>IFERROR(INDEX(M_User!$A$12:$J$67,MATCH(D399,M_User!$D$12:$D$67,0),1),"UNMAPPED")</f>
        <v>69</v>
      </c>
      <c r="G399" s="66" t="str">
        <f>IFERROR(INDEX(M_User!$A$12:$J$67,MATCH(D399,M_User!$D$12:$D$67,0),3),"UNMAPPED")</f>
        <v>Samson Felix Ngowi</v>
      </c>
      <c r="H399" s="65" t="str">
        <f>IFERROR(INDEX(M_User!$A$12:$J$67,MATCH(D399,M_User!$D$12:$D$67,0),5),"UNMAPPED")</f>
        <v>MOS</v>
      </c>
      <c r="I399" s="63" t="s">
        <v>149</v>
      </c>
      <c r="J399" s="63" t="s">
        <v>203</v>
      </c>
      <c r="K399" s="66" t="str">
        <f>IFERROR(INDEX(M_SKU!$A$18:$J$57,MATCH(J399,M_SKU!$B$18:$B$57,0),1),"UNKNOWN SKU")</f>
        <v>Krest Ginger Ale RGB 300ml</v>
      </c>
      <c r="L399" s="63" t="s">
        <v>541</v>
      </c>
      <c r="M399" s="62">
        <v>46088</v>
      </c>
      <c r="N399" s="62">
        <v>46452</v>
      </c>
      <c r="O399" s="67">
        <v>1</v>
      </c>
      <c r="P399" s="68" t="s">
        <v>521</v>
      </c>
      <c r="Q399" s="63"/>
      <c r="R399" s="62"/>
      <c r="S399" s="69"/>
      <c r="T399" s="69"/>
      <c r="U399" s="66" t="str">
        <f t="shared" si="6"/>
        <v>MOS100842|FG012|CK3-33126</v>
      </c>
    </row>
    <row r="400" spans="1:21" ht="15" customHeight="1" x14ac:dyDescent="0.3">
      <c r="A400" s="70" t="s">
        <v>589</v>
      </c>
      <c r="B400" s="71">
        <v>166176</v>
      </c>
      <c r="C400" s="72">
        <v>46179</v>
      </c>
      <c r="D400" s="73" t="s">
        <v>350</v>
      </c>
      <c r="E400" s="74" t="s">
        <v>349</v>
      </c>
      <c r="F400" s="75">
        <f>IFERROR(INDEX(M_User!$A$12:$J$67,MATCH(D400,M_User!$D$12:$D$67,0),1),"UNMAPPED")</f>
        <v>69</v>
      </c>
      <c r="G400" s="76" t="str">
        <f>IFERROR(INDEX(M_User!$A$12:$J$67,MATCH(D400,M_User!$D$12:$D$67,0),3),"UNMAPPED")</f>
        <v>Samson Felix Ngowi</v>
      </c>
      <c r="H400" s="75" t="str">
        <f>IFERROR(INDEX(M_User!$A$12:$J$67,MATCH(D400,M_User!$D$12:$D$67,0),5),"UNMAPPED")</f>
        <v>MOS</v>
      </c>
      <c r="I400" s="73" t="s">
        <v>149</v>
      </c>
      <c r="J400" s="73" t="s">
        <v>211</v>
      </c>
      <c r="K400" s="76" t="str">
        <f>IFERROR(INDEX(M_SKU!$A$18:$J$57,MATCH(J400,M_SKU!$B$18:$B$57,0),1),"UNKNOWN SKU")</f>
        <v>KNMW 500ml</v>
      </c>
      <c r="L400" s="73" t="s">
        <v>593</v>
      </c>
      <c r="M400" s="72">
        <v>46175</v>
      </c>
      <c r="N400" s="72">
        <v>46539</v>
      </c>
      <c r="O400" s="77">
        <v>60</v>
      </c>
      <c r="P400" s="78" t="s">
        <v>521</v>
      </c>
      <c r="Q400" s="79"/>
      <c r="R400" s="80"/>
      <c r="S400" s="81"/>
      <c r="T400" s="81"/>
      <c r="U400" s="82" t="str">
        <f t="shared" si="6"/>
        <v>MOS100842|KD001|CK6-984</v>
      </c>
    </row>
    <row r="401" spans="1:21" ht="15" customHeight="1" x14ac:dyDescent="0.3">
      <c r="A401" s="60" t="s">
        <v>589</v>
      </c>
      <c r="B401" s="61">
        <v>166176</v>
      </c>
      <c r="C401" s="62">
        <v>46179</v>
      </c>
      <c r="D401" s="63" t="s">
        <v>350</v>
      </c>
      <c r="E401" s="64" t="s">
        <v>349</v>
      </c>
      <c r="F401" s="65">
        <f>IFERROR(INDEX(M_User!$A$12:$J$67,MATCH(D401,M_User!$D$12:$D$67,0),1),"UNMAPPED")</f>
        <v>69</v>
      </c>
      <c r="G401" s="66" t="str">
        <f>IFERROR(INDEX(M_User!$A$12:$J$67,MATCH(D401,M_User!$D$12:$D$67,0),3),"UNMAPPED")</f>
        <v>Samson Felix Ngowi</v>
      </c>
      <c r="H401" s="65" t="str">
        <f>IFERROR(INDEX(M_User!$A$12:$J$67,MATCH(D401,M_User!$D$12:$D$67,0),5),"UNMAPPED")</f>
        <v>MOS</v>
      </c>
      <c r="I401" s="63" t="s">
        <v>149</v>
      </c>
      <c r="J401" s="63" t="s">
        <v>225</v>
      </c>
      <c r="K401" s="66" t="str">
        <f>IFERROR(INDEX(M_SKU!$A$18:$J$57,MATCH(J401,M_SKU!$B$18:$B$57,0),1),"UNKNOWN SKU")</f>
        <v>Kilimanjaro Drinking Water 18900 ML</v>
      </c>
      <c r="L401" s="63" t="s">
        <v>567</v>
      </c>
      <c r="M401" s="62">
        <v>46172</v>
      </c>
      <c r="N401" s="62">
        <v>46536</v>
      </c>
      <c r="O401" s="67">
        <v>8</v>
      </c>
      <c r="P401" s="68" t="s">
        <v>521</v>
      </c>
      <c r="Q401" s="63"/>
      <c r="R401" s="62"/>
      <c r="S401" s="69"/>
      <c r="T401" s="69"/>
      <c r="U401" s="66" t="str">
        <f t="shared" si="6"/>
        <v>MOS100842|KD006|CK7-915</v>
      </c>
    </row>
    <row r="402" spans="1:21" ht="15" customHeight="1" x14ac:dyDescent="0.3">
      <c r="A402" s="70" t="s">
        <v>594</v>
      </c>
      <c r="B402" s="71">
        <v>2174877</v>
      </c>
      <c r="C402" s="72">
        <v>46179</v>
      </c>
      <c r="D402" s="73" t="s">
        <v>320</v>
      </c>
      <c r="E402" s="74" t="s">
        <v>595</v>
      </c>
      <c r="F402" s="75">
        <f>IFERROR(INDEX(M_User!$A$12:$J$67,MATCH(D402,M_User!$D$12:$D$67,0),1),"UNMAPPED")</f>
        <v>88</v>
      </c>
      <c r="G402" s="76" t="str">
        <f>IFERROR(INDEX(M_User!$A$12:$J$67,MATCH(D402,M_User!$D$12:$D$67,0),3),"UNMAPPED")</f>
        <v>Doglas E. Shirima</v>
      </c>
      <c r="H402" s="75" t="str">
        <f>IFERROR(INDEX(M_User!$A$12:$J$67,MATCH(D402,M_User!$D$12:$D$67,0),5),"UNMAPPED")</f>
        <v>ARS</v>
      </c>
      <c r="I402" s="73" t="s">
        <v>144</v>
      </c>
      <c r="J402" s="73" t="s">
        <v>170</v>
      </c>
      <c r="K402" s="76" t="str">
        <f>IFERROR(INDEX(M_SKU!$A$18:$J$57,MATCH(J402,M_SKU!$B$18:$B$57,0),1),"UNKNOWN SKU")</f>
        <v>Coke RGB 350ml</v>
      </c>
      <c r="L402" s="73" t="s">
        <v>596</v>
      </c>
      <c r="M402" s="72">
        <v>46161</v>
      </c>
      <c r="N402" s="72">
        <v>46525</v>
      </c>
      <c r="O402" s="77">
        <v>15</v>
      </c>
      <c r="P402" s="78" t="s">
        <v>521</v>
      </c>
      <c r="Q402" s="79"/>
      <c r="R402" s="80"/>
      <c r="S402" s="81"/>
      <c r="T402" s="81"/>
      <c r="U402" s="82" t="str">
        <f t="shared" si="6"/>
        <v>ARS000069|FG001|CK3-33379</v>
      </c>
    </row>
    <row r="403" spans="1:21" ht="15" customHeight="1" x14ac:dyDescent="0.3">
      <c r="A403" s="60" t="s">
        <v>594</v>
      </c>
      <c r="B403" s="61">
        <v>2174877</v>
      </c>
      <c r="C403" s="62">
        <v>46179</v>
      </c>
      <c r="D403" s="63" t="s">
        <v>320</v>
      </c>
      <c r="E403" s="64" t="s">
        <v>595</v>
      </c>
      <c r="F403" s="65">
        <f>IFERROR(INDEX(M_User!$A$12:$J$67,MATCH(D403,M_User!$D$12:$D$67,0),1),"UNMAPPED")</f>
        <v>88</v>
      </c>
      <c r="G403" s="66" t="str">
        <f>IFERROR(INDEX(M_User!$A$12:$J$67,MATCH(D403,M_User!$D$12:$D$67,0),3),"UNMAPPED")</f>
        <v>Doglas E. Shirima</v>
      </c>
      <c r="H403" s="65" t="str">
        <f>IFERROR(INDEX(M_User!$A$12:$J$67,MATCH(D403,M_User!$D$12:$D$67,0),5),"UNMAPPED")</f>
        <v>ARS</v>
      </c>
      <c r="I403" s="63" t="s">
        <v>144</v>
      </c>
      <c r="J403" s="63" t="s">
        <v>178</v>
      </c>
      <c r="K403" s="66" t="str">
        <f>IFERROR(INDEX(M_SKU!$A$18:$J$57,MATCH(J403,M_SKU!$B$18:$B$57,0),1),"UNKNOWN SKU")</f>
        <v>Fanta Orange RGB 350ml</v>
      </c>
      <c r="L403" s="63" t="s">
        <v>597</v>
      </c>
      <c r="M403" s="62">
        <v>46160</v>
      </c>
      <c r="N403" s="62">
        <v>46524</v>
      </c>
      <c r="O403" s="67">
        <v>5</v>
      </c>
      <c r="P403" s="68" t="s">
        <v>521</v>
      </c>
      <c r="Q403" s="63"/>
      <c r="R403" s="62"/>
      <c r="S403" s="69"/>
      <c r="T403" s="69"/>
      <c r="U403" s="66" t="str">
        <f t="shared" si="6"/>
        <v>ARS000069|FG002|CK3-33372</v>
      </c>
    </row>
    <row r="404" spans="1:21" ht="15" customHeight="1" x14ac:dyDescent="0.3">
      <c r="A404" s="70" t="s">
        <v>594</v>
      </c>
      <c r="B404" s="71">
        <v>2174877</v>
      </c>
      <c r="C404" s="72">
        <v>46179</v>
      </c>
      <c r="D404" s="73" t="s">
        <v>320</v>
      </c>
      <c r="E404" s="74" t="s">
        <v>595</v>
      </c>
      <c r="F404" s="75">
        <f>IFERROR(INDEX(M_User!$A$12:$J$67,MATCH(D404,M_User!$D$12:$D$67,0),1),"UNMAPPED")</f>
        <v>88</v>
      </c>
      <c r="G404" s="76" t="str">
        <f>IFERROR(INDEX(M_User!$A$12:$J$67,MATCH(D404,M_User!$D$12:$D$67,0),3),"UNMAPPED")</f>
        <v>Doglas E. Shirima</v>
      </c>
      <c r="H404" s="75" t="str">
        <f>IFERROR(INDEX(M_User!$A$12:$J$67,MATCH(D404,M_User!$D$12:$D$67,0),5),"UNMAPPED")</f>
        <v>ARS</v>
      </c>
      <c r="I404" s="73" t="s">
        <v>144</v>
      </c>
      <c r="J404" s="73" t="s">
        <v>181</v>
      </c>
      <c r="K404" s="76" t="str">
        <f>IFERROR(INDEX(M_SKU!$A$18:$J$57,MATCH(J404,M_SKU!$B$18:$B$57,0),1),"UNKNOWN SKU")</f>
        <v>Fanta Passion RGB 350ml</v>
      </c>
      <c r="L404" s="73" t="s">
        <v>598</v>
      </c>
      <c r="M404" s="72">
        <v>46141</v>
      </c>
      <c r="N404" s="72">
        <v>46505</v>
      </c>
      <c r="O404" s="77">
        <v>2</v>
      </c>
      <c r="P404" s="78" t="s">
        <v>521</v>
      </c>
      <c r="Q404" s="79"/>
      <c r="R404" s="80"/>
      <c r="S404" s="81"/>
      <c r="T404" s="81"/>
      <c r="U404" s="82" t="str">
        <f t="shared" si="6"/>
        <v>ARS000069|FG003|CK3-33290</v>
      </c>
    </row>
    <row r="405" spans="1:21" ht="15" customHeight="1" x14ac:dyDescent="0.3">
      <c r="A405" s="60" t="s">
        <v>594</v>
      </c>
      <c r="B405" s="61">
        <v>2174877</v>
      </c>
      <c r="C405" s="62">
        <v>46179</v>
      </c>
      <c r="D405" s="63" t="s">
        <v>320</v>
      </c>
      <c r="E405" s="64" t="s">
        <v>595</v>
      </c>
      <c r="F405" s="65">
        <f>IFERROR(INDEX(M_User!$A$12:$J$67,MATCH(D405,M_User!$D$12:$D$67,0),1),"UNMAPPED")</f>
        <v>88</v>
      </c>
      <c r="G405" s="66" t="str">
        <f>IFERROR(INDEX(M_User!$A$12:$J$67,MATCH(D405,M_User!$D$12:$D$67,0),3),"UNMAPPED")</f>
        <v>Doglas E. Shirima</v>
      </c>
      <c r="H405" s="65" t="str">
        <f>IFERROR(INDEX(M_User!$A$12:$J$67,MATCH(D405,M_User!$D$12:$D$67,0),5),"UNMAPPED")</f>
        <v>ARS</v>
      </c>
      <c r="I405" s="63" t="s">
        <v>144</v>
      </c>
      <c r="J405" s="63" t="s">
        <v>183</v>
      </c>
      <c r="K405" s="66" t="str">
        <f>IFERROR(INDEX(M_SKU!$A$18:$J$57,MATCH(J405,M_SKU!$B$18:$B$57,0),1),"UNKNOWN SKU")</f>
        <v>Fanta Pineapple RGB 350ml</v>
      </c>
      <c r="L405" s="63" t="s">
        <v>599</v>
      </c>
      <c r="M405" s="62">
        <v>46157</v>
      </c>
      <c r="N405" s="62">
        <v>46521</v>
      </c>
      <c r="O405" s="67">
        <v>2</v>
      </c>
      <c r="P405" s="68" t="s">
        <v>521</v>
      </c>
      <c r="Q405" s="63"/>
      <c r="R405" s="62"/>
      <c r="S405" s="69"/>
      <c r="T405" s="69"/>
      <c r="U405" s="66" t="str">
        <f t="shared" si="6"/>
        <v>ARS000069|FG004|CK5-33354</v>
      </c>
    </row>
    <row r="406" spans="1:21" ht="15" customHeight="1" x14ac:dyDescent="0.3">
      <c r="A406" s="70" t="s">
        <v>594</v>
      </c>
      <c r="B406" s="71">
        <v>2174877</v>
      </c>
      <c r="C406" s="72">
        <v>46179</v>
      </c>
      <c r="D406" s="73" t="s">
        <v>320</v>
      </c>
      <c r="E406" s="74" t="s">
        <v>595</v>
      </c>
      <c r="F406" s="75">
        <f>IFERROR(INDEX(M_User!$A$12:$J$67,MATCH(D406,M_User!$D$12:$D$67,0),1),"UNMAPPED")</f>
        <v>88</v>
      </c>
      <c r="G406" s="76" t="str">
        <f>IFERROR(INDEX(M_User!$A$12:$J$67,MATCH(D406,M_User!$D$12:$D$67,0),3),"UNMAPPED")</f>
        <v>Doglas E. Shirima</v>
      </c>
      <c r="H406" s="75" t="str">
        <f>IFERROR(INDEX(M_User!$A$12:$J$67,MATCH(D406,M_User!$D$12:$D$67,0),5),"UNMAPPED")</f>
        <v>ARS</v>
      </c>
      <c r="I406" s="73" t="s">
        <v>144</v>
      </c>
      <c r="J406" s="73" t="s">
        <v>187</v>
      </c>
      <c r="K406" s="76" t="str">
        <f>IFERROR(INDEX(M_SKU!$A$18:$J$57,MATCH(J406,M_SKU!$B$18:$B$57,0),1),"UNKNOWN SKU")</f>
        <v>Sprite 350ml</v>
      </c>
      <c r="L406" s="73" t="s">
        <v>600</v>
      </c>
      <c r="M406" s="72">
        <v>46141</v>
      </c>
      <c r="N406" s="72">
        <v>46505</v>
      </c>
      <c r="O406" s="77">
        <v>2</v>
      </c>
      <c r="P406" s="78" t="s">
        <v>521</v>
      </c>
      <c r="Q406" s="79"/>
      <c r="R406" s="80"/>
      <c r="S406" s="81"/>
      <c r="T406" s="81"/>
      <c r="U406" s="82" t="str">
        <f t="shared" si="6"/>
        <v>ARS000069|FG006|CK3-33306</v>
      </c>
    </row>
    <row r="407" spans="1:21" ht="15" customHeight="1" x14ac:dyDescent="0.3">
      <c r="A407" s="60" t="s">
        <v>594</v>
      </c>
      <c r="B407" s="61">
        <v>2174877</v>
      </c>
      <c r="C407" s="62">
        <v>46179</v>
      </c>
      <c r="D407" s="63" t="s">
        <v>320</v>
      </c>
      <c r="E407" s="64" t="s">
        <v>595</v>
      </c>
      <c r="F407" s="65">
        <f>IFERROR(INDEX(M_User!$A$12:$J$67,MATCH(D407,M_User!$D$12:$D$67,0),1),"UNMAPPED")</f>
        <v>88</v>
      </c>
      <c r="G407" s="66" t="str">
        <f>IFERROR(INDEX(M_User!$A$12:$J$67,MATCH(D407,M_User!$D$12:$D$67,0),3),"UNMAPPED")</f>
        <v>Doglas E. Shirima</v>
      </c>
      <c r="H407" s="65" t="str">
        <f>IFERROR(INDEX(M_User!$A$12:$J$67,MATCH(D407,M_User!$D$12:$D$67,0),5),"UNMAPPED")</f>
        <v>ARS</v>
      </c>
      <c r="I407" s="63" t="s">
        <v>144</v>
      </c>
      <c r="J407" s="63" t="s">
        <v>196</v>
      </c>
      <c r="K407" s="66" t="str">
        <f>IFERROR(INDEX(M_SKU!$A$18:$J$57,MATCH(J407,M_SKU!$B$18:$B$57,0),1),"UNKNOWN SKU")</f>
        <v>Krest Bitter Lemon RGB 300ml</v>
      </c>
      <c r="L407" s="63" t="s">
        <v>538</v>
      </c>
      <c r="M407" s="62">
        <v>46154</v>
      </c>
      <c r="N407" s="62">
        <v>46518</v>
      </c>
      <c r="O407" s="67">
        <v>3</v>
      </c>
      <c r="P407" s="68" t="s">
        <v>521</v>
      </c>
      <c r="Q407" s="63"/>
      <c r="R407" s="62"/>
      <c r="S407" s="69"/>
      <c r="T407" s="69"/>
      <c r="U407" s="66" t="str">
        <f t="shared" si="6"/>
        <v>ARS000069|FG009|CK3-33348</v>
      </c>
    </row>
    <row r="408" spans="1:21" ht="15" customHeight="1" x14ac:dyDescent="0.3">
      <c r="A408" s="70" t="s">
        <v>594</v>
      </c>
      <c r="B408" s="71">
        <v>2174877</v>
      </c>
      <c r="C408" s="72">
        <v>46179</v>
      </c>
      <c r="D408" s="73" t="s">
        <v>320</v>
      </c>
      <c r="E408" s="74" t="s">
        <v>595</v>
      </c>
      <c r="F408" s="75">
        <f>IFERROR(INDEX(M_User!$A$12:$J$67,MATCH(D408,M_User!$D$12:$D$67,0),1),"UNMAPPED")</f>
        <v>88</v>
      </c>
      <c r="G408" s="76" t="str">
        <f>IFERROR(INDEX(M_User!$A$12:$J$67,MATCH(D408,M_User!$D$12:$D$67,0),3),"UNMAPPED")</f>
        <v>Doglas E. Shirima</v>
      </c>
      <c r="H408" s="75" t="str">
        <f>IFERROR(INDEX(M_User!$A$12:$J$67,MATCH(D408,M_User!$D$12:$D$67,0),5),"UNMAPPED")</f>
        <v>ARS</v>
      </c>
      <c r="I408" s="73" t="s">
        <v>144</v>
      </c>
      <c r="J408" s="73" t="s">
        <v>199</v>
      </c>
      <c r="K408" s="76" t="str">
        <f>IFERROR(INDEX(M_SKU!$A$18:$J$57,MATCH(J408,M_SKU!$B$18:$B$57,0),1),"UNKNOWN SKU")</f>
        <v>Krest Club Soda RGB 300ml</v>
      </c>
      <c r="L408" s="73" t="s">
        <v>539</v>
      </c>
      <c r="M408" s="72">
        <v>46140</v>
      </c>
      <c r="N408" s="72">
        <v>46504</v>
      </c>
      <c r="O408" s="77">
        <v>3</v>
      </c>
      <c r="P408" s="78" t="s">
        <v>521</v>
      </c>
      <c r="Q408" s="79"/>
      <c r="R408" s="80"/>
      <c r="S408" s="81"/>
      <c r="T408" s="81"/>
      <c r="U408" s="82" t="str">
        <f t="shared" si="6"/>
        <v>ARS000069|FG010|CK3-33301</v>
      </c>
    </row>
    <row r="409" spans="1:21" ht="15" customHeight="1" x14ac:dyDescent="0.3">
      <c r="A409" s="60" t="s">
        <v>594</v>
      </c>
      <c r="B409" s="61">
        <v>2174877</v>
      </c>
      <c r="C409" s="62">
        <v>46179</v>
      </c>
      <c r="D409" s="63" t="s">
        <v>320</v>
      </c>
      <c r="E409" s="64" t="s">
        <v>595</v>
      </c>
      <c r="F409" s="65">
        <f>IFERROR(INDEX(M_User!$A$12:$J$67,MATCH(D409,M_User!$D$12:$D$67,0),1),"UNMAPPED")</f>
        <v>88</v>
      </c>
      <c r="G409" s="66" t="str">
        <f>IFERROR(INDEX(M_User!$A$12:$J$67,MATCH(D409,M_User!$D$12:$D$67,0),3),"UNMAPPED")</f>
        <v>Doglas E. Shirima</v>
      </c>
      <c r="H409" s="65" t="str">
        <f>IFERROR(INDEX(M_User!$A$12:$J$67,MATCH(D409,M_User!$D$12:$D$67,0),5),"UNMAPPED")</f>
        <v>ARS</v>
      </c>
      <c r="I409" s="63" t="s">
        <v>144</v>
      </c>
      <c r="J409" s="63" t="s">
        <v>201</v>
      </c>
      <c r="K409" s="66" t="str">
        <f>IFERROR(INDEX(M_SKU!$A$18:$J$57,MATCH(J409,M_SKU!$B$18:$B$57,0),1),"UNKNOWN SKU")</f>
        <v>Krest Tonic Water RGB 300ml</v>
      </c>
      <c r="L409" s="63" t="s">
        <v>601</v>
      </c>
      <c r="M409" s="62">
        <v>46126</v>
      </c>
      <c r="N409" s="62">
        <v>46490</v>
      </c>
      <c r="O409" s="67">
        <v>3</v>
      </c>
      <c r="P409" s="68" t="s">
        <v>521</v>
      </c>
      <c r="Q409" s="63"/>
      <c r="R409" s="62"/>
      <c r="S409" s="69"/>
      <c r="T409" s="69"/>
      <c r="U409" s="66" t="str">
        <f t="shared" si="6"/>
        <v>ARS000069|FG011|CK3-33237</v>
      </c>
    </row>
    <row r="410" spans="1:21" ht="15" customHeight="1" x14ac:dyDescent="0.3">
      <c r="A410" s="70" t="s">
        <v>594</v>
      </c>
      <c r="B410" s="71">
        <v>2174877</v>
      </c>
      <c r="C410" s="72">
        <v>46179</v>
      </c>
      <c r="D410" s="73" t="s">
        <v>320</v>
      </c>
      <c r="E410" s="74" t="s">
        <v>595</v>
      </c>
      <c r="F410" s="75">
        <f>IFERROR(INDEX(M_User!$A$12:$J$67,MATCH(D410,M_User!$D$12:$D$67,0),1),"UNMAPPED")</f>
        <v>88</v>
      </c>
      <c r="G410" s="76" t="str">
        <f>IFERROR(INDEX(M_User!$A$12:$J$67,MATCH(D410,M_User!$D$12:$D$67,0),3),"UNMAPPED")</f>
        <v>Doglas E. Shirima</v>
      </c>
      <c r="H410" s="75" t="str">
        <f>IFERROR(INDEX(M_User!$A$12:$J$67,MATCH(D410,M_User!$D$12:$D$67,0),5),"UNMAPPED")</f>
        <v>ARS</v>
      </c>
      <c r="I410" s="73" t="s">
        <v>144</v>
      </c>
      <c r="J410" s="73" t="s">
        <v>203</v>
      </c>
      <c r="K410" s="76" t="str">
        <f>IFERROR(INDEX(M_SKU!$A$18:$J$57,MATCH(J410,M_SKU!$B$18:$B$57,0),1),"UNKNOWN SKU")</f>
        <v>Krest Ginger Ale RGB 300ml</v>
      </c>
      <c r="L410" s="73" t="s">
        <v>541</v>
      </c>
      <c r="M410" s="72">
        <v>46088</v>
      </c>
      <c r="N410" s="72">
        <v>46452</v>
      </c>
      <c r="O410" s="77">
        <v>1</v>
      </c>
      <c r="P410" s="78" t="s">
        <v>521</v>
      </c>
      <c r="Q410" s="79"/>
      <c r="R410" s="80"/>
      <c r="S410" s="81"/>
      <c r="T410" s="81"/>
      <c r="U410" s="82" t="str">
        <f t="shared" si="6"/>
        <v>ARS000069|FG012|CK3-33126</v>
      </c>
    </row>
    <row r="411" spans="1:21" ht="15" customHeight="1" x14ac:dyDescent="0.3">
      <c r="A411" s="60" t="s">
        <v>594</v>
      </c>
      <c r="B411" s="61">
        <v>2174877</v>
      </c>
      <c r="C411" s="62">
        <v>46179</v>
      </c>
      <c r="D411" s="63" t="s">
        <v>320</v>
      </c>
      <c r="E411" s="64" t="s">
        <v>595</v>
      </c>
      <c r="F411" s="65">
        <f>IFERROR(INDEX(M_User!$A$12:$J$67,MATCH(D411,M_User!$D$12:$D$67,0),1),"UNMAPPED")</f>
        <v>88</v>
      </c>
      <c r="G411" s="66" t="str">
        <f>IFERROR(INDEX(M_User!$A$12:$J$67,MATCH(D411,M_User!$D$12:$D$67,0),3),"UNMAPPED")</f>
        <v>Doglas E. Shirima</v>
      </c>
      <c r="H411" s="65" t="str">
        <f>IFERROR(INDEX(M_User!$A$12:$J$67,MATCH(D411,M_User!$D$12:$D$67,0),5),"UNMAPPED")</f>
        <v>ARS</v>
      </c>
      <c r="I411" s="63" t="s">
        <v>144</v>
      </c>
      <c r="J411" s="63" t="s">
        <v>211</v>
      </c>
      <c r="K411" s="66" t="str">
        <f>IFERROR(INDEX(M_SKU!$A$18:$J$57,MATCH(J411,M_SKU!$B$18:$B$57,0),1),"UNKNOWN SKU")</f>
        <v>KNMW 500ml</v>
      </c>
      <c r="L411" s="63" t="s">
        <v>602</v>
      </c>
      <c r="M411" s="62">
        <v>46171</v>
      </c>
      <c r="N411" s="62">
        <v>46535</v>
      </c>
      <c r="O411" s="67">
        <v>200</v>
      </c>
      <c r="P411" s="68" t="s">
        <v>521</v>
      </c>
      <c r="Q411" s="63"/>
      <c r="R411" s="62"/>
      <c r="S411" s="69"/>
      <c r="T411" s="69"/>
      <c r="U411" s="66" t="str">
        <f t="shared" si="6"/>
        <v>ARS000069|KD001|CK4-836</v>
      </c>
    </row>
    <row r="412" spans="1:21" ht="15" customHeight="1" x14ac:dyDescent="0.3">
      <c r="A412" s="70" t="s">
        <v>594</v>
      </c>
      <c r="B412" s="71">
        <v>2174877</v>
      </c>
      <c r="C412" s="72">
        <v>46179</v>
      </c>
      <c r="D412" s="73" t="s">
        <v>320</v>
      </c>
      <c r="E412" s="74" t="s">
        <v>595</v>
      </c>
      <c r="F412" s="75">
        <f>IFERROR(INDEX(M_User!$A$12:$J$67,MATCH(D412,M_User!$D$12:$D$67,0),1),"UNMAPPED")</f>
        <v>88</v>
      </c>
      <c r="G412" s="76" t="str">
        <f>IFERROR(INDEX(M_User!$A$12:$J$67,MATCH(D412,M_User!$D$12:$D$67,0),3),"UNMAPPED")</f>
        <v>Doglas E. Shirima</v>
      </c>
      <c r="H412" s="75" t="str">
        <f>IFERROR(INDEX(M_User!$A$12:$J$67,MATCH(D412,M_User!$D$12:$D$67,0),5),"UNMAPPED")</f>
        <v>ARS</v>
      </c>
      <c r="I412" s="73" t="s">
        <v>144</v>
      </c>
      <c r="J412" s="73" t="s">
        <v>211</v>
      </c>
      <c r="K412" s="76" t="str">
        <f>IFERROR(INDEX(M_SKU!$A$18:$J$57,MATCH(J412,M_SKU!$B$18:$B$57,0),1),"UNKNOWN SKU")</f>
        <v>KNMW 500ml</v>
      </c>
      <c r="L412" s="73" t="s">
        <v>603</v>
      </c>
      <c r="M412" s="72">
        <v>46163</v>
      </c>
      <c r="N412" s="72">
        <v>46527</v>
      </c>
      <c r="O412" s="77">
        <v>139</v>
      </c>
      <c r="P412" s="78" t="s">
        <v>521</v>
      </c>
      <c r="Q412" s="79"/>
      <c r="R412" s="80"/>
      <c r="S412" s="81"/>
      <c r="T412" s="81"/>
      <c r="U412" s="82" t="str">
        <f t="shared" si="6"/>
        <v>ARS000069|KD001|CK6-978</v>
      </c>
    </row>
    <row r="413" spans="1:21" ht="15" customHeight="1" x14ac:dyDescent="0.3">
      <c r="A413" s="60" t="s">
        <v>594</v>
      </c>
      <c r="B413" s="61">
        <v>2174877</v>
      </c>
      <c r="C413" s="62">
        <v>46179</v>
      </c>
      <c r="D413" s="63" t="s">
        <v>320</v>
      </c>
      <c r="E413" s="64" t="s">
        <v>595</v>
      </c>
      <c r="F413" s="65">
        <f>IFERROR(INDEX(M_User!$A$12:$J$67,MATCH(D413,M_User!$D$12:$D$67,0),1),"UNMAPPED")</f>
        <v>88</v>
      </c>
      <c r="G413" s="66" t="str">
        <f>IFERROR(INDEX(M_User!$A$12:$J$67,MATCH(D413,M_User!$D$12:$D$67,0),3),"UNMAPPED")</f>
        <v>Doglas E. Shirima</v>
      </c>
      <c r="H413" s="65" t="str">
        <f>IFERROR(INDEX(M_User!$A$12:$J$67,MATCH(D413,M_User!$D$12:$D$67,0),5),"UNMAPPED")</f>
        <v>ARS</v>
      </c>
      <c r="I413" s="63" t="s">
        <v>144</v>
      </c>
      <c r="J413" s="63" t="s">
        <v>211</v>
      </c>
      <c r="K413" s="66" t="str">
        <f>IFERROR(INDEX(M_SKU!$A$18:$J$57,MATCH(J413,M_SKU!$B$18:$B$57,0),1),"UNKNOWN SKU")</f>
        <v>KNMW 500ml</v>
      </c>
      <c r="L413" s="63" t="s">
        <v>604</v>
      </c>
      <c r="M413" s="62">
        <v>46174</v>
      </c>
      <c r="N413" s="62">
        <v>46538</v>
      </c>
      <c r="O413" s="67">
        <v>1</v>
      </c>
      <c r="P413" s="68" t="s">
        <v>521</v>
      </c>
      <c r="Q413" s="63"/>
      <c r="R413" s="62"/>
      <c r="S413" s="69"/>
      <c r="T413" s="69"/>
      <c r="U413" s="66" t="str">
        <f t="shared" si="6"/>
        <v>ARS000069|KD001|CK6-983</v>
      </c>
    </row>
    <row r="414" spans="1:21" ht="15" customHeight="1" x14ac:dyDescent="0.3">
      <c r="A414" s="70" t="s">
        <v>594</v>
      </c>
      <c r="B414" s="71">
        <v>2174877</v>
      </c>
      <c r="C414" s="72">
        <v>46179</v>
      </c>
      <c r="D414" s="73" t="s">
        <v>320</v>
      </c>
      <c r="E414" s="74" t="s">
        <v>595</v>
      </c>
      <c r="F414" s="75">
        <f>IFERROR(INDEX(M_User!$A$12:$J$67,MATCH(D414,M_User!$D$12:$D$67,0),1),"UNMAPPED")</f>
        <v>88</v>
      </c>
      <c r="G414" s="76" t="str">
        <f>IFERROR(INDEX(M_User!$A$12:$J$67,MATCH(D414,M_User!$D$12:$D$67,0),3),"UNMAPPED")</f>
        <v>Doglas E. Shirima</v>
      </c>
      <c r="H414" s="75" t="str">
        <f>IFERROR(INDEX(M_User!$A$12:$J$67,MATCH(D414,M_User!$D$12:$D$67,0),5),"UNMAPPED")</f>
        <v>ARS</v>
      </c>
      <c r="I414" s="73" t="s">
        <v>144</v>
      </c>
      <c r="J414" s="73" t="s">
        <v>217</v>
      </c>
      <c r="K414" s="76" t="str">
        <f>IFERROR(INDEX(M_SKU!$A$18:$J$57,MATCH(J414,M_SKU!$B$18:$B$57,0),1),"UNKNOWN SKU")</f>
        <v>KNMW 1500ml</v>
      </c>
      <c r="L414" s="73" t="s">
        <v>605</v>
      </c>
      <c r="M414" s="72">
        <v>46165</v>
      </c>
      <c r="N414" s="72">
        <v>46529</v>
      </c>
      <c r="O414" s="77">
        <v>35</v>
      </c>
      <c r="P414" s="78" t="s">
        <v>521</v>
      </c>
      <c r="Q414" s="79"/>
      <c r="R414" s="80"/>
      <c r="S414" s="81"/>
      <c r="T414" s="81"/>
      <c r="U414" s="82" t="str">
        <f t="shared" si="6"/>
        <v>ARS000069|KD003|CK6-980</v>
      </c>
    </row>
    <row r="415" spans="1:21" ht="15" customHeight="1" x14ac:dyDescent="0.3">
      <c r="A415" s="60" t="s">
        <v>594</v>
      </c>
      <c r="B415" s="61">
        <v>2174877</v>
      </c>
      <c r="C415" s="62">
        <v>46179</v>
      </c>
      <c r="D415" s="63" t="s">
        <v>320</v>
      </c>
      <c r="E415" s="64" t="s">
        <v>595</v>
      </c>
      <c r="F415" s="65">
        <f>IFERROR(INDEX(M_User!$A$12:$J$67,MATCH(D415,M_User!$D$12:$D$67,0),1),"UNMAPPED")</f>
        <v>88</v>
      </c>
      <c r="G415" s="66" t="str">
        <f>IFERROR(INDEX(M_User!$A$12:$J$67,MATCH(D415,M_User!$D$12:$D$67,0),3),"UNMAPPED")</f>
        <v>Doglas E. Shirima</v>
      </c>
      <c r="H415" s="65" t="str">
        <f>IFERROR(INDEX(M_User!$A$12:$J$67,MATCH(D415,M_User!$D$12:$D$67,0),5),"UNMAPPED")</f>
        <v>ARS</v>
      </c>
      <c r="I415" s="63" t="s">
        <v>144</v>
      </c>
      <c r="J415" s="63" t="s">
        <v>219</v>
      </c>
      <c r="K415" s="66" t="str">
        <f>IFERROR(INDEX(M_SKU!$A$18:$J$57,MATCH(J415,M_SKU!$B$18:$B$57,0),1),"UNKNOWN SKU")</f>
        <v>Kilimanjaro Drinking Water 6000 ML</v>
      </c>
      <c r="L415" s="63" t="s">
        <v>606</v>
      </c>
      <c r="M415" s="62">
        <v>46141</v>
      </c>
      <c r="N415" s="62">
        <v>46505</v>
      </c>
      <c r="O415" s="67">
        <v>36</v>
      </c>
      <c r="P415" s="68" t="s">
        <v>521</v>
      </c>
      <c r="Q415" s="63"/>
      <c r="R415" s="62"/>
      <c r="S415" s="69"/>
      <c r="T415" s="69"/>
      <c r="U415" s="66" t="str">
        <f t="shared" si="6"/>
        <v>ARS000069|KD004|CK7-895</v>
      </c>
    </row>
    <row r="416" spans="1:21" ht="15" customHeight="1" x14ac:dyDescent="0.3">
      <c r="A416" s="70" t="s">
        <v>594</v>
      </c>
      <c r="B416" s="71">
        <v>2174877</v>
      </c>
      <c r="C416" s="72">
        <v>46179</v>
      </c>
      <c r="D416" s="73" t="s">
        <v>320</v>
      </c>
      <c r="E416" s="74" t="s">
        <v>595</v>
      </c>
      <c r="F416" s="75">
        <f>IFERROR(INDEX(M_User!$A$12:$J$67,MATCH(D416,M_User!$D$12:$D$67,0),1),"UNMAPPED")</f>
        <v>88</v>
      </c>
      <c r="G416" s="76" t="str">
        <f>IFERROR(INDEX(M_User!$A$12:$J$67,MATCH(D416,M_User!$D$12:$D$67,0),3),"UNMAPPED")</f>
        <v>Doglas E. Shirima</v>
      </c>
      <c r="H416" s="75" t="str">
        <f>IFERROR(INDEX(M_User!$A$12:$J$67,MATCH(D416,M_User!$D$12:$D$67,0),5),"UNMAPPED")</f>
        <v>ARS</v>
      </c>
      <c r="I416" s="73" t="s">
        <v>144</v>
      </c>
      <c r="J416" s="73" t="s">
        <v>222</v>
      </c>
      <c r="K416" s="76" t="str">
        <f>IFERROR(INDEX(M_SKU!$A$18:$J$57,MATCH(J416,M_SKU!$B$18:$B$57,0),1),"UNKNOWN SKU")</f>
        <v>Kilimanjaro Drinking Water 12000 ML</v>
      </c>
      <c r="L416" s="73" t="s">
        <v>607</v>
      </c>
      <c r="M416" s="72">
        <v>46162</v>
      </c>
      <c r="N416" s="72">
        <v>46526</v>
      </c>
      <c r="O416" s="77">
        <v>7</v>
      </c>
      <c r="P416" s="78" t="s">
        <v>521</v>
      </c>
      <c r="Q416" s="79"/>
      <c r="R416" s="80"/>
      <c r="S416" s="81"/>
      <c r="T416" s="81"/>
      <c r="U416" s="82" t="str">
        <f t="shared" si="6"/>
        <v>ARS000069|KD005|CK7-909</v>
      </c>
    </row>
    <row r="417" spans="1:21" ht="15" customHeight="1" x14ac:dyDescent="0.3">
      <c r="A417" s="60" t="s">
        <v>594</v>
      </c>
      <c r="B417" s="61">
        <v>2174877</v>
      </c>
      <c r="C417" s="62">
        <v>46179</v>
      </c>
      <c r="D417" s="63" t="s">
        <v>320</v>
      </c>
      <c r="E417" s="64" t="s">
        <v>595</v>
      </c>
      <c r="F417" s="65">
        <f>IFERROR(INDEX(M_User!$A$12:$J$67,MATCH(D417,M_User!$D$12:$D$67,0),1),"UNMAPPED")</f>
        <v>88</v>
      </c>
      <c r="G417" s="66" t="str">
        <f>IFERROR(INDEX(M_User!$A$12:$J$67,MATCH(D417,M_User!$D$12:$D$67,0),3),"UNMAPPED")</f>
        <v>Doglas E. Shirima</v>
      </c>
      <c r="H417" s="65" t="str">
        <f>IFERROR(INDEX(M_User!$A$12:$J$67,MATCH(D417,M_User!$D$12:$D$67,0),5),"UNMAPPED")</f>
        <v>ARS</v>
      </c>
      <c r="I417" s="63" t="s">
        <v>144</v>
      </c>
      <c r="J417" s="63" t="s">
        <v>222</v>
      </c>
      <c r="K417" s="66" t="str">
        <f>IFERROR(INDEX(M_SKU!$A$18:$J$57,MATCH(J417,M_SKU!$B$18:$B$57,0),1),"UNKNOWN SKU")</f>
        <v>Kilimanjaro Drinking Water 12000 ML</v>
      </c>
      <c r="L417" s="63" t="s">
        <v>566</v>
      </c>
      <c r="M417" s="62">
        <v>46170</v>
      </c>
      <c r="N417" s="62">
        <v>46534</v>
      </c>
      <c r="O417" s="67">
        <v>22</v>
      </c>
      <c r="P417" s="68" t="s">
        <v>521</v>
      </c>
      <c r="Q417" s="63"/>
      <c r="R417" s="62"/>
      <c r="S417" s="69"/>
      <c r="T417" s="69"/>
      <c r="U417" s="66" t="str">
        <f t="shared" si="6"/>
        <v>ARS000069|KD005|CK7-913</v>
      </c>
    </row>
    <row r="418" spans="1:21" ht="15" customHeight="1" x14ac:dyDescent="0.3">
      <c r="A418" s="70" t="s">
        <v>594</v>
      </c>
      <c r="B418" s="71">
        <v>2174877</v>
      </c>
      <c r="C418" s="72">
        <v>46179</v>
      </c>
      <c r="D418" s="73" t="s">
        <v>320</v>
      </c>
      <c r="E418" s="74" t="s">
        <v>595</v>
      </c>
      <c r="F418" s="75">
        <f>IFERROR(INDEX(M_User!$A$12:$J$67,MATCH(D418,M_User!$D$12:$D$67,0),1),"UNMAPPED")</f>
        <v>88</v>
      </c>
      <c r="G418" s="76" t="str">
        <f>IFERROR(INDEX(M_User!$A$12:$J$67,MATCH(D418,M_User!$D$12:$D$67,0),3),"UNMAPPED")</f>
        <v>Doglas E. Shirima</v>
      </c>
      <c r="H418" s="75" t="str">
        <f>IFERROR(INDEX(M_User!$A$12:$J$67,MATCH(D418,M_User!$D$12:$D$67,0),5),"UNMAPPED")</f>
        <v>ARS</v>
      </c>
      <c r="I418" s="73" t="s">
        <v>144</v>
      </c>
      <c r="J418" s="73" t="s">
        <v>225</v>
      </c>
      <c r="K418" s="76" t="str">
        <f>IFERROR(INDEX(M_SKU!$A$18:$J$57,MATCH(J418,M_SKU!$B$18:$B$57,0),1),"UNKNOWN SKU")</f>
        <v>Kilimanjaro Drinking Water 18900 ML</v>
      </c>
      <c r="L418" s="73" t="s">
        <v>608</v>
      </c>
      <c r="M418" s="72">
        <v>46171</v>
      </c>
      <c r="N418" s="72">
        <v>46535</v>
      </c>
      <c r="O418" s="77">
        <v>4</v>
      </c>
      <c r="P418" s="78" t="s">
        <v>521</v>
      </c>
      <c r="Q418" s="79"/>
      <c r="R418" s="80"/>
      <c r="S418" s="81"/>
      <c r="T418" s="81"/>
      <c r="U418" s="82" t="str">
        <f t="shared" si="6"/>
        <v>ARS000069|KD006|CK7-914</v>
      </c>
    </row>
    <row r="419" spans="1:21" ht="15" customHeight="1" x14ac:dyDescent="0.3">
      <c r="A419" s="60" t="s">
        <v>594</v>
      </c>
      <c r="B419" s="61">
        <v>2174877</v>
      </c>
      <c r="C419" s="62">
        <v>46179</v>
      </c>
      <c r="D419" s="63" t="s">
        <v>320</v>
      </c>
      <c r="E419" s="64" t="s">
        <v>595</v>
      </c>
      <c r="F419" s="65">
        <f>IFERROR(INDEX(M_User!$A$12:$J$67,MATCH(D419,M_User!$D$12:$D$67,0),1),"UNMAPPED")</f>
        <v>88</v>
      </c>
      <c r="G419" s="66" t="str">
        <f>IFERROR(INDEX(M_User!$A$12:$J$67,MATCH(D419,M_User!$D$12:$D$67,0),3),"UNMAPPED")</f>
        <v>Doglas E. Shirima</v>
      </c>
      <c r="H419" s="65" t="str">
        <f>IFERROR(INDEX(M_User!$A$12:$J$67,MATCH(D419,M_User!$D$12:$D$67,0),5),"UNMAPPED")</f>
        <v>ARS</v>
      </c>
      <c r="I419" s="63" t="s">
        <v>144</v>
      </c>
      <c r="J419" s="63" t="s">
        <v>225</v>
      </c>
      <c r="K419" s="66" t="str">
        <f>IFERROR(INDEX(M_SKU!$A$18:$J$57,MATCH(J419,M_SKU!$B$18:$B$57,0),1),"UNKNOWN SKU")</f>
        <v>Kilimanjaro Drinking Water 18900 ML</v>
      </c>
      <c r="L419" s="63" t="s">
        <v>567</v>
      </c>
      <c r="M419" s="62">
        <v>46172</v>
      </c>
      <c r="N419" s="62">
        <v>46536</v>
      </c>
      <c r="O419" s="67">
        <v>50</v>
      </c>
      <c r="P419" s="68" t="s">
        <v>521</v>
      </c>
      <c r="Q419" s="63"/>
      <c r="R419" s="62"/>
      <c r="S419" s="69"/>
      <c r="T419" s="69"/>
      <c r="U419" s="66" t="str">
        <f t="shared" si="6"/>
        <v>ARS000069|KD006|CK7-915</v>
      </c>
    </row>
    <row r="420" spans="1:21" ht="15" customHeight="1" x14ac:dyDescent="0.3">
      <c r="A420" s="70" t="s">
        <v>594</v>
      </c>
      <c r="B420" s="71">
        <v>2174877</v>
      </c>
      <c r="C420" s="72">
        <v>46179</v>
      </c>
      <c r="D420" s="73" t="s">
        <v>320</v>
      </c>
      <c r="E420" s="74" t="s">
        <v>595</v>
      </c>
      <c r="F420" s="75">
        <f>IFERROR(INDEX(M_User!$A$12:$J$67,MATCH(D420,M_User!$D$12:$D$67,0),1),"UNMAPPED")</f>
        <v>88</v>
      </c>
      <c r="G420" s="76" t="str">
        <f>IFERROR(INDEX(M_User!$A$12:$J$67,MATCH(D420,M_User!$D$12:$D$67,0),3),"UNMAPPED")</f>
        <v>Doglas E. Shirima</v>
      </c>
      <c r="H420" s="75" t="str">
        <f>IFERROR(INDEX(M_User!$A$12:$J$67,MATCH(D420,M_User!$D$12:$D$67,0),5),"UNMAPPED")</f>
        <v>ARS</v>
      </c>
      <c r="I420" s="73" t="s">
        <v>144</v>
      </c>
      <c r="J420" s="73" t="s">
        <v>227</v>
      </c>
      <c r="K420" s="76" t="str">
        <f>IFERROR(INDEX(M_SKU!$A$18:$J$57,MATCH(J420,M_SKU!$B$18:$B$57,0),1),"UNKNOWN SKU")</f>
        <v>KNMW 1000ml(6 Pack)</v>
      </c>
      <c r="L420" s="73" t="s">
        <v>609</v>
      </c>
      <c r="M420" s="72">
        <v>46165</v>
      </c>
      <c r="N420" s="72">
        <v>46529</v>
      </c>
      <c r="O420" s="77">
        <v>18</v>
      </c>
      <c r="P420" s="78" t="s">
        <v>521</v>
      </c>
      <c r="Q420" s="79"/>
      <c r="R420" s="80"/>
      <c r="S420" s="81"/>
      <c r="T420" s="81"/>
      <c r="U420" s="82" t="str">
        <f t="shared" si="6"/>
        <v>ARS000069|KD007|CK4-832</v>
      </c>
    </row>
    <row r="421" spans="1:21" ht="15" customHeight="1" x14ac:dyDescent="0.3">
      <c r="A421" s="60" t="s">
        <v>594</v>
      </c>
      <c r="B421" s="61">
        <v>2174877</v>
      </c>
      <c r="C421" s="62">
        <v>46179</v>
      </c>
      <c r="D421" s="63" t="s">
        <v>320</v>
      </c>
      <c r="E421" s="64" t="s">
        <v>595</v>
      </c>
      <c r="F421" s="65">
        <f>IFERROR(INDEX(M_User!$A$12:$J$67,MATCH(D421,M_User!$D$12:$D$67,0),1),"UNMAPPED")</f>
        <v>88</v>
      </c>
      <c r="G421" s="66" t="str">
        <f>IFERROR(INDEX(M_User!$A$12:$J$67,MATCH(D421,M_User!$D$12:$D$67,0),3),"UNMAPPED")</f>
        <v>Doglas E. Shirima</v>
      </c>
      <c r="H421" s="65" t="str">
        <f>IFERROR(INDEX(M_User!$A$12:$J$67,MATCH(D421,M_User!$D$12:$D$67,0),5),"UNMAPPED")</f>
        <v>ARS</v>
      </c>
      <c r="I421" s="63" t="s">
        <v>144</v>
      </c>
      <c r="J421" s="63" t="s">
        <v>229</v>
      </c>
      <c r="K421" s="66" t="str">
        <f>IFERROR(INDEX(M_SKU!$A$18:$J$57,MATCH(J421,M_SKU!$B$18:$B$57,0),1),"UNKNOWN SKU")</f>
        <v>Coke Pet 500ML ( x12)</v>
      </c>
      <c r="L421" s="63" t="s">
        <v>610</v>
      </c>
      <c r="M421" s="62">
        <v>46172</v>
      </c>
      <c r="N421" s="62">
        <v>46283</v>
      </c>
      <c r="O421" s="67">
        <v>42</v>
      </c>
      <c r="P421" s="68" t="s">
        <v>521</v>
      </c>
      <c r="Q421" s="63"/>
      <c r="R421" s="62"/>
      <c r="S421" s="69"/>
      <c r="T421" s="69"/>
      <c r="U421" s="66" t="str">
        <f t="shared" si="6"/>
        <v>ARS000069|PH001|CK6-33399</v>
      </c>
    </row>
    <row r="422" spans="1:21" ht="15" customHeight="1" x14ac:dyDescent="0.3">
      <c r="A422" s="70" t="s">
        <v>594</v>
      </c>
      <c r="B422" s="71">
        <v>2174877</v>
      </c>
      <c r="C422" s="72">
        <v>46179</v>
      </c>
      <c r="D422" s="73" t="s">
        <v>320</v>
      </c>
      <c r="E422" s="74" t="s">
        <v>595</v>
      </c>
      <c r="F422" s="75">
        <f>IFERROR(INDEX(M_User!$A$12:$J$67,MATCH(D422,M_User!$D$12:$D$67,0),1),"UNMAPPED")</f>
        <v>88</v>
      </c>
      <c r="G422" s="76" t="str">
        <f>IFERROR(INDEX(M_User!$A$12:$J$67,MATCH(D422,M_User!$D$12:$D$67,0),3),"UNMAPPED")</f>
        <v>Doglas E. Shirima</v>
      </c>
      <c r="H422" s="75" t="str">
        <f>IFERROR(INDEX(M_User!$A$12:$J$67,MATCH(D422,M_User!$D$12:$D$67,0),5),"UNMAPPED")</f>
        <v>ARS</v>
      </c>
      <c r="I422" s="73" t="s">
        <v>144</v>
      </c>
      <c r="J422" s="73" t="s">
        <v>232</v>
      </c>
      <c r="K422" s="76" t="str">
        <f>IFERROR(INDEX(M_SKU!$A$18:$J$57,MATCH(J422,M_SKU!$B$18:$B$57,0),1),"UNKNOWN SKU")</f>
        <v>Sprite Pet 500ML (x 12)</v>
      </c>
      <c r="L422" s="73" t="s">
        <v>522</v>
      </c>
      <c r="M422" s="72">
        <v>46158</v>
      </c>
      <c r="N422" s="72">
        <v>46269</v>
      </c>
      <c r="O422" s="77">
        <v>12</v>
      </c>
      <c r="P422" s="78" t="s">
        <v>521</v>
      </c>
      <c r="Q422" s="79"/>
      <c r="R422" s="80"/>
      <c r="S422" s="81"/>
      <c r="T422" s="81"/>
      <c r="U422" s="82" t="str">
        <f t="shared" si="6"/>
        <v>ARS000069|PH002|CK6-33362</v>
      </c>
    </row>
    <row r="423" spans="1:21" ht="15" customHeight="1" x14ac:dyDescent="0.3">
      <c r="A423" s="60" t="s">
        <v>594</v>
      </c>
      <c r="B423" s="61">
        <v>2174877</v>
      </c>
      <c r="C423" s="62">
        <v>46179</v>
      </c>
      <c r="D423" s="63" t="s">
        <v>320</v>
      </c>
      <c r="E423" s="64" t="s">
        <v>595</v>
      </c>
      <c r="F423" s="65">
        <f>IFERROR(INDEX(M_User!$A$12:$J$67,MATCH(D423,M_User!$D$12:$D$67,0),1),"UNMAPPED")</f>
        <v>88</v>
      </c>
      <c r="G423" s="66" t="str">
        <f>IFERROR(INDEX(M_User!$A$12:$J$67,MATCH(D423,M_User!$D$12:$D$67,0),3),"UNMAPPED")</f>
        <v>Doglas E. Shirima</v>
      </c>
      <c r="H423" s="65" t="str">
        <f>IFERROR(INDEX(M_User!$A$12:$J$67,MATCH(D423,M_User!$D$12:$D$67,0),5),"UNMAPPED")</f>
        <v>ARS</v>
      </c>
      <c r="I423" s="63" t="s">
        <v>144</v>
      </c>
      <c r="J423" s="63" t="s">
        <v>234</v>
      </c>
      <c r="K423" s="66" t="str">
        <f>IFERROR(INDEX(M_SKU!$A$18:$J$57,MATCH(J423,M_SKU!$B$18:$B$57,0),1),"UNKNOWN SKU")</f>
        <v>Fanta Orange Pet 500ML ( x 12)</v>
      </c>
      <c r="L423" s="63" t="s">
        <v>611</v>
      </c>
      <c r="M423" s="62">
        <v>46167</v>
      </c>
      <c r="N423" s="62">
        <v>46278</v>
      </c>
      <c r="O423" s="67">
        <v>6</v>
      </c>
      <c r="P423" s="68" t="s">
        <v>521</v>
      </c>
      <c r="Q423" s="63"/>
      <c r="R423" s="62"/>
      <c r="S423" s="69"/>
      <c r="T423" s="69"/>
      <c r="U423" s="66" t="str">
        <f t="shared" si="6"/>
        <v>ARS000069|PH003|CK5-33389</v>
      </c>
    </row>
    <row r="424" spans="1:21" ht="15" customHeight="1" x14ac:dyDescent="0.3">
      <c r="A424" s="70" t="s">
        <v>594</v>
      </c>
      <c r="B424" s="71">
        <v>2174877</v>
      </c>
      <c r="C424" s="72">
        <v>46179</v>
      </c>
      <c r="D424" s="73" t="s">
        <v>320</v>
      </c>
      <c r="E424" s="74" t="s">
        <v>595</v>
      </c>
      <c r="F424" s="75">
        <f>IFERROR(INDEX(M_User!$A$12:$J$67,MATCH(D424,M_User!$D$12:$D$67,0),1),"UNMAPPED")</f>
        <v>88</v>
      </c>
      <c r="G424" s="76" t="str">
        <f>IFERROR(INDEX(M_User!$A$12:$J$67,MATCH(D424,M_User!$D$12:$D$67,0),3),"UNMAPPED")</f>
        <v>Doglas E. Shirima</v>
      </c>
      <c r="H424" s="75" t="str">
        <f>IFERROR(INDEX(M_User!$A$12:$J$67,MATCH(D424,M_User!$D$12:$D$67,0),5),"UNMAPPED")</f>
        <v>ARS</v>
      </c>
      <c r="I424" s="73" t="s">
        <v>144</v>
      </c>
      <c r="J424" s="73" t="s">
        <v>236</v>
      </c>
      <c r="K424" s="76" t="str">
        <f>IFERROR(INDEX(M_SKU!$A$18:$J$57,MATCH(J424,M_SKU!$B$18:$B$57,0),1),"UNKNOWN SKU")</f>
        <v>Fanta Passion Pet 500ML ( x12)</v>
      </c>
      <c r="L424" s="73" t="s">
        <v>612</v>
      </c>
      <c r="M424" s="72">
        <v>46151</v>
      </c>
      <c r="N424" s="72">
        <v>46262</v>
      </c>
      <c r="O424" s="77">
        <v>1</v>
      </c>
      <c r="P424" s="78" t="s">
        <v>521</v>
      </c>
      <c r="Q424" s="79"/>
      <c r="R424" s="80"/>
      <c r="S424" s="81"/>
      <c r="T424" s="81"/>
      <c r="U424" s="82" t="str">
        <f t="shared" si="6"/>
        <v>ARS000069|PH004|CK5-33331</v>
      </c>
    </row>
    <row r="425" spans="1:21" ht="15" customHeight="1" x14ac:dyDescent="0.3">
      <c r="A425" s="60" t="s">
        <v>594</v>
      </c>
      <c r="B425" s="61">
        <v>2174877</v>
      </c>
      <c r="C425" s="62">
        <v>46179</v>
      </c>
      <c r="D425" s="63" t="s">
        <v>320</v>
      </c>
      <c r="E425" s="64" t="s">
        <v>595</v>
      </c>
      <c r="F425" s="65">
        <f>IFERROR(INDEX(M_User!$A$12:$J$67,MATCH(D425,M_User!$D$12:$D$67,0),1),"UNMAPPED")</f>
        <v>88</v>
      </c>
      <c r="G425" s="66" t="str">
        <f>IFERROR(INDEX(M_User!$A$12:$J$67,MATCH(D425,M_User!$D$12:$D$67,0),3),"UNMAPPED")</f>
        <v>Doglas E. Shirima</v>
      </c>
      <c r="H425" s="65" t="str">
        <f>IFERROR(INDEX(M_User!$A$12:$J$67,MATCH(D425,M_User!$D$12:$D$67,0),5),"UNMAPPED")</f>
        <v>ARS</v>
      </c>
      <c r="I425" s="63" t="s">
        <v>144</v>
      </c>
      <c r="J425" s="63" t="s">
        <v>238</v>
      </c>
      <c r="K425" s="66" t="str">
        <f>IFERROR(INDEX(M_SKU!$A$18:$J$57,MATCH(J425,M_SKU!$B$18:$B$57,0),1),"UNKNOWN SKU")</f>
        <v>Fanta Pineapple Pet 500ml ( x12)</v>
      </c>
      <c r="L425" s="63" t="s">
        <v>613</v>
      </c>
      <c r="M425" s="62">
        <v>46170</v>
      </c>
      <c r="N425" s="62">
        <v>46281</v>
      </c>
      <c r="O425" s="67">
        <v>5</v>
      </c>
      <c r="P425" s="68" t="s">
        <v>521</v>
      </c>
      <c r="Q425" s="63"/>
      <c r="R425" s="62"/>
      <c r="S425" s="69"/>
      <c r="T425" s="69"/>
      <c r="U425" s="66" t="str">
        <f t="shared" si="6"/>
        <v>ARS000069|PH005|CK6-33392</v>
      </c>
    </row>
    <row r="426" spans="1:21" ht="15" customHeight="1" x14ac:dyDescent="0.3">
      <c r="A426" s="70" t="s">
        <v>594</v>
      </c>
      <c r="B426" s="71">
        <v>2174877</v>
      </c>
      <c r="C426" s="72">
        <v>46179</v>
      </c>
      <c r="D426" s="73" t="s">
        <v>320</v>
      </c>
      <c r="E426" s="74" t="s">
        <v>595</v>
      </c>
      <c r="F426" s="75">
        <f>IFERROR(INDEX(M_User!$A$12:$J$67,MATCH(D426,M_User!$D$12:$D$67,0),1),"UNMAPPED")</f>
        <v>88</v>
      </c>
      <c r="G426" s="76" t="str">
        <f>IFERROR(INDEX(M_User!$A$12:$J$67,MATCH(D426,M_User!$D$12:$D$67,0),3),"UNMAPPED")</f>
        <v>Doglas E. Shirima</v>
      </c>
      <c r="H426" s="75" t="str">
        <f>IFERROR(INDEX(M_User!$A$12:$J$67,MATCH(D426,M_User!$D$12:$D$67,0),5),"UNMAPPED")</f>
        <v>ARS</v>
      </c>
      <c r="I426" s="73" t="s">
        <v>144</v>
      </c>
      <c r="J426" s="73" t="s">
        <v>240</v>
      </c>
      <c r="K426" s="76" t="str">
        <f>IFERROR(INDEX(M_SKU!$A$18:$J$57,MATCH(J426,M_SKU!$B$18:$B$57,0),1),"UNKNOWN SKU")</f>
        <v>Fanta Fruit Blast Pet 500ML (x12)</v>
      </c>
      <c r="L426" s="73" t="s">
        <v>552</v>
      </c>
      <c r="M426" s="72">
        <v>46151</v>
      </c>
      <c r="N426" s="72">
        <v>46262</v>
      </c>
      <c r="O426" s="77">
        <v>1</v>
      </c>
      <c r="P426" s="78" t="s">
        <v>521</v>
      </c>
      <c r="Q426" s="79"/>
      <c r="R426" s="80"/>
      <c r="S426" s="81"/>
      <c r="T426" s="81"/>
      <c r="U426" s="82" t="str">
        <f t="shared" si="6"/>
        <v>ARS000069|PH006|CK6-33333</v>
      </c>
    </row>
    <row r="427" spans="1:21" ht="15" customHeight="1" x14ac:dyDescent="0.3">
      <c r="A427" s="60" t="s">
        <v>594</v>
      </c>
      <c r="B427" s="61">
        <v>2174877</v>
      </c>
      <c r="C427" s="62">
        <v>46179</v>
      </c>
      <c r="D427" s="63" t="s">
        <v>320</v>
      </c>
      <c r="E427" s="64" t="s">
        <v>595</v>
      </c>
      <c r="F427" s="65">
        <f>IFERROR(INDEX(M_User!$A$12:$J$67,MATCH(D427,M_User!$D$12:$D$67,0),1),"UNMAPPED")</f>
        <v>88</v>
      </c>
      <c r="G427" s="66" t="str">
        <f>IFERROR(INDEX(M_User!$A$12:$J$67,MATCH(D427,M_User!$D$12:$D$67,0),3),"UNMAPPED")</f>
        <v>Doglas E. Shirima</v>
      </c>
      <c r="H427" s="65" t="str">
        <f>IFERROR(INDEX(M_User!$A$12:$J$67,MATCH(D427,M_User!$D$12:$D$67,0),5),"UNMAPPED")</f>
        <v>ARS</v>
      </c>
      <c r="I427" s="63" t="s">
        <v>144</v>
      </c>
      <c r="J427" s="63" t="s">
        <v>242</v>
      </c>
      <c r="K427" s="66" t="str">
        <f>IFERROR(INDEX(M_SKU!$A$18:$J$57,MATCH(J427,M_SKU!$B$18:$B$57,0),1),"UNKNOWN SKU")</f>
        <v>Stoney Tangawizi Pet 500 ml ( x12)</v>
      </c>
      <c r="L427" s="63" t="s">
        <v>614</v>
      </c>
      <c r="M427" s="62">
        <v>46161</v>
      </c>
      <c r="N427" s="62">
        <v>46272</v>
      </c>
      <c r="O427" s="67">
        <v>10</v>
      </c>
      <c r="P427" s="68" t="s">
        <v>521</v>
      </c>
      <c r="Q427" s="63"/>
      <c r="R427" s="62"/>
      <c r="S427" s="69"/>
      <c r="T427" s="69"/>
      <c r="U427" s="66" t="str">
        <f t="shared" si="6"/>
        <v>ARS000069|PH007|CK6-33374</v>
      </c>
    </row>
    <row r="428" spans="1:21" ht="15" customHeight="1" x14ac:dyDescent="0.3">
      <c r="A428" s="70" t="s">
        <v>594</v>
      </c>
      <c r="B428" s="71">
        <v>2174877</v>
      </c>
      <c r="C428" s="72">
        <v>46179</v>
      </c>
      <c r="D428" s="73" t="s">
        <v>320</v>
      </c>
      <c r="E428" s="74" t="s">
        <v>595</v>
      </c>
      <c r="F428" s="75">
        <f>IFERROR(INDEX(M_User!$A$12:$J$67,MATCH(D428,M_User!$D$12:$D$67,0),1),"UNMAPPED")</f>
        <v>88</v>
      </c>
      <c r="G428" s="76" t="str">
        <f>IFERROR(INDEX(M_User!$A$12:$J$67,MATCH(D428,M_User!$D$12:$D$67,0),3),"UNMAPPED")</f>
        <v>Doglas E. Shirima</v>
      </c>
      <c r="H428" s="75" t="str">
        <f>IFERROR(INDEX(M_User!$A$12:$J$67,MATCH(D428,M_User!$D$12:$D$67,0),5),"UNMAPPED")</f>
        <v>ARS</v>
      </c>
      <c r="I428" s="73" t="s">
        <v>144</v>
      </c>
      <c r="J428" s="73" t="s">
        <v>244</v>
      </c>
      <c r="K428" s="76" t="str">
        <f>IFERROR(INDEX(M_SKU!$A$18:$J$57,MATCH(J428,M_SKU!$B$18:$B$57,0),1),"UNKNOWN SKU")</f>
        <v>Sparletta Pinenut Pet 500 ml ( x12)</v>
      </c>
      <c r="L428" s="73" t="s">
        <v>615</v>
      </c>
      <c r="M428" s="72">
        <v>46150</v>
      </c>
      <c r="N428" s="72">
        <v>46261</v>
      </c>
      <c r="O428" s="77">
        <v>3</v>
      </c>
      <c r="P428" s="78" t="s">
        <v>521</v>
      </c>
      <c r="Q428" s="79"/>
      <c r="R428" s="80"/>
      <c r="S428" s="81"/>
      <c r="T428" s="81"/>
      <c r="U428" s="82" t="str">
        <f t="shared" si="6"/>
        <v>ARS000069|PH008|CK5-33325</v>
      </c>
    </row>
    <row r="429" spans="1:21" ht="15" customHeight="1" x14ac:dyDescent="0.3">
      <c r="A429" s="60" t="s">
        <v>594</v>
      </c>
      <c r="B429" s="61">
        <v>2174877</v>
      </c>
      <c r="C429" s="62">
        <v>46179</v>
      </c>
      <c r="D429" s="63" t="s">
        <v>320</v>
      </c>
      <c r="E429" s="64" t="s">
        <v>595</v>
      </c>
      <c r="F429" s="65">
        <f>IFERROR(INDEX(M_User!$A$12:$J$67,MATCH(D429,M_User!$D$12:$D$67,0),1),"UNMAPPED")</f>
        <v>88</v>
      </c>
      <c r="G429" s="66" t="str">
        <f>IFERROR(INDEX(M_User!$A$12:$J$67,MATCH(D429,M_User!$D$12:$D$67,0),3),"UNMAPPED")</f>
        <v>Doglas E. Shirima</v>
      </c>
      <c r="H429" s="65" t="str">
        <f>IFERROR(INDEX(M_User!$A$12:$J$67,MATCH(D429,M_User!$D$12:$D$67,0),5),"UNMAPPED")</f>
        <v>ARS</v>
      </c>
      <c r="I429" s="63" t="s">
        <v>144</v>
      </c>
      <c r="J429" s="63" t="s">
        <v>248</v>
      </c>
      <c r="K429" s="66" t="str">
        <f>IFERROR(INDEX(M_SKU!$A$18:$J$57,MATCH(J429,M_SKU!$B$18:$B$57,0),1),"UNKNOWN SKU")</f>
        <v>Coke Pet 300ML(x 12)</v>
      </c>
      <c r="L429" s="63" t="s">
        <v>616</v>
      </c>
      <c r="M429" s="62">
        <v>46163</v>
      </c>
      <c r="N429" s="62">
        <v>46246</v>
      </c>
      <c r="O429" s="67">
        <v>2</v>
      </c>
      <c r="P429" s="68" t="s">
        <v>521</v>
      </c>
      <c r="Q429" s="63"/>
      <c r="R429" s="62"/>
      <c r="S429" s="69"/>
      <c r="T429" s="69"/>
      <c r="U429" s="66" t="str">
        <f t="shared" si="6"/>
        <v>ARS000069|PO008|CK5-33384</v>
      </c>
    </row>
    <row r="430" spans="1:21" ht="15" customHeight="1" x14ac:dyDescent="0.3">
      <c r="A430" s="70" t="s">
        <v>594</v>
      </c>
      <c r="B430" s="71">
        <v>2174877</v>
      </c>
      <c r="C430" s="72">
        <v>46179</v>
      </c>
      <c r="D430" s="73" t="s">
        <v>320</v>
      </c>
      <c r="E430" s="74" t="s">
        <v>595</v>
      </c>
      <c r="F430" s="75">
        <f>IFERROR(INDEX(M_User!$A$12:$J$67,MATCH(D430,M_User!$D$12:$D$67,0),1),"UNMAPPED")</f>
        <v>88</v>
      </c>
      <c r="G430" s="76" t="str">
        <f>IFERROR(INDEX(M_User!$A$12:$J$67,MATCH(D430,M_User!$D$12:$D$67,0),3),"UNMAPPED")</f>
        <v>Doglas E. Shirima</v>
      </c>
      <c r="H430" s="75" t="str">
        <f>IFERROR(INDEX(M_User!$A$12:$J$67,MATCH(D430,M_User!$D$12:$D$67,0),5),"UNMAPPED")</f>
        <v>ARS</v>
      </c>
      <c r="I430" s="73" t="s">
        <v>144</v>
      </c>
      <c r="J430" s="73" t="s">
        <v>248</v>
      </c>
      <c r="K430" s="76" t="str">
        <f>IFERROR(INDEX(M_SKU!$A$18:$J$57,MATCH(J430,M_SKU!$B$18:$B$57,0),1),"UNKNOWN SKU")</f>
        <v>Coke Pet 300ML(x 12)</v>
      </c>
      <c r="L430" s="73" t="s">
        <v>617</v>
      </c>
      <c r="M430" s="72">
        <v>46163</v>
      </c>
      <c r="N430" s="72">
        <v>46246</v>
      </c>
      <c r="O430" s="77">
        <v>11</v>
      </c>
      <c r="P430" s="78" t="s">
        <v>521</v>
      </c>
      <c r="Q430" s="79"/>
      <c r="R430" s="80"/>
      <c r="S430" s="81"/>
      <c r="T430" s="81"/>
      <c r="U430" s="82" t="str">
        <f t="shared" si="6"/>
        <v>ARS000069|PO008|CK5-33386</v>
      </c>
    </row>
    <row r="431" spans="1:21" ht="15" customHeight="1" x14ac:dyDescent="0.3">
      <c r="A431" s="60" t="s">
        <v>594</v>
      </c>
      <c r="B431" s="61">
        <v>2174877</v>
      </c>
      <c r="C431" s="62">
        <v>46179</v>
      </c>
      <c r="D431" s="63" t="s">
        <v>320</v>
      </c>
      <c r="E431" s="64" t="s">
        <v>595</v>
      </c>
      <c r="F431" s="65">
        <f>IFERROR(INDEX(M_User!$A$12:$J$67,MATCH(D431,M_User!$D$12:$D$67,0),1),"UNMAPPED")</f>
        <v>88</v>
      </c>
      <c r="G431" s="66" t="str">
        <f>IFERROR(INDEX(M_User!$A$12:$J$67,MATCH(D431,M_User!$D$12:$D$67,0),3),"UNMAPPED")</f>
        <v>Doglas E. Shirima</v>
      </c>
      <c r="H431" s="65" t="str">
        <f>IFERROR(INDEX(M_User!$A$12:$J$67,MATCH(D431,M_User!$D$12:$D$67,0),5),"UNMAPPED")</f>
        <v>ARS</v>
      </c>
      <c r="I431" s="63" t="s">
        <v>144</v>
      </c>
      <c r="J431" s="63" t="s">
        <v>254</v>
      </c>
      <c r="K431" s="66" t="str">
        <f>IFERROR(INDEX(M_SKU!$A$18:$J$57,MATCH(J431,M_SKU!$B$18:$B$57,0),1),"UNKNOWN SKU")</f>
        <v>Fanta Zero Pet 300ML (x 12)</v>
      </c>
      <c r="L431" s="63" t="s">
        <v>546</v>
      </c>
      <c r="M431" s="62">
        <v>46159</v>
      </c>
      <c r="N431" s="62">
        <v>46242</v>
      </c>
      <c r="O431" s="67">
        <v>1</v>
      </c>
      <c r="P431" s="68" t="s">
        <v>521</v>
      </c>
      <c r="Q431" s="63"/>
      <c r="R431" s="62"/>
      <c r="S431" s="69"/>
      <c r="T431" s="69"/>
      <c r="U431" s="66" t="str">
        <f t="shared" si="6"/>
        <v>ARS000069|PO012|CK5-33369</v>
      </c>
    </row>
    <row r="432" spans="1:21" ht="15" customHeight="1" x14ac:dyDescent="0.3">
      <c r="A432" s="70" t="s">
        <v>594</v>
      </c>
      <c r="B432" s="71">
        <v>2174877</v>
      </c>
      <c r="C432" s="72">
        <v>46179</v>
      </c>
      <c r="D432" s="73" t="s">
        <v>320</v>
      </c>
      <c r="E432" s="74" t="s">
        <v>595</v>
      </c>
      <c r="F432" s="75">
        <f>IFERROR(INDEX(M_User!$A$12:$J$67,MATCH(D432,M_User!$D$12:$D$67,0),1),"UNMAPPED")</f>
        <v>88</v>
      </c>
      <c r="G432" s="76" t="str">
        <f>IFERROR(INDEX(M_User!$A$12:$J$67,MATCH(D432,M_User!$D$12:$D$67,0),3),"UNMAPPED")</f>
        <v>Doglas E. Shirima</v>
      </c>
      <c r="H432" s="75" t="str">
        <f>IFERROR(INDEX(M_User!$A$12:$J$67,MATCH(D432,M_User!$D$12:$D$67,0),5),"UNMAPPED")</f>
        <v>ARS</v>
      </c>
      <c r="I432" s="73" t="s">
        <v>144</v>
      </c>
      <c r="J432" s="73" t="s">
        <v>256</v>
      </c>
      <c r="K432" s="76" t="str">
        <f>IFERROR(INDEX(M_SKU!$A$18:$J$57,MATCH(J432,M_SKU!$B$18:$B$57,0),1),"UNKNOWN SKU")</f>
        <v>Sparletta Red Apple Pet 300ML(x 12)</v>
      </c>
      <c r="L432" s="73" t="s">
        <v>555</v>
      </c>
      <c r="M432" s="72">
        <v>46159</v>
      </c>
      <c r="N432" s="72">
        <v>46242</v>
      </c>
      <c r="O432" s="77">
        <v>1</v>
      </c>
      <c r="P432" s="78" t="s">
        <v>521</v>
      </c>
      <c r="Q432" s="79"/>
      <c r="R432" s="80"/>
      <c r="S432" s="81"/>
      <c r="T432" s="81"/>
      <c r="U432" s="82" t="str">
        <f t="shared" si="6"/>
        <v>ARS000069|PO013|CK5-33368</v>
      </c>
    </row>
    <row r="433" spans="1:21" ht="15" customHeight="1" x14ac:dyDescent="0.3">
      <c r="A433" s="60" t="s">
        <v>594</v>
      </c>
      <c r="B433" s="61">
        <v>2174877</v>
      </c>
      <c r="C433" s="62">
        <v>46179</v>
      </c>
      <c r="D433" s="63" t="s">
        <v>320</v>
      </c>
      <c r="E433" s="64" t="s">
        <v>595</v>
      </c>
      <c r="F433" s="65">
        <f>IFERROR(INDEX(M_User!$A$12:$J$67,MATCH(D433,M_User!$D$12:$D$67,0),1),"UNMAPPED")</f>
        <v>88</v>
      </c>
      <c r="G433" s="66" t="str">
        <f>IFERROR(INDEX(M_User!$A$12:$J$67,MATCH(D433,M_User!$D$12:$D$67,0),3),"UNMAPPED")</f>
        <v>Doglas E. Shirima</v>
      </c>
      <c r="H433" s="65" t="str">
        <f>IFERROR(INDEX(M_User!$A$12:$J$67,MATCH(D433,M_User!$D$12:$D$67,0),5),"UNMAPPED")</f>
        <v>ARS</v>
      </c>
      <c r="I433" s="63" t="s">
        <v>144</v>
      </c>
      <c r="J433" s="63" t="s">
        <v>258</v>
      </c>
      <c r="K433" s="66" t="str">
        <f>IFERROR(INDEX(M_SKU!$A$18:$J$57,MATCH(J433,M_SKU!$B$18:$B$57,0),1),"UNKNOWN SKU")</f>
        <v>Novida Pineapple 300ML (x 12)</v>
      </c>
      <c r="L433" s="63" t="s">
        <v>618</v>
      </c>
      <c r="M433" s="62">
        <v>46153</v>
      </c>
      <c r="N433" s="62">
        <v>46236</v>
      </c>
      <c r="O433" s="67">
        <v>1</v>
      </c>
      <c r="P433" s="68" t="s">
        <v>521</v>
      </c>
      <c r="Q433" s="63"/>
      <c r="R433" s="62"/>
      <c r="S433" s="69"/>
      <c r="T433" s="69"/>
      <c r="U433" s="66" t="str">
        <f t="shared" si="6"/>
        <v>ARS000069|PO014|CK5-33336</v>
      </c>
    </row>
    <row r="434" spans="1:21" ht="15" customHeight="1" x14ac:dyDescent="0.3">
      <c r="A434" s="70" t="s">
        <v>594</v>
      </c>
      <c r="B434" s="71">
        <v>2174877</v>
      </c>
      <c r="C434" s="72">
        <v>46179</v>
      </c>
      <c r="D434" s="73" t="s">
        <v>320</v>
      </c>
      <c r="E434" s="74" t="s">
        <v>595</v>
      </c>
      <c r="F434" s="75">
        <f>IFERROR(INDEX(M_User!$A$12:$J$67,MATCH(D434,M_User!$D$12:$D$67,0),1),"UNMAPPED")</f>
        <v>88</v>
      </c>
      <c r="G434" s="76" t="str">
        <f>IFERROR(INDEX(M_User!$A$12:$J$67,MATCH(D434,M_User!$D$12:$D$67,0),3),"UNMAPPED")</f>
        <v>Doglas E. Shirima</v>
      </c>
      <c r="H434" s="75" t="str">
        <f>IFERROR(INDEX(M_User!$A$12:$J$67,MATCH(D434,M_User!$D$12:$D$67,0),5),"UNMAPPED")</f>
        <v>ARS</v>
      </c>
      <c r="I434" s="73" t="s">
        <v>144</v>
      </c>
      <c r="J434" s="73" t="s">
        <v>261</v>
      </c>
      <c r="K434" s="76" t="str">
        <f>IFERROR(INDEX(M_SKU!$A$18:$J$57,MATCH(J434,M_SKU!$B$18:$B$57,0),1),"UNKNOWN SKU")</f>
        <v>Sparletta Pine Apple Pet 300ML (x 12)</v>
      </c>
      <c r="L434" s="73" t="s">
        <v>547</v>
      </c>
      <c r="M434" s="72">
        <v>46158</v>
      </c>
      <c r="N434" s="72">
        <v>46241</v>
      </c>
      <c r="O434" s="77">
        <v>4</v>
      </c>
      <c r="P434" s="78" t="s">
        <v>521</v>
      </c>
      <c r="Q434" s="79"/>
      <c r="R434" s="80"/>
      <c r="S434" s="81"/>
      <c r="T434" s="81"/>
      <c r="U434" s="82" t="str">
        <f t="shared" si="6"/>
        <v>ARS000069|PO015|CK5-33366</v>
      </c>
    </row>
    <row r="435" spans="1:21" ht="15" customHeight="1" x14ac:dyDescent="0.3">
      <c r="A435" s="60" t="s">
        <v>619</v>
      </c>
      <c r="B435" s="61">
        <v>4078166</v>
      </c>
      <c r="C435" s="62">
        <v>46179</v>
      </c>
      <c r="D435" s="63" t="s">
        <v>314</v>
      </c>
      <c r="E435" s="64" t="s">
        <v>620</v>
      </c>
      <c r="F435" s="65">
        <f>IFERROR(INDEX(M_User!$A$12:$J$67,MATCH(D435,M_User!$D$12:$D$67,0),1),"UNMAPPED")</f>
        <v>89</v>
      </c>
      <c r="G435" s="66" t="str">
        <f>IFERROR(INDEX(M_User!$A$12:$J$67,MATCH(D435,M_User!$D$12:$D$67,0),3),"UNMAPPED")</f>
        <v>Omary O. Seif</v>
      </c>
      <c r="H435" s="65" t="str">
        <f>IFERROR(INDEX(M_User!$A$12:$J$67,MATCH(D435,M_User!$D$12:$D$67,0),5),"UNMAPPED")</f>
        <v>DAR</v>
      </c>
      <c r="I435" s="63" t="s">
        <v>621</v>
      </c>
      <c r="J435" s="63" t="s">
        <v>211</v>
      </c>
      <c r="K435" s="66" t="str">
        <f>IFERROR(INDEX(M_SKU!$A$18:$J$57,MATCH(J435,M_SKU!$B$18:$B$57,0),1),"UNKNOWN SKU")</f>
        <v>KNMW 500ml</v>
      </c>
      <c r="L435" s="63" t="s">
        <v>622</v>
      </c>
      <c r="M435" s="62">
        <v>46164</v>
      </c>
      <c r="N435" s="62">
        <v>46528</v>
      </c>
      <c r="O435" s="67">
        <v>200</v>
      </c>
      <c r="P435" s="68" t="s">
        <v>521</v>
      </c>
      <c r="Q435" s="63"/>
      <c r="R435" s="62"/>
      <c r="S435" s="69"/>
      <c r="T435" s="69"/>
      <c r="U435" s="66" t="str">
        <f t="shared" si="6"/>
        <v>DSM300140|KD001|CK6-979</v>
      </c>
    </row>
    <row r="436" spans="1:21" ht="15" customHeight="1" x14ac:dyDescent="0.3">
      <c r="A436" s="70" t="s">
        <v>619</v>
      </c>
      <c r="B436" s="71">
        <v>4078166</v>
      </c>
      <c r="C436" s="72">
        <v>46179</v>
      </c>
      <c r="D436" s="73" t="s">
        <v>314</v>
      </c>
      <c r="E436" s="74" t="s">
        <v>620</v>
      </c>
      <c r="F436" s="75">
        <f>IFERROR(INDEX(M_User!$A$12:$J$67,MATCH(D436,M_User!$D$12:$D$67,0),1),"UNMAPPED")</f>
        <v>89</v>
      </c>
      <c r="G436" s="76" t="str">
        <f>IFERROR(INDEX(M_User!$A$12:$J$67,MATCH(D436,M_User!$D$12:$D$67,0),3),"UNMAPPED")</f>
        <v>Omary O. Seif</v>
      </c>
      <c r="H436" s="75" t="str">
        <f>IFERROR(INDEX(M_User!$A$12:$J$67,MATCH(D436,M_User!$D$12:$D$67,0),5),"UNMAPPED")</f>
        <v>DAR</v>
      </c>
      <c r="I436" s="73" t="s">
        <v>621</v>
      </c>
      <c r="J436" s="73" t="s">
        <v>217</v>
      </c>
      <c r="K436" s="76" t="str">
        <f>IFERROR(INDEX(M_SKU!$A$18:$J$57,MATCH(J436,M_SKU!$B$18:$B$57,0),1),"UNKNOWN SKU")</f>
        <v>KNMW 1500ml</v>
      </c>
      <c r="L436" s="73" t="s">
        <v>623</v>
      </c>
      <c r="M436" s="72">
        <v>46157</v>
      </c>
      <c r="N436" s="72">
        <v>46521</v>
      </c>
      <c r="O436" s="77">
        <v>50</v>
      </c>
      <c r="P436" s="78" t="s">
        <v>521</v>
      </c>
      <c r="Q436" s="79"/>
      <c r="R436" s="80"/>
      <c r="S436" s="81"/>
      <c r="T436" s="81"/>
      <c r="U436" s="82" t="str">
        <f t="shared" si="6"/>
        <v>DSM300140|KD003|CK4-823</v>
      </c>
    </row>
    <row r="437" spans="1:21" ht="15" customHeight="1" x14ac:dyDescent="0.3">
      <c r="A437" s="60" t="s">
        <v>619</v>
      </c>
      <c r="B437" s="61">
        <v>4078166</v>
      </c>
      <c r="C437" s="62">
        <v>46179</v>
      </c>
      <c r="D437" s="63" t="s">
        <v>314</v>
      </c>
      <c r="E437" s="64" t="s">
        <v>620</v>
      </c>
      <c r="F437" s="65">
        <f>IFERROR(INDEX(M_User!$A$12:$J$67,MATCH(D437,M_User!$D$12:$D$67,0),1),"UNMAPPED")</f>
        <v>89</v>
      </c>
      <c r="G437" s="66" t="str">
        <f>IFERROR(INDEX(M_User!$A$12:$J$67,MATCH(D437,M_User!$D$12:$D$67,0),3),"UNMAPPED")</f>
        <v>Omary O. Seif</v>
      </c>
      <c r="H437" s="65" t="str">
        <f>IFERROR(INDEX(M_User!$A$12:$J$67,MATCH(D437,M_User!$D$12:$D$67,0),5),"UNMAPPED")</f>
        <v>DAR</v>
      </c>
      <c r="I437" s="63" t="s">
        <v>621</v>
      </c>
      <c r="J437" s="63" t="s">
        <v>222</v>
      </c>
      <c r="K437" s="66" t="str">
        <f>IFERROR(INDEX(M_SKU!$A$18:$J$57,MATCH(J437,M_SKU!$B$18:$B$57,0),1),"UNKNOWN SKU")</f>
        <v>Kilimanjaro Drinking Water 12000 ML</v>
      </c>
      <c r="L437" s="63" t="s">
        <v>607</v>
      </c>
      <c r="M437" s="62">
        <v>46162</v>
      </c>
      <c r="N437" s="62">
        <v>46526</v>
      </c>
      <c r="O437" s="67">
        <v>30</v>
      </c>
      <c r="P437" s="68" t="s">
        <v>521</v>
      </c>
      <c r="Q437" s="63"/>
      <c r="R437" s="62"/>
      <c r="S437" s="69"/>
      <c r="T437" s="69"/>
      <c r="U437" s="66" t="str">
        <f t="shared" si="6"/>
        <v>DSM300140|KD005|CK7-909</v>
      </c>
    </row>
    <row r="438" spans="1:21" ht="15" customHeight="1" x14ac:dyDescent="0.3">
      <c r="A438" s="70" t="s">
        <v>619</v>
      </c>
      <c r="B438" s="71">
        <v>4078166</v>
      </c>
      <c r="C438" s="72">
        <v>46179</v>
      </c>
      <c r="D438" s="73" t="s">
        <v>314</v>
      </c>
      <c r="E438" s="74" t="s">
        <v>620</v>
      </c>
      <c r="F438" s="75">
        <f>IFERROR(INDEX(M_User!$A$12:$J$67,MATCH(D438,M_User!$D$12:$D$67,0),1),"UNMAPPED")</f>
        <v>89</v>
      </c>
      <c r="G438" s="76" t="str">
        <f>IFERROR(INDEX(M_User!$A$12:$J$67,MATCH(D438,M_User!$D$12:$D$67,0),3),"UNMAPPED")</f>
        <v>Omary O. Seif</v>
      </c>
      <c r="H438" s="75" t="str">
        <f>IFERROR(INDEX(M_User!$A$12:$J$67,MATCH(D438,M_User!$D$12:$D$67,0),5),"UNMAPPED")</f>
        <v>DAR</v>
      </c>
      <c r="I438" s="73" t="s">
        <v>621</v>
      </c>
      <c r="J438" s="73" t="s">
        <v>225</v>
      </c>
      <c r="K438" s="76" t="str">
        <f>IFERROR(INDEX(M_SKU!$A$18:$J$57,MATCH(J438,M_SKU!$B$18:$B$57,0),1),"UNKNOWN SKU")</f>
        <v>Kilimanjaro Drinking Water 18900 ML</v>
      </c>
      <c r="L438" s="73" t="s">
        <v>624</v>
      </c>
      <c r="M438" s="72">
        <v>46167</v>
      </c>
      <c r="N438" s="72">
        <v>46531</v>
      </c>
      <c r="O438" s="77">
        <v>30</v>
      </c>
      <c r="P438" s="78" t="s">
        <v>521</v>
      </c>
      <c r="Q438" s="79"/>
      <c r="R438" s="80"/>
      <c r="S438" s="81"/>
      <c r="T438" s="81"/>
      <c r="U438" s="82" t="str">
        <f t="shared" si="6"/>
        <v>DSM300140|KD006|CK7-911</v>
      </c>
    </row>
    <row r="439" spans="1:21" ht="15" customHeight="1" x14ac:dyDescent="0.3">
      <c r="A439" s="60" t="s">
        <v>619</v>
      </c>
      <c r="B439" s="61">
        <v>4078166</v>
      </c>
      <c r="C439" s="62">
        <v>46179</v>
      </c>
      <c r="D439" s="63" t="s">
        <v>314</v>
      </c>
      <c r="E439" s="64" t="s">
        <v>620</v>
      </c>
      <c r="F439" s="65">
        <f>IFERROR(INDEX(M_User!$A$12:$J$67,MATCH(D439,M_User!$D$12:$D$67,0),1),"UNMAPPED")</f>
        <v>89</v>
      </c>
      <c r="G439" s="66" t="str">
        <f>IFERROR(INDEX(M_User!$A$12:$J$67,MATCH(D439,M_User!$D$12:$D$67,0),3),"UNMAPPED")</f>
        <v>Omary O. Seif</v>
      </c>
      <c r="H439" s="65" t="str">
        <f>IFERROR(INDEX(M_User!$A$12:$J$67,MATCH(D439,M_User!$D$12:$D$67,0),5),"UNMAPPED")</f>
        <v>DAR</v>
      </c>
      <c r="I439" s="63" t="s">
        <v>621</v>
      </c>
      <c r="J439" s="63" t="s">
        <v>227</v>
      </c>
      <c r="K439" s="66" t="str">
        <f>IFERROR(INDEX(M_SKU!$A$18:$J$57,MATCH(J439,M_SKU!$B$18:$B$57,0),1),"UNKNOWN SKU")</f>
        <v>KNMW 1000ml(6 Pack)</v>
      </c>
      <c r="L439" s="63" t="s">
        <v>625</v>
      </c>
      <c r="M439" s="62">
        <v>46167</v>
      </c>
      <c r="N439" s="62">
        <v>46531</v>
      </c>
      <c r="O439" s="67">
        <v>300</v>
      </c>
      <c r="P439" s="68" t="s">
        <v>521</v>
      </c>
      <c r="Q439" s="63"/>
      <c r="R439" s="62"/>
      <c r="S439" s="69"/>
      <c r="T439" s="69"/>
      <c r="U439" s="66" t="str">
        <f t="shared" si="6"/>
        <v>DSM300140|KD007|CK4-833</v>
      </c>
    </row>
    <row r="442" spans="1:21" ht="15" customHeight="1" x14ac:dyDescent="0.3">
      <c r="A442" s="83" t="s">
        <v>626</v>
      </c>
    </row>
    <row r="443" spans="1:21" ht="15" customHeight="1" x14ac:dyDescent="0.3">
      <c r="A443" s="14" t="s">
        <v>627</v>
      </c>
      <c r="B443" s="15">
        <f>COUNTA(A9:A439)</f>
        <v>431</v>
      </c>
    </row>
    <row r="444" spans="1:21" ht="15" customHeight="1" x14ac:dyDescent="0.3">
      <c r="A444" s="84" t="s">
        <v>628</v>
      </c>
      <c r="B444" s="15">
        <f>SUMPRODUCT(1/COUNTIF(B9:B439,B9:B439))</f>
        <v>19.999999999999972</v>
      </c>
    </row>
    <row r="445" spans="1:21" ht="15" customHeight="1" x14ac:dyDescent="0.3">
      <c r="A445" s="84" t="s">
        <v>629</v>
      </c>
      <c r="B445" s="15">
        <f>SUMPRODUCT(1/COUNTIF(D9:D439,D9:D439))</f>
        <v>17.999999999999979</v>
      </c>
    </row>
    <row r="446" spans="1:21" ht="15" customHeight="1" x14ac:dyDescent="0.3">
      <c r="A446" s="84" t="s">
        <v>630</v>
      </c>
      <c r="B446" s="44">
        <f>COUNTIF(F9:F439,"UNMAPPED")</f>
        <v>24</v>
      </c>
    </row>
    <row r="448" spans="1:21" ht="15" customHeight="1" x14ac:dyDescent="0.3">
      <c r="A448" s="15" t="s">
        <v>631</v>
      </c>
    </row>
    <row r="449" spans="1:2" ht="15" customHeight="1" x14ac:dyDescent="0.3">
      <c r="A449" s="84" t="s">
        <v>632</v>
      </c>
      <c r="B449" s="33">
        <f>COUNTIF(P9:P439,"Pending Confirmation")</f>
        <v>431</v>
      </c>
    </row>
    <row r="450" spans="1:2" ht="15" customHeight="1" x14ac:dyDescent="0.3">
      <c r="A450" s="84" t="s">
        <v>633</v>
      </c>
      <c r="B450" s="12">
        <f>COUNTIF(P9:P439,"Confirmed")</f>
        <v>0</v>
      </c>
    </row>
    <row r="451" spans="1:2" ht="15" customHeight="1" x14ac:dyDescent="0.3">
      <c r="A451" s="84" t="s">
        <v>634</v>
      </c>
      <c r="B451" s="85">
        <f>COUNTIF(P9:P439,"Force-Pushed")</f>
        <v>0</v>
      </c>
    </row>
    <row r="452" spans="1:2" ht="15" customHeight="1" x14ac:dyDescent="0.3">
      <c r="A452" s="84" t="s">
        <v>635</v>
      </c>
      <c r="B452" s="44">
        <f>COUNTIF(P9:P439,"Rejected")</f>
        <v>0</v>
      </c>
    </row>
    <row r="454" spans="1:2" ht="15" customHeight="1" x14ac:dyDescent="0.3">
      <c r="A454" s="83" t="s">
        <v>452</v>
      </c>
    </row>
    <row r="455" spans="1:2" ht="15" customHeight="1" x14ac:dyDescent="0.3">
      <c r="A455" s="84" t="s">
        <v>636</v>
      </c>
      <c r="B455" s="15">
        <f>SUMPRODUCT(1/COUNTIF(U9:U439,U9:U439))</f>
        <v>424</v>
      </c>
    </row>
    <row r="456" spans="1:2" ht="15" customHeight="1" x14ac:dyDescent="0.3">
      <c r="A456" s="84" t="s">
        <v>637</v>
      </c>
      <c r="B456" s="44">
        <f>COUNTIF(K9:K439,"UNKNOWN SKU")</f>
        <v>0</v>
      </c>
    </row>
    <row r="457" spans="1:2" ht="15" customHeight="1" x14ac:dyDescent="0.3">
      <c r="A457" s="84" t="s">
        <v>638</v>
      </c>
      <c r="B457" s="86">
        <f>SUM(O9:O439)</f>
        <v>8286</v>
      </c>
    </row>
  </sheetData>
  <conditionalFormatting sqref="F9:F439">
    <cfRule type="cellIs" dxfId="46" priority="2" operator="equal">
      <formula>"UNMAPPED"</formula>
    </cfRule>
  </conditionalFormatting>
  <conditionalFormatting sqref="G9:H439">
    <cfRule type="expression" dxfId="45" priority="3">
      <formula>$F9="UNMAPPED"</formula>
    </cfRule>
  </conditionalFormatting>
  <conditionalFormatting sqref="P9:P439">
    <cfRule type="cellIs" dxfId="44" priority="5" operator="equal">
      <formula>"Pending Confirmation"</formula>
    </cfRule>
    <cfRule type="cellIs" dxfId="43" priority="6" operator="equal">
      <formula>"Confirmed"</formula>
    </cfRule>
    <cfRule type="cellIs" dxfId="42" priority="7" operator="equal">
      <formula>"Force-Pushed"</formula>
    </cfRule>
    <cfRule type="cellIs" dxfId="41" priority="8" operator="equal">
      <formula>"Rejected"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80"/>
  <sheetViews>
    <sheetView showGridLines="0" zoomScaleNormal="100" workbookViewId="0"/>
  </sheetViews>
  <sheetFormatPr defaultColWidth="8.6640625" defaultRowHeight="14.4" x14ac:dyDescent="0.3"/>
  <cols>
    <col min="1" max="1" width="14.6640625" bestFit="1" customWidth="1"/>
    <col min="2" max="2" width="11.44140625" bestFit="1" customWidth="1"/>
    <col min="3" max="3" width="12" customWidth="1"/>
    <col min="4" max="4" width="13.44140625" bestFit="1" customWidth="1"/>
    <col min="5" max="5" width="24" customWidth="1"/>
    <col min="6" max="6" width="14" bestFit="1" customWidth="1"/>
    <col min="7" max="7" width="13" customWidth="1"/>
    <col min="8" max="8" width="24" customWidth="1"/>
    <col min="9" max="9" width="9" customWidth="1"/>
    <col min="10" max="10" width="32" customWidth="1"/>
    <col min="11" max="11" width="12" customWidth="1"/>
    <col min="12" max="12" width="11" customWidth="1"/>
    <col min="13" max="13" width="12" customWidth="1"/>
    <col min="14" max="14" width="13" customWidth="1"/>
    <col min="15" max="15" width="28" customWidth="1"/>
    <col min="18" max="18" width="12" bestFit="1" customWidth="1"/>
  </cols>
  <sheetData>
    <row r="1" spans="1:16" ht="19.5" customHeight="1" x14ac:dyDescent="0.4">
      <c r="A1" s="13" t="s">
        <v>639</v>
      </c>
    </row>
    <row r="2" spans="1:16" ht="15" customHeight="1" x14ac:dyDescent="0.3">
      <c r="A2" s="1" t="s">
        <v>640</v>
      </c>
    </row>
    <row r="3" spans="1:16" ht="15" customHeight="1" x14ac:dyDescent="0.3">
      <c r="A3" s="87" t="s">
        <v>641</v>
      </c>
    </row>
    <row r="4" spans="1:16" ht="15" customHeight="1" x14ac:dyDescent="0.3">
      <c r="A4" s="1" t="s">
        <v>642</v>
      </c>
    </row>
    <row r="6" spans="1:16" ht="15" customHeight="1" x14ac:dyDescent="0.3">
      <c r="A6" s="15" t="s">
        <v>494</v>
      </c>
      <c r="B6" s="48" t="s">
        <v>495</v>
      </c>
      <c r="D6" s="49" t="s">
        <v>643</v>
      </c>
      <c r="F6" s="50" t="s">
        <v>497</v>
      </c>
      <c r="H6" s="88" t="s">
        <v>644</v>
      </c>
      <c r="J6" s="53" t="s">
        <v>500</v>
      </c>
    </row>
    <row r="8" spans="1:16" ht="36" customHeight="1" x14ac:dyDescent="0.3">
      <c r="A8" s="54" t="s">
        <v>645</v>
      </c>
      <c r="B8" s="54" t="s">
        <v>501</v>
      </c>
      <c r="C8" s="55" t="s">
        <v>646</v>
      </c>
      <c r="D8" s="55" t="s">
        <v>647</v>
      </c>
      <c r="E8" s="56" t="s">
        <v>648</v>
      </c>
      <c r="F8" s="56" t="s">
        <v>649</v>
      </c>
      <c r="G8" s="55" t="s">
        <v>650</v>
      </c>
      <c r="H8" s="55" t="s">
        <v>651</v>
      </c>
      <c r="I8" s="55" t="s">
        <v>509</v>
      </c>
      <c r="J8" s="56" t="s">
        <v>277</v>
      </c>
      <c r="K8" s="55" t="s">
        <v>510</v>
      </c>
      <c r="L8" s="55" t="s">
        <v>513</v>
      </c>
      <c r="M8" s="89" t="s">
        <v>652</v>
      </c>
      <c r="N8" s="89" t="s">
        <v>653</v>
      </c>
      <c r="O8" s="59" t="s">
        <v>518</v>
      </c>
    </row>
    <row r="9" spans="1:16" ht="15" customHeight="1" x14ac:dyDescent="0.3">
      <c r="A9" s="60" t="s">
        <v>654</v>
      </c>
      <c r="B9" s="60" t="s">
        <v>594</v>
      </c>
      <c r="C9" s="62">
        <v>46179</v>
      </c>
      <c r="D9" s="63" t="s">
        <v>320</v>
      </c>
      <c r="E9" s="66" t="str">
        <f>IFERROR(INDEX(M_User!$A$12:$J$67,MATCH(D9,M_User!$D$12:$D$67,0),3),"UNMAPPED")</f>
        <v>Doglas E. Shirima</v>
      </c>
      <c r="F9" s="65" t="str">
        <f>IFERROR(INDEX(M_User!$A$12:$J$67,MATCH(D9,M_User!$D$12:$D$67,0),5),"UNMAPPED")</f>
        <v>ARS</v>
      </c>
      <c r="G9" s="63" t="s">
        <v>655</v>
      </c>
      <c r="H9" s="69" t="s">
        <v>656</v>
      </c>
      <c r="I9" s="63" t="s">
        <v>170</v>
      </c>
      <c r="J9" s="66" t="str">
        <f>IFERROR(INDEX(M_SKU!$A$18:$J$57,MATCH(I9,M_SKU!$B$18:$B$57,0),1),"UNKNOWN SKU")</f>
        <v>Coke RGB 350ml</v>
      </c>
      <c r="K9" s="63" t="s">
        <v>596</v>
      </c>
      <c r="L9" s="276">
        <v>4.4610496179138499</v>
      </c>
      <c r="M9" s="91" cm="1">
        <f t="array" ref="M9">IFERROR(INDEX(M_DepotPrice!$C$10:$C$52,MATCH(1,(M_DepotPrice!$A$10:$A$52=I9)*(M_DepotPrice!$H$10:$H$52=IFERROR(INDEX(M_Depot!$A$7:$A$24,MATCH(F9,M_Depot!$B$7:$B$24,0)),""))*(M_DepotPrice!$G$10:$G$52="Special"),0)),INDEX(M_DepotPrice!$C$10:$C$52,MATCH(1,(M_DepotPrice!$A$10:$A$52=I9)*(M_DepotPrice!$G$10:$G$52="Default"),0)))</f>
        <v>11780</v>
      </c>
      <c r="N9" s="67">
        <f>(L9*M9)*1.18</f>
        <v>62010.374108849675</v>
      </c>
      <c r="O9" s="66" t="str">
        <f t="shared" ref="O9:O72" si="0">D9 &amp; "|" &amp; I9 &amp; "|" &amp; K9</f>
        <v>ARS000069|FG001|CK3-33379</v>
      </c>
      <c r="P9">
        <f>ROUND(M9*1.18*L9,0)</f>
        <v>62010</v>
      </c>
    </row>
    <row r="10" spans="1:16" ht="15" customHeight="1" x14ac:dyDescent="0.3">
      <c r="A10" s="70" t="s">
        <v>657</v>
      </c>
      <c r="B10" s="70" t="s">
        <v>594</v>
      </c>
      <c r="C10" s="72">
        <v>46179</v>
      </c>
      <c r="D10" s="73" t="s">
        <v>320</v>
      </c>
      <c r="E10" s="76" t="str">
        <f>IFERROR(INDEX(M_User!$A$12:$J$67,MATCH(D10,M_User!$D$12:$D$67,0),3),"UNMAPPED")</f>
        <v>Doglas E. Shirima</v>
      </c>
      <c r="F10" s="75" t="str">
        <f>IFERROR(INDEX(M_User!$A$12:$J$67,MATCH(D10,M_User!$D$12:$D$67,0),5),"UNMAPPED")</f>
        <v>ARS</v>
      </c>
      <c r="G10" s="73" t="s">
        <v>655</v>
      </c>
      <c r="H10" s="92" t="s">
        <v>656</v>
      </c>
      <c r="I10" s="73" t="s">
        <v>181</v>
      </c>
      <c r="J10" s="76" t="str">
        <f>IFERROR(INDEX(M_SKU!$A$18:$J$57,MATCH(I10,M_SKU!$B$18:$B$57,0),1),"UNKNOWN SKU")</f>
        <v>Fanta Passion RGB 350ml</v>
      </c>
      <c r="K10" s="73" t="s">
        <v>598</v>
      </c>
      <c r="L10" s="276">
        <v>0.61213081935329805</v>
      </c>
      <c r="M10" s="94" cm="1">
        <f t="array" ref="M10">IFERROR(INDEX(M_DepotPrice!$C$10:$C$52,MATCH(1,(M_DepotPrice!$A$10:$A$52=I10)*(M_DepotPrice!$H$10:$H$52=IFERROR(INDEX(M_Depot!$A$7:$A$24,MATCH(F10,M_Depot!$B$7:$B$24,0)),""))*(M_DepotPrice!$G$10:$G$52="Special"),0)),INDEX(M_DepotPrice!$C$10:$C$52,MATCH(1,(M_DepotPrice!$A$10:$A$52=I10)*(M_DepotPrice!$G$10:$G$52="Default"),0)))</f>
        <v>11780</v>
      </c>
      <c r="N10" s="95">
        <f t="shared" ref="N10:N73" si="1">(L10*M10)*1.18</f>
        <v>8508.863241338584</v>
      </c>
      <c r="O10" s="82" t="str">
        <f t="shared" si="0"/>
        <v>ARS000069|FG003|CK3-33290</v>
      </c>
    </row>
    <row r="11" spans="1:16" ht="15" customHeight="1" x14ac:dyDescent="0.3">
      <c r="A11" s="60" t="s">
        <v>658</v>
      </c>
      <c r="B11" s="60" t="s">
        <v>594</v>
      </c>
      <c r="C11" s="62">
        <v>46179</v>
      </c>
      <c r="D11" s="63" t="s">
        <v>320</v>
      </c>
      <c r="E11" s="66" t="str">
        <f>IFERROR(INDEX(M_User!$A$12:$J$67,MATCH(D11,M_User!$D$12:$D$67,0),3),"UNMAPPED")</f>
        <v>Doglas E. Shirima</v>
      </c>
      <c r="F11" s="65" t="str">
        <f>IFERROR(INDEX(M_User!$A$12:$J$67,MATCH(D11,M_User!$D$12:$D$67,0),5),"UNMAPPED")</f>
        <v>ARS</v>
      </c>
      <c r="G11" s="63" t="s">
        <v>655</v>
      </c>
      <c r="H11" s="69" t="s">
        <v>656</v>
      </c>
      <c r="I11" s="63" t="s">
        <v>183</v>
      </c>
      <c r="J11" s="66" t="str">
        <f>IFERROR(INDEX(M_SKU!$A$18:$J$57,MATCH(I11,M_SKU!$B$18:$B$57,0),1),"UNKNOWN SKU")</f>
        <v>Fanta Pineapple RGB 350ml</v>
      </c>
      <c r="K11" s="63" t="s">
        <v>599</v>
      </c>
      <c r="L11" s="276">
        <v>0.46663565056484302</v>
      </c>
      <c r="M11" s="91" cm="1">
        <f t="array" ref="M11">IFERROR(INDEX(M_DepotPrice!$C$10:$C$52,MATCH(1,(M_DepotPrice!$A$10:$A$52=I11)*(M_DepotPrice!$H$10:$H$52=IFERROR(INDEX(M_Depot!$A$7:$A$24,MATCH(F11,M_Depot!$B$7:$B$24,0)),""))*(M_DepotPrice!$G$10:$G$52="Special"),0)),INDEX(M_DepotPrice!$C$10:$C$52,MATCH(1,(M_DepotPrice!$A$10:$A$52=I11)*(M_DepotPrice!$G$10:$G$52="Default"),0)))</f>
        <v>11780</v>
      </c>
      <c r="N11" s="67">
        <f t="shared" si="1"/>
        <v>6486.422197111543</v>
      </c>
      <c r="O11" s="66" t="str">
        <f t="shared" si="0"/>
        <v>ARS000069|FG004|CK5-33354</v>
      </c>
    </row>
    <row r="12" spans="1:16" ht="15" customHeight="1" x14ac:dyDescent="0.3">
      <c r="A12" s="70" t="s">
        <v>659</v>
      </c>
      <c r="B12" s="70" t="s">
        <v>594</v>
      </c>
      <c r="C12" s="72">
        <v>46179</v>
      </c>
      <c r="D12" s="73" t="s">
        <v>320</v>
      </c>
      <c r="E12" s="76" t="str">
        <f>IFERROR(INDEX(M_User!$A$12:$J$67,MATCH(D12,M_User!$D$12:$D$67,0),3),"UNMAPPED")</f>
        <v>Doglas E. Shirima</v>
      </c>
      <c r="F12" s="75" t="str">
        <f>IFERROR(INDEX(M_User!$A$12:$J$67,MATCH(D12,M_User!$D$12:$D$67,0),5),"UNMAPPED")</f>
        <v>ARS</v>
      </c>
      <c r="G12" s="73" t="s">
        <v>655</v>
      </c>
      <c r="H12" s="92" t="s">
        <v>656</v>
      </c>
      <c r="I12" s="73" t="s">
        <v>187</v>
      </c>
      <c r="J12" s="76" t="str">
        <f>IFERROR(INDEX(M_SKU!$A$18:$J$57,MATCH(I12,M_SKU!$B$18:$B$57,0),1),"UNKNOWN SKU")</f>
        <v>Sprite 350ml</v>
      </c>
      <c r="K12" s="73" t="s">
        <v>600</v>
      </c>
      <c r="L12" s="276">
        <v>0.24390000000000001</v>
      </c>
      <c r="M12" s="94" cm="1">
        <f t="array" ref="M12">IFERROR(INDEX(M_DepotPrice!$C$10:$C$52,MATCH(1,(M_DepotPrice!$A$10:$A$52=I12)*(M_DepotPrice!$H$10:$H$52=IFERROR(INDEX(M_Depot!$A$7:$A$24,MATCH(F12,M_Depot!$B$7:$B$24,0)),""))*(M_DepotPrice!$G$10:$G$52="Special"),0)),INDEX(M_DepotPrice!$C$10:$C$52,MATCH(1,(M_DepotPrice!$A$10:$A$52=I12)*(M_DepotPrice!$G$10:$G$52="Default"),0)))</f>
        <v>11780</v>
      </c>
      <c r="N12" s="95">
        <f t="shared" si="1"/>
        <v>3390.3075600000002</v>
      </c>
      <c r="O12" s="82" t="str">
        <f t="shared" si="0"/>
        <v>ARS000069|FG006|CK3-33306</v>
      </c>
    </row>
    <row r="13" spans="1:16" ht="15" customHeight="1" x14ac:dyDescent="0.3">
      <c r="A13" s="60" t="s">
        <v>660</v>
      </c>
      <c r="B13" s="60" t="s">
        <v>594</v>
      </c>
      <c r="C13" s="62">
        <v>46179</v>
      </c>
      <c r="D13" s="63" t="s">
        <v>320</v>
      </c>
      <c r="E13" s="66" t="str">
        <f>IFERROR(INDEX(M_User!$A$12:$J$67,MATCH(D13,M_User!$D$12:$D$67,0),3),"UNMAPPED")</f>
        <v>Doglas E. Shirima</v>
      </c>
      <c r="F13" s="65" t="str">
        <f>IFERROR(INDEX(M_User!$A$12:$J$67,MATCH(D13,M_User!$D$12:$D$67,0),5),"UNMAPPED")</f>
        <v>ARS</v>
      </c>
      <c r="G13" s="63" t="s">
        <v>655</v>
      </c>
      <c r="H13" s="69" t="s">
        <v>656</v>
      </c>
      <c r="I13" s="63" t="s">
        <v>196</v>
      </c>
      <c r="J13" s="66" t="str">
        <f>IFERROR(INDEX(M_SKU!$A$18:$J$57,MATCH(I13,M_SKU!$B$18:$B$57,0),1),"UNKNOWN SKU")</f>
        <v>Krest Bitter Lemon RGB 300ml</v>
      </c>
      <c r="K13" s="63" t="s">
        <v>538</v>
      </c>
      <c r="L13" s="276">
        <v>1.2692723883079</v>
      </c>
      <c r="M13" s="91" cm="1">
        <f t="array" ref="M13">IFERROR(INDEX(M_DepotPrice!$C$10:$C$52,MATCH(1,(M_DepotPrice!$A$10:$A$52=I13)*(M_DepotPrice!$H$10:$H$52=IFERROR(INDEX(M_Depot!$A$7:$A$24,MATCH(F13,M_Depot!$B$7:$B$24,0)),""))*(M_DepotPrice!$G$10:$G$52="Special"),0)),INDEX(M_DepotPrice!$C$10:$C$52,MATCH(1,(M_DepotPrice!$A$10:$A$52=I13)*(M_DepotPrice!$G$10:$G$52="Default"),0)))</f>
        <v>11780</v>
      </c>
      <c r="N13" s="67">
        <f t="shared" si="1"/>
        <v>17643.393906435133</v>
      </c>
      <c r="O13" s="66" t="str">
        <f t="shared" si="0"/>
        <v>ARS000069|FG009|CK3-33348</v>
      </c>
    </row>
    <row r="14" spans="1:16" ht="15" customHeight="1" x14ac:dyDescent="0.3">
      <c r="A14" s="70" t="s">
        <v>661</v>
      </c>
      <c r="B14" s="70" t="s">
        <v>594</v>
      </c>
      <c r="C14" s="72">
        <v>46179</v>
      </c>
      <c r="D14" s="73" t="s">
        <v>320</v>
      </c>
      <c r="E14" s="76" t="str">
        <f>IFERROR(INDEX(M_User!$A$12:$J$67,MATCH(D14,M_User!$D$12:$D$67,0),3),"UNMAPPED")</f>
        <v>Doglas E. Shirima</v>
      </c>
      <c r="F14" s="75" t="str">
        <f>IFERROR(INDEX(M_User!$A$12:$J$67,MATCH(D14,M_User!$D$12:$D$67,0),5),"UNMAPPED")</f>
        <v>ARS</v>
      </c>
      <c r="G14" s="73" t="s">
        <v>655</v>
      </c>
      <c r="H14" s="92" t="s">
        <v>656</v>
      </c>
      <c r="I14" s="73" t="s">
        <v>199</v>
      </c>
      <c r="J14" s="76" t="str">
        <f>IFERROR(INDEX(M_SKU!$A$18:$J$57,MATCH(I14,M_SKU!$B$18:$B$57,0),1),"UNKNOWN SKU")</f>
        <v>Krest Club Soda RGB 300ml</v>
      </c>
      <c r="K14" s="73" t="s">
        <v>539</v>
      </c>
      <c r="L14" s="276">
        <v>0.92523012231058299</v>
      </c>
      <c r="M14" s="94" cm="1">
        <f t="array" ref="M14">IFERROR(INDEX(M_DepotPrice!$C$10:$C$52,MATCH(1,(M_DepotPrice!$A$10:$A$52=I14)*(M_DepotPrice!$H$10:$H$52=IFERROR(INDEX(M_Depot!$A$7:$A$24,MATCH(F14,M_Depot!$B$7:$B$24,0)),""))*(M_DepotPrice!$G$10:$G$52="Special"),0)),INDEX(M_DepotPrice!$C$10:$C$52,MATCH(1,(M_DepotPrice!$A$10:$A$52=I14)*(M_DepotPrice!$G$10:$G$52="Default"),0)))</f>
        <v>11780</v>
      </c>
      <c r="N14" s="95">
        <f t="shared" si="1"/>
        <v>12861.068792166026</v>
      </c>
      <c r="O14" s="82" t="str">
        <f t="shared" si="0"/>
        <v>ARS000069|FG010|CK3-33301</v>
      </c>
    </row>
    <row r="15" spans="1:16" ht="15" customHeight="1" x14ac:dyDescent="0.3">
      <c r="A15" s="60" t="s">
        <v>662</v>
      </c>
      <c r="B15" s="60" t="s">
        <v>594</v>
      </c>
      <c r="C15" s="62">
        <v>46179</v>
      </c>
      <c r="D15" s="63" t="s">
        <v>320</v>
      </c>
      <c r="E15" s="66" t="str">
        <f>IFERROR(INDEX(M_User!$A$12:$J$67,MATCH(D15,M_User!$D$12:$D$67,0),3),"UNMAPPED")</f>
        <v>Doglas E. Shirima</v>
      </c>
      <c r="F15" s="65" t="str">
        <f>IFERROR(INDEX(M_User!$A$12:$J$67,MATCH(D15,M_User!$D$12:$D$67,0),5),"UNMAPPED")</f>
        <v>ARS</v>
      </c>
      <c r="G15" s="63" t="s">
        <v>655</v>
      </c>
      <c r="H15" s="69" t="s">
        <v>656</v>
      </c>
      <c r="I15" s="63" t="s">
        <v>201</v>
      </c>
      <c r="J15" s="66" t="str">
        <f>IFERROR(INDEX(M_SKU!$A$18:$J$57,MATCH(I15,M_SKU!$B$18:$B$57,0),1),"UNKNOWN SKU")</f>
        <v>Krest Tonic Water RGB 300ml</v>
      </c>
      <c r="K15" s="63" t="s">
        <v>601</v>
      </c>
      <c r="L15" s="276">
        <v>0.66149999999999998</v>
      </c>
      <c r="M15" s="91" cm="1">
        <f t="array" ref="M15">IFERROR(INDEX(M_DepotPrice!$C$10:$C$52,MATCH(1,(M_DepotPrice!$A$10:$A$52=I15)*(M_DepotPrice!$H$10:$H$52=IFERROR(INDEX(M_Depot!$A$7:$A$24,MATCH(F15,M_Depot!$B$7:$B$24,0)),""))*(M_DepotPrice!$G$10:$G$52="Special"),0)),INDEX(M_DepotPrice!$C$10:$C$52,MATCH(1,(M_DepotPrice!$A$10:$A$52=I15)*(M_DepotPrice!$G$10:$G$52="Default"),0)))</f>
        <v>11780</v>
      </c>
      <c r="N15" s="67">
        <f t="shared" si="1"/>
        <v>9195.114599999999</v>
      </c>
      <c r="O15" s="66" t="str">
        <f t="shared" si="0"/>
        <v>ARS000069|FG011|CK3-33237</v>
      </c>
    </row>
    <row r="16" spans="1:16" ht="15" customHeight="1" x14ac:dyDescent="0.3">
      <c r="A16" s="70" t="s">
        <v>663</v>
      </c>
      <c r="B16" s="70" t="s">
        <v>594</v>
      </c>
      <c r="C16" s="72">
        <v>46179</v>
      </c>
      <c r="D16" s="73" t="s">
        <v>320</v>
      </c>
      <c r="E16" s="76" t="str">
        <f>IFERROR(INDEX(M_User!$A$12:$J$67,MATCH(D16,M_User!$D$12:$D$67,0),3),"UNMAPPED")</f>
        <v>Doglas E. Shirima</v>
      </c>
      <c r="F16" s="75" t="str">
        <f>IFERROR(INDEX(M_User!$A$12:$J$67,MATCH(D16,M_User!$D$12:$D$67,0),5),"UNMAPPED")</f>
        <v>ARS</v>
      </c>
      <c r="G16" s="73" t="s">
        <v>655</v>
      </c>
      <c r="H16" s="92" t="s">
        <v>656</v>
      </c>
      <c r="I16" s="73" t="s">
        <v>203</v>
      </c>
      <c r="J16" s="76" t="str">
        <f>IFERROR(INDEX(M_SKU!$A$18:$J$57,MATCH(I16,M_SKU!$B$18:$B$57,0),1),"UNKNOWN SKU")</f>
        <v>Krest Ginger Ale RGB 300ml</v>
      </c>
      <c r="K16" s="73" t="s">
        <v>541</v>
      </c>
      <c r="L16" s="276">
        <v>0.24560000000000001</v>
      </c>
      <c r="M16" s="94" cm="1">
        <f t="array" ref="M16">IFERROR(INDEX(M_DepotPrice!$C$10:$C$52,MATCH(1,(M_DepotPrice!$A$10:$A$52=I16)*(M_DepotPrice!$H$10:$H$52=IFERROR(INDEX(M_Depot!$A$7:$A$24,MATCH(F16,M_Depot!$B$7:$B$24,0)),""))*(M_DepotPrice!$G$10:$G$52="Special"),0)),INDEX(M_DepotPrice!$C$10:$C$52,MATCH(1,(M_DepotPrice!$A$10:$A$52=I16)*(M_DepotPrice!$G$10:$G$52="Default"),0)))</f>
        <v>11780</v>
      </c>
      <c r="N16" s="95">
        <f t="shared" si="1"/>
        <v>3413.93824</v>
      </c>
      <c r="O16" s="82" t="str">
        <f t="shared" si="0"/>
        <v>ARS000069|FG012|CK3-33126</v>
      </c>
    </row>
    <row r="17" spans="1:15" ht="15" customHeight="1" x14ac:dyDescent="0.3">
      <c r="A17" s="60" t="s">
        <v>664</v>
      </c>
      <c r="B17" s="60" t="s">
        <v>594</v>
      </c>
      <c r="C17" s="62">
        <v>46179</v>
      </c>
      <c r="D17" s="63" t="s">
        <v>320</v>
      </c>
      <c r="E17" s="66" t="str">
        <f>IFERROR(INDEX(M_User!$A$12:$J$67,MATCH(D17,M_User!$D$12:$D$67,0),3),"UNMAPPED")</f>
        <v>Doglas E. Shirima</v>
      </c>
      <c r="F17" s="65" t="str">
        <f>IFERROR(INDEX(M_User!$A$12:$J$67,MATCH(D17,M_User!$D$12:$D$67,0),5),"UNMAPPED")</f>
        <v>ARS</v>
      </c>
      <c r="G17" s="63" t="s">
        <v>655</v>
      </c>
      <c r="H17" s="69" t="s">
        <v>656</v>
      </c>
      <c r="I17" s="63" t="s">
        <v>211</v>
      </c>
      <c r="J17" s="66" t="str">
        <f>IFERROR(INDEX(M_SKU!$A$18:$J$57,MATCH(I17,M_SKU!$B$18:$B$57,0),1),"UNKNOWN SKU")</f>
        <v>KNMW 500ml</v>
      </c>
      <c r="K17" s="63" t="s">
        <v>602</v>
      </c>
      <c r="L17" s="276">
        <v>65</v>
      </c>
      <c r="M17" s="91" cm="1">
        <f t="array" ref="M17">IFERROR(INDEX(M_DepotPrice!$C$10:$C$52,MATCH(1,(M_DepotPrice!$A$10:$A$52=I17)*(M_DepotPrice!$H$10:$H$52=IFERROR(INDEX(M_Depot!$A$7:$A$24,MATCH(F17,M_Depot!$B$7:$B$24,0)),""))*(M_DepotPrice!$G$10:$G$52="Special"),0)),INDEX(M_DepotPrice!$C$10:$C$52,MATCH(1,(M_DepotPrice!$A$10:$A$52=I17)*(M_DepotPrice!$G$10:$G$52="Default"),0)))</f>
        <v>3559</v>
      </c>
      <c r="N17" s="67">
        <f t="shared" si="1"/>
        <v>272975.3</v>
      </c>
      <c r="O17" s="66" t="str">
        <f t="shared" si="0"/>
        <v>ARS000069|KD001|CK4-836</v>
      </c>
    </row>
    <row r="18" spans="1:15" ht="15" customHeight="1" x14ac:dyDescent="0.3">
      <c r="A18" s="70" t="s">
        <v>665</v>
      </c>
      <c r="B18" s="70" t="s">
        <v>594</v>
      </c>
      <c r="C18" s="72">
        <v>46179</v>
      </c>
      <c r="D18" s="73" t="s">
        <v>320</v>
      </c>
      <c r="E18" s="76" t="str">
        <f>IFERROR(INDEX(M_User!$A$12:$J$67,MATCH(D18,M_User!$D$12:$D$67,0),3),"UNMAPPED")</f>
        <v>Doglas E. Shirima</v>
      </c>
      <c r="F18" s="75" t="str">
        <f>IFERROR(INDEX(M_User!$A$12:$J$67,MATCH(D18,M_User!$D$12:$D$67,0),5),"UNMAPPED")</f>
        <v>ARS</v>
      </c>
      <c r="G18" s="73" t="s">
        <v>655</v>
      </c>
      <c r="H18" s="92" t="s">
        <v>656</v>
      </c>
      <c r="I18" s="73" t="s">
        <v>211</v>
      </c>
      <c r="J18" s="76" t="str">
        <f>IFERROR(INDEX(M_SKU!$A$18:$J$57,MATCH(I18,M_SKU!$B$18:$B$57,0),1),"UNKNOWN SKU")</f>
        <v>KNMW 500ml</v>
      </c>
      <c r="K18" s="73" t="s">
        <v>604</v>
      </c>
      <c r="L18" s="276">
        <v>1</v>
      </c>
      <c r="M18" s="94" cm="1">
        <f t="array" ref="M18">IFERROR(INDEX(M_DepotPrice!$C$10:$C$52,MATCH(1,(M_DepotPrice!$A$10:$A$52=I18)*(M_DepotPrice!$H$10:$H$52=IFERROR(INDEX(M_Depot!$A$7:$A$24,MATCH(F18,M_Depot!$B$7:$B$24,0)),""))*(M_DepotPrice!$G$10:$G$52="Special"),0)),INDEX(M_DepotPrice!$C$10:$C$52,MATCH(1,(M_DepotPrice!$A$10:$A$52=I18)*(M_DepotPrice!$G$10:$G$52="Default"),0)))</f>
        <v>3559</v>
      </c>
      <c r="N18" s="95">
        <f t="shared" si="1"/>
        <v>4199.62</v>
      </c>
      <c r="O18" s="82" t="str">
        <f t="shared" si="0"/>
        <v>ARS000069|KD001|CK6-983</v>
      </c>
    </row>
    <row r="19" spans="1:15" ht="15" customHeight="1" x14ac:dyDescent="0.3">
      <c r="A19" s="60" t="s">
        <v>666</v>
      </c>
      <c r="B19" s="60" t="s">
        <v>594</v>
      </c>
      <c r="C19" s="62">
        <v>46179</v>
      </c>
      <c r="D19" s="63" t="s">
        <v>320</v>
      </c>
      <c r="E19" s="66" t="str">
        <f>IFERROR(INDEX(M_User!$A$12:$J$67,MATCH(D19,M_User!$D$12:$D$67,0),3),"UNMAPPED")</f>
        <v>Doglas E. Shirima</v>
      </c>
      <c r="F19" s="65" t="str">
        <f>IFERROR(INDEX(M_User!$A$12:$J$67,MATCH(D19,M_User!$D$12:$D$67,0),5),"UNMAPPED")</f>
        <v>ARS</v>
      </c>
      <c r="G19" s="63" t="s">
        <v>655</v>
      </c>
      <c r="H19" s="69" t="s">
        <v>656</v>
      </c>
      <c r="I19" s="63" t="s">
        <v>219</v>
      </c>
      <c r="J19" s="66" t="str">
        <f>IFERROR(INDEX(M_SKU!$A$18:$J$57,MATCH(I19,M_SKU!$B$18:$B$57,0),1),"UNKNOWN SKU")</f>
        <v>Kilimanjaro Drinking Water 6000 ML</v>
      </c>
      <c r="K19" s="63" t="s">
        <v>606</v>
      </c>
      <c r="L19" s="276">
        <v>5</v>
      </c>
      <c r="M19" s="91" cm="1">
        <f t="array" ref="M19">IFERROR(INDEX(M_DepotPrice!$C$10:$C$52,MATCH(1,(M_DepotPrice!$A$10:$A$52=I19)*(M_DepotPrice!$H$10:$H$52=IFERROR(INDEX(M_Depot!$A$7:$A$24,MATCH(F19,M_Depot!$B$7:$B$24,0)),""))*(M_DepotPrice!$G$10:$G$52="Special"),0)),INDEX(M_DepotPrice!$C$10:$C$52,MATCH(1,(M_DepotPrice!$A$10:$A$52=I19)*(M_DepotPrice!$G$10:$G$52="Default"),0)))</f>
        <v>2119</v>
      </c>
      <c r="N19" s="67">
        <f t="shared" si="1"/>
        <v>12502.099999999999</v>
      </c>
      <c r="O19" s="66" t="str">
        <f t="shared" si="0"/>
        <v>ARS000069|KD004|CK7-895</v>
      </c>
    </row>
    <row r="20" spans="1:15" ht="15" customHeight="1" x14ac:dyDescent="0.3">
      <c r="A20" s="70" t="s">
        <v>667</v>
      </c>
      <c r="B20" s="70" t="s">
        <v>594</v>
      </c>
      <c r="C20" s="72">
        <v>46179</v>
      </c>
      <c r="D20" s="73" t="s">
        <v>320</v>
      </c>
      <c r="E20" s="76" t="str">
        <f>IFERROR(INDEX(M_User!$A$12:$J$67,MATCH(D20,M_User!$D$12:$D$67,0),3),"UNMAPPED")</f>
        <v>Doglas E. Shirima</v>
      </c>
      <c r="F20" s="75" t="str">
        <f>IFERROR(INDEX(M_User!$A$12:$J$67,MATCH(D20,M_User!$D$12:$D$67,0),5),"UNMAPPED")</f>
        <v>ARS</v>
      </c>
      <c r="G20" s="73" t="s">
        <v>655</v>
      </c>
      <c r="H20" s="92" t="s">
        <v>656</v>
      </c>
      <c r="I20" s="73" t="s">
        <v>222</v>
      </c>
      <c r="J20" s="76" t="str">
        <f>IFERROR(INDEX(M_SKU!$A$18:$J$57,MATCH(I20,M_SKU!$B$18:$B$57,0),1),"UNKNOWN SKU")</f>
        <v>Kilimanjaro Drinking Water 12000 ML</v>
      </c>
      <c r="K20" s="73" t="s">
        <v>607</v>
      </c>
      <c r="L20" s="276">
        <v>1</v>
      </c>
      <c r="M20" s="94" cm="1">
        <f t="array" ref="M20">IFERROR(INDEX(M_DepotPrice!$C$10:$C$52,MATCH(1,(M_DepotPrice!$A$10:$A$52=I20)*(M_DepotPrice!$H$10:$H$52=IFERROR(INDEX(M_Depot!$A$7:$A$24,MATCH(F20,M_Depot!$B$7:$B$24,0)),""))*(M_DepotPrice!$G$10:$G$52="Special"),0)),INDEX(M_DepotPrice!$C$10:$C$52,MATCH(1,(M_DepotPrice!$A$10:$A$52=I20)*(M_DepotPrice!$G$10:$G$52="Default"),0)))</f>
        <v>3559</v>
      </c>
      <c r="N20" s="95">
        <f t="shared" si="1"/>
        <v>4199.62</v>
      </c>
      <c r="O20" s="82" t="str">
        <f t="shared" si="0"/>
        <v>ARS000069|KD005|CK7-909</v>
      </c>
    </row>
    <row r="21" spans="1:15" ht="15" customHeight="1" x14ac:dyDescent="0.3">
      <c r="A21" s="60" t="s">
        <v>668</v>
      </c>
      <c r="B21" s="60" t="s">
        <v>594</v>
      </c>
      <c r="C21" s="62">
        <v>46179</v>
      </c>
      <c r="D21" s="63" t="s">
        <v>320</v>
      </c>
      <c r="E21" s="66" t="str">
        <f>IFERROR(INDEX(M_User!$A$12:$J$67,MATCH(D21,M_User!$D$12:$D$67,0),3),"UNMAPPED")</f>
        <v>Doglas E. Shirima</v>
      </c>
      <c r="F21" s="65" t="str">
        <f>IFERROR(INDEX(M_User!$A$12:$J$67,MATCH(D21,M_User!$D$12:$D$67,0),5),"UNMAPPED")</f>
        <v>ARS</v>
      </c>
      <c r="G21" s="63" t="s">
        <v>655</v>
      </c>
      <c r="H21" s="69" t="s">
        <v>656</v>
      </c>
      <c r="I21" s="63" t="s">
        <v>225</v>
      </c>
      <c r="J21" s="66" t="str">
        <f>IFERROR(INDEX(M_SKU!$A$18:$J$57,MATCH(I21,M_SKU!$B$18:$B$57,0),1),"UNKNOWN SKU")</f>
        <v>Kilimanjaro Drinking Water 18900 ML</v>
      </c>
      <c r="K21" s="63" t="s">
        <v>608</v>
      </c>
      <c r="L21" s="276">
        <v>1</v>
      </c>
      <c r="M21" s="91" cm="1">
        <f t="array" ref="M21">IFERROR(INDEX(M_DepotPrice!$C$10:$C$52,MATCH(1,(M_DepotPrice!$A$10:$A$52=I21)*(M_DepotPrice!$H$10:$H$52=IFERROR(INDEX(M_Depot!$A$7:$A$24,MATCH(F21,M_Depot!$B$7:$B$24,0)),""))*(M_DepotPrice!$G$10:$G$52="Special"),0)),INDEX(M_DepotPrice!$C$10:$C$52,MATCH(1,(M_DepotPrice!$A$10:$A$52=I21)*(M_DepotPrice!$G$10:$G$52="Default"),0)))</f>
        <v>5932</v>
      </c>
      <c r="N21" s="67">
        <f t="shared" si="1"/>
        <v>6999.7599999999993</v>
      </c>
      <c r="O21" s="66" t="str">
        <f t="shared" si="0"/>
        <v>ARS000069|KD006|CK7-914</v>
      </c>
    </row>
    <row r="22" spans="1:15" ht="15" customHeight="1" x14ac:dyDescent="0.3">
      <c r="A22" s="70" t="s">
        <v>669</v>
      </c>
      <c r="B22" s="70" t="s">
        <v>594</v>
      </c>
      <c r="C22" s="72">
        <v>46179</v>
      </c>
      <c r="D22" s="73" t="s">
        <v>320</v>
      </c>
      <c r="E22" s="76" t="str">
        <f>IFERROR(INDEX(M_User!$A$12:$J$67,MATCH(D22,M_User!$D$12:$D$67,0),3),"UNMAPPED")</f>
        <v>Doglas E. Shirima</v>
      </c>
      <c r="F22" s="75" t="str">
        <f>IFERROR(INDEX(M_User!$A$12:$J$67,MATCH(D22,M_User!$D$12:$D$67,0),5),"UNMAPPED")</f>
        <v>ARS</v>
      </c>
      <c r="G22" s="73" t="s">
        <v>655</v>
      </c>
      <c r="H22" s="92" t="s">
        <v>656</v>
      </c>
      <c r="I22" s="73" t="s">
        <v>225</v>
      </c>
      <c r="J22" s="76" t="str">
        <f>IFERROR(INDEX(M_SKU!$A$18:$J$57,MATCH(I22,M_SKU!$B$18:$B$57,0),1),"UNKNOWN SKU")</f>
        <v>Kilimanjaro Drinking Water 18900 ML</v>
      </c>
      <c r="K22" s="73" t="s">
        <v>567</v>
      </c>
      <c r="L22" s="276">
        <v>10</v>
      </c>
      <c r="M22" s="94" cm="1">
        <f t="array" ref="M22">IFERROR(INDEX(M_DepotPrice!$C$10:$C$52,MATCH(1,(M_DepotPrice!$A$10:$A$52=I22)*(M_DepotPrice!$H$10:$H$52=IFERROR(INDEX(M_Depot!$A$7:$A$24,MATCH(F22,M_Depot!$B$7:$B$24,0)),""))*(M_DepotPrice!$G$10:$G$52="Special"),0)),INDEX(M_DepotPrice!$C$10:$C$52,MATCH(1,(M_DepotPrice!$A$10:$A$52=I22)*(M_DepotPrice!$G$10:$G$52="Default"),0)))</f>
        <v>5932</v>
      </c>
      <c r="N22" s="95">
        <f t="shared" si="1"/>
        <v>69997.599999999991</v>
      </c>
      <c r="O22" s="82" t="str">
        <f t="shared" si="0"/>
        <v>ARS000069|KD006|CK7-915</v>
      </c>
    </row>
    <row r="23" spans="1:15" ht="15" customHeight="1" x14ac:dyDescent="0.3">
      <c r="A23" s="60" t="s">
        <v>670</v>
      </c>
      <c r="B23" s="60" t="s">
        <v>594</v>
      </c>
      <c r="C23" s="62">
        <v>46179</v>
      </c>
      <c r="D23" s="63" t="s">
        <v>320</v>
      </c>
      <c r="E23" s="66" t="str">
        <f>IFERROR(INDEX(M_User!$A$12:$J$67,MATCH(D23,M_User!$D$12:$D$67,0),3),"UNMAPPED")</f>
        <v>Doglas E. Shirima</v>
      </c>
      <c r="F23" s="65" t="str">
        <f>IFERROR(INDEX(M_User!$A$12:$J$67,MATCH(D23,M_User!$D$12:$D$67,0),5),"UNMAPPED")</f>
        <v>ARS</v>
      </c>
      <c r="G23" s="63" t="s">
        <v>655</v>
      </c>
      <c r="H23" s="69" t="s">
        <v>656</v>
      </c>
      <c r="I23" s="63" t="s">
        <v>227</v>
      </c>
      <c r="J23" s="66" t="str">
        <f>IFERROR(INDEX(M_SKU!$A$18:$J$57,MATCH(I23,M_SKU!$B$18:$B$57,0),1),"UNKNOWN SKU")</f>
        <v>KNMW 1000ml(6 Pack)</v>
      </c>
      <c r="K23" s="63" t="s">
        <v>609</v>
      </c>
      <c r="L23" s="276">
        <v>4</v>
      </c>
      <c r="M23" s="91" cm="1">
        <f t="array" ref="M23">IFERROR(INDEX(M_DepotPrice!$C$10:$C$52,MATCH(1,(M_DepotPrice!$A$10:$A$52=I23)*(M_DepotPrice!$H$10:$H$52=IFERROR(INDEX(M_Depot!$A$7:$A$24,MATCH(F23,M_Depot!$B$7:$B$24,0)),""))*(M_DepotPrice!$G$10:$G$52="Special"),0)),INDEX(M_DepotPrice!$C$10:$C$52,MATCH(1,(M_DepotPrice!$A$10:$A$52=I23)*(M_DepotPrice!$G$10:$G$52="Default"),0)))</f>
        <v>3178</v>
      </c>
      <c r="N23" s="67">
        <f t="shared" si="1"/>
        <v>15000.16</v>
      </c>
      <c r="O23" s="66" t="str">
        <f t="shared" si="0"/>
        <v>ARS000069|KD007|CK4-832</v>
      </c>
    </row>
    <row r="24" spans="1:15" ht="15" customHeight="1" x14ac:dyDescent="0.3">
      <c r="A24" s="70" t="s">
        <v>671</v>
      </c>
      <c r="B24" s="70" t="s">
        <v>594</v>
      </c>
      <c r="C24" s="72">
        <v>46179</v>
      </c>
      <c r="D24" s="73" t="s">
        <v>320</v>
      </c>
      <c r="E24" s="76" t="str">
        <f>IFERROR(INDEX(M_User!$A$12:$J$67,MATCH(D24,M_User!$D$12:$D$67,0),3),"UNMAPPED")</f>
        <v>Doglas E. Shirima</v>
      </c>
      <c r="F24" s="75" t="str">
        <f>IFERROR(INDEX(M_User!$A$12:$J$67,MATCH(D24,M_User!$D$12:$D$67,0),5),"UNMAPPED")</f>
        <v>ARS</v>
      </c>
      <c r="G24" s="73" t="s">
        <v>655</v>
      </c>
      <c r="H24" s="92" t="s">
        <v>656</v>
      </c>
      <c r="I24" s="73" t="s">
        <v>229</v>
      </c>
      <c r="J24" s="76" t="str">
        <f>IFERROR(INDEX(M_SKU!$A$18:$J$57,MATCH(I24,M_SKU!$B$18:$B$57,0),1),"UNKNOWN SKU")</f>
        <v>Coke Pet 500ML ( x12)</v>
      </c>
      <c r="K24" s="73" t="s">
        <v>610</v>
      </c>
      <c r="L24" s="276">
        <v>23</v>
      </c>
      <c r="M24" s="94" cm="1">
        <f t="array" ref="M24">IFERROR(INDEX(M_DepotPrice!$C$10:$C$52,MATCH(1,(M_DepotPrice!$A$10:$A$52=I24)*(M_DepotPrice!$H$10:$H$52=IFERROR(INDEX(M_Depot!$A$7:$A$24,MATCH(F24,M_Depot!$B$7:$B$24,0)),""))*(M_DepotPrice!$G$10:$G$52="Special"),0)),INDEX(M_DepotPrice!$C$10:$C$52,MATCH(1,(M_DepotPrice!$A$10:$A$52=I24)*(M_DepotPrice!$G$10:$G$52="Default"),0)))</f>
        <v>8898</v>
      </c>
      <c r="N24" s="95">
        <f t="shared" si="1"/>
        <v>241491.72</v>
      </c>
      <c r="O24" s="82" t="str">
        <f t="shared" si="0"/>
        <v>ARS000069|PH001|CK6-33399</v>
      </c>
    </row>
    <row r="25" spans="1:15" ht="15" customHeight="1" x14ac:dyDescent="0.3">
      <c r="A25" s="60" t="s">
        <v>672</v>
      </c>
      <c r="B25" s="60" t="s">
        <v>594</v>
      </c>
      <c r="C25" s="62">
        <v>46179</v>
      </c>
      <c r="D25" s="63" t="s">
        <v>320</v>
      </c>
      <c r="E25" s="66" t="str">
        <f>IFERROR(INDEX(M_User!$A$12:$J$67,MATCH(D25,M_User!$D$12:$D$67,0),3),"UNMAPPED")</f>
        <v>Doglas E. Shirima</v>
      </c>
      <c r="F25" s="65" t="str">
        <f>IFERROR(INDEX(M_User!$A$12:$J$67,MATCH(D25,M_User!$D$12:$D$67,0),5),"UNMAPPED")</f>
        <v>ARS</v>
      </c>
      <c r="G25" s="63" t="s">
        <v>655</v>
      </c>
      <c r="H25" s="69" t="s">
        <v>656</v>
      </c>
      <c r="I25" s="63" t="s">
        <v>232</v>
      </c>
      <c r="J25" s="66" t="str">
        <f>IFERROR(INDEX(M_SKU!$A$18:$J$57,MATCH(I25,M_SKU!$B$18:$B$57,0),1),"UNKNOWN SKU")</f>
        <v>Sprite Pet 500ML (x 12)</v>
      </c>
      <c r="K25" s="63" t="s">
        <v>522</v>
      </c>
      <c r="L25" s="276">
        <v>2</v>
      </c>
      <c r="M25" s="91" cm="1">
        <f t="array" ref="M25">IFERROR(INDEX(M_DepotPrice!$C$10:$C$52,MATCH(1,(M_DepotPrice!$A$10:$A$52=I25)*(M_DepotPrice!$H$10:$H$52=IFERROR(INDEX(M_Depot!$A$7:$A$24,MATCH(F25,M_Depot!$B$7:$B$24,0)),""))*(M_DepotPrice!$G$10:$G$52="Special"),0)),INDEX(M_DepotPrice!$C$10:$C$52,MATCH(1,(M_DepotPrice!$A$10:$A$52=I25)*(M_DepotPrice!$G$10:$G$52="Default"),0)))</f>
        <v>8898</v>
      </c>
      <c r="N25" s="67">
        <f t="shared" si="1"/>
        <v>20999.279999999999</v>
      </c>
      <c r="O25" s="66" t="str">
        <f t="shared" si="0"/>
        <v>ARS000069|PH002|CK6-33362</v>
      </c>
    </row>
    <row r="26" spans="1:15" ht="15" customHeight="1" x14ac:dyDescent="0.3">
      <c r="A26" s="70" t="s">
        <v>673</v>
      </c>
      <c r="B26" s="70" t="s">
        <v>594</v>
      </c>
      <c r="C26" s="72">
        <v>46179</v>
      </c>
      <c r="D26" s="73" t="s">
        <v>320</v>
      </c>
      <c r="E26" s="76" t="str">
        <f>IFERROR(INDEX(M_User!$A$12:$J$67,MATCH(D26,M_User!$D$12:$D$67,0),3),"UNMAPPED")</f>
        <v>Doglas E. Shirima</v>
      </c>
      <c r="F26" s="75" t="str">
        <f>IFERROR(INDEX(M_User!$A$12:$J$67,MATCH(D26,M_User!$D$12:$D$67,0),5),"UNMAPPED")</f>
        <v>ARS</v>
      </c>
      <c r="G26" s="73" t="s">
        <v>655</v>
      </c>
      <c r="H26" s="92" t="s">
        <v>656</v>
      </c>
      <c r="I26" s="73" t="s">
        <v>234</v>
      </c>
      <c r="J26" s="76" t="str">
        <f>IFERROR(INDEX(M_SKU!$A$18:$J$57,MATCH(I26,M_SKU!$B$18:$B$57,0),1),"UNKNOWN SKU")</f>
        <v>Fanta Orange Pet 500ML ( x 12)</v>
      </c>
      <c r="K26" s="73" t="s">
        <v>611</v>
      </c>
      <c r="L26" s="276">
        <v>2</v>
      </c>
      <c r="M26" s="94" cm="1">
        <f t="array" ref="M26">IFERROR(INDEX(M_DepotPrice!$C$10:$C$52,MATCH(1,(M_DepotPrice!$A$10:$A$52=I26)*(M_DepotPrice!$H$10:$H$52=IFERROR(INDEX(M_Depot!$A$7:$A$24,MATCH(F26,M_Depot!$B$7:$B$24,0)),""))*(M_DepotPrice!$G$10:$G$52="Special"),0)),INDEX(M_DepotPrice!$C$10:$C$52,MATCH(1,(M_DepotPrice!$A$10:$A$52=I26)*(M_DepotPrice!$G$10:$G$52="Default"),0)))</f>
        <v>8898</v>
      </c>
      <c r="N26" s="95">
        <f t="shared" si="1"/>
        <v>20999.279999999999</v>
      </c>
      <c r="O26" s="82" t="str">
        <f t="shared" si="0"/>
        <v>ARS000069|PH003|CK5-33389</v>
      </c>
    </row>
    <row r="27" spans="1:15" ht="15" customHeight="1" x14ac:dyDescent="0.3">
      <c r="A27" s="60" t="s">
        <v>674</v>
      </c>
      <c r="B27" s="60" t="s">
        <v>594</v>
      </c>
      <c r="C27" s="62">
        <v>46179</v>
      </c>
      <c r="D27" s="63" t="s">
        <v>320</v>
      </c>
      <c r="E27" s="66" t="str">
        <f>IFERROR(INDEX(M_User!$A$12:$J$67,MATCH(D27,M_User!$D$12:$D$67,0),3),"UNMAPPED")</f>
        <v>Doglas E. Shirima</v>
      </c>
      <c r="F27" s="65" t="str">
        <f>IFERROR(INDEX(M_User!$A$12:$J$67,MATCH(D27,M_User!$D$12:$D$67,0),5),"UNMAPPED")</f>
        <v>ARS</v>
      </c>
      <c r="G27" s="63" t="s">
        <v>655</v>
      </c>
      <c r="H27" s="69" t="s">
        <v>656</v>
      </c>
      <c r="I27" s="63" t="s">
        <v>238</v>
      </c>
      <c r="J27" s="66" t="str">
        <f>IFERROR(INDEX(M_SKU!$A$18:$J$57,MATCH(I27,M_SKU!$B$18:$B$57,0),1),"UNKNOWN SKU")</f>
        <v>Fanta Pineapple Pet 500ml ( x12)</v>
      </c>
      <c r="K27" s="63" t="s">
        <v>613</v>
      </c>
      <c r="L27" s="276">
        <v>1</v>
      </c>
      <c r="M27" s="91" cm="1">
        <f t="array" ref="M27">IFERROR(INDEX(M_DepotPrice!$C$10:$C$52,MATCH(1,(M_DepotPrice!$A$10:$A$52=I27)*(M_DepotPrice!$H$10:$H$52=IFERROR(INDEX(M_Depot!$A$7:$A$24,MATCH(F27,M_Depot!$B$7:$B$24,0)),""))*(M_DepotPrice!$G$10:$G$52="Special"),0)),INDEX(M_DepotPrice!$C$10:$C$52,MATCH(1,(M_DepotPrice!$A$10:$A$52=I27)*(M_DepotPrice!$G$10:$G$52="Default"),0)))</f>
        <v>8898</v>
      </c>
      <c r="N27" s="67">
        <f t="shared" si="1"/>
        <v>10499.64</v>
      </c>
      <c r="O27" s="66" t="str">
        <f t="shared" si="0"/>
        <v>ARS000069|PH005|CK6-33392</v>
      </c>
    </row>
    <row r="28" spans="1:15" ht="15" customHeight="1" x14ac:dyDescent="0.3">
      <c r="A28" s="70" t="s">
        <v>675</v>
      </c>
      <c r="B28" s="70" t="s">
        <v>594</v>
      </c>
      <c r="C28" s="72">
        <v>46179</v>
      </c>
      <c r="D28" s="73" t="s">
        <v>320</v>
      </c>
      <c r="E28" s="76" t="str">
        <f>IFERROR(INDEX(M_User!$A$12:$J$67,MATCH(D28,M_User!$D$12:$D$67,0),3),"UNMAPPED")</f>
        <v>Doglas E. Shirima</v>
      </c>
      <c r="F28" s="75" t="str">
        <f>IFERROR(INDEX(M_User!$A$12:$J$67,MATCH(D28,M_User!$D$12:$D$67,0),5),"UNMAPPED")</f>
        <v>ARS</v>
      </c>
      <c r="G28" s="73" t="s">
        <v>655</v>
      </c>
      <c r="H28" s="92" t="s">
        <v>656</v>
      </c>
      <c r="I28" s="73" t="s">
        <v>242</v>
      </c>
      <c r="J28" s="76" t="str">
        <f>IFERROR(INDEX(M_SKU!$A$18:$J$57,MATCH(I28,M_SKU!$B$18:$B$57,0),1),"UNKNOWN SKU")</f>
        <v>Stoney Tangawizi Pet 500 ml ( x12)</v>
      </c>
      <c r="K28" s="73" t="s">
        <v>614</v>
      </c>
      <c r="L28" s="276">
        <v>5</v>
      </c>
      <c r="M28" s="94" cm="1">
        <f t="array" ref="M28">IFERROR(INDEX(M_DepotPrice!$C$10:$C$52,MATCH(1,(M_DepotPrice!$A$10:$A$52=I28)*(M_DepotPrice!$H$10:$H$52=IFERROR(INDEX(M_Depot!$A$7:$A$24,MATCH(F28,M_Depot!$B$7:$B$24,0)),""))*(M_DepotPrice!$G$10:$G$52="Special"),0)),INDEX(M_DepotPrice!$C$10:$C$52,MATCH(1,(M_DepotPrice!$A$10:$A$52=I28)*(M_DepotPrice!$G$10:$G$52="Default"),0)))</f>
        <v>8898</v>
      </c>
      <c r="N28" s="95">
        <f t="shared" si="1"/>
        <v>52498.2</v>
      </c>
      <c r="O28" s="82" t="str">
        <f t="shared" si="0"/>
        <v>ARS000069|PH007|CK6-33374</v>
      </c>
    </row>
    <row r="29" spans="1:15" ht="15" customHeight="1" x14ac:dyDescent="0.3">
      <c r="A29" s="60" t="s">
        <v>676</v>
      </c>
      <c r="B29" s="60" t="s">
        <v>594</v>
      </c>
      <c r="C29" s="62">
        <v>46179</v>
      </c>
      <c r="D29" s="63" t="s">
        <v>320</v>
      </c>
      <c r="E29" s="66" t="str">
        <f>IFERROR(INDEX(M_User!$A$12:$J$67,MATCH(D29,M_User!$D$12:$D$67,0),3),"UNMAPPED")</f>
        <v>Doglas E. Shirima</v>
      </c>
      <c r="F29" s="65" t="str">
        <f>IFERROR(INDEX(M_User!$A$12:$J$67,MATCH(D29,M_User!$D$12:$D$67,0),5),"UNMAPPED")</f>
        <v>ARS</v>
      </c>
      <c r="G29" s="63" t="s">
        <v>655</v>
      </c>
      <c r="H29" s="69" t="s">
        <v>656</v>
      </c>
      <c r="I29" s="63" t="s">
        <v>258</v>
      </c>
      <c r="J29" s="66" t="str">
        <f>IFERROR(INDEX(M_SKU!$A$18:$J$57,MATCH(I29,M_SKU!$B$18:$B$57,0),1),"UNKNOWN SKU")</f>
        <v>Novida Pineapple 300ML (x 12)</v>
      </c>
      <c r="K29" s="63" t="s">
        <v>618</v>
      </c>
      <c r="L29" s="276">
        <v>1</v>
      </c>
      <c r="M29" s="91" cm="1">
        <f t="array" ref="M29">IFERROR(INDEX(M_DepotPrice!$C$10:$C$52,MATCH(1,(M_DepotPrice!$A$10:$A$52=I29)*(M_DepotPrice!$H$10:$H$52=IFERROR(INDEX(M_Depot!$A$7:$A$24,MATCH(F29,M_Depot!$B$7:$B$24,0)),""))*(M_DepotPrice!$G$10:$G$52="Special"),0)),INDEX(M_DepotPrice!$C$10:$C$52,MATCH(1,(M_DepotPrice!$A$10:$A$52=I29)*(M_DepotPrice!$G$10:$G$52="Default"),0)))</f>
        <v>5085</v>
      </c>
      <c r="N29" s="67">
        <f t="shared" si="1"/>
        <v>6000.2999999999993</v>
      </c>
      <c r="O29" s="66" t="str">
        <f t="shared" si="0"/>
        <v>ARS000069|PO014|CK5-33336</v>
      </c>
    </row>
    <row r="30" spans="1:15" ht="15" customHeight="1" x14ac:dyDescent="0.3">
      <c r="A30" s="70" t="s">
        <v>677</v>
      </c>
      <c r="B30" s="70" t="s">
        <v>594</v>
      </c>
      <c r="C30" s="72">
        <v>46179</v>
      </c>
      <c r="D30" s="73" t="s">
        <v>320</v>
      </c>
      <c r="E30" s="76" t="str">
        <f>IFERROR(INDEX(M_User!$A$12:$J$67,MATCH(D30,M_User!$D$12:$D$67,0),3),"UNMAPPED")</f>
        <v>Doglas E. Shirima</v>
      </c>
      <c r="F30" s="75" t="str">
        <f>IFERROR(INDEX(M_User!$A$12:$J$67,MATCH(D30,M_User!$D$12:$D$67,0),5),"UNMAPPED")</f>
        <v>ARS</v>
      </c>
      <c r="G30" s="73" t="s">
        <v>655</v>
      </c>
      <c r="H30" s="92" t="s">
        <v>656</v>
      </c>
      <c r="I30" s="73" t="s">
        <v>261</v>
      </c>
      <c r="J30" s="76" t="str">
        <f>IFERROR(INDEX(M_SKU!$A$18:$J$57,MATCH(I30,M_SKU!$B$18:$B$57,0),1),"UNKNOWN SKU")</f>
        <v>Sparletta Pine Apple Pet 300ML (x 12)</v>
      </c>
      <c r="K30" s="73" t="s">
        <v>547</v>
      </c>
      <c r="L30" s="276">
        <v>1</v>
      </c>
      <c r="M30" s="94" cm="1">
        <f t="array" ref="M30">IFERROR(INDEX(M_DepotPrice!$C$10:$C$52,MATCH(1,(M_DepotPrice!$A$10:$A$52=I30)*(M_DepotPrice!$H$10:$H$52=IFERROR(INDEX(M_Depot!$A$7:$A$24,MATCH(F30,M_Depot!$B$7:$B$24,0)),""))*(M_DepotPrice!$G$10:$G$52="Special"),0)),INDEX(M_DepotPrice!$C$10:$C$52,MATCH(1,(M_DepotPrice!$A$10:$A$52=I30)*(M_DepotPrice!$G$10:$G$52="Default"),0)))</f>
        <v>5085</v>
      </c>
      <c r="N30" s="95">
        <f t="shared" si="1"/>
        <v>6000.2999999999993</v>
      </c>
      <c r="O30" s="82" t="str">
        <f t="shared" si="0"/>
        <v>ARS000069|PO015|CK5-33366</v>
      </c>
    </row>
    <row r="31" spans="1:15" ht="15" customHeight="1" x14ac:dyDescent="0.3">
      <c r="A31" s="60" t="s">
        <v>678</v>
      </c>
      <c r="B31" s="60" t="s">
        <v>594</v>
      </c>
      <c r="C31" s="62">
        <v>46179</v>
      </c>
      <c r="D31" s="63" t="s">
        <v>320</v>
      </c>
      <c r="E31" s="66" t="str">
        <f>IFERROR(INDEX(M_User!$A$12:$J$67,MATCH(D31,M_User!$D$12:$D$67,0),3),"UNMAPPED")</f>
        <v>Doglas E. Shirima</v>
      </c>
      <c r="F31" s="65" t="str">
        <f>IFERROR(INDEX(M_User!$A$12:$J$67,MATCH(D31,M_User!$D$12:$D$67,0),5),"UNMAPPED")</f>
        <v>ARS</v>
      </c>
      <c r="G31" s="63" t="s">
        <v>679</v>
      </c>
      <c r="H31" s="69" t="s">
        <v>680</v>
      </c>
      <c r="I31" s="63" t="s">
        <v>170</v>
      </c>
      <c r="J31" s="66" t="str">
        <f>IFERROR(INDEX(M_SKU!$A$18:$J$57,MATCH(I31,M_SKU!$B$18:$B$57,0),1),"UNKNOWN SKU")</f>
        <v>Coke RGB 350ml</v>
      </c>
      <c r="K31" s="63" t="s">
        <v>596</v>
      </c>
      <c r="L31" s="276">
        <v>4.2630999999999997</v>
      </c>
      <c r="M31" s="91" cm="1">
        <f t="array" ref="M31">IFERROR(INDEX(M_DepotPrice!$C$10:$C$52,MATCH(1,(M_DepotPrice!$A$10:$A$52=I31)*(M_DepotPrice!$H$10:$H$52=IFERROR(INDEX(M_Depot!$A$7:$A$24,MATCH(F31,M_Depot!$B$7:$B$24,0)),""))*(M_DepotPrice!$G$10:$G$52="Special"),0)),INDEX(M_DepotPrice!$C$10:$C$52,MATCH(1,(M_DepotPrice!$A$10:$A$52=I31)*(M_DepotPrice!$G$10:$G$52="Default"),0)))</f>
        <v>11780</v>
      </c>
      <c r="N31" s="67">
        <f t="shared" si="1"/>
        <v>59258.795239999999</v>
      </c>
      <c r="O31" s="66" t="str">
        <f t="shared" si="0"/>
        <v>ARS000069|FG001|CK3-33379</v>
      </c>
    </row>
    <row r="32" spans="1:15" ht="15" customHeight="1" x14ac:dyDescent="0.3">
      <c r="A32" s="70" t="s">
        <v>681</v>
      </c>
      <c r="B32" s="70" t="s">
        <v>594</v>
      </c>
      <c r="C32" s="72">
        <v>46179</v>
      </c>
      <c r="D32" s="73" t="s">
        <v>320</v>
      </c>
      <c r="E32" s="76" t="str">
        <f>IFERROR(INDEX(M_User!$A$12:$J$67,MATCH(D32,M_User!$D$12:$D$67,0),3),"UNMAPPED")</f>
        <v>Doglas E. Shirima</v>
      </c>
      <c r="F32" s="75" t="str">
        <f>IFERROR(INDEX(M_User!$A$12:$J$67,MATCH(D32,M_User!$D$12:$D$67,0),5),"UNMAPPED")</f>
        <v>ARS</v>
      </c>
      <c r="G32" s="73" t="s">
        <v>679</v>
      </c>
      <c r="H32" s="92" t="s">
        <v>680</v>
      </c>
      <c r="I32" s="73" t="s">
        <v>187</v>
      </c>
      <c r="J32" s="76" t="str">
        <f>IFERROR(INDEX(M_SKU!$A$18:$J$57,MATCH(I32,M_SKU!$B$18:$B$57,0),1),"UNKNOWN SKU")</f>
        <v>Sprite 350ml</v>
      </c>
      <c r="K32" s="73" t="s">
        <v>600</v>
      </c>
      <c r="L32" s="276">
        <v>0.43070000000000003</v>
      </c>
      <c r="M32" s="94" cm="1">
        <f t="array" ref="M32">IFERROR(INDEX(M_DepotPrice!$C$10:$C$52,MATCH(1,(M_DepotPrice!$A$10:$A$52=I32)*(M_DepotPrice!$H$10:$H$52=IFERROR(INDEX(M_Depot!$A$7:$A$24,MATCH(F32,M_Depot!$B$7:$B$24,0)),""))*(M_DepotPrice!$G$10:$G$52="Special"),0)),INDEX(M_DepotPrice!$C$10:$C$52,MATCH(1,(M_DepotPrice!$A$10:$A$52=I32)*(M_DepotPrice!$G$10:$G$52="Default"),0)))</f>
        <v>11780</v>
      </c>
      <c r="N32" s="95">
        <f t="shared" si="1"/>
        <v>5986.9022800000002</v>
      </c>
      <c r="O32" s="82" t="str">
        <f t="shared" si="0"/>
        <v>ARS000069|FG006|CK3-33306</v>
      </c>
    </row>
    <row r="33" spans="1:15" ht="15" customHeight="1" x14ac:dyDescent="0.3">
      <c r="A33" s="60" t="s">
        <v>682</v>
      </c>
      <c r="B33" s="60" t="s">
        <v>594</v>
      </c>
      <c r="C33" s="62">
        <v>46179</v>
      </c>
      <c r="D33" s="63" t="s">
        <v>320</v>
      </c>
      <c r="E33" s="66" t="str">
        <f>IFERROR(INDEX(M_User!$A$12:$J$67,MATCH(D33,M_User!$D$12:$D$67,0),3),"UNMAPPED")</f>
        <v>Doglas E. Shirima</v>
      </c>
      <c r="F33" s="65" t="str">
        <f>IFERROR(INDEX(M_User!$A$12:$J$67,MATCH(D33,M_User!$D$12:$D$67,0),5),"UNMAPPED")</f>
        <v>ARS</v>
      </c>
      <c r="G33" s="63" t="s">
        <v>679</v>
      </c>
      <c r="H33" s="69" t="s">
        <v>680</v>
      </c>
      <c r="I33" s="63" t="s">
        <v>196</v>
      </c>
      <c r="J33" s="66" t="str">
        <f>IFERROR(INDEX(M_SKU!$A$18:$J$57,MATCH(I33,M_SKU!$B$18:$B$57,0),1),"UNKNOWN SKU")</f>
        <v>Krest Bitter Lemon RGB 300ml</v>
      </c>
      <c r="K33" s="63" t="s">
        <v>538</v>
      </c>
      <c r="L33" s="276">
        <v>0.56920000000000004</v>
      </c>
      <c r="M33" s="91" cm="1">
        <f t="array" ref="M33">IFERROR(INDEX(M_DepotPrice!$C$10:$C$52,MATCH(1,(M_DepotPrice!$A$10:$A$52=I33)*(M_DepotPrice!$H$10:$H$52=IFERROR(INDEX(M_Depot!$A$7:$A$24,MATCH(F33,M_Depot!$B$7:$B$24,0)),""))*(M_DepotPrice!$G$10:$G$52="Special"),0)),INDEX(M_DepotPrice!$C$10:$C$52,MATCH(1,(M_DepotPrice!$A$10:$A$52=I33)*(M_DepotPrice!$G$10:$G$52="Default"),0)))</f>
        <v>11780</v>
      </c>
      <c r="N33" s="67">
        <f t="shared" si="1"/>
        <v>7912.1076800000001</v>
      </c>
      <c r="O33" s="66" t="str">
        <f t="shared" si="0"/>
        <v>ARS000069|FG009|CK3-33348</v>
      </c>
    </row>
    <row r="34" spans="1:15" ht="15" customHeight="1" x14ac:dyDescent="0.3">
      <c r="A34" s="70" t="s">
        <v>683</v>
      </c>
      <c r="B34" s="70" t="s">
        <v>594</v>
      </c>
      <c r="C34" s="72">
        <v>46179</v>
      </c>
      <c r="D34" s="73" t="s">
        <v>320</v>
      </c>
      <c r="E34" s="76" t="str">
        <f>IFERROR(INDEX(M_User!$A$12:$J$67,MATCH(D34,M_User!$D$12:$D$67,0),3),"UNMAPPED")</f>
        <v>Doglas E. Shirima</v>
      </c>
      <c r="F34" s="75" t="str">
        <f>IFERROR(INDEX(M_User!$A$12:$J$67,MATCH(D34,M_User!$D$12:$D$67,0),5),"UNMAPPED")</f>
        <v>ARS</v>
      </c>
      <c r="G34" s="73" t="s">
        <v>679</v>
      </c>
      <c r="H34" s="92" t="s">
        <v>680</v>
      </c>
      <c r="I34" s="73" t="s">
        <v>199</v>
      </c>
      <c r="J34" s="76" t="str">
        <f>IFERROR(INDEX(M_SKU!$A$18:$J$57,MATCH(I34,M_SKU!$B$18:$B$57,0),1),"UNKNOWN SKU")</f>
        <v>Krest Club Soda RGB 300ml</v>
      </c>
      <c r="K34" s="73" t="s">
        <v>539</v>
      </c>
      <c r="L34" s="276">
        <v>0.38269999999999998</v>
      </c>
      <c r="M34" s="94" cm="1">
        <f t="array" ref="M34">IFERROR(INDEX(M_DepotPrice!$C$10:$C$52,MATCH(1,(M_DepotPrice!$A$10:$A$52=I34)*(M_DepotPrice!$H$10:$H$52=IFERROR(INDEX(M_Depot!$A$7:$A$24,MATCH(F34,M_Depot!$B$7:$B$24,0)),""))*(M_DepotPrice!$G$10:$G$52="Special"),0)),INDEX(M_DepotPrice!$C$10:$C$52,MATCH(1,(M_DepotPrice!$A$10:$A$52=I34)*(M_DepotPrice!$G$10:$G$52="Default"),0)))</f>
        <v>11780</v>
      </c>
      <c r="N34" s="95">
        <f t="shared" si="1"/>
        <v>5319.6830799999998</v>
      </c>
      <c r="O34" s="82" t="str">
        <f t="shared" si="0"/>
        <v>ARS000069|FG010|CK3-33301</v>
      </c>
    </row>
    <row r="35" spans="1:15" ht="15" customHeight="1" x14ac:dyDescent="0.3">
      <c r="A35" s="60" t="s">
        <v>684</v>
      </c>
      <c r="B35" s="60" t="s">
        <v>594</v>
      </c>
      <c r="C35" s="62">
        <v>46179</v>
      </c>
      <c r="D35" s="63" t="s">
        <v>320</v>
      </c>
      <c r="E35" s="66" t="str">
        <f>IFERROR(INDEX(M_User!$A$12:$J$67,MATCH(D35,M_User!$D$12:$D$67,0),3),"UNMAPPED")</f>
        <v>Doglas E. Shirima</v>
      </c>
      <c r="F35" s="65" t="str">
        <f>IFERROR(INDEX(M_User!$A$12:$J$67,MATCH(D35,M_User!$D$12:$D$67,0),5),"UNMAPPED")</f>
        <v>ARS</v>
      </c>
      <c r="G35" s="63" t="s">
        <v>679</v>
      </c>
      <c r="H35" s="69" t="s">
        <v>680</v>
      </c>
      <c r="I35" s="63" t="s">
        <v>201</v>
      </c>
      <c r="J35" s="66" t="str">
        <f>IFERROR(INDEX(M_SKU!$A$18:$J$57,MATCH(I35,M_SKU!$B$18:$B$57,0),1),"UNKNOWN SKU")</f>
        <v>Krest Tonic Water RGB 300ml</v>
      </c>
      <c r="K35" s="63" t="s">
        <v>601</v>
      </c>
      <c r="L35" s="276">
        <v>0.578511674482734</v>
      </c>
      <c r="M35" s="91" cm="1">
        <f t="array" ref="M35">IFERROR(INDEX(M_DepotPrice!$C$10:$C$52,MATCH(1,(M_DepotPrice!$A$10:$A$52=I35)*(M_DepotPrice!$H$10:$H$52=IFERROR(INDEX(M_Depot!$A$7:$A$24,MATCH(F35,M_Depot!$B$7:$B$24,0)),""))*(M_DepotPrice!$G$10:$G$52="Special"),0)),INDEX(M_DepotPrice!$C$10:$C$52,MATCH(1,(M_DepotPrice!$A$10:$A$52=I35)*(M_DepotPrice!$G$10:$G$52="Default"),0)))</f>
        <v>11780</v>
      </c>
      <c r="N35" s="67">
        <f t="shared" si="1"/>
        <v>8041.5436799797953</v>
      </c>
      <c r="O35" s="66" t="str">
        <f t="shared" si="0"/>
        <v>ARS000069|FG011|CK3-33237</v>
      </c>
    </row>
    <row r="36" spans="1:15" ht="15" customHeight="1" x14ac:dyDescent="0.3">
      <c r="A36" s="70" t="s">
        <v>685</v>
      </c>
      <c r="B36" s="70" t="s">
        <v>594</v>
      </c>
      <c r="C36" s="72">
        <v>46179</v>
      </c>
      <c r="D36" s="73" t="s">
        <v>320</v>
      </c>
      <c r="E36" s="76" t="str">
        <f>IFERROR(INDEX(M_User!$A$12:$J$67,MATCH(D36,M_User!$D$12:$D$67,0),3),"UNMAPPED")</f>
        <v>Doglas E. Shirima</v>
      </c>
      <c r="F36" s="75" t="str">
        <f>IFERROR(INDEX(M_User!$A$12:$J$67,MATCH(D36,M_User!$D$12:$D$67,0),5),"UNMAPPED")</f>
        <v>ARS</v>
      </c>
      <c r="G36" s="73" t="s">
        <v>679</v>
      </c>
      <c r="H36" s="92" t="s">
        <v>680</v>
      </c>
      <c r="I36" s="73" t="s">
        <v>203</v>
      </c>
      <c r="J36" s="76" t="str">
        <f>IFERROR(INDEX(M_SKU!$A$18:$J$57,MATCH(I36,M_SKU!$B$18:$B$57,0),1),"UNKNOWN SKU")</f>
        <v>Krest Ginger Ale RGB 300ml</v>
      </c>
      <c r="K36" s="73" t="s">
        <v>541</v>
      </c>
      <c r="L36" s="276">
        <v>0.18759999999999999</v>
      </c>
      <c r="M36" s="94" cm="1">
        <f t="array" ref="M36">IFERROR(INDEX(M_DepotPrice!$C$10:$C$52,MATCH(1,(M_DepotPrice!$A$10:$A$52=I36)*(M_DepotPrice!$H$10:$H$52=IFERROR(INDEX(M_Depot!$A$7:$A$24,MATCH(F36,M_Depot!$B$7:$B$24,0)),""))*(M_DepotPrice!$G$10:$G$52="Special"),0)),INDEX(M_DepotPrice!$C$10:$C$52,MATCH(1,(M_DepotPrice!$A$10:$A$52=I36)*(M_DepotPrice!$G$10:$G$52="Default"),0)))</f>
        <v>11780</v>
      </c>
      <c r="N36" s="95">
        <f t="shared" si="1"/>
        <v>2607.7150399999996</v>
      </c>
      <c r="O36" s="82" t="str">
        <f t="shared" si="0"/>
        <v>ARS000069|FG012|CK3-33126</v>
      </c>
    </row>
    <row r="37" spans="1:15" ht="15" customHeight="1" x14ac:dyDescent="0.3">
      <c r="A37" s="60" t="s">
        <v>686</v>
      </c>
      <c r="B37" s="60" t="s">
        <v>594</v>
      </c>
      <c r="C37" s="62">
        <v>46179</v>
      </c>
      <c r="D37" s="63" t="s">
        <v>320</v>
      </c>
      <c r="E37" s="66" t="str">
        <f>IFERROR(INDEX(M_User!$A$12:$J$67,MATCH(D37,M_User!$D$12:$D$67,0),3),"UNMAPPED")</f>
        <v>Doglas E. Shirima</v>
      </c>
      <c r="F37" s="65" t="str">
        <f>IFERROR(INDEX(M_User!$A$12:$J$67,MATCH(D37,M_User!$D$12:$D$67,0),5),"UNMAPPED")</f>
        <v>ARS</v>
      </c>
      <c r="G37" s="63" t="s">
        <v>679</v>
      </c>
      <c r="H37" s="69" t="s">
        <v>680</v>
      </c>
      <c r="I37" s="63" t="s">
        <v>211</v>
      </c>
      <c r="J37" s="66" t="str">
        <f>IFERROR(INDEX(M_SKU!$A$18:$J$57,MATCH(I37,M_SKU!$B$18:$B$57,0),1),"UNKNOWN SKU")</f>
        <v>KNMW 500ml</v>
      </c>
      <c r="K37" s="63" t="s">
        <v>602</v>
      </c>
      <c r="L37" s="276">
        <v>89</v>
      </c>
      <c r="M37" s="91" cm="1">
        <f t="array" ref="M37">IFERROR(INDEX(M_DepotPrice!$C$10:$C$52,MATCH(1,(M_DepotPrice!$A$10:$A$52=I37)*(M_DepotPrice!$H$10:$H$52=IFERROR(INDEX(M_Depot!$A$7:$A$24,MATCH(F37,M_Depot!$B$7:$B$24,0)),""))*(M_DepotPrice!$G$10:$G$52="Special"),0)),INDEX(M_DepotPrice!$C$10:$C$52,MATCH(1,(M_DepotPrice!$A$10:$A$52=I37)*(M_DepotPrice!$G$10:$G$52="Default"),0)))</f>
        <v>3559</v>
      </c>
      <c r="N37" s="67">
        <f t="shared" si="1"/>
        <v>373766.18</v>
      </c>
      <c r="O37" s="66" t="str">
        <f t="shared" si="0"/>
        <v>ARS000069|KD001|CK4-836</v>
      </c>
    </row>
    <row r="38" spans="1:15" ht="15" customHeight="1" x14ac:dyDescent="0.3">
      <c r="A38" s="70" t="s">
        <v>687</v>
      </c>
      <c r="B38" s="70" t="s">
        <v>594</v>
      </c>
      <c r="C38" s="72">
        <v>46179</v>
      </c>
      <c r="D38" s="73" t="s">
        <v>320</v>
      </c>
      <c r="E38" s="76" t="str">
        <f>IFERROR(INDEX(M_User!$A$12:$J$67,MATCH(D38,M_User!$D$12:$D$67,0),3),"UNMAPPED")</f>
        <v>Doglas E. Shirima</v>
      </c>
      <c r="F38" s="75" t="str">
        <f>IFERROR(INDEX(M_User!$A$12:$J$67,MATCH(D38,M_User!$D$12:$D$67,0),5),"UNMAPPED")</f>
        <v>ARS</v>
      </c>
      <c r="G38" s="73" t="s">
        <v>679</v>
      </c>
      <c r="H38" s="92" t="s">
        <v>680</v>
      </c>
      <c r="I38" s="73" t="s">
        <v>211</v>
      </c>
      <c r="J38" s="76" t="str">
        <f>IFERROR(INDEX(M_SKU!$A$18:$J$57,MATCH(I38,M_SKU!$B$18:$B$57,0),1),"UNKNOWN SKU")</f>
        <v>KNMW 500ml</v>
      </c>
      <c r="K38" s="73" t="s">
        <v>603</v>
      </c>
      <c r="L38" s="276">
        <v>73</v>
      </c>
      <c r="M38" s="94" cm="1">
        <f t="array" ref="M38">IFERROR(INDEX(M_DepotPrice!$C$10:$C$52,MATCH(1,(M_DepotPrice!$A$10:$A$52=I38)*(M_DepotPrice!$H$10:$H$52=IFERROR(INDEX(M_Depot!$A$7:$A$24,MATCH(F38,M_Depot!$B$7:$B$24,0)),""))*(M_DepotPrice!$G$10:$G$52="Special"),0)),INDEX(M_DepotPrice!$C$10:$C$52,MATCH(1,(M_DepotPrice!$A$10:$A$52=I38)*(M_DepotPrice!$G$10:$G$52="Default"),0)))</f>
        <v>3559</v>
      </c>
      <c r="N38" s="95">
        <f t="shared" si="1"/>
        <v>306572.26</v>
      </c>
      <c r="O38" s="82" t="str">
        <f t="shared" si="0"/>
        <v>ARS000069|KD001|CK6-978</v>
      </c>
    </row>
    <row r="39" spans="1:15" ht="15" customHeight="1" x14ac:dyDescent="0.3">
      <c r="A39" s="60" t="s">
        <v>688</v>
      </c>
      <c r="B39" s="60" t="s">
        <v>594</v>
      </c>
      <c r="C39" s="62">
        <v>46179</v>
      </c>
      <c r="D39" s="63" t="s">
        <v>320</v>
      </c>
      <c r="E39" s="66" t="str">
        <f>IFERROR(INDEX(M_User!$A$12:$J$67,MATCH(D39,M_User!$D$12:$D$67,0),3),"UNMAPPED")</f>
        <v>Doglas E. Shirima</v>
      </c>
      <c r="F39" s="65" t="str">
        <f>IFERROR(INDEX(M_User!$A$12:$J$67,MATCH(D39,M_User!$D$12:$D$67,0),5),"UNMAPPED")</f>
        <v>ARS</v>
      </c>
      <c r="G39" s="63" t="s">
        <v>679</v>
      </c>
      <c r="H39" s="69" t="s">
        <v>680</v>
      </c>
      <c r="I39" s="63" t="s">
        <v>217</v>
      </c>
      <c r="J39" s="66" t="str">
        <f>IFERROR(INDEX(M_SKU!$A$18:$J$57,MATCH(I39,M_SKU!$B$18:$B$57,0),1),"UNKNOWN SKU")</f>
        <v>KNMW 1500ml</v>
      </c>
      <c r="K39" s="63" t="s">
        <v>605</v>
      </c>
      <c r="L39" s="276">
        <v>9</v>
      </c>
      <c r="M39" s="91" cm="1">
        <f t="array" ref="M39">IFERROR(INDEX(M_DepotPrice!$C$10:$C$52,MATCH(1,(M_DepotPrice!$A$10:$A$52=I39)*(M_DepotPrice!$H$10:$H$52=IFERROR(INDEX(M_Depot!$A$7:$A$24,MATCH(F39,M_Depot!$B$7:$B$24,0)),""))*(M_DepotPrice!$G$10:$G$52="Special"),0)),INDEX(M_DepotPrice!$C$10:$C$52,MATCH(1,(M_DepotPrice!$A$10:$A$52=I39)*(M_DepotPrice!$G$10:$G$52="Default"),0)))</f>
        <v>3983</v>
      </c>
      <c r="N39" s="67">
        <f t="shared" si="1"/>
        <v>42299.46</v>
      </c>
      <c r="O39" s="66" t="str">
        <f t="shared" si="0"/>
        <v>ARS000069|KD003|CK6-980</v>
      </c>
    </row>
    <row r="40" spans="1:15" ht="15" customHeight="1" x14ac:dyDescent="0.3">
      <c r="A40" s="70" t="s">
        <v>689</v>
      </c>
      <c r="B40" s="70" t="s">
        <v>594</v>
      </c>
      <c r="C40" s="72">
        <v>46179</v>
      </c>
      <c r="D40" s="73" t="s">
        <v>320</v>
      </c>
      <c r="E40" s="76" t="str">
        <f>IFERROR(INDEX(M_User!$A$12:$J$67,MATCH(D40,M_User!$D$12:$D$67,0),3),"UNMAPPED")</f>
        <v>Doglas E. Shirima</v>
      </c>
      <c r="F40" s="75" t="str">
        <f>IFERROR(INDEX(M_User!$A$12:$J$67,MATCH(D40,M_User!$D$12:$D$67,0),5),"UNMAPPED")</f>
        <v>ARS</v>
      </c>
      <c r="G40" s="73" t="s">
        <v>679</v>
      </c>
      <c r="H40" s="92" t="s">
        <v>680</v>
      </c>
      <c r="I40" s="73" t="s">
        <v>219</v>
      </c>
      <c r="J40" s="76" t="str">
        <f>IFERROR(INDEX(M_SKU!$A$18:$J$57,MATCH(I40,M_SKU!$B$18:$B$57,0),1),"UNKNOWN SKU")</f>
        <v>Kilimanjaro Drinking Water 6000 ML</v>
      </c>
      <c r="K40" s="73" t="s">
        <v>606</v>
      </c>
      <c r="L40" s="276">
        <v>6</v>
      </c>
      <c r="M40" s="94" cm="1">
        <f t="array" ref="M40">IFERROR(INDEX(M_DepotPrice!$C$10:$C$52,MATCH(1,(M_DepotPrice!$A$10:$A$52=I40)*(M_DepotPrice!$H$10:$H$52=IFERROR(INDEX(M_Depot!$A$7:$A$24,MATCH(F40,M_Depot!$B$7:$B$24,0)),""))*(M_DepotPrice!$G$10:$G$52="Special"),0)),INDEX(M_DepotPrice!$C$10:$C$52,MATCH(1,(M_DepotPrice!$A$10:$A$52=I40)*(M_DepotPrice!$G$10:$G$52="Default"),0)))</f>
        <v>2119</v>
      </c>
      <c r="N40" s="95">
        <f t="shared" si="1"/>
        <v>15002.519999999999</v>
      </c>
      <c r="O40" s="82" t="str">
        <f t="shared" si="0"/>
        <v>ARS000069|KD004|CK7-895</v>
      </c>
    </row>
    <row r="41" spans="1:15" ht="15" customHeight="1" x14ac:dyDescent="0.3">
      <c r="A41" s="60" t="s">
        <v>690</v>
      </c>
      <c r="B41" s="60" t="s">
        <v>594</v>
      </c>
      <c r="C41" s="62">
        <v>46179</v>
      </c>
      <c r="D41" s="63" t="s">
        <v>320</v>
      </c>
      <c r="E41" s="66" t="str">
        <f>IFERROR(INDEX(M_User!$A$12:$J$67,MATCH(D41,M_User!$D$12:$D$67,0),3),"UNMAPPED")</f>
        <v>Doglas E. Shirima</v>
      </c>
      <c r="F41" s="65" t="str">
        <f>IFERROR(INDEX(M_User!$A$12:$J$67,MATCH(D41,M_User!$D$12:$D$67,0),5),"UNMAPPED")</f>
        <v>ARS</v>
      </c>
      <c r="G41" s="63" t="s">
        <v>679</v>
      </c>
      <c r="H41" s="69" t="s">
        <v>680</v>
      </c>
      <c r="I41" s="63" t="s">
        <v>222</v>
      </c>
      <c r="J41" s="66" t="str">
        <f>IFERROR(INDEX(M_SKU!$A$18:$J$57,MATCH(I41,M_SKU!$B$18:$B$57,0),1),"UNKNOWN SKU")</f>
        <v>Kilimanjaro Drinking Water 12000 ML</v>
      </c>
      <c r="K41" s="63" t="s">
        <v>566</v>
      </c>
      <c r="L41" s="276">
        <v>7</v>
      </c>
      <c r="M41" s="91" cm="1">
        <f t="array" ref="M41">IFERROR(INDEX(M_DepotPrice!$C$10:$C$52,MATCH(1,(M_DepotPrice!$A$10:$A$52=I41)*(M_DepotPrice!$H$10:$H$52=IFERROR(INDEX(M_Depot!$A$7:$A$24,MATCH(F41,M_Depot!$B$7:$B$24,0)),""))*(M_DepotPrice!$G$10:$G$52="Special"),0)),INDEX(M_DepotPrice!$C$10:$C$52,MATCH(1,(M_DepotPrice!$A$10:$A$52=I41)*(M_DepotPrice!$G$10:$G$52="Default"),0)))</f>
        <v>3559</v>
      </c>
      <c r="N41" s="67">
        <f t="shared" si="1"/>
        <v>29397.34</v>
      </c>
      <c r="O41" s="66" t="str">
        <f t="shared" si="0"/>
        <v>ARS000069|KD005|CK7-913</v>
      </c>
    </row>
    <row r="42" spans="1:15" ht="15" customHeight="1" x14ac:dyDescent="0.3">
      <c r="A42" s="70" t="s">
        <v>691</v>
      </c>
      <c r="B42" s="70" t="s">
        <v>594</v>
      </c>
      <c r="C42" s="72">
        <v>46179</v>
      </c>
      <c r="D42" s="73" t="s">
        <v>320</v>
      </c>
      <c r="E42" s="76" t="str">
        <f>IFERROR(INDEX(M_User!$A$12:$J$67,MATCH(D42,M_User!$D$12:$D$67,0),3),"UNMAPPED")</f>
        <v>Doglas E. Shirima</v>
      </c>
      <c r="F42" s="75" t="str">
        <f>IFERROR(INDEX(M_User!$A$12:$J$67,MATCH(D42,M_User!$D$12:$D$67,0),5),"UNMAPPED")</f>
        <v>ARS</v>
      </c>
      <c r="G42" s="73" t="s">
        <v>679</v>
      </c>
      <c r="H42" s="92" t="s">
        <v>680</v>
      </c>
      <c r="I42" s="73" t="s">
        <v>225</v>
      </c>
      <c r="J42" s="76" t="str">
        <f>IFERROR(INDEX(M_SKU!$A$18:$J$57,MATCH(I42,M_SKU!$B$18:$B$57,0),1),"UNKNOWN SKU")</f>
        <v>Kilimanjaro Drinking Water 18900 ML</v>
      </c>
      <c r="K42" s="73" t="s">
        <v>567</v>
      </c>
      <c r="L42" s="276">
        <v>6</v>
      </c>
      <c r="M42" s="94" cm="1">
        <f t="array" ref="M42">IFERROR(INDEX(M_DepotPrice!$C$10:$C$52,MATCH(1,(M_DepotPrice!$A$10:$A$52=I42)*(M_DepotPrice!$H$10:$H$52=IFERROR(INDEX(M_Depot!$A$7:$A$24,MATCH(F42,M_Depot!$B$7:$B$24,0)),""))*(M_DepotPrice!$G$10:$G$52="Special"),0)),INDEX(M_DepotPrice!$C$10:$C$52,MATCH(1,(M_DepotPrice!$A$10:$A$52=I42)*(M_DepotPrice!$G$10:$G$52="Default"),0)))</f>
        <v>5932</v>
      </c>
      <c r="N42" s="95">
        <f t="shared" si="1"/>
        <v>41998.559999999998</v>
      </c>
      <c r="O42" s="82" t="str">
        <f t="shared" si="0"/>
        <v>ARS000069|KD006|CK7-915</v>
      </c>
    </row>
    <row r="43" spans="1:15" ht="15" customHeight="1" x14ac:dyDescent="0.3">
      <c r="A43" s="60" t="s">
        <v>692</v>
      </c>
      <c r="B43" s="60" t="s">
        <v>594</v>
      </c>
      <c r="C43" s="62">
        <v>46179</v>
      </c>
      <c r="D43" s="63" t="s">
        <v>320</v>
      </c>
      <c r="E43" s="66" t="str">
        <f>IFERROR(INDEX(M_User!$A$12:$J$67,MATCH(D43,M_User!$D$12:$D$67,0),3),"UNMAPPED")</f>
        <v>Doglas E. Shirima</v>
      </c>
      <c r="F43" s="65" t="str">
        <f>IFERROR(INDEX(M_User!$A$12:$J$67,MATCH(D43,M_User!$D$12:$D$67,0),5),"UNMAPPED")</f>
        <v>ARS</v>
      </c>
      <c r="G43" s="63" t="s">
        <v>679</v>
      </c>
      <c r="H43" s="69" t="s">
        <v>680</v>
      </c>
      <c r="I43" s="63" t="s">
        <v>227</v>
      </c>
      <c r="J43" s="66" t="str">
        <f>IFERROR(INDEX(M_SKU!$A$18:$J$57,MATCH(I43,M_SKU!$B$18:$B$57,0),1),"UNKNOWN SKU")</f>
        <v>KNMW 1000ml(6 Pack)</v>
      </c>
      <c r="K43" s="63" t="s">
        <v>609</v>
      </c>
      <c r="L43" s="276">
        <v>4</v>
      </c>
      <c r="M43" s="91" cm="1">
        <f t="array" ref="M43">IFERROR(INDEX(M_DepotPrice!$C$10:$C$52,MATCH(1,(M_DepotPrice!$A$10:$A$52=I43)*(M_DepotPrice!$H$10:$H$52=IFERROR(INDEX(M_Depot!$A$7:$A$24,MATCH(F43,M_Depot!$B$7:$B$24,0)),""))*(M_DepotPrice!$G$10:$G$52="Special"),0)),INDEX(M_DepotPrice!$C$10:$C$52,MATCH(1,(M_DepotPrice!$A$10:$A$52=I43)*(M_DepotPrice!$G$10:$G$52="Default"),0)))</f>
        <v>3178</v>
      </c>
      <c r="N43" s="67">
        <f t="shared" si="1"/>
        <v>15000.16</v>
      </c>
      <c r="O43" s="66" t="str">
        <f t="shared" si="0"/>
        <v>ARS000069|KD007|CK4-832</v>
      </c>
    </row>
    <row r="44" spans="1:15" ht="15" customHeight="1" x14ac:dyDescent="0.3">
      <c r="A44" s="70" t="s">
        <v>693</v>
      </c>
      <c r="B44" s="70" t="s">
        <v>594</v>
      </c>
      <c r="C44" s="72">
        <v>46179</v>
      </c>
      <c r="D44" s="73" t="s">
        <v>320</v>
      </c>
      <c r="E44" s="76" t="str">
        <f>IFERROR(INDEX(M_User!$A$12:$J$67,MATCH(D44,M_User!$D$12:$D$67,0),3),"UNMAPPED")</f>
        <v>Doglas E. Shirima</v>
      </c>
      <c r="F44" s="75" t="str">
        <f>IFERROR(INDEX(M_User!$A$12:$J$67,MATCH(D44,M_User!$D$12:$D$67,0),5),"UNMAPPED")</f>
        <v>ARS</v>
      </c>
      <c r="G44" s="73" t="s">
        <v>679</v>
      </c>
      <c r="H44" s="92" t="s">
        <v>680</v>
      </c>
      <c r="I44" s="73" t="s">
        <v>229</v>
      </c>
      <c r="J44" s="76" t="str">
        <f>IFERROR(INDEX(M_SKU!$A$18:$J$57,MATCH(I44,M_SKU!$B$18:$B$57,0),1),"UNKNOWN SKU")</f>
        <v>Coke Pet 500ML ( x12)</v>
      </c>
      <c r="K44" s="73" t="s">
        <v>610</v>
      </c>
      <c r="L44" s="276">
        <v>12</v>
      </c>
      <c r="M44" s="94" cm="1">
        <f t="array" ref="M44">IFERROR(INDEX(M_DepotPrice!$C$10:$C$52,MATCH(1,(M_DepotPrice!$A$10:$A$52=I44)*(M_DepotPrice!$H$10:$H$52=IFERROR(INDEX(M_Depot!$A$7:$A$24,MATCH(F44,M_Depot!$B$7:$B$24,0)),""))*(M_DepotPrice!$G$10:$G$52="Special"),0)),INDEX(M_DepotPrice!$C$10:$C$52,MATCH(1,(M_DepotPrice!$A$10:$A$52=I44)*(M_DepotPrice!$G$10:$G$52="Default"),0)))</f>
        <v>8898</v>
      </c>
      <c r="N44" s="95">
        <f t="shared" si="1"/>
        <v>125995.68</v>
      </c>
      <c r="O44" s="82" t="str">
        <f t="shared" si="0"/>
        <v>ARS000069|PH001|CK6-33399</v>
      </c>
    </row>
    <row r="45" spans="1:15" ht="15" customHeight="1" x14ac:dyDescent="0.3">
      <c r="A45" s="60" t="s">
        <v>694</v>
      </c>
      <c r="B45" s="60" t="s">
        <v>594</v>
      </c>
      <c r="C45" s="62">
        <v>46179</v>
      </c>
      <c r="D45" s="63" t="s">
        <v>320</v>
      </c>
      <c r="E45" s="66" t="str">
        <f>IFERROR(INDEX(M_User!$A$12:$J$67,MATCH(D45,M_User!$D$12:$D$67,0),3),"UNMAPPED")</f>
        <v>Doglas E. Shirima</v>
      </c>
      <c r="F45" s="65" t="str">
        <f>IFERROR(INDEX(M_User!$A$12:$J$67,MATCH(D45,M_User!$D$12:$D$67,0),5),"UNMAPPED")</f>
        <v>ARS</v>
      </c>
      <c r="G45" s="63" t="s">
        <v>679</v>
      </c>
      <c r="H45" s="69" t="s">
        <v>680</v>
      </c>
      <c r="I45" s="63" t="s">
        <v>232</v>
      </c>
      <c r="J45" s="66" t="str">
        <f>IFERROR(INDEX(M_SKU!$A$18:$J$57,MATCH(I45,M_SKU!$B$18:$B$57,0),1),"UNKNOWN SKU")</f>
        <v>Sprite Pet 500ML (x 12)</v>
      </c>
      <c r="K45" s="63" t="s">
        <v>522</v>
      </c>
      <c r="L45" s="276">
        <v>2</v>
      </c>
      <c r="M45" s="91" cm="1">
        <f t="array" ref="M45">IFERROR(INDEX(M_DepotPrice!$C$10:$C$52,MATCH(1,(M_DepotPrice!$A$10:$A$52=I45)*(M_DepotPrice!$H$10:$H$52=IFERROR(INDEX(M_Depot!$A$7:$A$24,MATCH(F45,M_Depot!$B$7:$B$24,0)),""))*(M_DepotPrice!$G$10:$G$52="Special"),0)),INDEX(M_DepotPrice!$C$10:$C$52,MATCH(1,(M_DepotPrice!$A$10:$A$52=I45)*(M_DepotPrice!$G$10:$G$52="Default"),0)))</f>
        <v>8898</v>
      </c>
      <c r="N45" s="67">
        <f t="shared" si="1"/>
        <v>20999.279999999999</v>
      </c>
      <c r="O45" s="66" t="str">
        <f t="shared" si="0"/>
        <v>ARS000069|PH002|CK6-33362</v>
      </c>
    </row>
    <row r="46" spans="1:15" ht="15" customHeight="1" x14ac:dyDescent="0.3">
      <c r="A46" s="70" t="s">
        <v>695</v>
      </c>
      <c r="B46" s="70" t="s">
        <v>594</v>
      </c>
      <c r="C46" s="72">
        <v>46179</v>
      </c>
      <c r="D46" s="73" t="s">
        <v>320</v>
      </c>
      <c r="E46" s="76" t="str">
        <f>IFERROR(INDEX(M_User!$A$12:$J$67,MATCH(D46,M_User!$D$12:$D$67,0),3),"UNMAPPED")</f>
        <v>Doglas E. Shirima</v>
      </c>
      <c r="F46" s="75" t="str">
        <f>IFERROR(INDEX(M_User!$A$12:$J$67,MATCH(D46,M_User!$D$12:$D$67,0),5),"UNMAPPED")</f>
        <v>ARS</v>
      </c>
      <c r="G46" s="73" t="s">
        <v>679</v>
      </c>
      <c r="H46" s="92" t="s">
        <v>680</v>
      </c>
      <c r="I46" s="73" t="s">
        <v>238</v>
      </c>
      <c r="J46" s="76" t="str">
        <f>IFERROR(INDEX(M_SKU!$A$18:$J$57,MATCH(I46,M_SKU!$B$18:$B$57,0),1),"UNKNOWN SKU")</f>
        <v>Fanta Pineapple Pet 500ml ( x12)</v>
      </c>
      <c r="K46" s="73" t="s">
        <v>613</v>
      </c>
      <c r="L46" s="276">
        <v>2</v>
      </c>
      <c r="M46" s="94" cm="1">
        <f t="array" ref="M46">IFERROR(INDEX(M_DepotPrice!$C$10:$C$52,MATCH(1,(M_DepotPrice!$A$10:$A$52=I46)*(M_DepotPrice!$H$10:$H$52=IFERROR(INDEX(M_Depot!$A$7:$A$24,MATCH(F46,M_Depot!$B$7:$B$24,0)),""))*(M_DepotPrice!$G$10:$G$52="Special"),0)),INDEX(M_DepotPrice!$C$10:$C$52,MATCH(1,(M_DepotPrice!$A$10:$A$52=I46)*(M_DepotPrice!$G$10:$G$52="Default"),0)))</f>
        <v>8898</v>
      </c>
      <c r="N46" s="95">
        <f t="shared" si="1"/>
        <v>20999.279999999999</v>
      </c>
      <c r="O46" s="82" t="str">
        <f t="shared" si="0"/>
        <v>ARS000069|PH005|CK6-33392</v>
      </c>
    </row>
    <row r="47" spans="1:15" ht="15" customHeight="1" x14ac:dyDescent="0.3">
      <c r="A47" s="60" t="s">
        <v>696</v>
      </c>
      <c r="B47" s="60" t="s">
        <v>594</v>
      </c>
      <c r="C47" s="62">
        <v>46179</v>
      </c>
      <c r="D47" s="63" t="s">
        <v>320</v>
      </c>
      <c r="E47" s="66" t="str">
        <f>IFERROR(INDEX(M_User!$A$12:$J$67,MATCH(D47,M_User!$D$12:$D$67,0),3),"UNMAPPED")</f>
        <v>Doglas E. Shirima</v>
      </c>
      <c r="F47" s="65" t="str">
        <f>IFERROR(INDEX(M_User!$A$12:$J$67,MATCH(D47,M_User!$D$12:$D$67,0),5),"UNMAPPED")</f>
        <v>ARS</v>
      </c>
      <c r="G47" s="63" t="s">
        <v>679</v>
      </c>
      <c r="H47" s="69" t="s">
        <v>680</v>
      </c>
      <c r="I47" s="63" t="s">
        <v>240</v>
      </c>
      <c r="J47" s="66" t="str">
        <f>IFERROR(INDEX(M_SKU!$A$18:$J$57,MATCH(I47,M_SKU!$B$18:$B$57,0),1),"UNKNOWN SKU")</f>
        <v>Fanta Fruit Blast Pet 500ML (x12)</v>
      </c>
      <c r="K47" s="63" t="s">
        <v>552</v>
      </c>
      <c r="L47" s="276">
        <v>1</v>
      </c>
      <c r="M47" s="91" cm="1">
        <f t="array" ref="M47">IFERROR(INDEX(M_DepotPrice!$C$10:$C$52,MATCH(1,(M_DepotPrice!$A$10:$A$52=I47)*(M_DepotPrice!$H$10:$H$52=IFERROR(INDEX(M_Depot!$A$7:$A$24,MATCH(F47,M_Depot!$B$7:$B$24,0)),""))*(M_DepotPrice!$G$10:$G$52="Special"),0)),INDEX(M_DepotPrice!$C$10:$C$52,MATCH(1,(M_DepotPrice!$A$10:$A$52=I47)*(M_DepotPrice!$G$10:$G$52="Default"),0)))</f>
        <v>8898</v>
      </c>
      <c r="N47" s="67">
        <f t="shared" si="1"/>
        <v>10499.64</v>
      </c>
      <c r="O47" s="66" t="str">
        <f t="shared" si="0"/>
        <v>ARS000069|PH006|CK6-33333</v>
      </c>
    </row>
    <row r="48" spans="1:15" ht="15" customHeight="1" x14ac:dyDescent="0.3">
      <c r="A48" s="70" t="s">
        <v>697</v>
      </c>
      <c r="B48" s="70" t="s">
        <v>594</v>
      </c>
      <c r="C48" s="72">
        <v>46179</v>
      </c>
      <c r="D48" s="73" t="s">
        <v>320</v>
      </c>
      <c r="E48" s="76" t="str">
        <f>IFERROR(INDEX(M_User!$A$12:$J$67,MATCH(D48,M_User!$D$12:$D$67,0),3),"UNMAPPED")</f>
        <v>Doglas E. Shirima</v>
      </c>
      <c r="F48" s="75" t="str">
        <f>IFERROR(INDEX(M_User!$A$12:$J$67,MATCH(D48,M_User!$D$12:$D$67,0),5),"UNMAPPED")</f>
        <v>ARS</v>
      </c>
      <c r="G48" s="73" t="s">
        <v>679</v>
      </c>
      <c r="H48" s="92" t="s">
        <v>680</v>
      </c>
      <c r="I48" s="73" t="s">
        <v>248</v>
      </c>
      <c r="J48" s="76" t="str">
        <f>IFERROR(INDEX(M_SKU!$A$18:$J$57,MATCH(I48,M_SKU!$B$18:$B$57,0),1),"UNKNOWN SKU")</f>
        <v>Coke Pet 300ML(x 12)</v>
      </c>
      <c r="K48" s="73" t="s">
        <v>616</v>
      </c>
      <c r="L48" s="276">
        <v>1</v>
      </c>
      <c r="M48" s="94" cm="1">
        <f t="array" ref="M48">IFERROR(INDEX(M_DepotPrice!$C$10:$C$52,MATCH(1,(M_DepotPrice!$A$10:$A$52=I48)*(M_DepotPrice!$H$10:$H$52=IFERROR(INDEX(M_Depot!$A$7:$A$24,MATCH(F48,M_Depot!$B$7:$B$24,0)),""))*(M_DepotPrice!$G$10:$G$52="Special"),0)),INDEX(M_DepotPrice!$C$10:$C$52,MATCH(1,(M_DepotPrice!$A$10:$A$52=I48)*(M_DepotPrice!$G$10:$G$52="Default"),0)))</f>
        <v>5085</v>
      </c>
      <c r="N48" s="95">
        <f t="shared" si="1"/>
        <v>6000.2999999999993</v>
      </c>
      <c r="O48" s="82" t="str">
        <f t="shared" si="0"/>
        <v>ARS000069|PO008|CK5-33384</v>
      </c>
    </row>
    <row r="49" spans="1:15" ht="15" customHeight="1" x14ac:dyDescent="0.3">
      <c r="A49" s="60" t="s">
        <v>698</v>
      </c>
      <c r="B49" s="60" t="s">
        <v>594</v>
      </c>
      <c r="C49" s="62">
        <v>46179</v>
      </c>
      <c r="D49" s="63" t="s">
        <v>320</v>
      </c>
      <c r="E49" s="66" t="str">
        <f>IFERROR(INDEX(M_User!$A$12:$J$67,MATCH(D49,M_User!$D$12:$D$67,0),3),"UNMAPPED")</f>
        <v>Doglas E. Shirima</v>
      </c>
      <c r="F49" s="65" t="str">
        <f>IFERROR(INDEX(M_User!$A$12:$J$67,MATCH(D49,M_User!$D$12:$D$67,0),5),"UNMAPPED")</f>
        <v>ARS</v>
      </c>
      <c r="G49" s="63" t="s">
        <v>679</v>
      </c>
      <c r="H49" s="69" t="s">
        <v>680</v>
      </c>
      <c r="I49" s="63" t="s">
        <v>248</v>
      </c>
      <c r="J49" s="66" t="str">
        <f>IFERROR(INDEX(M_SKU!$A$18:$J$57,MATCH(I49,M_SKU!$B$18:$B$57,0),1),"UNKNOWN SKU")</f>
        <v>Coke Pet 300ML(x 12)</v>
      </c>
      <c r="K49" s="63" t="s">
        <v>617</v>
      </c>
      <c r="L49" s="276">
        <v>3</v>
      </c>
      <c r="M49" s="91" cm="1">
        <f t="array" ref="M49">IFERROR(INDEX(M_DepotPrice!$C$10:$C$52,MATCH(1,(M_DepotPrice!$A$10:$A$52=I49)*(M_DepotPrice!$H$10:$H$52=IFERROR(INDEX(M_Depot!$A$7:$A$24,MATCH(F49,M_Depot!$B$7:$B$24,0)),""))*(M_DepotPrice!$G$10:$G$52="Special"),0)),INDEX(M_DepotPrice!$C$10:$C$52,MATCH(1,(M_DepotPrice!$A$10:$A$52=I49)*(M_DepotPrice!$G$10:$G$52="Default"),0)))</f>
        <v>5085</v>
      </c>
      <c r="N49" s="67">
        <f t="shared" si="1"/>
        <v>18000.899999999998</v>
      </c>
      <c r="O49" s="66" t="str">
        <f t="shared" si="0"/>
        <v>ARS000069|PO008|CK5-33386</v>
      </c>
    </row>
    <row r="50" spans="1:15" ht="15" customHeight="1" x14ac:dyDescent="0.3">
      <c r="A50" s="70" t="s">
        <v>699</v>
      </c>
      <c r="B50" s="70" t="s">
        <v>594</v>
      </c>
      <c r="C50" s="72">
        <v>46179</v>
      </c>
      <c r="D50" s="73" t="s">
        <v>320</v>
      </c>
      <c r="E50" s="76" t="str">
        <f>IFERROR(INDEX(M_User!$A$12:$J$67,MATCH(D50,M_User!$D$12:$D$67,0),3),"UNMAPPED")</f>
        <v>Doglas E. Shirima</v>
      </c>
      <c r="F50" s="75" t="str">
        <f>IFERROR(INDEX(M_User!$A$12:$J$67,MATCH(D50,M_User!$D$12:$D$67,0),5),"UNMAPPED")</f>
        <v>ARS</v>
      </c>
      <c r="G50" s="73" t="s">
        <v>679</v>
      </c>
      <c r="H50" s="92" t="s">
        <v>680</v>
      </c>
      <c r="I50" s="73" t="s">
        <v>261</v>
      </c>
      <c r="J50" s="76" t="str">
        <f>IFERROR(INDEX(M_SKU!$A$18:$J$57,MATCH(I50,M_SKU!$B$18:$B$57,0),1),"UNKNOWN SKU")</f>
        <v>Sparletta Pine Apple Pet 300ML (x 12)</v>
      </c>
      <c r="K50" s="73" t="s">
        <v>547</v>
      </c>
      <c r="L50" s="276">
        <v>1</v>
      </c>
      <c r="M50" s="94" cm="1">
        <f t="array" ref="M50">IFERROR(INDEX(M_DepotPrice!$C$10:$C$52,MATCH(1,(M_DepotPrice!$A$10:$A$52=I50)*(M_DepotPrice!$H$10:$H$52=IFERROR(INDEX(M_Depot!$A$7:$A$24,MATCH(F50,M_Depot!$B$7:$B$24,0)),""))*(M_DepotPrice!$G$10:$G$52="Special"),0)),INDEX(M_DepotPrice!$C$10:$C$52,MATCH(1,(M_DepotPrice!$A$10:$A$52=I50)*(M_DepotPrice!$G$10:$G$52="Default"),0)))</f>
        <v>5085</v>
      </c>
      <c r="N50" s="95">
        <f t="shared" si="1"/>
        <v>6000.2999999999993</v>
      </c>
      <c r="O50" s="82" t="str">
        <f t="shared" si="0"/>
        <v>ARS000069|PO015|CK5-33366</v>
      </c>
    </row>
    <row r="51" spans="1:15" ht="15" customHeight="1" x14ac:dyDescent="0.3">
      <c r="A51" s="60" t="s">
        <v>700</v>
      </c>
      <c r="B51" s="60" t="s">
        <v>594</v>
      </c>
      <c r="C51" s="62">
        <v>46179</v>
      </c>
      <c r="D51" s="63" t="s">
        <v>320</v>
      </c>
      <c r="E51" s="66" t="str">
        <f>IFERROR(INDEX(M_User!$A$12:$J$67,MATCH(D51,M_User!$D$12:$D$67,0),3),"UNMAPPED")</f>
        <v>Doglas E. Shirima</v>
      </c>
      <c r="F51" s="65" t="str">
        <f>IFERROR(INDEX(M_User!$A$12:$J$67,MATCH(D51,M_User!$D$12:$D$67,0),5),"UNMAPPED")</f>
        <v>ARS</v>
      </c>
      <c r="G51" s="63" t="s">
        <v>701</v>
      </c>
      <c r="H51" s="69" t="s">
        <v>702</v>
      </c>
      <c r="I51" s="63" t="s">
        <v>170</v>
      </c>
      <c r="J51" s="66" t="str">
        <f>IFERROR(INDEX(M_SKU!$A$18:$J$57,MATCH(I51,M_SKU!$B$18:$B$57,0),1),"UNKNOWN SKU")</f>
        <v>Coke RGB 350ml</v>
      </c>
      <c r="K51" s="63" t="s">
        <v>596</v>
      </c>
      <c r="L51" s="276">
        <v>3.7084000000000001</v>
      </c>
      <c r="M51" s="91" cm="1">
        <f t="array" ref="M51">IFERROR(INDEX(M_DepotPrice!$C$10:$C$52,MATCH(1,(M_DepotPrice!$A$10:$A$52=I51)*(M_DepotPrice!$H$10:$H$52=IFERROR(INDEX(M_Depot!$A$7:$A$24,MATCH(F51,M_Depot!$B$7:$B$24,0)),""))*(M_DepotPrice!$G$10:$G$52="Special"),0)),INDEX(M_DepotPrice!$C$10:$C$52,MATCH(1,(M_DepotPrice!$A$10:$A$52=I51)*(M_DepotPrice!$G$10:$G$52="Default"),0)))</f>
        <v>11780</v>
      </c>
      <c r="N51" s="67">
        <f t="shared" si="1"/>
        <v>51548.24336</v>
      </c>
      <c r="O51" s="66" t="str">
        <f t="shared" si="0"/>
        <v>ARS000069|FG001|CK3-33379</v>
      </c>
    </row>
    <row r="52" spans="1:15" ht="15" customHeight="1" x14ac:dyDescent="0.3">
      <c r="A52" s="70" t="s">
        <v>703</v>
      </c>
      <c r="B52" s="70" t="s">
        <v>594</v>
      </c>
      <c r="C52" s="72">
        <v>46179</v>
      </c>
      <c r="D52" s="73" t="s">
        <v>320</v>
      </c>
      <c r="E52" s="76" t="str">
        <f>IFERROR(INDEX(M_User!$A$12:$J$67,MATCH(D52,M_User!$D$12:$D$67,0),3),"UNMAPPED")</f>
        <v>Doglas E. Shirima</v>
      </c>
      <c r="F52" s="75" t="str">
        <f>IFERROR(INDEX(M_User!$A$12:$J$67,MATCH(D52,M_User!$D$12:$D$67,0),5),"UNMAPPED")</f>
        <v>ARS</v>
      </c>
      <c r="G52" s="73" t="s">
        <v>701</v>
      </c>
      <c r="H52" s="92" t="s">
        <v>702</v>
      </c>
      <c r="I52" s="73" t="s">
        <v>178</v>
      </c>
      <c r="J52" s="76" t="str">
        <f>IFERROR(INDEX(M_SKU!$A$18:$J$57,MATCH(I52,M_SKU!$B$18:$B$57,0),1),"UNKNOWN SKU")</f>
        <v>Fanta Orange RGB 350ml</v>
      </c>
      <c r="K52" s="73" t="s">
        <v>597</v>
      </c>
      <c r="L52" s="276">
        <v>1.7891999999999999</v>
      </c>
      <c r="M52" s="94" cm="1">
        <f t="array" ref="M52">IFERROR(INDEX(M_DepotPrice!$C$10:$C$52,MATCH(1,(M_DepotPrice!$A$10:$A$52=I52)*(M_DepotPrice!$H$10:$H$52=IFERROR(INDEX(M_Depot!$A$7:$A$24,MATCH(F52,M_Depot!$B$7:$B$24,0)),""))*(M_DepotPrice!$G$10:$G$52="Special"),0)),INDEX(M_DepotPrice!$C$10:$C$52,MATCH(1,(M_DepotPrice!$A$10:$A$52=I52)*(M_DepotPrice!$G$10:$G$52="Default"),0)))</f>
        <v>11780</v>
      </c>
      <c r="N52" s="95">
        <f t="shared" si="1"/>
        <v>24870.595679999995</v>
      </c>
      <c r="O52" s="82" t="str">
        <f t="shared" si="0"/>
        <v>ARS000069|FG002|CK3-33372</v>
      </c>
    </row>
    <row r="53" spans="1:15" ht="15" customHeight="1" x14ac:dyDescent="0.3">
      <c r="A53" s="60" t="s">
        <v>704</v>
      </c>
      <c r="B53" s="60" t="s">
        <v>594</v>
      </c>
      <c r="C53" s="62">
        <v>46179</v>
      </c>
      <c r="D53" s="63" t="s">
        <v>320</v>
      </c>
      <c r="E53" s="66" t="str">
        <f>IFERROR(INDEX(M_User!$A$12:$J$67,MATCH(D53,M_User!$D$12:$D$67,0),3),"UNMAPPED")</f>
        <v>Doglas E. Shirima</v>
      </c>
      <c r="F53" s="65" t="str">
        <f>IFERROR(INDEX(M_User!$A$12:$J$67,MATCH(D53,M_User!$D$12:$D$67,0),5),"UNMAPPED")</f>
        <v>ARS</v>
      </c>
      <c r="G53" s="63" t="s">
        <v>701</v>
      </c>
      <c r="H53" s="69" t="s">
        <v>702</v>
      </c>
      <c r="I53" s="63" t="s">
        <v>181</v>
      </c>
      <c r="J53" s="66" t="str">
        <f>IFERROR(INDEX(M_SKU!$A$18:$J$57,MATCH(I53,M_SKU!$B$18:$B$57,0),1),"UNKNOWN SKU")</f>
        <v>Fanta Passion RGB 350ml</v>
      </c>
      <c r="K53" s="63" t="s">
        <v>598</v>
      </c>
      <c r="L53" s="276">
        <v>0.36030000000000001</v>
      </c>
      <c r="M53" s="91" cm="1">
        <f t="array" ref="M53">IFERROR(INDEX(M_DepotPrice!$C$10:$C$52,MATCH(1,(M_DepotPrice!$A$10:$A$52=I53)*(M_DepotPrice!$H$10:$H$52=IFERROR(INDEX(M_Depot!$A$7:$A$24,MATCH(F53,M_Depot!$B$7:$B$24,0)),""))*(M_DepotPrice!$G$10:$G$52="Special"),0)),INDEX(M_DepotPrice!$C$10:$C$52,MATCH(1,(M_DepotPrice!$A$10:$A$52=I53)*(M_DepotPrice!$G$10:$G$52="Default"),0)))</f>
        <v>11780</v>
      </c>
      <c r="N53" s="67">
        <f t="shared" si="1"/>
        <v>5008.3141199999991</v>
      </c>
      <c r="O53" s="66" t="str">
        <f t="shared" si="0"/>
        <v>ARS000069|FG003|CK3-33290</v>
      </c>
    </row>
    <row r="54" spans="1:15" ht="15" customHeight="1" x14ac:dyDescent="0.3">
      <c r="A54" s="70" t="s">
        <v>705</v>
      </c>
      <c r="B54" s="70" t="s">
        <v>594</v>
      </c>
      <c r="C54" s="72">
        <v>46179</v>
      </c>
      <c r="D54" s="73" t="s">
        <v>320</v>
      </c>
      <c r="E54" s="76" t="str">
        <f>IFERROR(INDEX(M_User!$A$12:$J$67,MATCH(D54,M_User!$D$12:$D$67,0),3),"UNMAPPED")</f>
        <v>Doglas E. Shirima</v>
      </c>
      <c r="F54" s="75" t="str">
        <f>IFERROR(INDEX(M_User!$A$12:$J$67,MATCH(D54,M_User!$D$12:$D$67,0),5),"UNMAPPED")</f>
        <v>ARS</v>
      </c>
      <c r="G54" s="73" t="s">
        <v>701</v>
      </c>
      <c r="H54" s="92" t="s">
        <v>702</v>
      </c>
      <c r="I54" s="73" t="s">
        <v>187</v>
      </c>
      <c r="J54" s="76" t="str">
        <f>IFERROR(INDEX(M_SKU!$A$18:$J$57,MATCH(I54,M_SKU!$B$18:$B$57,0),1),"UNKNOWN SKU")</f>
        <v>Sprite 350ml</v>
      </c>
      <c r="K54" s="73" t="s">
        <v>600</v>
      </c>
      <c r="L54" s="276">
        <v>0.25130000000000002</v>
      </c>
      <c r="M54" s="94" cm="1">
        <f t="array" ref="M54">IFERROR(INDEX(M_DepotPrice!$C$10:$C$52,MATCH(1,(M_DepotPrice!$A$10:$A$52=I54)*(M_DepotPrice!$H$10:$H$52=IFERROR(INDEX(M_Depot!$A$7:$A$24,MATCH(F54,M_Depot!$B$7:$B$24,0)),""))*(M_DepotPrice!$G$10:$G$52="Special"),0)),INDEX(M_DepotPrice!$C$10:$C$52,MATCH(1,(M_DepotPrice!$A$10:$A$52=I54)*(M_DepotPrice!$G$10:$G$52="Default"),0)))</f>
        <v>11780</v>
      </c>
      <c r="N54" s="95">
        <f t="shared" si="1"/>
        <v>3493.1705200000001</v>
      </c>
      <c r="O54" s="82" t="str">
        <f t="shared" si="0"/>
        <v>ARS000069|FG006|CK3-33306</v>
      </c>
    </row>
    <row r="55" spans="1:15" ht="15" customHeight="1" x14ac:dyDescent="0.3">
      <c r="A55" s="60" t="s">
        <v>706</v>
      </c>
      <c r="B55" s="60" t="s">
        <v>594</v>
      </c>
      <c r="C55" s="62">
        <v>46179</v>
      </c>
      <c r="D55" s="63" t="s">
        <v>320</v>
      </c>
      <c r="E55" s="66" t="str">
        <f>IFERROR(INDEX(M_User!$A$12:$J$67,MATCH(D55,M_User!$D$12:$D$67,0),3),"UNMAPPED")</f>
        <v>Doglas E. Shirima</v>
      </c>
      <c r="F55" s="65" t="str">
        <f>IFERROR(INDEX(M_User!$A$12:$J$67,MATCH(D55,M_User!$D$12:$D$67,0),5),"UNMAPPED")</f>
        <v>ARS</v>
      </c>
      <c r="G55" s="63" t="s">
        <v>701</v>
      </c>
      <c r="H55" s="69" t="s">
        <v>702</v>
      </c>
      <c r="I55" s="63" t="s">
        <v>196</v>
      </c>
      <c r="J55" s="66" t="str">
        <f>IFERROR(INDEX(M_SKU!$A$18:$J$57,MATCH(I55,M_SKU!$B$18:$B$57,0),1),"UNKNOWN SKU")</f>
        <v>Krest Bitter Lemon RGB 300ml</v>
      </c>
      <c r="K55" s="63" t="s">
        <v>538</v>
      </c>
      <c r="L55" s="276">
        <v>0.5736</v>
      </c>
      <c r="M55" s="91" cm="1">
        <f t="array" ref="M55">IFERROR(INDEX(M_DepotPrice!$C$10:$C$52,MATCH(1,(M_DepotPrice!$A$10:$A$52=I55)*(M_DepotPrice!$H$10:$H$52=IFERROR(INDEX(M_Depot!$A$7:$A$24,MATCH(F55,M_Depot!$B$7:$B$24,0)),""))*(M_DepotPrice!$G$10:$G$52="Special"),0)),INDEX(M_DepotPrice!$C$10:$C$52,MATCH(1,(M_DepotPrice!$A$10:$A$52=I55)*(M_DepotPrice!$G$10:$G$52="Default"),0)))</f>
        <v>11780</v>
      </c>
      <c r="N55" s="67">
        <f t="shared" si="1"/>
        <v>7973.2694399999991</v>
      </c>
      <c r="O55" s="66" t="str">
        <f t="shared" si="0"/>
        <v>ARS000069|FG009|CK3-33348</v>
      </c>
    </row>
    <row r="56" spans="1:15" ht="15" customHeight="1" x14ac:dyDescent="0.3">
      <c r="A56" s="70" t="s">
        <v>707</v>
      </c>
      <c r="B56" s="70" t="s">
        <v>594</v>
      </c>
      <c r="C56" s="72">
        <v>46179</v>
      </c>
      <c r="D56" s="73" t="s">
        <v>320</v>
      </c>
      <c r="E56" s="76" t="str">
        <f>IFERROR(INDEX(M_User!$A$12:$J$67,MATCH(D56,M_User!$D$12:$D$67,0),3),"UNMAPPED")</f>
        <v>Doglas E. Shirima</v>
      </c>
      <c r="F56" s="75" t="str">
        <f>IFERROR(INDEX(M_User!$A$12:$J$67,MATCH(D56,M_User!$D$12:$D$67,0),5),"UNMAPPED")</f>
        <v>ARS</v>
      </c>
      <c r="G56" s="73" t="s">
        <v>701</v>
      </c>
      <c r="H56" s="92" t="s">
        <v>702</v>
      </c>
      <c r="I56" s="73" t="s">
        <v>199</v>
      </c>
      <c r="J56" s="76" t="str">
        <f>IFERROR(INDEX(M_SKU!$A$18:$J$57,MATCH(I56,M_SKU!$B$18:$B$57,0),1),"UNKNOWN SKU")</f>
        <v>Krest Club Soda RGB 300ml</v>
      </c>
      <c r="K56" s="73" t="s">
        <v>539</v>
      </c>
      <c r="L56" s="276">
        <v>0.54959999999999998</v>
      </c>
      <c r="M56" s="94" cm="1">
        <f t="array" ref="M56">IFERROR(INDEX(M_DepotPrice!$C$10:$C$52,MATCH(1,(M_DepotPrice!$A$10:$A$52=I56)*(M_DepotPrice!$H$10:$H$52=IFERROR(INDEX(M_Depot!$A$7:$A$24,MATCH(F56,M_Depot!$B$7:$B$24,0)),""))*(M_DepotPrice!$G$10:$G$52="Special"),0)),INDEX(M_DepotPrice!$C$10:$C$52,MATCH(1,(M_DepotPrice!$A$10:$A$52=I56)*(M_DepotPrice!$G$10:$G$52="Default"),0)))</f>
        <v>11780</v>
      </c>
      <c r="N56" s="95">
        <f t="shared" si="1"/>
        <v>7639.6598399999993</v>
      </c>
      <c r="O56" s="82" t="str">
        <f t="shared" si="0"/>
        <v>ARS000069|FG010|CK3-33301</v>
      </c>
    </row>
    <row r="57" spans="1:15" ht="15" customHeight="1" x14ac:dyDescent="0.3">
      <c r="A57" s="60" t="s">
        <v>708</v>
      </c>
      <c r="B57" s="60" t="s">
        <v>594</v>
      </c>
      <c r="C57" s="62">
        <v>46179</v>
      </c>
      <c r="D57" s="63" t="s">
        <v>320</v>
      </c>
      <c r="E57" s="66" t="str">
        <f>IFERROR(INDEX(M_User!$A$12:$J$67,MATCH(D57,M_User!$D$12:$D$67,0),3),"UNMAPPED")</f>
        <v>Doglas E. Shirima</v>
      </c>
      <c r="F57" s="65" t="str">
        <f>IFERROR(INDEX(M_User!$A$12:$J$67,MATCH(D57,M_User!$D$12:$D$67,0),5),"UNMAPPED")</f>
        <v>ARS</v>
      </c>
      <c r="G57" s="63" t="s">
        <v>701</v>
      </c>
      <c r="H57" s="69" t="s">
        <v>702</v>
      </c>
      <c r="I57" s="63" t="s">
        <v>201</v>
      </c>
      <c r="J57" s="66" t="str">
        <f>IFERROR(INDEX(M_SKU!$A$18:$J$57,MATCH(I57,M_SKU!$B$18:$B$57,0),1),"UNKNOWN SKU")</f>
        <v>Krest Tonic Water RGB 300ml</v>
      </c>
      <c r="K57" s="63" t="s">
        <v>601</v>
      </c>
      <c r="L57" s="276">
        <v>0.44679999999999997</v>
      </c>
      <c r="M57" s="91" cm="1">
        <f t="array" ref="M57">IFERROR(INDEX(M_DepotPrice!$C$10:$C$52,MATCH(1,(M_DepotPrice!$A$10:$A$52=I57)*(M_DepotPrice!$H$10:$H$52=IFERROR(INDEX(M_Depot!$A$7:$A$24,MATCH(F57,M_Depot!$B$7:$B$24,0)),""))*(M_DepotPrice!$G$10:$G$52="Special"),0)),INDEX(M_DepotPrice!$C$10:$C$52,MATCH(1,(M_DepotPrice!$A$10:$A$52=I57)*(M_DepotPrice!$G$10:$G$52="Default"),0)))</f>
        <v>11780</v>
      </c>
      <c r="N57" s="67">
        <f t="shared" si="1"/>
        <v>6210.6987199999994</v>
      </c>
      <c r="O57" s="66" t="str">
        <f t="shared" si="0"/>
        <v>ARS000069|FG011|CK3-33237</v>
      </c>
    </row>
    <row r="58" spans="1:15" ht="15" customHeight="1" x14ac:dyDescent="0.3">
      <c r="A58" s="70" t="s">
        <v>709</v>
      </c>
      <c r="B58" s="70" t="s">
        <v>594</v>
      </c>
      <c r="C58" s="72">
        <v>46179</v>
      </c>
      <c r="D58" s="73" t="s">
        <v>320</v>
      </c>
      <c r="E58" s="76" t="str">
        <f>IFERROR(INDEX(M_User!$A$12:$J$67,MATCH(D58,M_User!$D$12:$D$67,0),3),"UNMAPPED")</f>
        <v>Doglas E. Shirima</v>
      </c>
      <c r="F58" s="75" t="str">
        <f>IFERROR(INDEX(M_User!$A$12:$J$67,MATCH(D58,M_User!$D$12:$D$67,0),5),"UNMAPPED")</f>
        <v>ARS</v>
      </c>
      <c r="G58" s="73" t="s">
        <v>701</v>
      </c>
      <c r="H58" s="92" t="s">
        <v>702</v>
      </c>
      <c r="I58" s="73" t="s">
        <v>203</v>
      </c>
      <c r="J58" s="76" t="str">
        <f>IFERROR(INDEX(M_SKU!$A$18:$J$57,MATCH(I58,M_SKU!$B$18:$B$57,0),1),"UNKNOWN SKU")</f>
        <v>Krest Ginger Ale RGB 300ml</v>
      </c>
      <c r="K58" s="73" t="s">
        <v>541</v>
      </c>
      <c r="L58" s="276">
        <v>0.31680000000000003</v>
      </c>
      <c r="M58" s="94" cm="1">
        <f t="array" ref="M58">IFERROR(INDEX(M_DepotPrice!$C$10:$C$52,MATCH(1,(M_DepotPrice!$A$10:$A$52=I58)*(M_DepotPrice!$H$10:$H$52=IFERROR(INDEX(M_Depot!$A$7:$A$24,MATCH(F58,M_Depot!$B$7:$B$24,0)),""))*(M_DepotPrice!$G$10:$G$52="Special"),0)),INDEX(M_DepotPrice!$C$10:$C$52,MATCH(1,(M_DepotPrice!$A$10:$A$52=I58)*(M_DepotPrice!$G$10:$G$52="Default"),0)))</f>
        <v>11780</v>
      </c>
      <c r="N58" s="95">
        <f t="shared" si="1"/>
        <v>4403.6467200000006</v>
      </c>
      <c r="O58" s="82" t="str">
        <f t="shared" si="0"/>
        <v>ARS000069|FG012|CK3-33126</v>
      </c>
    </row>
    <row r="59" spans="1:15" ht="15" customHeight="1" x14ac:dyDescent="0.3">
      <c r="A59" s="60" t="s">
        <v>710</v>
      </c>
      <c r="B59" s="60" t="s">
        <v>594</v>
      </c>
      <c r="C59" s="62">
        <v>46179</v>
      </c>
      <c r="D59" s="63" t="s">
        <v>320</v>
      </c>
      <c r="E59" s="66" t="str">
        <f>IFERROR(INDEX(M_User!$A$12:$J$67,MATCH(D59,M_User!$D$12:$D$67,0),3),"UNMAPPED")</f>
        <v>Doglas E. Shirima</v>
      </c>
      <c r="F59" s="65" t="str">
        <f>IFERROR(INDEX(M_User!$A$12:$J$67,MATCH(D59,M_User!$D$12:$D$67,0),5),"UNMAPPED")</f>
        <v>ARS</v>
      </c>
      <c r="G59" s="63" t="s">
        <v>701</v>
      </c>
      <c r="H59" s="69" t="s">
        <v>702</v>
      </c>
      <c r="I59" s="63" t="s">
        <v>217</v>
      </c>
      <c r="J59" s="66" t="str">
        <f>IFERROR(INDEX(M_SKU!$A$18:$J$57,MATCH(I59,M_SKU!$B$18:$B$57,0),1),"UNKNOWN SKU")</f>
        <v>KNMW 1500ml</v>
      </c>
      <c r="K59" s="63" t="s">
        <v>605</v>
      </c>
      <c r="L59" s="276">
        <v>10</v>
      </c>
      <c r="M59" s="91" cm="1">
        <f t="array" ref="M59">IFERROR(INDEX(M_DepotPrice!$C$10:$C$52,MATCH(1,(M_DepotPrice!$A$10:$A$52=I59)*(M_DepotPrice!$H$10:$H$52=IFERROR(INDEX(M_Depot!$A$7:$A$24,MATCH(F59,M_Depot!$B$7:$B$24,0)),""))*(M_DepotPrice!$G$10:$G$52="Special"),0)),INDEX(M_DepotPrice!$C$10:$C$52,MATCH(1,(M_DepotPrice!$A$10:$A$52=I59)*(M_DepotPrice!$G$10:$G$52="Default"),0)))</f>
        <v>3983</v>
      </c>
      <c r="N59" s="67">
        <f t="shared" si="1"/>
        <v>46999.399999999994</v>
      </c>
      <c r="O59" s="66" t="str">
        <f t="shared" si="0"/>
        <v>ARS000069|KD003|CK6-980</v>
      </c>
    </row>
    <row r="60" spans="1:15" ht="15" customHeight="1" x14ac:dyDescent="0.3">
      <c r="A60" s="70" t="s">
        <v>711</v>
      </c>
      <c r="B60" s="70" t="s">
        <v>594</v>
      </c>
      <c r="C60" s="72">
        <v>46179</v>
      </c>
      <c r="D60" s="73" t="s">
        <v>320</v>
      </c>
      <c r="E60" s="76" t="str">
        <f>IFERROR(INDEX(M_User!$A$12:$J$67,MATCH(D60,M_User!$D$12:$D$67,0),3),"UNMAPPED")</f>
        <v>Doglas E. Shirima</v>
      </c>
      <c r="F60" s="75" t="str">
        <f>IFERROR(INDEX(M_User!$A$12:$J$67,MATCH(D60,M_User!$D$12:$D$67,0),5),"UNMAPPED")</f>
        <v>ARS</v>
      </c>
      <c r="G60" s="73" t="s">
        <v>701</v>
      </c>
      <c r="H60" s="92" t="s">
        <v>702</v>
      </c>
      <c r="I60" s="73" t="s">
        <v>219</v>
      </c>
      <c r="J60" s="76" t="str">
        <f>IFERROR(INDEX(M_SKU!$A$18:$J$57,MATCH(I60,M_SKU!$B$18:$B$57,0),1),"UNKNOWN SKU")</f>
        <v>Kilimanjaro Drinking Water 6000 ML</v>
      </c>
      <c r="K60" s="73" t="s">
        <v>606</v>
      </c>
      <c r="L60" s="276">
        <v>8</v>
      </c>
      <c r="M60" s="94" cm="1">
        <f t="array" ref="M60">IFERROR(INDEX(M_DepotPrice!$C$10:$C$52,MATCH(1,(M_DepotPrice!$A$10:$A$52=I60)*(M_DepotPrice!$H$10:$H$52=IFERROR(INDEX(M_Depot!$A$7:$A$24,MATCH(F60,M_Depot!$B$7:$B$24,0)),""))*(M_DepotPrice!$G$10:$G$52="Special"),0)),INDEX(M_DepotPrice!$C$10:$C$52,MATCH(1,(M_DepotPrice!$A$10:$A$52=I60)*(M_DepotPrice!$G$10:$G$52="Default"),0)))</f>
        <v>2119</v>
      </c>
      <c r="N60" s="95">
        <f t="shared" si="1"/>
        <v>20003.36</v>
      </c>
      <c r="O60" s="82" t="str">
        <f t="shared" si="0"/>
        <v>ARS000069|KD004|CK7-895</v>
      </c>
    </row>
    <row r="61" spans="1:15" ht="15" customHeight="1" x14ac:dyDescent="0.3">
      <c r="A61" s="60" t="s">
        <v>712</v>
      </c>
      <c r="B61" s="60" t="s">
        <v>594</v>
      </c>
      <c r="C61" s="62">
        <v>46179</v>
      </c>
      <c r="D61" s="63" t="s">
        <v>320</v>
      </c>
      <c r="E61" s="66" t="str">
        <f>IFERROR(INDEX(M_User!$A$12:$J$67,MATCH(D61,M_User!$D$12:$D$67,0),3),"UNMAPPED")</f>
        <v>Doglas E. Shirima</v>
      </c>
      <c r="F61" s="65" t="str">
        <f>IFERROR(INDEX(M_User!$A$12:$J$67,MATCH(D61,M_User!$D$12:$D$67,0),5),"UNMAPPED")</f>
        <v>ARS</v>
      </c>
      <c r="G61" s="63" t="s">
        <v>701</v>
      </c>
      <c r="H61" s="69" t="s">
        <v>702</v>
      </c>
      <c r="I61" s="63" t="s">
        <v>222</v>
      </c>
      <c r="J61" s="66" t="str">
        <f>IFERROR(INDEX(M_SKU!$A$18:$J$57,MATCH(I61,M_SKU!$B$18:$B$57,0),1),"UNKNOWN SKU")</f>
        <v>Kilimanjaro Drinking Water 12000 ML</v>
      </c>
      <c r="K61" s="63" t="s">
        <v>607</v>
      </c>
      <c r="L61" s="276">
        <v>3</v>
      </c>
      <c r="M61" s="91" cm="1">
        <f t="array" ref="M61">IFERROR(INDEX(M_DepotPrice!$C$10:$C$52,MATCH(1,(M_DepotPrice!$A$10:$A$52=I61)*(M_DepotPrice!$H$10:$H$52=IFERROR(INDEX(M_Depot!$A$7:$A$24,MATCH(F61,M_Depot!$B$7:$B$24,0)),""))*(M_DepotPrice!$G$10:$G$52="Special"),0)),INDEX(M_DepotPrice!$C$10:$C$52,MATCH(1,(M_DepotPrice!$A$10:$A$52=I61)*(M_DepotPrice!$G$10:$G$52="Default"),0)))</f>
        <v>3559</v>
      </c>
      <c r="N61" s="67">
        <f t="shared" si="1"/>
        <v>12598.859999999999</v>
      </c>
      <c r="O61" s="66" t="str">
        <f t="shared" si="0"/>
        <v>ARS000069|KD005|CK7-909</v>
      </c>
    </row>
    <row r="62" spans="1:15" ht="15" customHeight="1" x14ac:dyDescent="0.3">
      <c r="A62" s="70" t="s">
        <v>713</v>
      </c>
      <c r="B62" s="70" t="s">
        <v>594</v>
      </c>
      <c r="C62" s="72">
        <v>46179</v>
      </c>
      <c r="D62" s="73" t="s">
        <v>320</v>
      </c>
      <c r="E62" s="76" t="str">
        <f>IFERROR(INDEX(M_User!$A$12:$J$67,MATCH(D62,M_User!$D$12:$D$67,0),3),"UNMAPPED")</f>
        <v>Doglas E. Shirima</v>
      </c>
      <c r="F62" s="75" t="str">
        <f>IFERROR(INDEX(M_User!$A$12:$J$67,MATCH(D62,M_User!$D$12:$D$67,0),5),"UNMAPPED")</f>
        <v>ARS</v>
      </c>
      <c r="G62" s="73" t="s">
        <v>701</v>
      </c>
      <c r="H62" s="92" t="s">
        <v>702</v>
      </c>
      <c r="I62" s="73" t="s">
        <v>222</v>
      </c>
      <c r="J62" s="76" t="str">
        <f>IFERROR(INDEX(M_SKU!$A$18:$J$57,MATCH(I62,M_SKU!$B$18:$B$57,0),1),"UNKNOWN SKU")</f>
        <v>Kilimanjaro Drinking Water 12000 ML</v>
      </c>
      <c r="K62" s="73" t="s">
        <v>566</v>
      </c>
      <c r="L62" s="276">
        <v>9</v>
      </c>
      <c r="M62" s="94" cm="1">
        <f t="array" ref="M62">IFERROR(INDEX(M_DepotPrice!$C$10:$C$52,MATCH(1,(M_DepotPrice!$A$10:$A$52=I62)*(M_DepotPrice!$H$10:$H$52=IFERROR(INDEX(M_Depot!$A$7:$A$24,MATCH(F62,M_Depot!$B$7:$B$24,0)),""))*(M_DepotPrice!$G$10:$G$52="Special"),0)),INDEX(M_DepotPrice!$C$10:$C$52,MATCH(1,(M_DepotPrice!$A$10:$A$52=I62)*(M_DepotPrice!$G$10:$G$52="Default"),0)))</f>
        <v>3559</v>
      </c>
      <c r="N62" s="95">
        <f t="shared" si="1"/>
        <v>37796.579999999994</v>
      </c>
      <c r="O62" s="82" t="str">
        <f t="shared" si="0"/>
        <v>ARS000069|KD005|CK7-913</v>
      </c>
    </row>
    <row r="63" spans="1:15" ht="15" customHeight="1" x14ac:dyDescent="0.3">
      <c r="A63" s="60" t="s">
        <v>714</v>
      </c>
      <c r="B63" s="60" t="s">
        <v>594</v>
      </c>
      <c r="C63" s="62">
        <v>46179</v>
      </c>
      <c r="D63" s="63" t="s">
        <v>320</v>
      </c>
      <c r="E63" s="66" t="str">
        <f>IFERROR(INDEX(M_User!$A$12:$J$67,MATCH(D63,M_User!$D$12:$D$67,0),3),"UNMAPPED")</f>
        <v>Doglas E. Shirima</v>
      </c>
      <c r="F63" s="65" t="str">
        <f>IFERROR(INDEX(M_User!$A$12:$J$67,MATCH(D63,M_User!$D$12:$D$67,0),5),"UNMAPPED")</f>
        <v>ARS</v>
      </c>
      <c r="G63" s="63" t="s">
        <v>701</v>
      </c>
      <c r="H63" s="69" t="s">
        <v>702</v>
      </c>
      <c r="I63" s="63" t="s">
        <v>225</v>
      </c>
      <c r="J63" s="66" t="str">
        <f>IFERROR(INDEX(M_SKU!$A$18:$J$57,MATCH(I63,M_SKU!$B$18:$B$57,0),1),"UNKNOWN SKU")</f>
        <v>Kilimanjaro Drinking Water 18900 ML</v>
      </c>
      <c r="K63" s="63" t="s">
        <v>608</v>
      </c>
      <c r="L63" s="276">
        <v>1</v>
      </c>
      <c r="M63" s="91" cm="1">
        <f t="array" ref="M63">IFERROR(INDEX(M_DepotPrice!$C$10:$C$52,MATCH(1,(M_DepotPrice!$A$10:$A$52=I63)*(M_DepotPrice!$H$10:$H$52=IFERROR(INDEX(M_Depot!$A$7:$A$24,MATCH(F63,M_Depot!$B$7:$B$24,0)),""))*(M_DepotPrice!$G$10:$G$52="Special"),0)),INDEX(M_DepotPrice!$C$10:$C$52,MATCH(1,(M_DepotPrice!$A$10:$A$52=I63)*(M_DepotPrice!$G$10:$G$52="Default"),0)))</f>
        <v>5932</v>
      </c>
      <c r="N63" s="67">
        <f t="shared" si="1"/>
        <v>6999.7599999999993</v>
      </c>
      <c r="O63" s="66" t="str">
        <f t="shared" si="0"/>
        <v>ARS000069|KD006|CK7-914</v>
      </c>
    </row>
    <row r="64" spans="1:15" ht="15" customHeight="1" x14ac:dyDescent="0.3">
      <c r="A64" s="70" t="s">
        <v>715</v>
      </c>
      <c r="B64" s="70" t="s">
        <v>594</v>
      </c>
      <c r="C64" s="72">
        <v>46179</v>
      </c>
      <c r="D64" s="73" t="s">
        <v>320</v>
      </c>
      <c r="E64" s="76" t="str">
        <f>IFERROR(INDEX(M_User!$A$12:$J$67,MATCH(D64,M_User!$D$12:$D$67,0),3),"UNMAPPED")</f>
        <v>Doglas E. Shirima</v>
      </c>
      <c r="F64" s="75" t="str">
        <f>IFERROR(INDEX(M_User!$A$12:$J$67,MATCH(D64,M_User!$D$12:$D$67,0),5),"UNMAPPED")</f>
        <v>ARS</v>
      </c>
      <c r="G64" s="73" t="s">
        <v>701</v>
      </c>
      <c r="H64" s="92" t="s">
        <v>702</v>
      </c>
      <c r="I64" s="73" t="s">
        <v>225</v>
      </c>
      <c r="J64" s="76" t="str">
        <f>IFERROR(INDEX(M_SKU!$A$18:$J$57,MATCH(I64,M_SKU!$B$18:$B$57,0),1),"UNKNOWN SKU")</f>
        <v>Kilimanjaro Drinking Water 18900 ML</v>
      </c>
      <c r="K64" s="73" t="s">
        <v>567</v>
      </c>
      <c r="L64" s="276">
        <v>11</v>
      </c>
      <c r="M64" s="94" cm="1">
        <f t="array" ref="M64">IFERROR(INDEX(M_DepotPrice!$C$10:$C$52,MATCH(1,(M_DepotPrice!$A$10:$A$52=I64)*(M_DepotPrice!$H$10:$H$52=IFERROR(INDEX(M_Depot!$A$7:$A$24,MATCH(F64,M_Depot!$B$7:$B$24,0)),""))*(M_DepotPrice!$G$10:$G$52="Special"),0)),INDEX(M_DepotPrice!$C$10:$C$52,MATCH(1,(M_DepotPrice!$A$10:$A$52=I64)*(M_DepotPrice!$G$10:$G$52="Default"),0)))</f>
        <v>5932</v>
      </c>
      <c r="N64" s="95">
        <f t="shared" si="1"/>
        <v>76997.36</v>
      </c>
      <c r="O64" s="82" t="str">
        <f t="shared" si="0"/>
        <v>ARS000069|KD006|CK7-915</v>
      </c>
    </row>
    <row r="65" spans="1:15" ht="15" customHeight="1" x14ac:dyDescent="0.3">
      <c r="A65" s="60" t="s">
        <v>716</v>
      </c>
      <c r="B65" s="60" t="s">
        <v>594</v>
      </c>
      <c r="C65" s="62">
        <v>46179</v>
      </c>
      <c r="D65" s="63" t="s">
        <v>320</v>
      </c>
      <c r="E65" s="66" t="str">
        <f>IFERROR(INDEX(M_User!$A$12:$J$67,MATCH(D65,M_User!$D$12:$D$67,0),3),"UNMAPPED")</f>
        <v>Doglas E. Shirima</v>
      </c>
      <c r="F65" s="65" t="str">
        <f>IFERROR(INDEX(M_User!$A$12:$J$67,MATCH(D65,M_User!$D$12:$D$67,0),5),"UNMAPPED")</f>
        <v>ARS</v>
      </c>
      <c r="G65" s="63" t="s">
        <v>701</v>
      </c>
      <c r="H65" s="69" t="s">
        <v>702</v>
      </c>
      <c r="I65" s="63" t="s">
        <v>227</v>
      </c>
      <c r="J65" s="66" t="str">
        <f>IFERROR(INDEX(M_SKU!$A$18:$J$57,MATCH(I65,M_SKU!$B$18:$B$57,0),1),"UNKNOWN SKU")</f>
        <v>KNMW 1000ml(6 Pack)</v>
      </c>
      <c r="K65" s="63" t="s">
        <v>609</v>
      </c>
      <c r="L65" s="276">
        <v>4</v>
      </c>
      <c r="M65" s="91" cm="1">
        <f t="array" ref="M65">IFERROR(INDEX(M_DepotPrice!$C$10:$C$52,MATCH(1,(M_DepotPrice!$A$10:$A$52=I65)*(M_DepotPrice!$H$10:$H$52=IFERROR(INDEX(M_Depot!$A$7:$A$24,MATCH(F65,M_Depot!$B$7:$B$24,0)),""))*(M_DepotPrice!$G$10:$G$52="Special"),0)),INDEX(M_DepotPrice!$C$10:$C$52,MATCH(1,(M_DepotPrice!$A$10:$A$52=I65)*(M_DepotPrice!$G$10:$G$52="Default"),0)))</f>
        <v>3178</v>
      </c>
      <c r="N65" s="67">
        <f t="shared" si="1"/>
        <v>15000.16</v>
      </c>
      <c r="O65" s="66" t="str">
        <f t="shared" si="0"/>
        <v>ARS000069|KD007|CK4-832</v>
      </c>
    </row>
    <row r="66" spans="1:15" ht="15" customHeight="1" x14ac:dyDescent="0.3">
      <c r="A66" s="70" t="s">
        <v>717</v>
      </c>
      <c r="B66" s="70" t="s">
        <v>594</v>
      </c>
      <c r="C66" s="72">
        <v>46179</v>
      </c>
      <c r="D66" s="73" t="s">
        <v>320</v>
      </c>
      <c r="E66" s="76" t="str">
        <f>IFERROR(INDEX(M_User!$A$12:$J$67,MATCH(D66,M_User!$D$12:$D$67,0),3),"UNMAPPED")</f>
        <v>Doglas E. Shirima</v>
      </c>
      <c r="F66" s="75" t="str">
        <f>IFERROR(INDEX(M_User!$A$12:$J$67,MATCH(D66,M_User!$D$12:$D$67,0),5),"UNMAPPED")</f>
        <v>ARS</v>
      </c>
      <c r="G66" s="73" t="s">
        <v>701</v>
      </c>
      <c r="H66" s="92" t="s">
        <v>702</v>
      </c>
      <c r="I66" s="73" t="s">
        <v>232</v>
      </c>
      <c r="J66" s="76" t="str">
        <f>IFERROR(INDEX(M_SKU!$A$18:$J$57,MATCH(I66,M_SKU!$B$18:$B$57,0),1),"UNKNOWN SKU")</f>
        <v>Sprite Pet 500ML (x 12)</v>
      </c>
      <c r="K66" s="73" t="s">
        <v>522</v>
      </c>
      <c r="L66" s="276">
        <v>3</v>
      </c>
      <c r="M66" s="94" cm="1">
        <f t="array" ref="M66">IFERROR(INDEX(M_DepotPrice!$C$10:$C$52,MATCH(1,(M_DepotPrice!$A$10:$A$52=I66)*(M_DepotPrice!$H$10:$H$52=IFERROR(INDEX(M_Depot!$A$7:$A$24,MATCH(F66,M_Depot!$B$7:$B$24,0)),""))*(M_DepotPrice!$G$10:$G$52="Special"),0)),INDEX(M_DepotPrice!$C$10:$C$52,MATCH(1,(M_DepotPrice!$A$10:$A$52=I66)*(M_DepotPrice!$G$10:$G$52="Default"),0)))</f>
        <v>8898</v>
      </c>
      <c r="N66" s="95">
        <f t="shared" si="1"/>
        <v>31498.92</v>
      </c>
      <c r="O66" s="82" t="str">
        <f t="shared" si="0"/>
        <v>ARS000069|PH002|CK6-33362</v>
      </c>
    </row>
    <row r="67" spans="1:15" ht="15" customHeight="1" x14ac:dyDescent="0.3">
      <c r="A67" s="60" t="s">
        <v>718</v>
      </c>
      <c r="B67" s="60" t="s">
        <v>594</v>
      </c>
      <c r="C67" s="62">
        <v>46179</v>
      </c>
      <c r="D67" s="63" t="s">
        <v>320</v>
      </c>
      <c r="E67" s="66" t="str">
        <f>IFERROR(INDEX(M_User!$A$12:$J$67,MATCH(D67,M_User!$D$12:$D$67,0),3),"UNMAPPED")</f>
        <v>Doglas E. Shirima</v>
      </c>
      <c r="F67" s="65" t="str">
        <f>IFERROR(INDEX(M_User!$A$12:$J$67,MATCH(D67,M_User!$D$12:$D$67,0),5),"UNMAPPED")</f>
        <v>ARS</v>
      </c>
      <c r="G67" s="63" t="s">
        <v>701</v>
      </c>
      <c r="H67" s="69" t="s">
        <v>702</v>
      </c>
      <c r="I67" s="63" t="s">
        <v>234</v>
      </c>
      <c r="J67" s="66" t="str">
        <f>IFERROR(INDEX(M_SKU!$A$18:$J$57,MATCH(I67,M_SKU!$B$18:$B$57,0),1),"UNKNOWN SKU")</f>
        <v>Fanta Orange Pet 500ML ( x 12)</v>
      </c>
      <c r="K67" s="63" t="s">
        <v>611</v>
      </c>
      <c r="L67" s="276">
        <v>3</v>
      </c>
      <c r="M67" s="91" cm="1">
        <f t="array" ref="M67">IFERROR(INDEX(M_DepotPrice!$C$10:$C$52,MATCH(1,(M_DepotPrice!$A$10:$A$52=I67)*(M_DepotPrice!$H$10:$H$52=IFERROR(INDEX(M_Depot!$A$7:$A$24,MATCH(F67,M_Depot!$B$7:$B$24,0)),""))*(M_DepotPrice!$G$10:$G$52="Special"),0)),INDEX(M_DepotPrice!$C$10:$C$52,MATCH(1,(M_DepotPrice!$A$10:$A$52=I67)*(M_DepotPrice!$G$10:$G$52="Default"),0)))</f>
        <v>8898</v>
      </c>
      <c r="N67" s="67">
        <f t="shared" si="1"/>
        <v>31498.92</v>
      </c>
      <c r="O67" s="66" t="str">
        <f t="shared" si="0"/>
        <v>ARS000069|PH003|CK5-33389</v>
      </c>
    </row>
    <row r="68" spans="1:15" ht="15" customHeight="1" x14ac:dyDescent="0.3">
      <c r="A68" s="70" t="s">
        <v>719</v>
      </c>
      <c r="B68" s="70" t="s">
        <v>594</v>
      </c>
      <c r="C68" s="72">
        <v>46179</v>
      </c>
      <c r="D68" s="73" t="s">
        <v>320</v>
      </c>
      <c r="E68" s="76" t="str">
        <f>IFERROR(INDEX(M_User!$A$12:$J$67,MATCH(D68,M_User!$D$12:$D$67,0),3),"UNMAPPED")</f>
        <v>Doglas E. Shirima</v>
      </c>
      <c r="F68" s="75" t="str">
        <f>IFERROR(INDEX(M_User!$A$12:$J$67,MATCH(D68,M_User!$D$12:$D$67,0),5),"UNMAPPED")</f>
        <v>ARS</v>
      </c>
      <c r="G68" s="73" t="s">
        <v>701</v>
      </c>
      <c r="H68" s="92" t="s">
        <v>702</v>
      </c>
      <c r="I68" s="73" t="s">
        <v>238</v>
      </c>
      <c r="J68" s="76" t="str">
        <f>IFERROR(INDEX(M_SKU!$A$18:$J$57,MATCH(I68,M_SKU!$B$18:$B$57,0),1),"UNKNOWN SKU")</f>
        <v>Fanta Pineapple Pet 500ml ( x12)</v>
      </c>
      <c r="K68" s="73" t="s">
        <v>613</v>
      </c>
      <c r="L68" s="276">
        <v>1</v>
      </c>
      <c r="M68" s="94" cm="1">
        <f t="array" ref="M68">IFERROR(INDEX(M_DepotPrice!$C$10:$C$52,MATCH(1,(M_DepotPrice!$A$10:$A$52=I68)*(M_DepotPrice!$H$10:$H$52=IFERROR(INDEX(M_Depot!$A$7:$A$24,MATCH(F68,M_Depot!$B$7:$B$24,0)),""))*(M_DepotPrice!$G$10:$G$52="Special"),0)),INDEX(M_DepotPrice!$C$10:$C$52,MATCH(1,(M_DepotPrice!$A$10:$A$52=I68)*(M_DepotPrice!$G$10:$G$52="Default"),0)))</f>
        <v>8898</v>
      </c>
      <c r="N68" s="95">
        <f t="shared" si="1"/>
        <v>10499.64</v>
      </c>
      <c r="O68" s="82" t="str">
        <f t="shared" si="0"/>
        <v>ARS000069|PH005|CK6-33392</v>
      </c>
    </row>
    <row r="69" spans="1:15" ht="15" customHeight="1" x14ac:dyDescent="0.3">
      <c r="A69" s="60" t="s">
        <v>720</v>
      </c>
      <c r="B69" s="60" t="s">
        <v>594</v>
      </c>
      <c r="C69" s="62">
        <v>46179</v>
      </c>
      <c r="D69" s="63" t="s">
        <v>320</v>
      </c>
      <c r="E69" s="66" t="str">
        <f>IFERROR(INDEX(M_User!$A$12:$J$67,MATCH(D69,M_User!$D$12:$D$67,0),3),"UNMAPPED")</f>
        <v>Doglas E. Shirima</v>
      </c>
      <c r="F69" s="65" t="str">
        <f>IFERROR(INDEX(M_User!$A$12:$J$67,MATCH(D69,M_User!$D$12:$D$67,0),5),"UNMAPPED")</f>
        <v>ARS</v>
      </c>
      <c r="G69" s="63" t="s">
        <v>701</v>
      </c>
      <c r="H69" s="69" t="s">
        <v>702</v>
      </c>
      <c r="I69" s="63" t="s">
        <v>242</v>
      </c>
      <c r="J69" s="66" t="str">
        <f>IFERROR(INDEX(M_SKU!$A$18:$J$57,MATCH(I69,M_SKU!$B$18:$B$57,0),1),"UNKNOWN SKU")</f>
        <v>Stoney Tangawizi Pet 500 ml ( x12)</v>
      </c>
      <c r="K69" s="63" t="s">
        <v>614</v>
      </c>
      <c r="L69" s="276">
        <v>3</v>
      </c>
      <c r="M69" s="91" cm="1">
        <f t="array" ref="M69">IFERROR(INDEX(M_DepotPrice!$C$10:$C$52,MATCH(1,(M_DepotPrice!$A$10:$A$52=I69)*(M_DepotPrice!$H$10:$H$52=IFERROR(INDEX(M_Depot!$A$7:$A$24,MATCH(F69,M_Depot!$B$7:$B$24,0)),""))*(M_DepotPrice!$G$10:$G$52="Special"),0)),INDEX(M_DepotPrice!$C$10:$C$52,MATCH(1,(M_DepotPrice!$A$10:$A$52=I69)*(M_DepotPrice!$G$10:$G$52="Default"),0)))</f>
        <v>8898</v>
      </c>
      <c r="N69" s="67">
        <f t="shared" si="1"/>
        <v>31498.92</v>
      </c>
      <c r="O69" s="66" t="str">
        <f t="shared" si="0"/>
        <v>ARS000069|PH007|CK6-33374</v>
      </c>
    </row>
    <row r="70" spans="1:15" ht="15" customHeight="1" x14ac:dyDescent="0.3">
      <c r="A70" s="70" t="s">
        <v>721</v>
      </c>
      <c r="B70" s="70" t="s">
        <v>594</v>
      </c>
      <c r="C70" s="72">
        <v>46179</v>
      </c>
      <c r="D70" s="73" t="s">
        <v>320</v>
      </c>
      <c r="E70" s="76" t="str">
        <f>IFERROR(INDEX(M_User!$A$12:$J$67,MATCH(D70,M_User!$D$12:$D$67,0),3),"UNMAPPED")</f>
        <v>Doglas E. Shirima</v>
      </c>
      <c r="F70" s="75" t="str">
        <f>IFERROR(INDEX(M_User!$A$12:$J$67,MATCH(D70,M_User!$D$12:$D$67,0),5),"UNMAPPED")</f>
        <v>ARS</v>
      </c>
      <c r="G70" s="73" t="s">
        <v>701</v>
      </c>
      <c r="H70" s="92" t="s">
        <v>702</v>
      </c>
      <c r="I70" s="73" t="s">
        <v>244</v>
      </c>
      <c r="J70" s="76" t="str">
        <f>IFERROR(INDEX(M_SKU!$A$18:$J$57,MATCH(I70,M_SKU!$B$18:$B$57,0),1),"UNKNOWN SKU")</f>
        <v>Sparletta Pinenut Pet 500 ml ( x12)</v>
      </c>
      <c r="K70" s="73" t="s">
        <v>615</v>
      </c>
      <c r="L70" s="276">
        <v>1</v>
      </c>
      <c r="M70" s="94" cm="1">
        <f t="array" ref="M70">IFERROR(INDEX(M_DepotPrice!$C$10:$C$52,MATCH(1,(M_DepotPrice!$A$10:$A$52=I70)*(M_DepotPrice!$H$10:$H$52=IFERROR(INDEX(M_Depot!$A$7:$A$24,MATCH(F70,M_Depot!$B$7:$B$24,0)),""))*(M_DepotPrice!$G$10:$G$52="Special"),0)),INDEX(M_DepotPrice!$C$10:$C$52,MATCH(1,(M_DepotPrice!$A$10:$A$52=I70)*(M_DepotPrice!$G$10:$G$52="Default"),0)))</f>
        <v>8898</v>
      </c>
      <c r="N70" s="95">
        <f t="shared" si="1"/>
        <v>10499.64</v>
      </c>
      <c r="O70" s="82" t="str">
        <f t="shared" si="0"/>
        <v>ARS000069|PH008|CK5-33325</v>
      </c>
    </row>
    <row r="71" spans="1:15" ht="15" customHeight="1" x14ac:dyDescent="0.3">
      <c r="A71" s="60" t="s">
        <v>722</v>
      </c>
      <c r="B71" s="60" t="s">
        <v>594</v>
      </c>
      <c r="C71" s="62">
        <v>46179</v>
      </c>
      <c r="D71" s="63" t="s">
        <v>320</v>
      </c>
      <c r="E71" s="66" t="str">
        <f>IFERROR(INDEX(M_User!$A$12:$J$67,MATCH(D71,M_User!$D$12:$D$67,0),3),"UNMAPPED")</f>
        <v>Doglas E. Shirima</v>
      </c>
      <c r="F71" s="65" t="str">
        <f>IFERROR(INDEX(M_User!$A$12:$J$67,MATCH(D71,M_User!$D$12:$D$67,0),5),"UNMAPPED")</f>
        <v>ARS</v>
      </c>
      <c r="G71" s="63" t="s">
        <v>701</v>
      </c>
      <c r="H71" s="69" t="s">
        <v>702</v>
      </c>
      <c r="I71" s="63" t="s">
        <v>248</v>
      </c>
      <c r="J71" s="66" t="str">
        <f>IFERROR(INDEX(M_SKU!$A$18:$J$57,MATCH(I71,M_SKU!$B$18:$B$57,0),1),"UNKNOWN SKU")</f>
        <v>Coke Pet 300ML(x 12)</v>
      </c>
      <c r="K71" s="63" t="s">
        <v>617</v>
      </c>
      <c r="L71" s="276">
        <v>4</v>
      </c>
      <c r="M71" s="91" cm="1">
        <f t="array" ref="M71">IFERROR(INDEX(M_DepotPrice!$C$10:$C$52,MATCH(1,(M_DepotPrice!$A$10:$A$52=I71)*(M_DepotPrice!$H$10:$H$52=IFERROR(INDEX(M_Depot!$A$7:$A$24,MATCH(F71,M_Depot!$B$7:$B$24,0)),""))*(M_DepotPrice!$G$10:$G$52="Special"),0)),INDEX(M_DepotPrice!$C$10:$C$52,MATCH(1,(M_DepotPrice!$A$10:$A$52=I71)*(M_DepotPrice!$G$10:$G$52="Default"),0)))</f>
        <v>5085</v>
      </c>
      <c r="N71" s="67">
        <f t="shared" si="1"/>
        <v>24001.199999999997</v>
      </c>
      <c r="O71" s="66" t="str">
        <f t="shared" si="0"/>
        <v>ARS000069|PO008|CK5-33386</v>
      </c>
    </row>
    <row r="72" spans="1:15" ht="15" customHeight="1" x14ac:dyDescent="0.3">
      <c r="A72" s="70" t="s">
        <v>723</v>
      </c>
      <c r="B72" s="70" t="s">
        <v>594</v>
      </c>
      <c r="C72" s="72">
        <v>46179</v>
      </c>
      <c r="D72" s="73" t="s">
        <v>320</v>
      </c>
      <c r="E72" s="76" t="str">
        <f>IFERROR(INDEX(M_User!$A$12:$J$67,MATCH(D72,M_User!$D$12:$D$67,0),3),"UNMAPPED")</f>
        <v>Doglas E. Shirima</v>
      </c>
      <c r="F72" s="75" t="str">
        <f>IFERROR(INDEX(M_User!$A$12:$J$67,MATCH(D72,M_User!$D$12:$D$67,0),5),"UNMAPPED")</f>
        <v>ARS</v>
      </c>
      <c r="G72" s="73" t="s">
        <v>701</v>
      </c>
      <c r="H72" s="92" t="s">
        <v>702</v>
      </c>
      <c r="I72" s="73" t="s">
        <v>261</v>
      </c>
      <c r="J72" s="76" t="str">
        <f>IFERROR(INDEX(M_SKU!$A$18:$J$57,MATCH(I72,M_SKU!$B$18:$B$57,0),1),"UNKNOWN SKU")</f>
        <v>Sparletta Pine Apple Pet 300ML (x 12)</v>
      </c>
      <c r="K72" s="73" t="s">
        <v>547</v>
      </c>
      <c r="L72" s="276">
        <v>1</v>
      </c>
      <c r="M72" s="94" cm="1">
        <f t="array" ref="M72">IFERROR(INDEX(M_DepotPrice!$C$10:$C$52,MATCH(1,(M_DepotPrice!$A$10:$A$52=I72)*(M_DepotPrice!$H$10:$H$52=IFERROR(INDEX(M_Depot!$A$7:$A$24,MATCH(F72,M_Depot!$B$7:$B$24,0)),""))*(M_DepotPrice!$G$10:$G$52="Special"),0)),INDEX(M_DepotPrice!$C$10:$C$52,MATCH(1,(M_DepotPrice!$A$10:$A$52=I72)*(M_DepotPrice!$G$10:$G$52="Default"),0)))</f>
        <v>5085</v>
      </c>
      <c r="N72" s="95">
        <f t="shared" si="1"/>
        <v>6000.2999999999993</v>
      </c>
      <c r="O72" s="82" t="str">
        <f t="shared" si="0"/>
        <v>ARS000069|PO015|CK5-33366</v>
      </c>
    </row>
    <row r="73" spans="1:15" ht="15" customHeight="1" x14ac:dyDescent="0.3">
      <c r="A73" s="60" t="s">
        <v>724</v>
      </c>
      <c r="B73" s="60" t="s">
        <v>594</v>
      </c>
      <c r="C73" s="62">
        <v>46179</v>
      </c>
      <c r="D73" s="63" t="s">
        <v>320</v>
      </c>
      <c r="E73" s="66" t="str">
        <f>IFERROR(INDEX(M_User!$A$12:$J$67,MATCH(D73,M_User!$D$12:$D$67,0),3),"UNMAPPED")</f>
        <v>Doglas E. Shirima</v>
      </c>
      <c r="F73" s="65" t="str">
        <f>IFERROR(INDEX(M_User!$A$12:$J$67,MATCH(D73,M_User!$D$12:$D$67,0),5),"UNMAPPED")</f>
        <v>ARS</v>
      </c>
      <c r="G73" s="63" t="s">
        <v>725</v>
      </c>
      <c r="H73" s="69" t="s">
        <v>726</v>
      </c>
      <c r="I73" s="63" t="s">
        <v>178</v>
      </c>
      <c r="J73" s="66" t="str">
        <f>IFERROR(INDEX(M_SKU!$A$18:$J$57,MATCH(I73,M_SKU!$B$18:$B$57,0),1),"UNKNOWN SKU")</f>
        <v>Fanta Orange RGB 350ml</v>
      </c>
      <c r="K73" s="63" t="s">
        <v>597</v>
      </c>
      <c r="L73" s="276">
        <v>2.1943374293718398</v>
      </c>
      <c r="M73" s="91" cm="1">
        <f t="array" ref="M73">IFERROR(INDEX(M_DepotPrice!$C$10:$C$52,MATCH(1,(M_DepotPrice!$A$10:$A$52=I73)*(M_DepotPrice!$H$10:$H$52=IFERROR(INDEX(M_Depot!$A$7:$A$24,MATCH(F73,M_Depot!$B$7:$B$24,0)),""))*(M_DepotPrice!$G$10:$G$52="Special"),0)),INDEX(M_DepotPrice!$C$10:$C$52,MATCH(1,(M_DepotPrice!$A$10:$A$52=I73)*(M_DepotPrice!$G$10:$G$52="Default"),0)))</f>
        <v>11780</v>
      </c>
      <c r="N73" s="67">
        <f t="shared" si="1"/>
        <v>30502.16800324032</v>
      </c>
      <c r="O73" s="66" t="str">
        <f t="shared" ref="O73:O136" si="2">D73 &amp; "|" &amp; I73 &amp; "|" &amp; K73</f>
        <v>ARS000069|FG002|CK3-33372</v>
      </c>
    </row>
    <row r="74" spans="1:15" ht="15" customHeight="1" x14ac:dyDescent="0.3">
      <c r="A74" s="70" t="s">
        <v>727</v>
      </c>
      <c r="B74" s="70" t="s">
        <v>594</v>
      </c>
      <c r="C74" s="72">
        <v>46179</v>
      </c>
      <c r="D74" s="73" t="s">
        <v>320</v>
      </c>
      <c r="E74" s="76" t="str">
        <f>IFERROR(INDEX(M_User!$A$12:$J$67,MATCH(D74,M_User!$D$12:$D$67,0),3),"UNMAPPED")</f>
        <v>Doglas E. Shirima</v>
      </c>
      <c r="F74" s="75" t="str">
        <f>IFERROR(INDEX(M_User!$A$12:$J$67,MATCH(D74,M_User!$D$12:$D$67,0),5),"UNMAPPED")</f>
        <v>ARS</v>
      </c>
      <c r="G74" s="73" t="s">
        <v>725</v>
      </c>
      <c r="H74" s="92" t="s">
        <v>726</v>
      </c>
      <c r="I74" s="73" t="s">
        <v>181</v>
      </c>
      <c r="J74" s="76" t="str">
        <f>IFERROR(INDEX(M_SKU!$A$18:$J$57,MATCH(I74,M_SKU!$B$18:$B$57,0),1),"UNKNOWN SKU")</f>
        <v>Fanta Passion RGB 350ml</v>
      </c>
      <c r="K74" s="73" t="s">
        <v>598</v>
      </c>
      <c r="L74" s="276">
        <v>0.54649999999999999</v>
      </c>
      <c r="M74" s="94" cm="1">
        <f t="array" ref="M74">IFERROR(INDEX(M_DepotPrice!$C$10:$C$52,MATCH(1,(M_DepotPrice!$A$10:$A$52=I74)*(M_DepotPrice!$H$10:$H$52=IFERROR(INDEX(M_Depot!$A$7:$A$24,MATCH(F74,M_Depot!$B$7:$B$24,0)),""))*(M_DepotPrice!$G$10:$G$52="Special"),0)),INDEX(M_DepotPrice!$C$10:$C$52,MATCH(1,(M_DepotPrice!$A$10:$A$52=I74)*(M_DepotPrice!$G$10:$G$52="Default"),0)))</f>
        <v>11780</v>
      </c>
      <c r="N74" s="95">
        <f t="shared" ref="N74:N137" si="3">(L74*M74)*1.18</f>
        <v>7596.5685999999987</v>
      </c>
      <c r="O74" s="82" t="str">
        <f t="shared" si="2"/>
        <v>ARS000069|FG003|CK3-33290</v>
      </c>
    </row>
    <row r="75" spans="1:15" ht="15" customHeight="1" x14ac:dyDescent="0.3">
      <c r="A75" s="60" t="s">
        <v>728</v>
      </c>
      <c r="B75" s="60" t="s">
        <v>594</v>
      </c>
      <c r="C75" s="62">
        <v>46179</v>
      </c>
      <c r="D75" s="63" t="s">
        <v>320</v>
      </c>
      <c r="E75" s="66" t="str">
        <f>IFERROR(INDEX(M_User!$A$12:$J$67,MATCH(D75,M_User!$D$12:$D$67,0),3),"UNMAPPED")</f>
        <v>Doglas E. Shirima</v>
      </c>
      <c r="F75" s="65" t="str">
        <f>IFERROR(INDEX(M_User!$A$12:$J$67,MATCH(D75,M_User!$D$12:$D$67,0),5),"UNMAPPED")</f>
        <v>ARS</v>
      </c>
      <c r="G75" s="63" t="s">
        <v>725</v>
      </c>
      <c r="H75" s="69" t="s">
        <v>726</v>
      </c>
      <c r="I75" s="63" t="s">
        <v>183</v>
      </c>
      <c r="J75" s="66" t="str">
        <f>IFERROR(INDEX(M_SKU!$A$18:$J$57,MATCH(I75,M_SKU!$B$18:$B$57,0),1),"UNKNOWN SKU")</f>
        <v>Fanta Pineapple RGB 350ml</v>
      </c>
      <c r="K75" s="63" t="s">
        <v>599</v>
      </c>
      <c r="L75" s="276">
        <v>0.95579999999999998</v>
      </c>
      <c r="M75" s="91" cm="1">
        <f t="array" ref="M75">IFERROR(INDEX(M_DepotPrice!$C$10:$C$52,MATCH(1,(M_DepotPrice!$A$10:$A$52=I75)*(M_DepotPrice!$H$10:$H$52=IFERROR(INDEX(M_Depot!$A$7:$A$24,MATCH(F75,M_Depot!$B$7:$B$24,0)),""))*(M_DepotPrice!$G$10:$G$52="Special"),0)),INDEX(M_DepotPrice!$C$10:$C$52,MATCH(1,(M_DepotPrice!$A$10:$A$52=I75)*(M_DepotPrice!$G$10:$G$52="Default"),0)))</f>
        <v>11780</v>
      </c>
      <c r="N75" s="67">
        <f t="shared" si="3"/>
        <v>13286.00232</v>
      </c>
      <c r="O75" s="66" t="str">
        <f t="shared" si="2"/>
        <v>ARS000069|FG004|CK5-33354</v>
      </c>
    </row>
    <row r="76" spans="1:15" ht="15" customHeight="1" x14ac:dyDescent="0.3">
      <c r="A76" s="70" t="s">
        <v>729</v>
      </c>
      <c r="B76" s="70" t="s">
        <v>594</v>
      </c>
      <c r="C76" s="72">
        <v>46179</v>
      </c>
      <c r="D76" s="73" t="s">
        <v>320</v>
      </c>
      <c r="E76" s="76" t="str">
        <f>IFERROR(INDEX(M_User!$A$12:$J$67,MATCH(D76,M_User!$D$12:$D$67,0),3),"UNMAPPED")</f>
        <v>Doglas E. Shirima</v>
      </c>
      <c r="F76" s="75" t="str">
        <f>IFERROR(INDEX(M_User!$A$12:$J$67,MATCH(D76,M_User!$D$12:$D$67,0),5),"UNMAPPED")</f>
        <v>ARS</v>
      </c>
      <c r="G76" s="73" t="s">
        <v>725</v>
      </c>
      <c r="H76" s="92" t="s">
        <v>726</v>
      </c>
      <c r="I76" s="73" t="s">
        <v>187</v>
      </c>
      <c r="J76" s="76" t="str">
        <f>IFERROR(INDEX(M_SKU!$A$18:$J$57,MATCH(I76,M_SKU!$B$18:$B$57,0),1),"UNKNOWN SKU")</f>
        <v>Sprite 350ml</v>
      </c>
      <c r="K76" s="73" t="s">
        <v>600</v>
      </c>
      <c r="L76" s="276">
        <v>0.61580000000000001</v>
      </c>
      <c r="M76" s="94" cm="1">
        <f t="array" ref="M76">IFERROR(INDEX(M_DepotPrice!$C$10:$C$52,MATCH(1,(M_DepotPrice!$A$10:$A$52=I76)*(M_DepotPrice!$H$10:$H$52=IFERROR(INDEX(M_Depot!$A$7:$A$24,MATCH(F76,M_Depot!$B$7:$B$24,0)),""))*(M_DepotPrice!$G$10:$G$52="Special"),0)),INDEX(M_DepotPrice!$C$10:$C$52,MATCH(1,(M_DepotPrice!$A$10:$A$52=I76)*(M_DepotPrice!$G$10:$G$52="Default"),0)))</f>
        <v>11780</v>
      </c>
      <c r="N76" s="95">
        <f t="shared" si="3"/>
        <v>8559.8663199999992</v>
      </c>
      <c r="O76" s="82" t="str">
        <f t="shared" si="2"/>
        <v>ARS000069|FG006|CK3-33306</v>
      </c>
    </row>
    <row r="77" spans="1:15" ht="15" customHeight="1" x14ac:dyDescent="0.3">
      <c r="A77" s="60" t="s">
        <v>730</v>
      </c>
      <c r="B77" s="60" t="s">
        <v>594</v>
      </c>
      <c r="C77" s="62">
        <v>46179</v>
      </c>
      <c r="D77" s="63" t="s">
        <v>320</v>
      </c>
      <c r="E77" s="66" t="str">
        <f>IFERROR(INDEX(M_User!$A$12:$J$67,MATCH(D77,M_User!$D$12:$D$67,0),3),"UNMAPPED")</f>
        <v>Doglas E. Shirima</v>
      </c>
      <c r="F77" s="65" t="str">
        <f>IFERROR(INDEX(M_User!$A$12:$J$67,MATCH(D77,M_User!$D$12:$D$67,0),5),"UNMAPPED")</f>
        <v>ARS</v>
      </c>
      <c r="G77" s="63" t="s">
        <v>725</v>
      </c>
      <c r="H77" s="69" t="s">
        <v>726</v>
      </c>
      <c r="I77" s="63" t="s">
        <v>199</v>
      </c>
      <c r="J77" s="66" t="str">
        <f>IFERROR(INDEX(M_SKU!$A$18:$J$57,MATCH(I77,M_SKU!$B$18:$B$57,0),1),"UNKNOWN SKU")</f>
        <v>Krest Club Soda RGB 300ml</v>
      </c>
      <c r="K77" s="63" t="s">
        <v>539</v>
      </c>
      <c r="L77" s="276">
        <v>0.39950000000000002</v>
      </c>
      <c r="M77" s="91" cm="1">
        <f t="array" ref="M77">IFERROR(INDEX(M_DepotPrice!$C$10:$C$52,MATCH(1,(M_DepotPrice!$A$10:$A$52=I77)*(M_DepotPrice!$H$10:$H$52=IFERROR(INDEX(M_Depot!$A$7:$A$24,MATCH(F77,M_Depot!$B$7:$B$24,0)),""))*(M_DepotPrice!$G$10:$G$52="Special"),0)),INDEX(M_DepotPrice!$C$10:$C$52,MATCH(1,(M_DepotPrice!$A$10:$A$52=I77)*(M_DepotPrice!$G$10:$G$52="Default"),0)))</f>
        <v>11780</v>
      </c>
      <c r="N77" s="67">
        <f t="shared" si="3"/>
        <v>5553.2098000000005</v>
      </c>
      <c r="O77" s="66" t="str">
        <f t="shared" si="2"/>
        <v>ARS000069|FG010|CK3-33301</v>
      </c>
    </row>
    <row r="78" spans="1:15" ht="15" customHeight="1" x14ac:dyDescent="0.3">
      <c r="A78" s="70" t="s">
        <v>731</v>
      </c>
      <c r="B78" s="70" t="s">
        <v>594</v>
      </c>
      <c r="C78" s="72">
        <v>46179</v>
      </c>
      <c r="D78" s="73" t="s">
        <v>320</v>
      </c>
      <c r="E78" s="76" t="str">
        <f>IFERROR(INDEX(M_User!$A$12:$J$67,MATCH(D78,M_User!$D$12:$D$67,0),3),"UNMAPPED")</f>
        <v>Doglas E. Shirima</v>
      </c>
      <c r="F78" s="75" t="str">
        <f>IFERROR(INDEX(M_User!$A$12:$J$67,MATCH(D78,M_User!$D$12:$D$67,0),5),"UNMAPPED")</f>
        <v>ARS</v>
      </c>
      <c r="G78" s="73" t="s">
        <v>725</v>
      </c>
      <c r="H78" s="92" t="s">
        <v>726</v>
      </c>
      <c r="I78" s="73" t="s">
        <v>201</v>
      </c>
      <c r="J78" s="76" t="str">
        <f>IFERROR(INDEX(M_SKU!$A$18:$J$57,MATCH(I78,M_SKU!$B$18:$B$57,0),1),"UNKNOWN SKU")</f>
        <v>Krest Tonic Water RGB 300ml</v>
      </c>
      <c r="K78" s="73" t="s">
        <v>601</v>
      </c>
      <c r="L78" s="276">
        <v>0.62649999999999995</v>
      </c>
      <c r="M78" s="94" cm="1">
        <f t="array" ref="M78">IFERROR(INDEX(M_DepotPrice!$C$10:$C$52,MATCH(1,(M_DepotPrice!$A$10:$A$52=I78)*(M_DepotPrice!$H$10:$H$52=IFERROR(INDEX(M_Depot!$A$7:$A$24,MATCH(F78,M_Depot!$B$7:$B$24,0)),""))*(M_DepotPrice!$G$10:$G$52="Special"),0)),INDEX(M_DepotPrice!$C$10:$C$52,MATCH(1,(M_DepotPrice!$A$10:$A$52=I78)*(M_DepotPrice!$G$10:$G$52="Default"),0)))</f>
        <v>11780</v>
      </c>
      <c r="N78" s="95">
        <f t="shared" si="3"/>
        <v>8708.6005999999979</v>
      </c>
      <c r="O78" s="82" t="str">
        <f t="shared" si="2"/>
        <v>ARS000069|FG011|CK3-33237</v>
      </c>
    </row>
    <row r="79" spans="1:15" ht="15" customHeight="1" x14ac:dyDescent="0.3">
      <c r="A79" s="60" t="s">
        <v>732</v>
      </c>
      <c r="B79" s="60" t="s">
        <v>594</v>
      </c>
      <c r="C79" s="62">
        <v>46179</v>
      </c>
      <c r="D79" s="63" t="s">
        <v>320</v>
      </c>
      <c r="E79" s="66" t="str">
        <f>IFERROR(INDEX(M_User!$A$12:$J$67,MATCH(D79,M_User!$D$12:$D$67,0),3),"UNMAPPED")</f>
        <v>Doglas E. Shirima</v>
      </c>
      <c r="F79" s="65" t="str">
        <f>IFERROR(INDEX(M_User!$A$12:$J$67,MATCH(D79,M_User!$D$12:$D$67,0),5),"UNMAPPED")</f>
        <v>ARS</v>
      </c>
      <c r="G79" s="63" t="s">
        <v>725</v>
      </c>
      <c r="H79" s="69" t="s">
        <v>726</v>
      </c>
      <c r="I79" s="63" t="s">
        <v>211</v>
      </c>
      <c r="J79" s="66" t="str">
        <f>IFERROR(INDEX(M_SKU!$A$18:$J$57,MATCH(I79,M_SKU!$B$18:$B$57,0),1),"UNKNOWN SKU")</f>
        <v>KNMW 500ml</v>
      </c>
      <c r="K79" s="63" t="s">
        <v>603</v>
      </c>
      <c r="L79" s="276">
        <v>27</v>
      </c>
      <c r="M79" s="91" cm="1">
        <f t="array" ref="M79">IFERROR(INDEX(M_DepotPrice!$C$10:$C$52,MATCH(1,(M_DepotPrice!$A$10:$A$52=I79)*(M_DepotPrice!$H$10:$H$52=IFERROR(INDEX(M_Depot!$A$7:$A$24,MATCH(F79,M_Depot!$B$7:$B$24,0)),""))*(M_DepotPrice!$G$10:$G$52="Special"),0)),INDEX(M_DepotPrice!$C$10:$C$52,MATCH(1,(M_DepotPrice!$A$10:$A$52=I79)*(M_DepotPrice!$G$10:$G$52="Default"),0)))</f>
        <v>3559</v>
      </c>
      <c r="N79" s="67">
        <f t="shared" si="3"/>
        <v>113389.73999999999</v>
      </c>
      <c r="O79" s="66" t="str">
        <f t="shared" si="2"/>
        <v>ARS000069|KD001|CK6-978</v>
      </c>
    </row>
    <row r="80" spans="1:15" ht="15" customHeight="1" x14ac:dyDescent="0.3">
      <c r="A80" s="70" t="s">
        <v>733</v>
      </c>
      <c r="B80" s="70" t="s">
        <v>594</v>
      </c>
      <c r="C80" s="72">
        <v>46179</v>
      </c>
      <c r="D80" s="73" t="s">
        <v>320</v>
      </c>
      <c r="E80" s="76" t="str">
        <f>IFERROR(INDEX(M_User!$A$12:$J$67,MATCH(D80,M_User!$D$12:$D$67,0),3),"UNMAPPED")</f>
        <v>Doglas E. Shirima</v>
      </c>
      <c r="F80" s="75" t="str">
        <f>IFERROR(INDEX(M_User!$A$12:$J$67,MATCH(D80,M_User!$D$12:$D$67,0),5),"UNMAPPED")</f>
        <v>ARS</v>
      </c>
      <c r="G80" s="73" t="s">
        <v>725</v>
      </c>
      <c r="H80" s="92" t="s">
        <v>726</v>
      </c>
      <c r="I80" s="73" t="s">
        <v>217</v>
      </c>
      <c r="J80" s="76" t="str">
        <f>IFERROR(INDEX(M_SKU!$A$18:$J$57,MATCH(I80,M_SKU!$B$18:$B$57,0),1),"UNKNOWN SKU")</f>
        <v>KNMW 1500ml</v>
      </c>
      <c r="K80" s="73" t="s">
        <v>605</v>
      </c>
      <c r="L80" s="276">
        <v>6</v>
      </c>
      <c r="M80" s="94" cm="1">
        <f t="array" ref="M80">IFERROR(INDEX(M_DepotPrice!$C$10:$C$52,MATCH(1,(M_DepotPrice!$A$10:$A$52=I80)*(M_DepotPrice!$H$10:$H$52=IFERROR(INDEX(M_Depot!$A$7:$A$24,MATCH(F80,M_Depot!$B$7:$B$24,0)),""))*(M_DepotPrice!$G$10:$G$52="Special"),0)),INDEX(M_DepotPrice!$C$10:$C$52,MATCH(1,(M_DepotPrice!$A$10:$A$52=I80)*(M_DepotPrice!$G$10:$G$52="Default"),0)))</f>
        <v>3983</v>
      </c>
      <c r="N80" s="95">
        <f t="shared" si="3"/>
        <v>28199.64</v>
      </c>
      <c r="O80" s="82" t="str">
        <f t="shared" si="2"/>
        <v>ARS000069|KD003|CK6-980</v>
      </c>
    </row>
    <row r="81" spans="1:15" ht="15" customHeight="1" x14ac:dyDescent="0.3">
      <c r="A81" s="60" t="s">
        <v>734</v>
      </c>
      <c r="B81" s="60" t="s">
        <v>594</v>
      </c>
      <c r="C81" s="62">
        <v>46179</v>
      </c>
      <c r="D81" s="63" t="s">
        <v>320</v>
      </c>
      <c r="E81" s="66" t="str">
        <f>IFERROR(INDEX(M_User!$A$12:$J$67,MATCH(D81,M_User!$D$12:$D$67,0),3),"UNMAPPED")</f>
        <v>Doglas E. Shirima</v>
      </c>
      <c r="F81" s="65" t="str">
        <f>IFERROR(INDEX(M_User!$A$12:$J$67,MATCH(D81,M_User!$D$12:$D$67,0),5),"UNMAPPED")</f>
        <v>ARS</v>
      </c>
      <c r="G81" s="63" t="s">
        <v>725</v>
      </c>
      <c r="H81" s="69" t="s">
        <v>726</v>
      </c>
      <c r="I81" s="63" t="s">
        <v>219</v>
      </c>
      <c r="J81" s="66" t="str">
        <f>IFERROR(INDEX(M_SKU!$A$18:$J$57,MATCH(I81,M_SKU!$B$18:$B$57,0),1),"UNKNOWN SKU")</f>
        <v>Kilimanjaro Drinking Water 6000 ML</v>
      </c>
      <c r="K81" s="63" t="s">
        <v>606</v>
      </c>
      <c r="L81" s="276">
        <v>7</v>
      </c>
      <c r="M81" s="91" cm="1">
        <f t="array" ref="M81">IFERROR(INDEX(M_DepotPrice!$C$10:$C$52,MATCH(1,(M_DepotPrice!$A$10:$A$52=I81)*(M_DepotPrice!$H$10:$H$52=IFERROR(INDEX(M_Depot!$A$7:$A$24,MATCH(F81,M_Depot!$B$7:$B$24,0)),""))*(M_DepotPrice!$G$10:$G$52="Special"),0)),INDEX(M_DepotPrice!$C$10:$C$52,MATCH(1,(M_DepotPrice!$A$10:$A$52=I81)*(M_DepotPrice!$G$10:$G$52="Default"),0)))</f>
        <v>2119</v>
      </c>
      <c r="N81" s="67">
        <f t="shared" si="3"/>
        <v>17502.939999999999</v>
      </c>
      <c r="O81" s="66" t="str">
        <f t="shared" si="2"/>
        <v>ARS000069|KD004|CK7-895</v>
      </c>
    </row>
    <row r="82" spans="1:15" ht="15" customHeight="1" x14ac:dyDescent="0.3">
      <c r="A82" s="70" t="s">
        <v>735</v>
      </c>
      <c r="B82" s="70" t="s">
        <v>594</v>
      </c>
      <c r="C82" s="72">
        <v>46179</v>
      </c>
      <c r="D82" s="73" t="s">
        <v>320</v>
      </c>
      <c r="E82" s="76" t="str">
        <f>IFERROR(INDEX(M_User!$A$12:$J$67,MATCH(D82,M_User!$D$12:$D$67,0),3),"UNMAPPED")</f>
        <v>Doglas E. Shirima</v>
      </c>
      <c r="F82" s="75" t="str">
        <f>IFERROR(INDEX(M_User!$A$12:$J$67,MATCH(D82,M_User!$D$12:$D$67,0),5),"UNMAPPED")</f>
        <v>ARS</v>
      </c>
      <c r="G82" s="73" t="s">
        <v>725</v>
      </c>
      <c r="H82" s="92" t="s">
        <v>726</v>
      </c>
      <c r="I82" s="73" t="s">
        <v>222</v>
      </c>
      <c r="J82" s="76" t="str">
        <f>IFERROR(INDEX(M_SKU!$A$18:$J$57,MATCH(I82,M_SKU!$B$18:$B$57,0),1),"UNKNOWN SKU")</f>
        <v>Kilimanjaro Drinking Water 12000 ML</v>
      </c>
      <c r="K82" s="73" t="s">
        <v>607</v>
      </c>
      <c r="L82" s="276">
        <v>2</v>
      </c>
      <c r="M82" s="94" cm="1">
        <f t="array" ref="M82">IFERROR(INDEX(M_DepotPrice!$C$10:$C$52,MATCH(1,(M_DepotPrice!$A$10:$A$52=I82)*(M_DepotPrice!$H$10:$H$52=IFERROR(INDEX(M_Depot!$A$7:$A$24,MATCH(F82,M_Depot!$B$7:$B$24,0)),""))*(M_DepotPrice!$G$10:$G$52="Special"),0)),INDEX(M_DepotPrice!$C$10:$C$52,MATCH(1,(M_DepotPrice!$A$10:$A$52=I82)*(M_DepotPrice!$G$10:$G$52="Default"),0)))</f>
        <v>3559</v>
      </c>
      <c r="N82" s="95">
        <f t="shared" si="3"/>
        <v>8399.24</v>
      </c>
      <c r="O82" s="82" t="str">
        <f t="shared" si="2"/>
        <v>ARS000069|KD005|CK7-909</v>
      </c>
    </row>
    <row r="83" spans="1:15" ht="15" customHeight="1" x14ac:dyDescent="0.3">
      <c r="A83" s="60" t="s">
        <v>736</v>
      </c>
      <c r="B83" s="60" t="s">
        <v>594</v>
      </c>
      <c r="C83" s="62">
        <v>46179</v>
      </c>
      <c r="D83" s="63" t="s">
        <v>320</v>
      </c>
      <c r="E83" s="66" t="str">
        <f>IFERROR(INDEX(M_User!$A$12:$J$67,MATCH(D83,M_User!$D$12:$D$67,0),3),"UNMAPPED")</f>
        <v>Doglas E. Shirima</v>
      </c>
      <c r="F83" s="65" t="str">
        <f>IFERROR(INDEX(M_User!$A$12:$J$67,MATCH(D83,M_User!$D$12:$D$67,0),5),"UNMAPPED")</f>
        <v>ARS</v>
      </c>
      <c r="G83" s="63" t="s">
        <v>725</v>
      </c>
      <c r="H83" s="69" t="s">
        <v>726</v>
      </c>
      <c r="I83" s="63" t="s">
        <v>225</v>
      </c>
      <c r="J83" s="66" t="str">
        <f>IFERROR(INDEX(M_SKU!$A$18:$J$57,MATCH(I83,M_SKU!$B$18:$B$57,0),1),"UNKNOWN SKU")</f>
        <v>Kilimanjaro Drinking Water 18900 ML</v>
      </c>
      <c r="K83" s="63" t="s">
        <v>608</v>
      </c>
      <c r="L83" s="276">
        <v>1</v>
      </c>
      <c r="M83" s="91" cm="1">
        <f t="array" ref="M83">IFERROR(INDEX(M_DepotPrice!$C$10:$C$52,MATCH(1,(M_DepotPrice!$A$10:$A$52=I83)*(M_DepotPrice!$H$10:$H$52=IFERROR(INDEX(M_Depot!$A$7:$A$24,MATCH(F83,M_Depot!$B$7:$B$24,0)),""))*(M_DepotPrice!$G$10:$G$52="Special"),0)),INDEX(M_DepotPrice!$C$10:$C$52,MATCH(1,(M_DepotPrice!$A$10:$A$52=I83)*(M_DepotPrice!$G$10:$G$52="Default"),0)))</f>
        <v>5932</v>
      </c>
      <c r="N83" s="67">
        <f t="shared" si="3"/>
        <v>6999.7599999999993</v>
      </c>
      <c r="O83" s="66" t="str">
        <f t="shared" si="2"/>
        <v>ARS000069|KD006|CK7-914</v>
      </c>
    </row>
    <row r="84" spans="1:15" ht="15" customHeight="1" x14ac:dyDescent="0.3">
      <c r="A84" s="70" t="s">
        <v>737</v>
      </c>
      <c r="B84" s="70" t="s">
        <v>594</v>
      </c>
      <c r="C84" s="72">
        <v>46179</v>
      </c>
      <c r="D84" s="73" t="s">
        <v>320</v>
      </c>
      <c r="E84" s="76" t="str">
        <f>IFERROR(INDEX(M_User!$A$12:$J$67,MATCH(D84,M_User!$D$12:$D$67,0),3),"UNMAPPED")</f>
        <v>Doglas E. Shirima</v>
      </c>
      <c r="F84" s="75" t="str">
        <f>IFERROR(INDEX(M_User!$A$12:$J$67,MATCH(D84,M_User!$D$12:$D$67,0),5),"UNMAPPED")</f>
        <v>ARS</v>
      </c>
      <c r="G84" s="73" t="s">
        <v>725</v>
      </c>
      <c r="H84" s="92" t="s">
        <v>726</v>
      </c>
      <c r="I84" s="73" t="s">
        <v>225</v>
      </c>
      <c r="J84" s="76" t="str">
        <f>IFERROR(INDEX(M_SKU!$A$18:$J$57,MATCH(I84,M_SKU!$B$18:$B$57,0),1),"UNKNOWN SKU")</f>
        <v>Kilimanjaro Drinking Water 18900 ML</v>
      </c>
      <c r="K84" s="73" t="s">
        <v>567</v>
      </c>
      <c r="L84" s="276">
        <v>12</v>
      </c>
      <c r="M84" s="94" cm="1">
        <f t="array" ref="M84">IFERROR(INDEX(M_DepotPrice!$C$10:$C$52,MATCH(1,(M_DepotPrice!$A$10:$A$52=I84)*(M_DepotPrice!$H$10:$H$52=IFERROR(INDEX(M_Depot!$A$7:$A$24,MATCH(F84,M_Depot!$B$7:$B$24,0)),""))*(M_DepotPrice!$G$10:$G$52="Special"),0)),INDEX(M_DepotPrice!$C$10:$C$52,MATCH(1,(M_DepotPrice!$A$10:$A$52=I84)*(M_DepotPrice!$G$10:$G$52="Default"),0)))</f>
        <v>5932</v>
      </c>
      <c r="N84" s="95">
        <f t="shared" si="3"/>
        <v>83997.119999999995</v>
      </c>
      <c r="O84" s="82" t="str">
        <f t="shared" si="2"/>
        <v>ARS000069|KD006|CK7-915</v>
      </c>
    </row>
    <row r="85" spans="1:15" ht="15" customHeight="1" x14ac:dyDescent="0.3">
      <c r="A85" s="60" t="s">
        <v>738</v>
      </c>
      <c r="B85" s="60" t="s">
        <v>594</v>
      </c>
      <c r="C85" s="62">
        <v>46179</v>
      </c>
      <c r="D85" s="63" t="s">
        <v>320</v>
      </c>
      <c r="E85" s="66" t="str">
        <f>IFERROR(INDEX(M_User!$A$12:$J$67,MATCH(D85,M_User!$D$12:$D$67,0),3),"UNMAPPED")</f>
        <v>Doglas E. Shirima</v>
      </c>
      <c r="F85" s="65" t="str">
        <f>IFERROR(INDEX(M_User!$A$12:$J$67,MATCH(D85,M_User!$D$12:$D$67,0),5),"UNMAPPED")</f>
        <v>ARS</v>
      </c>
      <c r="G85" s="63" t="s">
        <v>725</v>
      </c>
      <c r="H85" s="69" t="s">
        <v>726</v>
      </c>
      <c r="I85" s="63" t="s">
        <v>227</v>
      </c>
      <c r="J85" s="66" t="str">
        <f>IFERROR(INDEX(M_SKU!$A$18:$J$57,MATCH(I85,M_SKU!$B$18:$B$57,0),1),"UNKNOWN SKU")</f>
        <v>KNMW 1000ml(6 Pack)</v>
      </c>
      <c r="K85" s="63" t="s">
        <v>609</v>
      </c>
      <c r="L85" s="276">
        <v>2</v>
      </c>
      <c r="M85" s="91" cm="1">
        <f t="array" ref="M85">IFERROR(INDEX(M_DepotPrice!$C$10:$C$52,MATCH(1,(M_DepotPrice!$A$10:$A$52=I85)*(M_DepotPrice!$H$10:$H$52=IFERROR(INDEX(M_Depot!$A$7:$A$24,MATCH(F85,M_Depot!$B$7:$B$24,0)),""))*(M_DepotPrice!$G$10:$G$52="Special"),0)),INDEX(M_DepotPrice!$C$10:$C$52,MATCH(1,(M_DepotPrice!$A$10:$A$52=I85)*(M_DepotPrice!$G$10:$G$52="Default"),0)))</f>
        <v>3178</v>
      </c>
      <c r="N85" s="67">
        <f t="shared" si="3"/>
        <v>7500.08</v>
      </c>
      <c r="O85" s="66" t="str">
        <f t="shared" si="2"/>
        <v>ARS000069|KD007|CK4-832</v>
      </c>
    </row>
    <row r="86" spans="1:15" ht="15" customHeight="1" x14ac:dyDescent="0.3">
      <c r="A86" s="70" t="s">
        <v>739</v>
      </c>
      <c r="B86" s="70" t="s">
        <v>594</v>
      </c>
      <c r="C86" s="72">
        <v>46179</v>
      </c>
      <c r="D86" s="73" t="s">
        <v>320</v>
      </c>
      <c r="E86" s="76" t="str">
        <f>IFERROR(INDEX(M_User!$A$12:$J$67,MATCH(D86,M_User!$D$12:$D$67,0),3),"UNMAPPED")</f>
        <v>Doglas E. Shirima</v>
      </c>
      <c r="F86" s="75" t="str">
        <f>IFERROR(INDEX(M_User!$A$12:$J$67,MATCH(D86,M_User!$D$12:$D$67,0),5),"UNMAPPED")</f>
        <v>ARS</v>
      </c>
      <c r="G86" s="73" t="s">
        <v>725</v>
      </c>
      <c r="H86" s="92" t="s">
        <v>726</v>
      </c>
      <c r="I86" s="73" t="s">
        <v>232</v>
      </c>
      <c r="J86" s="76" t="str">
        <f>IFERROR(INDEX(M_SKU!$A$18:$J$57,MATCH(I86,M_SKU!$B$18:$B$57,0),1),"UNKNOWN SKU")</f>
        <v>Sprite Pet 500ML (x 12)</v>
      </c>
      <c r="K86" s="73" t="s">
        <v>522</v>
      </c>
      <c r="L86" s="276">
        <v>2</v>
      </c>
      <c r="M86" s="94" cm="1">
        <f t="array" ref="M86">IFERROR(INDEX(M_DepotPrice!$C$10:$C$52,MATCH(1,(M_DepotPrice!$A$10:$A$52=I86)*(M_DepotPrice!$H$10:$H$52=IFERROR(INDEX(M_Depot!$A$7:$A$24,MATCH(F86,M_Depot!$B$7:$B$24,0)),""))*(M_DepotPrice!$G$10:$G$52="Special"),0)),INDEX(M_DepotPrice!$C$10:$C$52,MATCH(1,(M_DepotPrice!$A$10:$A$52=I86)*(M_DepotPrice!$G$10:$G$52="Default"),0)))</f>
        <v>8898</v>
      </c>
      <c r="N86" s="95">
        <f t="shared" si="3"/>
        <v>20999.279999999999</v>
      </c>
      <c r="O86" s="82" t="str">
        <f t="shared" si="2"/>
        <v>ARS000069|PH002|CK6-33362</v>
      </c>
    </row>
    <row r="87" spans="1:15" ht="15" customHeight="1" x14ac:dyDescent="0.3">
      <c r="A87" s="60" t="s">
        <v>740</v>
      </c>
      <c r="B87" s="60" t="s">
        <v>594</v>
      </c>
      <c r="C87" s="62">
        <v>46179</v>
      </c>
      <c r="D87" s="63" t="s">
        <v>320</v>
      </c>
      <c r="E87" s="66" t="str">
        <f>IFERROR(INDEX(M_User!$A$12:$J$67,MATCH(D87,M_User!$D$12:$D$67,0),3),"UNMAPPED")</f>
        <v>Doglas E. Shirima</v>
      </c>
      <c r="F87" s="65" t="str">
        <f>IFERROR(INDEX(M_User!$A$12:$J$67,MATCH(D87,M_User!$D$12:$D$67,0),5),"UNMAPPED")</f>
        <v>ARS</v>
      </c>
      <c r="G87" s="63" t="s">
        <v>725</v>
      </c>
      <c r="H87" s="69" t="s">
        <v>726</v>
      </c>
      <c r="I87" s="63" t="s">
        <v>236</v>
      </c>
      <c r="J87" s="66" t="str">
        <f>IFERROR(INDEX(M_SKU!$A$18:$J$57,MATCH(I87,M_SKU!$B$18:$B$57,0),1),"UNKNOWN SKU")</f>
        <v>Fanta Passion Pet 500ML ( x12)</v>
      </c>
      <c r="K87" s="63" t="s">
        <v>612</v>
      </c>
      <c r="L87" s="276">
        <v>1</v>
      </c>
      <c r="M87" s="91" cm="1">
        <f t="array" ref="M87">IFERROR(INDEX(M_DepotPrice!$C$10:$C$52,MATCH(1,(M_DepotPrice!$A$10:$A$52=I87)*(M_DepotPrice!$H$10:$H$52=IFERROR(INDEX(M_Depot!$A$7:$A$24,MATCH(F87,M_Depot!$B$7:$B$24,0)),""))*(M_DepotPrice!$G$10:$G$52="Special"),0)),INDEX(M_DepotPrice!$C$10:$C$52,MATCH(1,(M_DepotPrice!$A$10:$A$52=I87)*(M_DepotPrice!$G$10:$G$52="Default"),0)))</f>
        <v>8898</v>
      </c>
      <c r="N87" s="67">
        <f t="shared" si="3"/>
        <v>10499.64</v>
      </c>
      <c r="O87" s="66" t="str">
        <f t="shared" si="2"/>
        <v>ARS000069|PH004|CK5-33331</v>
      </c>
    </row>
    <row r="88" spans="1:15" ht="15" customHeight="1" x14ac:dyDescent="0.3">
      <c r="A88" s="70" t="s">
        <v>741</v>
      </c>
      <c r="B88" s="70" t="s">
        <v>594</v>
      </c>
      <c r="C88" s="72">
        <v>46179</v>
      </c>
      <c r="D88" s="73" t="s">
        <v>320</v>
      </c>
      <c r="E88" s="76" t="str">
        <f>IFERROR(INDEX(M_User!$A$12:$J$67,MATCH(D88,M_User!$D$12:$D$67,0),3),"UNMAPPED")</f>
        <v>Doglas E. Shirima</v>
      </c>
      <c r="F88" s="75" t="str">
        <f>IFERROR(INDEX(M_User!$A$12:$J$67,MATCH(D88,M_User!$D$12:$D$67,0),5),"UNMAPPED")</f>
        <v>ARS</v>
      </c>
      <c r="G88" s="73" t="s">
        <v>725</v>
      </c>
      <c r="H88" s="92" t="s">
        <v>726</v>
      </c>
      <c r="I88" s="73" t="s">
        <v>244</v>
      </c>
      <c r="J88" s="76" t="str">
        <f>IFERROR(INDEX(M_SKU!$A$18:$J$57,MATCH(I88,M_SKU!$B$18:$B$57,0),1),"UNKNOWN SKU")</f>
        <v>Sparletta Pinenut Pet 500 ml ( x12)</v>
      </c>
      <c r="K88" s="73" t="s">
        <v>615</v>
      </c>
      <c r="L88" s="276">
        <v>1</v>
      </c>
      <c r="M88" s="94" cm="1">
        <f t="array" ref="M88">IFERROR(INDEX(M_DepotPrice!$C$10:$C$52,MATCH(1,(M_DepotPrice!$A$10:$A$52=I88)*(M_DepotPrice!$H$10:$H$52=IFERROR(INDEX(M_Depot!$A$7:$A$24,MATCH(F88,M_Depot!$B$7:$B$24,0)),""))*(M_DepotPrice!$G$10:$G$52="Special"),0)),INDEX(M_DepotPrice!$C$10:$C$52,MATCH(1,(M_DepotPrice!$A$10:$A$52=I88)*(M_DepotPrice!$G$10:$G$52="Default"),0)))</f>
        <v>8898</v>
      </c>
      <c r="N88" s="95">
        <f t="shared" si="3"/>
        <v>10499.64</v>
      </c>
      <c r="O88" s="82" t="str">
        <f t="shared" si="2"/>
        <v>ARS000069|PH008|CK5-33325</v>
      </c>
    </row>
    <row r="89" spans="1:15" ht="15" customHeight="1" x14ac:dyDescent="0.3">
      <c r="A89" s="60" t="s">
        <v>742</v>
      </c>
      <c r="B89" s="60" t="s">
        <v>594</v>
      </c>
      <c r="C89" s="62">
        <v>46179</v>
      </c>
      <c r="D89" s="63" t="s">
        <v>320</v>
      </c>
      <c r="E89" s="66" t="str">
        <f>IFERROR(INDEX(M_User!$A$12:$J$67,MATCH(D89,M_User!$D$12:$D$67,0),3),"UNMAPPED")</f>
        <v>Doglas E. Shirima</v>
      </c>
      <c r="F89" s="65" t="str">
        <f>IFERROR(INDEX(M_User!$A$12:$J$67,MATCH(D89,M_User!$D$12:$D$67,0),5),"UNMAPPED")</f>
        <v>ARS</v>
      </c>
      <c r="G89" s="63" t="s">
        <v>725</v>
      </c>
      <c r="H89" s="69" t="s">
        <v>726</v>
      </c>
      <c r="I89" s="63" t="s">
        <v>248</v>
      </c>
      <c r="J89" s="66" t="str">
        <f>IFERROR(INDEX(M_SKU!$A$18:$J$57,MATCH(I89,M_SKU!$B$18:$B$57,0),1),"UNKNOWN SKU")</f>
        <v>Coke Pet 300ML(x 12)</v>
      </c>
      <c r="K89" s="63" t="s">
        <v>616</v>
      </c>
      <c r="L89" s="276">
        <v>1</v>
      </c>
      <c r="M89" s="91" cm="1">
        <f t="array" ref="M89">IFERROR(INDEX(M_DepotPrice!$C$10:$C$52,MATCH(1,(M_DepotPrice!$A$10:$A$52=I89)*(M_DepotPrice!$H$10:$H$52=IFERROR(INDEX(M_Depot!$A$7:$A$24,MATCH(F89,M_Depot!$B$7:$B$24,0)),""))*(M_DepotPrice!$G$10:$G$52="Special"),0)),INDEX(M_DepotPrice!$C$10:$C$52,MATCH(1,(M_DepotPrice!$A$10:$A$52=I89)*(M_DepotPrice!$G$10:$G$52="Default"),0)))</f>
        <v>5085</v>
      </c>
      <c r="N89" s="67">
        <f t="shared" si="3"/>
        <v>6000.2999999999993</v>
      </c>
      <c r="O89" s="66" t="str">
        <f t="shared" si="2"/>
        <v>ARS000069|PO008|CK5-33384</v>
      </c>
    </row>
    <row r="90" spans="1:15" ht="15" customHeight="1" x14ac:dyDescent="0.3">
      <c r="A90" s="70" t="s">
        <v>743</v>
      </c>
      <c r="B90" s="70" t="s">
        <v>594</v>
      </c>
      <c r="C90" s="72">
        <v>46179</v>
      </c>
      <c r="D90" s="73" t="s">
        <v>320</v>
      </c>
      <c r="E90" s="76" t="str">
        <f>IFERROR(INDEX(M_User!$A$12:$J$67,MATCH(D90,M_User!$D$12:$D$67,0),3),"UNMAPPED")</f>
        <v>Doglas E. Shirima</v>
      </c>
      <c r="F90" s="75" t="str">
        <f>IFERROR(INDEX(M_User!$A$12:$J$67,MATCH(D90,M_User!$D$12:$D$67,0),5),"UNMAPPED")</f>
        <v>ARS</v>
      </c>
      <c r="G90" s="73" t="s">
        <v>725</v>
      </c>
      <c r="H90" s="92" t="s">
        <v>726</v>
      </c>
      <c r="I90" s="73" t="s">
        <v>248</v>
      </c>
      <c r="J90" s="76" t="str">
        <f>IFERROR(INDEX(M_SKU!$A$18:$J$57,MATCH(I90,M_SKU!$B$18:$B$57,0),1),"UNKNOWN SKU")</f>
        <v>Coke Pet 300ML(x 12)</v>
      </c>
      <c r="K90" s="73" t="s">
        <v>617</v>
      </c>
      <c r="L90" s="276">
        <v>2</v>
      </c>
      <c r="M90" s="94" cm="1">
        <f t="array" ref="M90">IFERROR(INDEX(M_DepotPrice!$C$10:$C$52,MATCH(1,(M_DepotPrice!$A$10:$A$52=I90)*(M_DepotPrice!$H$10:$H$52=IFERROR(INDEX(M_Depot!$A$7:$A$24,MATCH(F90,M_Depot!$B$7:$B$24,0)),""))*(M_DepotPrice!$G$10:$G$52="Special"),0)),INDEX(M_DepotPrice!$C$10:$C$52,MATCH(1,(M_DepotPrice!$A$10:$A$52=I90)*(M_DepotPrice!$G$10:$G$52="Default"),0)))</f>
        <v>5085</v>
      </c>
      <c r="N90" s="95">
        <f t="shared" si="3"/>
        <v>12000.599999999999</v>
      </c>
      <c r="O90" s="82" t="str">
        <f t="shared" si="2"/>
        <v>ARS000069|PO008|CK5-33386</v>
      </c>
    </row>
    <row r="91" spans="1:15" ht="15" customHeight="1" x14ac:dyDescent="0.3">
      <c r="A91" s="60" t="s">
        <v>744</v>
      </c>
      <c r="B91" s="60" t="s">
        <v>594</v>
      </c>
      <c r="C91" s="62">
        <v>46179</v>
      </c>
      <c r="D91" s="63" t="s">
        <v>320</v>
      </c>
      <c r="E91" s="66" t="str">
        <f>IFERROR(INDEX(M_User!$A$12:$J$67,MATCH(D91,M_User!$D$12:$D$67,0),3),"UNMAPPED")</f>
        <v>Doglas E. Shirima</v>
      </c>
      <c r="F91" s="65" t="str">
        <f>IFERROR(INDEX(M_User!$A$12:$J$67,MATCH(D91,M_User!$D$12:$D$67,0),5),"UNMAPPED")</f>
        <v>ARS</v>
      </c>
      <c r="G91" s="63" t="s">
        <v>725</v>
      </c>
      <c r="H91" s="69" t="s">
        <v>726</v>
      </c>
      <c r="I91" s="63" t="s">
        <v>254</v>
      </c>
      <c r="J91" s="66" t="str">
        <f>IFERROR(INDEX(M_SKU!$A$18:$J$57,MATCH(I91,M_SKU!$B$18:$B$57,0),1),"UNKNOWN SKU")</f>
        <v>Fanta Zero Pet 300ML (x 12)</v>
      </c>
      <c r="K91" s="63" t="s">
        <v>546</v>
      </c>
      <c r="L91" s="276">
        <v>1</v>
      </c>
      <c r="M91" s="91" cm="1">
        <f t="array" ref="M91">IFERROR(INDEX(M_DepotPrice!$C$10:$C$52,MATCH(1,(M_DepotPrice!$A$10:$A$52=I91)*(M_DepotPrice!$H$10:$H$52=IFERROR(INDEX(M_Depot!$A$7:$A$24,MATCH(F91,M_Depot!$B$7:$B$24,0)),""))*(M_DepotPrice!$G$10:$G$52="Special"),0)),INDEX(M_DepotPrice!$C$10:$C$52,MATCH(1,(M_DepotPrice!$A$10:$A$52=I91)*(M_DepotPrice!$G$10:$G$52="Default"),0)))</f>
        <v>5085</v>
      </c>
      <c r="N91" s="67">
        <f t="shared" si="3"/>
        <v>6000.2999999999993</v>
      </c>
      <c r="O91" s="66" t="str">
        <f t="shared" si="2"/>
        <v>ARS000069|PO012|CK5-33369</v>
      </c>
    </row>
    <row r="92" spans="1:15" ht="15" customHeight="1" x14ac:dyDescent="0.3">
      <c r="A92" s="70" t="s">
        <v>745</v>
      </c>
      <c r="B92" s="70" t="s">
        <v>594</v>
      </c>
      <c r="C92" s="72">
        <v>46179</v>
      </c>
      <c r="D92" s="73" t="s">
        <v>320</v>
      </c>
      <c r="E92" s="76" t="str">
        <f>IFERROR(INDEX(M_User!$A$12:$J$67,MATCH(D92,M_User!$D$12:$D$67,0),3),"UNMAPPED")</f>
        <v>Doglas E. Shirima</v>
      </c>
      <c r="F92" s="75" t="str">
        <f>IFERROR(INDEX(M_User!$A$12:$J$67,MATCH(D92,M_User!$D$12:$D$67,0),5),"UNMAPPED")</f>
        <v>ARS</v>
      </c>
      <c r="G92" s="73" t="s">
        <v>725</v>
      </c>
      <c r="H92" s="92" t="s">
        <v>726</v>
      </c>
      <c r="I92" s="73" t="s">
        <v>256</v>
      </c>
      <c r="J92" s="76" t="str">
        <f>IFERROR(INDEX(M_SKU!$A$18:$J$57,MATCH(I92,M_SKU!$B$18:$B$57,0),1),"UNKNOWN SKU")</f>
        <v>Sparletta Red Apple Pet 300ML(x 12)</v>
      </c>
      <c r="K92" s="73" t="s">
        <v>555</v>
      </c>
      <c r="L92" s="276">
        <v>1</v>
      </c>
      <c r="M92" s="94" cm="1">
        <f t="array" ref="M92">IFERROR(INDEX(M_DepotPrice!$C$10:$C$52,MATCH(1,(M_DepotPrice!$A$10:$A$52=I92)*(M_DepotPrice!$H$10:$H$52=IFERROR(INDEX(M_Depot!$A$7:$A$24,MATCH(F92,M_Depot!$B$7:$B$24,0)),""))*(M_DepotPrice!$G$10:$G$52="Special"),0)),INDEX(M_DepotPrice!$C$10:$C$52,MATCH(1,(M_DepotPrice!$A$10:$A$52=I92)*(M_DepotPrice!$G$10:$G$52="Default"),0)))</f>
        <v>5085</v>
      </c>
      <c r="N92" s="95">
        <f t="shared" si="3"/>
        <v>6000.2999999999993</v>
      </c>
      <c r="O92" s="82" t="str">
        <f t="shared" si="2"/>
        <v>ARS000069|PO013|CK5-33368</v>
      </c>
    </row>
    <row r="93" spans="1:15" ht="15" customHeight="1" x14ac:dyDescent="0.3">
      <c r="A93" s="60" t="s">
        <v>746</v>
      </c>
      <c r="B93" s="60" t="s">
        <v>619</v>
      </c>
      <c r="C93" s="62">
        <v>46179</v>
      </c>
      <c r="D93" s="63" t="s">
        <v>314</v>
      </c>
      <c r="E93" s="66" t="str">
        <f>IFERROR(INDEX(M_User!$A$12:$J$67,MATCH(D93,M_User!$D$12:$D$67,0),3),"UNMAPPED")</f>
        <v>Omary O. Seif</v>
      </c>
      <c r="F93" s="65" t="str">
        <f>IFERROR(INDEX(M_User!$A$12:$J$67,MATCH(D93,M_User!$D$12:$D$67,0),5),"UNMAPPED")</f>
        <v>DAR</v>
      </c>
      <c r="G93" s="63" t="s">
        <v>747</v>
      </c>
      <c r="H93" s="69" t="s">
        <v>748</v>
      </c>
      <c r="I93" s="63" t="s">
        <v>225</v>
      </c>
      <c r="J93" s="66" t="str">
        <f>IFERROR(INDEX(M_SKU!$A$18:$J$57,MATCH(I93,M_SKU!$B$18:$B$57,0),1),"UNKNOWN SKU")</f>
        <v>Kilimanjaro Drinking Water 18900 ML</v>
      </c>
      <c r="K93" s="63" t="s">
        <v>624</v>
      </c>
      <c r="L93" s="276">
        <v>6</v>
      </c>
      <c r="M93" s="91" cm="1">
        <f t="array" ref="M93">IFERROR(INDEX(M_DepotPrice!$C$10:$C$52,MATCH(1,(M_DepotPrice!$A$10:$A$52=I93)*(M_DepotPrice!$H$10:$H$52=IFERROR(INDEX(M_Depot!$A$7:$A$24,MATCH(F93,M_Depot!$B$7:$B$24,0)),""))*(M_DepotPrice!$G$10:$G$52="Special"),0)),INDEX(M_DepotPrice!$C$10:$C$52,MATCH(1,(M_DepotPrice!$A$10:$A$52=I93)*(M_DepotPrice!$G$10:$G$52="Default"),0)))</f>
        <v>5932</v>
      </c>
      <c r="N93" s="67">
        <f t="shared" si="3"/>
        <v>41998.559999999998</v>
      </c>
      <c r="O93" s="66" t="str">
        <f t="shared" si="2"/>
        <v>DSM300140|KD006|CK7-911</v>
      </c>
    </row>
    <row r="94" spans="1:15" ht="15" customHeight="1" x14ac:dyDescent="0.3">
      <c r="A94" s="70" t="s">
        <v>749</v>
      </c>
      <c r="B94" s="70" t="s">
        <v>619</v>
      </c>
      <c r="C94" s="72">
        <v>46179</v>
      </c>
      <c r="D94" s="73" t="s">
        <v>314</v>
      </c>
      <c r="E94" s="76" t="str">
        <f>IFERROR(INDEX(M_User!$A$12:$J$67,MATCH(D94,M_User!$D$12:$D$67,0),3),"UNMAPPED")</f>
        <v>Omary O. Seif</v>
      </c>
      <c r="F94" s="75" t="str">
        <f>IFERROR(INDEX(M_User!$A$12:$J$67,MATCH(D94,M_User!$D$12:$D$67,0),5),"UNMAPPED")</f>
        <v>DAR</v>
      </c>
      <c r="G94" s="73" t="s">
        <v>750</v>
      </c>
      <c r="H94" s="92" t="s">
        <v>751</v>
      </c>
      <c r="I94" s="73" t="s">
        <v>222</v>
      </c>
      <c r="J94" s="76" t="str">
        <f>IFERROR(INDEX(M_SKU!$A$18:$J$57,MATCH(I94,M_SKU!$B$18:$B$57,0),1),"UNKNOWN SKU")</f>
        <v>Kilimanjaro Drinking Water 12000 ML</v>
      </c>
      <c r="K94" s="73" t="s">
        <v>607</v>
      </c>
      <c r="L94" s="276">
        <v>7</v>
      </c>
      <c r="M94" s="94" cm="1">
        <f t="array" ref="M94">IFERROR(INDEX(M_DepotPrice!$C$10:$C$52,MATCH(1,(M_DepotPrice!$A$10:$A$52=I94)*(M_DepotPrice!$H$10:$H$52=IFERROR(INDEX(M_Depot!$A$7:$A$24,MATCH(F94,M_Depot!$B$7:$B$24,0)),""))*(M_DepotPrice!$G$10:$G$52="Special"),0)),INDEX(M_DepotPrice!$C$10:$C$52,MATCH(1,(M_DepotPrice!$A$10:$A$52=I94)*(M_DepotPrice!$G$10:$G$52="Default"),0)))</f>
        <v>3559</v>
      </c>
      <c r="N94" s="95">
        <f t="shared" si="3"/>
        <v>29397.34</v>
      </c>
      <c r="O94" s="82" t="str">
        <f t="shared" si="2"/>
        <v>DSM300140|KD005|CK7-909</v>
      </c>
    </row>
    <row r="95" spans="1:15" ht="15" customHeight="1" x14ac:dyDescent="0.3">
      <c r="A95" s="60" t="s">
        <v>752</v>
      </c>
      <c r="B95" s="60" t="s">
        <v>619</v>
      </c>
      <c r="C95" s="62">
        <v>46179</v>
      </c>
      <c r="D95" s="63" t="s">
        <v>314</v>
      </c>
      <c r="E95" s="66" t="str">
        <f>IFERROR(INDEX(M_User!$A$12:$J$67,MATCH(D95,M_User!$D$12:$D$67,0),3),"UNMAPPED")</f>
        <v>Omary O. Seif</v>
      </c>
      <c r="F95" s="65" t="str">
        <f>IFERROR(INDEX(M_User!$A$12:$J$67,MATCH(D95,M_User!$D$12:$D$67,0),5),"UNMAPPED")</f>
        <v>DAR</v>
      </c>
      <c r="G95" s="63" t="s">
        <v>753</v>
      </c>
      <c r="H95" s="69" t="s">
        <v>754</v>
      </c>
      <c r="I95" s="63" t="s">
        <v>225</v>
      </c>
      <c r="J95" s="66" t="str">
        <f>IFERROR(INDEX(M_SKU!$A$18:$J$57,MATCH(I95,M_SKU!$B$18:$B$57,0),1),"UNKNOWN SKU")</f>
        <v>Kilimanjaro Drinking Water 18900 ML</v>
      </c>
      <c r="K95" s="63" t="s">
        <v>624</v>
      </c>
      <c r="L95" s="276">
        <v>4</v>
      </c>
      <c r="M95" s="91" cm="1">
        <f t="array" ref="M95">IFERROR(INDEX(M_DepotPrice!$C$10:$C$52,MATCH(1,(M_DepotPrice!$A$10:$A$52=I95)*(M_DepotPrice!$H$10:$H$52=IFERROR(INDEX(M_Depot!$A$7:$A$24,MATCH(F95,M_Depot!$B$7:$B$24,0)),""))*(M_DepotPrice!$G$10:$G$52="Special"),0)),INDEX(M_DepotPrice!$C$10:$C$52,MATCH(1,(M_DepotPrice!$A$10:$A$52=I95)*(M_DepotPrice!$G$10:$G$52="Default"),0)))</f>
        <v>5932</v>
      </c>
      <c r="N95" s="67">
        <f t="shared" si="3"/>
        <v>27999.039999999997</v>
      </c>
      <c r="O95" s="66" t="str">
        <f t="shared" si="2"/>
        <v>DSM300140|KD006|CK7-911</v>
      </c>
    </row>
    <row r="96" spans="1:15" ht="15" customHeight="1" x14ac:dyDescent="0.3">
      <c r="A96" s="70" t="s">
        <v>755</v>
      </c>
      <c r="B96" s="70" t="s">
        <v>559</v>
      </c>
      <c r="C96" s="72">
        <v>46179</v>
      </c>
      <c r="D96" s="73" t="s">
        <v>395</v>
      </c>
      <c r="E96" s="76" t="str">
        <f>IFERROR(INDEX(M_User!$A$12:$J$67,MATCH(D96,M_User!$D$12:$D$67,0),3),"UNMAPPED")</f>
        <v>Meshack  Jeremiah</v>
      </c>
      <c r="F96" s="75" t="str">
        <f>IFERROR(INDEX(M_User!$A$12:$J$67,MATCH(D96,M_User!$D$12:$D$67,0),5),"UNMAPPED")</f>
        <v>MOS</v>
      </c>
      <c r="G96" s="73" t="s">
        <v>756</v>
      </c>
      <c r="H96" s="92" t="s">
        <v>757</v>
      </c>
      <c r="I96" s="73" t="s">
        <v>170</v>
      </c>
      <c r="J96" s="76" t="str">
        <f>IFERROR(INDEX(M_SKU!$A$18:$J$57,MATCH(I96,M_SKU!$B$18:$B$57,0),1),"UNKNOWN SKU")</f>
        <v>Coke RGB 350ml</v>
      </c>
      <c r="K96" s="73" t="s">
        <v>530</v>
      </c>
      <c r="L96" s="276">
        <v>12.6868</v>
      </c>
      <c r="M96" s="94" cm="1">
        <f t="array" ref="M96">IFERROR(INDEX(M_DepotPrice!$C$10:$C$52,MATCH(1,(M_DepotPrice!$A$10:$A$52=I96)*(M_DepotPrice!$H$10:$H$52=IFERROR(INDEX(M_Depot!$A$7:$A$24,MATCH(F96,M_Depot!$B$7:$B$24,0)),""))*(M_DepotPrice!$G$10:$G$52="Special"),0)),INDEX(M_DepotPrice!$C$10:$C$52,MATCH(1,(M_DepotPrice!$A$10:$A$52=I96)*(M_DepotPrice!$G$10:$G$52="Default"),0)))</f>
        <v>11780</v>
      </c>
      <c r="N96" s="95">
        <f t="shared" si="3"/>
        <v>176351.59471999996</v>
      </c>
      <c r="O96" s="82" t="str">
        <f t="shared" si="2"/>
        <v>MOS100079|FG001|CK3-33409</v>
      </c>
    </row>
    <row r="97" spans="1:15" ht="15" customHeight="1" x14ac:dyDescent="0.3">
      <c r="A97" s="60" t="s">
        <v>758</v>
      </c>
      <c r="B97" s="60" t="s">
        <v>559</v>
      </c>
      <c r="C97" s="62">
        <v>46179</v>
      </c>
      <c r="D97" s="63" t="s">
        <v>395</v>
      </c>
      <c r="E97" s="66" t="str">
        <f>IFERROR(INDEX(M_User!$A$12:$J$67,MATCH(D97,M_User!$D$12:$D$67,0),3),"UNMAPPED")</f>
        <v>Meshack  Jeremiah</v>
      </c>
      <c r="F97" s="65" t="str">
        <f>IFERROR(INDEX(M_User!$A$12:$J$67,MATCH(D97,M_User!$D$12:$D$67,0),5),"UNMAPPED")</f>
        <v>MOS</v>
      </c>
      <c r="G97" s="63" t="s">
        <v>756</v>
      </c>
      <c r="H97" s="69" t="s">
        <v>757</v>
      </c>
      <c r="I97" s="63" t="s">
        <v>181</v>
      </c>
      <c r="J97" s="66" t="str">
        <f>IFERROR(INDEX(M_SKU!$A$18:$J$57,MATCH(I97,M_SKU!$B$18:$B$57,0),1),"UNKNOWN SKU")</f>
        <v>Fanta Passion RGB 350ml</v>
      </c>
      <c r="K97" s="63" t="s">
        <v>550</v>
      </c>
      <c r="L97" s="276">
        <v>1.4028169508336901</v>
      </c>
      <c r="M97" s="91" cm="1">
        <f t="array" ref="M97">IFERROR(INDEX(M_DepotPrice!$C$10:$C$52,MATCH(1,(M_DepotPrice!$A$10:$A$52=I97)*(M_DepotPrice!$H$10:$H$52=IFERROR(INDEX(M_Depot!$A$7:$A$24,MATCH(F97,M_Depot!$B$7:$B$24,0)),""))*(M_DepotPrice!$G$10:$G$52="Special"),0)),INDEX(M_DepotPrice!$C$10:$C$52,MATCH(1,(M_DepotPrice!$A$10:$A$52=I97)*(M_DepotPrice!$G$10:$G$52="Default"),0)))</f>
        <v>11780</v>
      </c>
      <c r="N97" s="67">
        <f t="shared" si="3"/>
        <v>19499.716743368623</v>
      </c>
      <c r="O97" s="66" t="str">
        <f t="shared" si="2"/>
        <v>MOS100079|FG003|CK3-33356</v>
      </c>
    </row>
    <row r="98" spans="1:15" ht="15" customHeight="1" x14ac:dyDescent="0.3">
      <c r="A98" s="70" t="s">
        <v>759</v>
      </c>
      <c r="B98" s="70" t="s">
        <v>559</v>
      </c>
      <c r="C98" s="72">
        <v>46179</v>
      </c>
      <c r="D98" s="73" t="s">
        <v>395</v>
      </c>
      <c r="E98" s="76" t="str">
        <f>IFERROR(INDEX(M_User!$A$12:$J$67,MATCH(D98,M_User!$D$12:$D$67,0),3),"UNMAPPED")</f>
        <v>Meshack  Jeremiah</v>
      </c>
      <c r="F98" s="75" t="str">
        <f>IFERROR(INDEX(M_User!$A$12:$J$67,MATCH(D98,M_User!$D$12:$D$67,0),5),"UNMAPPED")</f>
        <v>MOS</v>
      </c>
      <c r="G98" s="73" t="s">
        <v>756</v>
      </c>
      <c r="H98" s="92" t="s">
        <v>757</v>
      </c>
      <c r="I98" s="73" t="s">
        <v>183</v>
      </c>
      <c r="J98" s="76" t="str">
        <f>IFERROR(INDEX(M_SKU!$A$18:$J$57,MATCH(I98,M_SKU!$B$18:$B$57,0),1),"UNKNOWN SKU")</f>
        <v>Fanta Pineapple RGB 350ml</v>
      </c>
      <c r="K98" s="73" t="s">
        <v>533</v>
      </c>
      <c r="L98" s="276">
        <v>2.3573</v>
      </c>
      <c r="M98" s="94" cm="1">
        <f t="array" ref="M98">IFERROR(INDEX(M_DepotPrice!$C$10:$C$52,MATCH(1,(M_DepotPrice!$A$10:$A$52=I98)*(M_DepotPrice!$H$10:$H$52=IFERROR(INDEX(M_Depot!$A$7:$A$24,MATCH(F98,M_Depot!$B$7:$B$24,0)),""))*(M_DepotPrice!$G$10:$G$52="Special"),0)),INDEX(M_DepotPrice!$C$10:$C$52,MATCH(1,(M_DepotPrice!$A$10:$A$52=I98)*(M_DepotPrice!$G$10:$G$52="Default"),0)))</f>
        <v>11780</v>
      </c>
      <c r="N98" s="95">
        <f t="shared" si="3"/>
        <v>32767.412919999995</v>
      </c>
      <c r="O98" s="82" t="str">
        <f t="shared" si="2"/>
        <v>MOS100079|FG004|CK3-33385</v>
      </c>
    </row>
    <row r="99" spans="1:15" ht="15" customHeight="1" x14ac:dyDescent="0.3">
      <c r="A99" s="60" t="s">
        <v>760</v>
      </c>
      <c r="B99" s="60" t="s">
        <v>559</v>
      </c>
      <c r="C99" s="62">
        <v>46179</v>
      </c>
      <c r="D99" s="63" t="s">
        <v>395</v>
      </c>
      <c r="E99" s="66" t="str">
        <f>IFERROR(INDEX(M_User!$A$12:$J$67,MATCH(D99,M_User!$D$12:$D$67,0),3),"UNMAPPED")</f>
        <v>Meshack  Jeremiah</v>
      </c>
      <c r="F99" s="65" t="str">
        <f>IFERROR(INDEX(M_User!$A$12:$J$67,MATCH(D99,M_User!$D$12:$D$67,0),5),"UNMAPPED")</f>
        <v>MOS</v>
      </c>
      <c r="G99" s="63" t="s">
        <v>756</v>
      </c>
      <c r="H99" s="69" t="s">
        <v>757</v>
      </c>
      <c r="I99" s="63" t="s">
        <v>185</v>
      </c>
      <c r="J99" s="66" t="str">
        <f>IFERROR(INDEX(M_SKU!$A$18:$J$57,MATCH(I99,M_SKU!$B$18:$B$57,0),1),"UNKNOWN SKU")</f>
        <v>Fanta Fruit Blast RGB 350 ml</v>
      </c>
      <c r="K99" s="63" t="s">
        <v>534</v>
      </c>
      <c r="L99" s="276">
        <v>0.56059999999999999</v>
      </c>
      <c r="M99" s="91" cm="1">
        <f t="array" ref="M99">IFERROR(INDEX(M_DepotPrice!$C$10:$C$52,MATCH(1,(M_DepotPrice!$A$10:$A$52=I99)*(M_DepotPrice!$H$10:$H$52=IFERROR(INDEX(M_Depot!$A$7:$A$24,MATCH(F99,M_Depot!$B$7:$B$24,0)),""))*(M_DepotPrice!$G$10:$G$52="Special"),0)),INDEX(M_DepotPrice!$C$10:$C$52,MATCH(1,(M_DepotPrice!$A$10:$A$52=I99)*(M_DepotPrice!$G$10:$G$52="Default"),0)))</f>
        <v>11780</v>
      </c>
      <c r="N99" s="67">
        <f t="shared" si="3"/>
        <v>7792.5642399999988</v>
      </c>
      <c r="O99" s="66" t="str">
        <f t="shared" si="2"/>
        <v>MOS100079|FG005|CK3-33402</v>
      </c>
    </row>
    <row r="100" spans="1:15" ht="15" customHeight="1" x14ac:dyDescent="0.3">
      <c r="A100" s="70" t="s">
        <v>761</v>
      </c>
      <c r="B100" s="70" t="s">
        <v>559</v>
      </c>
      <c r="C100" s="72">
        <v>46179</v>
      </c>
      <c r="D100" s="73" t="s">
        <v>395</v>
      </c>
      <c r="E100" s="76" t="str">
        <f>IFERROR(INDEX(M_User!$A$12:$J$67,MATCH(D100,M_User!$D$12:$D$67,0),3),"UNMAPPED")</f>
        <v>Meshack  Jeremiah</v>
      </c>
      <c r="F100" s="75" t="str">
        <f>IFERROR(INDEX(M_User!$A$12:$J$67,MATCH(D100,M_User!$D$12:$D$67,0),5),"UNMAPPED")</f>
        <v>MOS</v>
      </c>
      <c r="G100" s="73" t="s">
        <v>756</v>
      </c>
      <c r="H100" s="92" t="s">
        <v>757</v>
      </c>
      <c r="I100" s="73" t="s">
        <v>193</v>
      </c>
      <c r="J100" s="76" t="str">
        <f>IFERROR(INDEX(M_SKU!$A$18:$J$57,MATCH(I100,M_SKU!$B$18:$B$57,0),1),"UNKNOWN SKU")</f>
        <v>Sparletta Pinenut RGB 350ml</v>
      </c>
      <c r="K100" s="73" t="s">
        <v>537</v>
      </c>
      <c r="L100" s="276">
        <v>1.4575</v>
      </c>
      <c r="M100" s="94" cm="1">
        <f t="array" ref="M100">IFERROR(INDEX(M_DepotPrice!$C$10:$C$52,MATCH(1,(M_DepotPrice!$A$10:$A$52=I100)*(M_DepotPrice!$H$10:$H$52=IFERROR(INDEX(M_Depot!$A$7:$A$24,MATCH(F100,M_Depot!$B$7:$B$24,0)),""))*(M_DepotPrice!$G$10:$G$52="Special"),0)),INDEX(M_DepotPrice!$C$10:$C$52,MATCH(1,(M_DepotPrice!$A$10:$A$52=I100)*(M_DepotPrice!$G$10:$G$52="Default"),0)))</f>
        <v>11780</v>
      </c>
      <c r="N100" s="95">
        <f t="shared" si="3"/>
        <v>20259.832999999999</v>
      </c>
      <c r="O100" s="82" t="str">
        <f t="shared" si="2"/>
        <v>MOS100079|FG008|CK3-33365</v>
      </c>
    </row>
    <row r="101" spans="1:15" ht="15" customHeight="1" x14ac:dyDescent="0.3">
      <c r="A101" s="60" t="s">
        <v>762</v>
      </c>
      <c r="B101" s="60" t="s">
        <v>559</v>
      </c>
      <c r="C101" s="62">
        <v>46179</v>
      </c>
      <c r="D101" s="63" t="s">
        <v>395</v>
      </c>
      <c r="E101" s="66" t="str">
        <f>IFERROR(INDEX(M_User!$A$12:$J$67,MATCH(D101,M_User!$D$12:$D$67,0),3),"UNMAPPED")</f>
        <v>Meshack  Jeremiah</v>
      </c>
      <c r="F101" s="65" t="str">
        <f>IFERROR(INDEX(M_User!$A$12:$J$67,MATCH(D101,M_User!$D$12:$D$67,0),5),"UNMAPPED")</f>
        <v>MOS</v>
      </c>
      <c r="G101" s="63" t="s">
        <v>756</v>
      </c>
      <c r="H101" s="69" t="s">
        <v>757</v>
      </c>
      <c r="I101" s="63" t="s">
        <v>196</v>
      </c>
      <c r="J101" s="66" t="str">
        <f>IFERROR(INDEX(M_SKU!$A$18:$J$57,MATCH(I101,M_SKU!$B$18:$B$57,0),1),"UNKNOWN SKU")</f>
        <v>Krest Bitter Lemon RGB 300ml</v>
      </c>
      <c r="K101" s="63" t="s">
        <v>538</v>
      </c>
      <c r="L101" s="276">
        <v>0.56989999999999996</v>
      </c>
      <c r="M101" s="91" cm="1">
        <f t="array" ref="M101">IFERROR(INDEX(M_DepotPrice!$C$10:$C$52,MATCH(1,(M_DepotPrice!$A$10:$A$52=I101)*(M_DepotPrice!$H$10:$H$52=IFERROR(INDEX(M_Depot!$A$7:$A$24,MATCH(F101,M_Depot!$B$7:$B$24,0)),""))*(M_DepotPrice!$G$10:$G$52="Special"),0)),INDEX(M_DepotPrice!$C$10:$C$52,MATCH(1,(M_DepotPrice!$A$10:$A$52=I101)*(M_DepotPrice!$G$10:$G$52="Default"),0)))</f>
        <v>11780</v>
      </c>
      <c r="N101" s="67">
        <f t="shared" si="3"/>
        <v>7921.8379599999989</v>
      </c>
      <c r="O101" s="66" t="str">
        <f t="shared" si="2"/>
        <v>MOS100079|FG009|CK3-33348</v>
      </c>
    </row>
    <row r="102" spans="1:15" ht="15" customHeight="1" x14ac:dyDescent="0.3">
      <c r="A102" s="70" t="s">
        <v>763</v>
      </c>
      <c r="B102" s="70" t="s">
        <v>559</v>
      </c>
      <c r="C102" s="72">
        <v>46179</v>
      </c>
      <c r="D102" s="73" t="s">
        <v>395</v>
      </c>
      <c r="E102" s="76" t="str">
        <f>IFERROR(INDEX(M_User!$A$12:$J$67,MATCH(D102,M_User!$D$12:$D$67,0),3),"UNMAPPED")</f>
        <v>Meshack  Jeremiah</v>
      </c>
      <c r="F102" s="75" t="str">
        <f>IFERROR(INDEX(M_User!$A$12:$J$67,MATCH(D102,M_User!$D$12:$D$67,0),5),"UNMAPPED")</f>
        <v>MOS</v>
      </c>
      <c r="G102" s="73" t="s">
        <v>756</v>
      </c>
      <c r="H102" s="92" t="s">
        <v>757</v>
      </c>
      <c r="I102" s="73" t="s">
        <v>199</v>
      </c>
      <c r="J102" s="76" t="str">
        <f>IFERROR(INDEX(M_SKU!$A$18:$J$57,MATCH(I102,M_SKU!$B$18:$B$57,0),1),"UNKNOWN SKU")</f>
        <v>Krest Club Soda RGB 300ml</v>
      </c>
      <c r="K102" s="73" t="s">
        <v>539</v>
      </c>
      <c r="L102" s="276">
        <v>0.29616221427754902</v>
      </c>
      <c r="M102" s="94" cm="1">
        <f t="array" ref="M102">IFERROR(INDEX(M_DepotPrice!$C$10:$C$52,MATCH(1,(M_DepotPrice!$A$10:$A$52=I102)*(M_DepotPrice!$H$10:$H$52=IFERROR(INDEX(M_Depot!$A$7:$A$24,MATCH(F102,M_Depot!$B$7:$B$24,0)),""))*(M_DepotPrice!$G$10:$G$52="Special"),0)),INDEX(M_DepotPrice!$C$10:$C$52,MATCH(1,(M_DepotPrice!$A$10:$A$52=I102)*(M_DepotPrice!$G$10:$G$52="Default"),0)))</f>
        <v>11780</v>
      </c>
      <c r="N102" s="95">
        <f t="shared" si="3"/>
        <v>4116.7732433436422</v>
      </c>
      <c r="O102" s="82" t="str">
        <f t="shared" si="2"/>
        <v>MOS100079|FG010|CK3-33301</v>
      </c>
    </row>
    <row r="103" spans="1:15" ht="15" customHeight="1" x14ac:dyDescent="0.3">
      <c r="A103" s="60" t="s">
        <v>764</v>
      </c>
      <c r="B103" s="60" t="s">
        <v>559</v>
      </c>
      <c r="C103" s="62">
        <v>46179</v>
      </c>
      <c r="D103" s="63" t="s">
        <v>395</v>
      </c>
      <c r="E103" s="66" t="str">
        <f>IFERROR(INDEX(M_User!$A$12:$J$67,MATCH(D103,M_User!$D$12:$D$67,0),3),"UNMAPPED")</f>
        <v>Meshack  Jeremiah</v>
      </c>
      <c r="F103" s="65" t="str">
        <f>IFERROR(INDEX(M_User!$A$12:$J$67,MATCH(D103,M_User!$D$12:$D$67,0),5),"UNMAPPED")</f>
        <v>MOS</v>
      </c>
      <c r="G103" s="63" t="s">
        <v>756</v>
      </c>
      <c r="H103" s="69" t="s">
        <v>757</v>
      </c>
      <c r="I103" s="63" t="s">
        <v>201</v>
      </c>
      <c r="J103" s="66" t="str">
        <f>IFERROR(INDEX(M_SKU!$A$18:$J$57,MATCH(I103,M_SKU!$B$18:$B$57,0),1),"UNKNOWN SKU")</f>
        <v>Krest Tonic Water RGB 300ml</v>
      </c>
      <c r="K103" s="63" t="s">
        <v>540</v>
      </c>
      <c r="L103" s="276">
        <v>0.3211</v>
      </c>
      <c r="M103" s="91" cm="1">
        <f t="array" ref="M103">IFERROR(INDEX(M_DepotPrice!$C$10:$C$52,MATCH(1,(M_DepotPrice!$A$10:$A$52=I103)*(M_DepotPrice!$H$10:$H$52=IFERROR(INDEX(M_Depot!$A$7:$A$24,MATCH(F103,M_Depot!$B$7:$B$24,0)),""))*(M_DepotPrice!$G$10:$G$52="Special"),0)),INDEX(M_DepotPrice!$C$10:$C$52,MATCH(1,(M_DepotPrice!$A$10:$A$52=I103)*(M_DepotPrice!$G$10:$G$52="Default"),0)))</f>
        <v>11780</v>
      </c>
      <c r="N103" s="67">
        <f t="shared" si="3"/>
        <v>4463.4184399999995</v>
      </c>
      <c r="O103" s="66" t="str">
        <f t="shared" si="2"/>
        <v>MOS100079|FG011|CK3-33347</v>
      </c>
    </row>
    <row r="104" spans="1:15" ht="15" customHeight="1" x14ac:dyDescent="0.3">
      <c r="A104" s="70" t="s">
        <v>765</v>
      </c>
      <c r="B104" s="70" t="s">
        <v>559</v>
      </c>
      <c r="C104" s="72">
        <v>46179</v>
      </c>
      <c r="D104" s="73" t="s">
        <v>395</v>
      </c>
      <c r="E104" s="76" t="str">
        <f>IFERROR(INDEX(M_User!$A$12:$J$67,MATCH(D104,M_User!$D$12:$D$67,0),3),"UNMAPPED")</f>
        <v>Meshack  Jeremiah</v>
      </c>
      <c r="F104" s="75" t="str">
        <f>IFERROR(INDEX(M_User!$A$12:$J$67,MATCH(D104,M_User!$D$12:$D$67,0),5),"UNMAPPED")</f>
        <v>MOS</v>
      </c>
      <c r="G104" s="73" t="s">
        <v>756</v>
      </c>
      <c r="H104" s="92" t="s">
        <v>757</v>
      </c>
      <c r="I104" s="73" t="s">
        <v>242</v>
      </c>
      <c r="J104" s="76" t="str">
        <f>IFERROR(INDEX(M_SKU!$A$18:$J$57,MATCH(I104,M_SKU!$B$18:$B$57,0),1),"UNKNOWN SKU")</f>
        <v>Stoney Tangawizi Pet 500 ml ( x12)</v>
      </c>
      <c r="K104" s="73" t="s">
        <v>525</v>
      </c>
      <c r="L104" s="276">
        <v>1</v>
      </c>
      <c r="M104" s="94" cm="1">
        <f t="array" ref="M104">IFERROR(INDEX(M_DepotPrice!$C$10:$C$52,MATCH(1,(M_DepotPrice!$A$10:$A$52=I104)*(M_DepotPrice!$H$10:$H$52=IFERROR(INDEX(M_Depot!$A$7:$A$24,MATCH(F104,M_Depot!$B$7:$B$24,0)),""))*(M_DepotPrice!$G$10:$G$52="Special"),0)),INDEX(M_DepotPrice!$C$10:$C$52,MATCH(1,(M_DepotPrice!$A$10:$A$52=I104)*(M_DepotPrice!$G$10:$G$52="Default"),0)))</f>
        <v>8898</v>
      </c>
      <c r="N104" s="95">
        <f t="shared" si="3"/>
        <v>10499.64</v>
      </c>
      <c r="O104" s="82" t="str">
        <f t="shared" si="2"/>
        <v>MOS100079|PH007|CK6-33375</v>
      </c>
    </row>
    <row r="105" spans="1:15" ht="15" customHeight="1" x14ac:dyDescent="0.3">
      <c r="A105" s="60" t="s">
        <v>766</v>
      </c>
      <c r="B105" s="60" t="s">
        <v>559</v>
      </c>
      <c r="C105" s="62">
        <v>46179</v>
      </c>
      <c r="D105" s="63" t="s">
        <v>395</v>
      </c>
      <c r="E105" s="66" t="str">
        <f>IFERROR(INDEX(M_User!$A$12:$J$67,MATCH(D105,M_User!$D$12:$D$67,0),3),"UNMAPPED")</f>
        <v>Meshack  Jeremiah</v>
      </c>
      <c r="F105" s="65" t="str">
        <f>IFERROR(INDEX(M_User!$A$12:$J$67,MATCH(D105,M_User!$D$12:$D$67,0),5),"UNMAPPED")</f>
        <v>MOS</v>
      </c>
      <c r="G105" s="63" t="s">
        <v>756</v>
      </c>
      <c r="H105" s="69" t="s">
        <v>757</v>
      </c>
      <c r="I105" s="63" t="s">
        <v>252</v>
      </c>
      <c r="J105" s="66" t="str">
        <f>IFERROR(INDEX(M_SKU!$A$18:$J$57,MATCH(I105,M_SKU!$B$18:$B$57,0),1),"UNKNOWN SKU")</f>
        <v>Sprite Zero Pet 300ML (x 12)</v>
      </c>
      <c r="K105" s="63" t="s">
        <v>545</v>
      </c>
      <c r="L105" s="276">
        <v>1</v>
      </c>
      <c r="M105" s="91" cm="1">
        <f t="array" ref="M105">IFERROR(INDEX(M_DepotPrice!$C$10:$C$52,MATCH(1,(M_DepotPrice!$A$10:$A$52=I105)*(M_DepotPrice!$H$10:$H$52=IFERROR(INDEX(M_Depot!$A$7:$A$24,MATCH(F105,M_Depot!$B$7:$B$24,0)),""))*(M_DepotPrice!$G$10:$G$52="Special"),0)),INDEX(M_DepotPrice!$C$10:$C$52,MATCH(1,(M_DepotPrice!$A$10:$A$52=I105)*(M_DepotPrice!$G$10:$G$52="Default"),0)))</f>
        <v>5085</v>
      </c>
      <c r="N105" s="67">
        <f t="shared" si="3"/>
        <v>6000.2999999999993</v>
      </c>
      <c r="O105" s="66" t="str">
        <f t="shared" si="2"/>
        <v>MOS100079|PO010|CK5-33360</v>
      </c>
    </row>
    <row r="106" spans="1:15" ht="15" customHeight="1" x14ac:dyDescent="0.3">
      <c r="A106" s="70" t="s">
        <v>767</v>
      </c>
      <c r="B106" s="70" t="s">
        <v>559</v>
      </c>
      <c r="C106" s="72">
        <v>46179</v>
      </c>
      <c r="D106" s="73" t="s">
        <v>395</v>
      </c>
      <c r="E106" s="76" t="str">
        <f>IFERROR(INDEX(M_User!$A$12:$J$67,MATCH(D106,M_User!$D$12:$D$67,0),3),"UNMAPPED")</f>
        <v>Meshack  Jeremiah</v>
      </c>
      <c r="F106" s="75" t="str">
        <f>IFERROR(INDEX(M_User!$A$12:$J$67,MATCH(D106,M_User!$D$12:$D$67,0),5),"UNMAPPED")</f>
        <v>MOS</v>
      </c>
      <c r="G106" s="73" t="s">
        <v>768</v>
      </c>
      <c r="H106" s="92" t="s">
        <v>769</v>
      </c>
      <c r="I106" s="73" t="s">
        <v>178</v>
      </c>
      <c r="J106" s="76" t="str">
        <f>IFERROR(INDEX(M_SKU!$A$18:$J$57,MATCH(I106,M_SKU!$B$18:$B$57,0),1),"UNKNOWN SKU")</f>
        <v>Fanta Orange RGB 350ml</v>
      </c>
      <c r="K106" s="73" t="s">
        <v>531</v>
      </c>
      <c r="L106" s="276">
        <v>7.9499550683561599</v>
      </c>
      <c r="M106" s="94" cm="1">
        <f t="array" ref="M106">IFERROR(INDEX(M_DepotPrice!$C$10:$C$52,MATCH(1,(M_DepotPrice!$A$10:$A$52=I106)*(M_DepotPrice!$H$10:$H$52=IFERROR(INDEX(M_Depot!$A$7:$A$24,MATCH(F106,M_Depot!$B$7:$B$24,0)),""))*(M_DepotPrice!$G$10:$G$52="Special"),0)),INDEX(M_DepotPrice!$C$10:$C$52,MATCH(1,(M_DepotPrice!$A$10:$A$52=I106)*(M_DepotPrice!$G$10:$G$52="Default"),0)))</f>
        <v>11780</v>
      </c>
      <c r="N106" s="95">
        <f t="shared" si="3"/>
        <v>110507.55543217796</v>
      </c>
      <c r="O106" s="82" t="str">
        <f t="shared" si="2"/>
        <v>MOS100079|FG002|CK3-33407</v>
      </c>
    </row>
    <row r="107" spans="1:15" ht="15" customHeight="1" x14ac:dyDescent="0.3">
      <c r="A107" s="60" t="s">
        <v>770</v>
      </c>
      <c r="B107" s="60" t="s">
        <v>559</v>
      </c>
      <c r="C107" s="62">
        <v>46179</v>
      </c>
      <c r="D107" s="63" t="s">
        <v>395</v>
      </c>
      <c r="E107" s="66" t="str">
        <f>IFERROR(INDEX(M_User!$A$12:$J$67,MATCH(D107,M_User!$D$12:$D$67,0),3),"UNMAPPED")</f>
        <v>Meshack  Jeremiah</v>
      </c>
      <c r="F107" s="65" t="str">
        <f>IFERROR(INDEX(M_User!$A$12:$J$67,MATCH(D107,M_User!$D$12:$D$67,0),5),"UNMAPPED")</f>
        <v>MOS</v>
      </c>
      <c r="G107" s="63" t="s">
        <v>768</v>
      </c>
      <c r="H107" s="69" t="s">
        <v>769</v>
      </c>
      <c r="I107" s="63" t="s">
        <v>183</v>
      </c>
      <c r="J107" s="66" t="str">
        <f>IFERROR(INDEX(M_SKU!$A$18:$J$57,MATCH(I107,M_SKU!$B$18:$B$57,0),1),"UNKNOWN SKU")</f>
        <v>Fanta Pineapple RGB 350ml</v>
      </c>
      <c r="K107" s="63" t="s">
        <v>533</v>
      </c>
      <c r="L107" s="276">
        <v>1.8368561393969201</v>
      </c>
      <c r="M107" s="91" cm="1">
        <f t="array" ref="M107">IFERROR(INDEX(M_DepotPrice!$C$10:$C$52,MATCH(1,(M_DepotPrice!$A$10:$A$52=I107)*(M_DepotPrice!$H$10:$H$52=IFERROR(INDEX(M_Depot!$A$7:$A$24,MATCH(F107,M_Depot!$B$7:$B$24,0)),""))*(M_DepotPrice!$G$10:$G$52="Special"),0)),INDEX(M_DepotPrice!$C$10:$C$52,MATCH(1,(M_DepotPrice!$A$10:$A$52=I107)*(M_DepotPrice!$G$10:$G$52="Default"),0)))</f>
        <v>11780</v>
      </c>
      <c r="N107" s="67">
        <f t="shared" si="3"/>
        <v>25533.035080072947</v>
      </c>
      <c r="O107" s="66" t="str">
        <f t="shared" si="2"/>
        <v>MOS100079|FG004|CK3-33385</v>
      </c>
    </row>
    <row r="108" spans="1:15" ht="15" customHeight="1" x14ac:dyDescent="0.3">
      <c r="A108" s="70" t="s">
        <v>771</v>
      </c>
      <c r="B108" s="70" t="s">
        <v>559</v>
      </c>
      <c r="C108" s="72">
        <v>46179</v>
      </c>
      <c r="D108" s="73" t="s">
        <v>395</v>
      </c>
      <c r="E108" s="76" t="str">
        <f>IFERROR(INDEX(M_User!$A$12:$J$67,MATCH(D108,M_User!$D$12:$D$67,0),3),"UNMAPPED")</f>
        <v>Meshack  Jeremiah</v>
      </c>
      <c r="F108" s="75" t="str">
        <f>IFERROR(INDEX(M_User!$A$12:$J$67,MATCH(D108,M_User!$D$12:$D$67,0),5),"UNMAPPED")</f>
        <v>MOS</v>
      </c>
      <c r="G108" s="73" t="s">
        <v>768</v>
      </c>
      <c r="H108" s="92" t="s">
        <v>769</v>
      </c>
      <c r="I108" s="73" t="s">
        <v>187</v>
      </c>
      <c r="J108" s="76" t="str">
        <f>IFERROR(INDEX(M_SKU!$A$18:$J$57,MATCH(I108,M_SKU!$B$18:$B$57,0),1),"UNKNOWN SKU")</f>
        <v>Sprite 350ml</v>
      </c>
      <c r="K108" s="73" t="s">
        <v>535</v>
      </c>
      <c r="L108" s="276">
        <v>2.2071000000000001</v>
      </c>
      <c r="M108" s="94" cm="1">
        <f t="array" ref="M108">IFERROR(INDEX(M_DepotPrice!$C$10:$C$52,MATCH(1,(M_DepotPrice!$A$10:$A$52=I108)*(M_DepotPrice!$H$10:$H$52=IFERROR(INDEX(M_Depot!$A$7:$A$24,MATCH(F108,M_Depot!$B$7:$B$24,0)),""))*(M_DepotPrice!$G$10:$G$52="Special"),0)),INDEX(M_DepotPrice!$C$10:$C$52,MATCH(1,(M_DepotPrice!$A$10:$A$52=I108)*(M_DepotPrice!$G$10:$G$52="Default"),0)))</f>
        <v>11780</v>
      </c>
      <c r="N108" s="95">
        <f t="shared" si="3"/>
        <v>30679.572839999997</v>
      </c>
      <c r="O108" s="82" t="str">
        <f t="shared" si="2"/>
        <v>MOS100079|FG006|CK3-33414</v>
      </c>
    </row>
    <row r="109" spans="1:15" ht="15" customHeight="1" x14ac:dyDescent="0.3">
      <c r="A109" s="60" t="s">
        <v>772</v>
      </c>
      <c r="B109" s="60" t="s">
        <v>559</v>
      </c>
      <c r="C109" s="62">
        <v>46179</v>
      </c>
      <c r="D109" s="63" t="s">
        <v>395</v>
      </c>
      <c r="E109" s="66" t="str">
        <f>IFERROR(INDEX(M_User!$A$12:$J$67,MATCH(D109,M_User!$D$12:$D$67,0),3),"UNMAPPED")</f>
        <v>Meshack  Jeremiah</v>
      </c>
      <c r="F109" s="65" t="str">
        <f>IFERROR(INDEX(M_User!$A$12:$J$67,MATCH(D109,M_User!$D$12:$D$67,0),5),"UNMAPPED")</f>
        <v>MOS</v>
      </c>
      <c r="G109" s="63" t="s">
        <v>768</v>
      </c>
      <c r="H109" s="69" t="s">
        <v>769</v>
      </c>
      <c r="I109" s="63" t="s">
        <v>190</v>
      </c>
      <c r="J109" s="66" t="str">
        <f>IFERROR(INDEX(M_SKU!$A$18:$J$57,MATCH(I109,M_SKU!$B$18:$B$57,0),1),"UNKNOWN SKU")</f>
        <v>Stoney Tangawizi RGB 350ml</v>
      </c>
      <c r="K109" s="63" t="s">
        <v>536</v>
      </c>
      <c r="L109" s="276">
        <v>0.69232954239460598</v>
      </c>
      <c r="M109" s="91" cm="1">
        <f t="array" ref="M109">IFERROR(INDEX(M_DepotPrice!$C$10:$C$52,MATCH(1,(M_DepotPrice!$A$10:$A$52=I109)*(M_DepotPrice!$H$10:$H$52=IFERROR(INDEX(M_Depot!$A$7:$A$24,MATCH(F109,M_Depot!$B$7:$B$24,0)),""))*(M_DepotPrice!$G$10:$G$52="Special"),0)),INDEX(M_DepotPrice!$C$10:$C$52,MATCH(1,(M_DepotPrice!$A$10:$A$52=I109)*(M_DepotPrice!$G$10:$G$52="Default"),0)))</f>
        <v>11780</v>
      </c>
      <c r="N109" s="67">
        <f t="shared" si="3"/>
        <v>9623.6575711019814</v>
      </c>
      <c r="O109" s="66" t="str">
        <f t="shared" si="2"/>
        <v>MOS100079|FG007|CK3-33404</v>
      </c>
    </row>
    <row r="110" spans="1:15" ht="15" customHeight="1" x14ac:dyDescent="0.3">
      <c r="A110" s="70" t="s">
        <v>773</v>
      </c>
      <c r="B110" s="70" t="s">
        <v>559</v>
      </c>
      <c r="C110" s="72">
        <v>46179</v>
      </c>
      <c r="D110" s="73" t="s">
        <v>395</v>
      </c>
      <c r="E110" s="76" t="str">
        <f>IFERROR(INDEX(M_User!$A$12:$J$67,MATCH(D110,M_User!$D$12:$D$67,0),3),"UNMAPPED")</f>
        <v>Meshack  Jeremiah</v>
      </c>
      <c r="F110" s="75" t="str">
        <f>IFERROR(INDEX(M_User!$A$12:$J$67,MATCH(D110,M_User!$D$12:$D$67,0),5),"UNMAPPED")</f>
        <v>MOS</v>
      </c>
      <c r="G110" s="73" t="s">
        <v>768</v>
      </c>
      <c r="H110" s="92" t="s">
        <v>769</v>
      </c>
      <c r="I110" s="73" t="s">
        <v>209</v>
      </c>
      <c r="J110" s="76" t="str">
        <f>IFERROR(INDEX(M_SKU!$A$18:$J$57,MATCH(I110,M_SKU!$B$18:$B$57,0),1),"UNKNOWN SKU")</f>
        <v>Sparletta Red Apple RGB 350ml</v>
      </c>
      <c r="K110" s="73" t="s">
        <v>542</v>
      </c>
      <c r="L110" s="276">
        <v>0.87732226197641905</v>
      </c>
      <c r="M110" s="94" cm="1">
        <f t="array" ref="M110">IFERROR(INDEX(M_DepotPrice!$C$10:$C$52,MATCH(1,(M_DepotPrice!$A$10:$A$52=I110)*(M_DepotPrice!$H$10:$H$52=IFERROR(INDEX(M_Depot!$A$7:$A$24,MATCH(F110,M_Depot!$B$7:$B$24,0)),""))*(M_DepotPrice!$G$10:$G$52="Special"),0)),INDEX(M_DepotPrice!$C$10:$C$52,MATCH(1,(M_DepotPrice!$A$10:$A$52=I110)*(M_DepotPrice!$G$10:$G$52="Default"),0)))</f>
        <v>11780</v>
      </c>
      <c r="N110" s="95">
        <f t="shared" si="3"/>
        <v>12195.130370377014</v>
      </c>
      <c r="O110" s="82" t="str">
        <f t="shared" si="2"/>
        <v>MOS100079|FG024|CK3-32758</v>
      </c>
    </row>
    <row r="111" spans="1:15" ht="15" customHeight="1" x14ac:dyDescent="0.3">
      <c r="A111" s="60" t="s">
        <v>774</v>
      </c>
      <c r="B111" s="60" t="s">
        <v>559</v>
      </c>
      <c r="C111" s="62">
        <v>46179</v>
      </c>
      <c r="D111" s="63" t="s">
        <v>395</v>
      </c>
      <c r="E111" s="66" t="str">
        <f>IFERROR(INDEX(M_User!$A$12:$J$67,MATCH(D111,M_User!$D$12:$D$67,0),3),"UNMAPPED")</f>
        <v>Meshack  Jeremiah</v>
      </c>
      <c r="F111" s="65" t="str">
        <f>IFERROR(INDEX(M_User!$A$12:$J$67,MATCH(D111,M_User!$D$12:$D$67,0),5),"UNMAPPED")</f>
        <v>MOS</v>
      </c>
      <c r="G111" s="63" t="s">
        <v>768</v>
      </c>
      <c r="H111" s="69" t="s">
        <v>769</v>
      </c>
      <c r="I111" s="63" t="s">
        <v>211</v>
      </c>
      <c r="J111" s="66" t="str">
        <f>IFERROR(INDEX(M_SKU!$A$18:$J$57,MATCH(I111,M_SKU!$B$18:$B$57,0),1),"UNKNOWN SKU")</f>
        <v>KNMW 500ml</v>
      </c>
      <c r="K111" s="63" t="s">
        <v>543</v>
      </c>
      <c r="L111" s="276">
        <v>6</v>
      </c>
      <c r="M111" s="91" cm="1">
        <f t="array" ref="M111">IFERROR(INDEX(M_DepotPrice!$C$10:$C$52,MATCH(1,(M_DepotPrice!$A$10:$A$52=I111)*(M_DepotPrice!$H$10:$H$52=IFERROR(INDEX(M_Depot!$A$7:$A$24,MATCH(F111,M_Depot!$B$7:$B$24,0)),""))*(M_DepotPrice!$G$10:$G$52="Special"),0)),INDEX(M_DepotPrice!$C$10:$C$52,MATCH(1,(M_DepotPrice!$A$10:$A$52=I111)*(M_DepotPrice!$G$10:$G$52="Default"),0)))</f>
        <v>3559</v>
      </c>
      <c r="N111" s="67">
        <f t="shared" si="3"/>
        <v>25197.719999999998</v>
      </c>
      <c r="O111" s="66" t="str">
        <f t="shared" si="2"/>
        <v>MOS100079|KD001|CK6-986</v>
      </c>
    </row>
    <row r="112" spans="1:15" ht="15" customHeight="1" x14ac:dyDescent="0.3">
      <c r="A112" s="70" t="s">
        <v>775</v>
      </c>
      <c r="B112" s="70" t="s">
        <v>559</v>
      </c>
      <c r="C112" s="72">
        <v>46179</v>
      </c>
      <c r="D112" s="73" t="s">
        <v>395</v>
      </c>
      <c r="E112" s="76" t="str">
        <f>IFERROR(INDEX(M_User!$A$12:$J$67,MATCH(D112,M_User!$D$12:$D$67,0),3),"UNMAPPED")</f>
        <v>Meshack  Jeremiah</v>
      </c>
      <c r="F112" s="75" t="str">
        <f>IFERROR(INDEX(M_User!$A$12:$J$67,MATCH(D112,M_User!$D$12:$D$67,0),5),"UNMAPPED")</f>
        <v>MOS</v>
      </c>
      <c r="G112" s="73" t="s">
        <v>768</v>
      </c>
      <c r="H112" s="92" t="s">
        <v>769</v>
      </c>
      <c r="I112" s="73" t="s">
        <v>217</v>
      </c>
      <c r="J112" s="76" t="str">
        <f>IFERROR(INDEX(M_SKU!$A$18:$J$57,MATCH(I112,M_SKU!$B$18:$B$57,0),1),"UNKNOWN SKU")</f>
        <v>KNMW 1500ml</v>
      </c>
      <c r="K112" s="73" t="s">
        <v>551</v>
      </c>
      <c r="L112" s="276">
        <v>28</v>
      </c>
      <c r="M112" s="94" cm="1">
        <f t="array" ref="M112">IFERROR(INDEX(M_DepotPrice!$C$10:$C$52,MATCH(1,(M_DepotPrice!$A$10:$A$52=I112)*(M_DepotPrice!$H$10:$H$52=IFERROR(INDEX(M_Depot!$A$7:$A$24,MATCH(F112,M_Depot!$B$7:$B$24,0)),""))*(M_DepotPrice!$G$10:$G$52="Special"),0)),INDEX(M_DepotPrice!$C$10:$C$52,MATCH(1,(M_DepotPrice!$A$10:$A$52=I112)*(M_DepotPrice!$G$10:$G$52="Default"),0)))</f>
        <v>3983</v>
      </c>
      <c r="N112" s="95">
        <f t="shared" si="3"/>
        <v>131598.32</v>
      </c>
      <c r="O112" s="82" t="str">
        <f t="shared" si="2"/>
        <v>MOS100079|KD003|CK4-842</v>
      </c>
    </row>
    <row r="113" spans="1:15" ht="15" customHeight="1" x14ac:dyDescent="0.3">
      <c r="A113" s="60" t="s">
        <v>776</v>
      </c>
      <c r="B113" s="60" t="s">
        <v>559</v>
      </c>
      <c r="C113" s="62">
        <v>46179</v>
      </c>
      <c r="D113" s="63" t="s">
        <v>395</v>
      </c>
      <c r="E113" s="66" t="str">
        <f>IFERROR(INDEX(M_User!$A$12:$J$67,MATCH(D113,M_User!$D$12:$D$67,0),3),"UNMAPPED")</f>
        <v>Meshack  Jeremiah</v>
      </c>
      <c r="F113" s="65" t="str">
        <f>IFERROR(INDEX(M_User!$A$12:$J$67,MATCH(D113,M_User!$D$12:$D$67,0),5),"UNMAPPED")</f>
        <v>MOS</v>
      </c>
      <c r="G113" s="63" t="s">
        <v>768</v>
      </c>
      <c r="H113" s="69" t="s">
        <v>769</v>
      </c>
      <c r="I113" s="63" t="s">
        <v>229</v>
      </c>
      <c r="J113" s="66" t="str">
        <f>IFERROR(INDEX(M_SKU!$A$18:$J$57,MATCH(I113,M_SKU!$B$18:$B$57,0),1),"UNKNOWN SKU")</f>
        <v>Coke Pet 500ML ( x12)</v>
      </c>
      <c r="K113" s="63" t="s">
        <v>520</v>
      </c>
      <c r="L113" s="276">
        <v>8</v>
      </c>
      <c r="M113" s="91" cm="1">
        <f t="array" ref="M113">IFERROR(INDEX(M_DepotPrice!$C$10:$C$52,MATCH(1,(M_DepotPrice!$A$10:$A$52=I113)*(M_DepotPrice!$H$10:$H$52=IFERROR(INDEX(M_Depot!$A$7:$A$24,MATCH(F113,M_Depot!$B$7:$B$24,0)),""))*(M_DepotPrice!$G$10:$G$52="Special"),0)),INDEX(M_DepotPrice!$C$10:$C$52,MATCH(1,(M_DepotPrice!$A$10:$A$52=I113)*(M_DepotPrice!$G$10:$G$52="Default"),0)))</f>
        <v>8898</v>
      </c>
      <c r="N113" s="67">
        <f t="shared" si="3"/>
        <v>83997.119999999995</v>
      </c>
      <c r="O113" s="66" t="str">
        <f t="shared" si="2"/>
        <v>MOS100079|PH001|CK6-33411</v>
      </c>
    </row>
    <row r="114" spans="1:15" ht="15" customHeight="1" x14ac:dyDescent="0.3">
      <c r="A114" s="70" t="s">
        <v>777</v>
      </c>
      <c r="B114" s="70" t="s">
        <v>559</v>
      </c>
      <c r="C114" s="72">
        <v>46179</v>
      </c>
      <c r="D114" s="73" t="s">
        <v>395</v>
      </c>
      <c r="E114" s="76" t="str">
        <f>IFERROR(INDEX(M_User!$A$12:$J$67,MATCH(D114,M_User!$D$12:$D$67,0),3),"UNMAPPED")</f>
        <v>Meshack  Jeremiah</v>
      </c>
      <c r="F114" s="75" t="str">
        <f>IFERROR(INDEX(M_User!$A$12:$J$67,MATCH(D114,M_User!$D$12:$D$67,0),5),"UNMAPPED")</f>
        <v>MOS</v>
      </c>
      <c r="G114" s="73" t="s">
        <v>768</v>
      </c>
      <c r="H114" s="92" t="s">
        <v>769</v>
      </c>
      <c r="I114" s="73" t="s">
        <v>232</v>
      </c>
      <c r="J114" s="76" t="str">
        <f>IFERROR(INDEX(M_SKU!$A$18:$J$57,MATCH(I114,M_SKU!$B$18:$B$57,0),1),"UNKNOWN SKU")</f>
        <v>Sprite Pet 500ML (x 12)</v>
      </c>
      <c r="K114" s="73" t="s">
        <v>522</v>
      </c>
      <c r="L114" s="276">
        <v>4</v>
      </c>
      <c r="M114" s="94" cm="1">
        <f t="array" ref="M114">IFERROR(INDEX(M_DepotPrice!$C$10:$C$52,MATCH(1,(M_DepotPrice!$A$10:$A$52=I114)*(M_DepotPrice!$H$10:$H$52=IFERROR(INDEX(M_Depot!$A$7:$A$24,MATCH(F114,M_Depot!$B$7:$B$24,0)),""))*(M_DepotPrice!$G$10:$G$52="Special"),0)),INDEX(M_DepotPrice!$C$10:$C$52,MATCH(1,(M_DepotPrice!$A$10:$A$52=I114)*(M_DepotPrice!$G$10:$G$52="Default"),0)))</f>
        <v>8898</v>
      </c>
      <c r="N114" s="95">
        <f t="shared" si="3"/>
        <v>41998.559999999998</v>
      </c>
      <c r="O114" s="82" t="str">
        <f t="shared" si="2"/>
        <v>MOS100079|PH002|CK6-33362</v>
      </c>
    </row>
    <row r="115" spans="1:15" ht="15" customHeight="1" x14ac:dyDescent="0.3">
      <c r="A115" s="60" t="s">
        <v>778</v>
      </c>
      <c r="B115" s="60" t="s">
        <v>559</v>
      </c>
      <c r="C115" s="62">
        <v>46179</v>
      </c>
      <c r="D115" s="63" t="s">
        <v>395</v>
      </c>
      <c r="E115" s="66" t="str">
        <f>IFERROR(INDEX(M_User!$A$12:$J$67,MATCH(D115,M_User!$D$12:$D$67,0),3),"UNMAPPED")</f>
        <v>Meshack  Jeremiah</v>
      </c>
      <c r="F115" s="65" t="str">
        <f>IFERROR(INDEX(M_User!$A$12:$J$67,MATCH(D115,M_User!$D$12:$D$67,0),5),"UNMAPPED")</f>
        <v>MOS</v>
      </c>
      <c r="G115" s="63" t="s">
        <v>768</v>
      </c>
      <c r="H115" s="69" t="s">
        <v>769</v>
      </c>
      <c r="I115" s="63" t="s">
        <v>236</v>
      </c>
      <c r="J115" s="66" t="str">
        <f>IFERROR(INDEX(M_SKU!$A$18:$J$57,MATCH(I115,M_SKU!$B$18:$B$57,0),1),"UNKNOWN SKU")</f>
        <v>Fanta Passion Pet 500ML ( x12)</v>
      </c>
      <c r="K115" s="63" t="s">
        <v>524</v>
      </c>
      <c r="L115" s="276">
        <v>3</v>
      </c>
      <c r="M115" s="91" cm="1">
        <f t="array" ref="M115">IFERROR(INDEX(M_DepotPrice!$C$10:$C$52,MATCH(1,(M_DepotPrice!$A$10:$A$52=I115)*(M_DepotPrice!$H$10:$H$52=IFERROR(INDEX(M_Depot!$A$7:$A$24,MATCH(F115,M_Depot!$B$7:$B$24,0)),""))*(M_DepotPrice!$G$10:$G$52="Special"),0)),INDEX(M_DepotPrice!$C$10:$C$52,MATCH(1,(M_DepotPrice!$A$10:$A$52=I115)*(M_DepotPrice!$G$10:$G$52="Default"),0)))</f>
        <v>8898</v>
      </c>
      <c r="N115" s="67">
        <f t="shared" si="3"/>
        <v>31498.92</v>
      </c>
      <c r="O115" s="66" t="str">
        <f t="shared" si="2"/>
        <v>MOS100079|PH004|CK5-33334</v>
      </c>
    </row>
    <row r="116" spans="1:15" ht="15" customHeight="1" x14ac:dyDescent="0.3">
      <c r="A116" s="70" t="s">
        <v>779</v>
      </c>
      <c r="B116" s="70" t="s">
        <v>559</v>
      </c>
      <c r="C116" s="72">
        <v>46179</v>
      </c>
      <c r="D116" s="73" t="s">
        <v>395</v>
      </c>
      <c r="E116" s="76" t="str">
        <f>IFERROR(INDEX(M_User!$A$12:$J$67,MATCH(D116,M_User!$D$12:$D$67,0),3),"UNMAPPED")</f>
        <v>Meshack  Jeremiah</v>
      </c>
      <c r="F116" s="75" t="str">
        <f>IFERROR(INDEX(M_User!$A$12:$J$67,MATCH(D116,M_User!$D$12:$D$67,0),5),"UNMAPPED")</f>
        <v>MOS</v>
      </c>
      <c r="G116" s="73" t="s">
        <v>768</v>
      </c>
      <c r="H116" s="92" t="s">
        <v>769</v>
      </c>
      <c r="I116" s="73" t="s">
        <v>244</v>
      </c>
      <c r="J116" s="76" t="str">
        <f>IFERROR(INDEX(M_SKU!$A$18:$J$57,MATCH(I116,M_SKU!$B$18:$B$57,0),1),"UNKNOWN SKU")</f>
        <v>Sparletta Pinenut Pet 500 ml ( x12)</v>
      </c>
      <c r="K116" s="73" t="s">
        <v>526</v>
      </c>
      <c r="L116" s="276">
        <v>2</v>
      </c>
      <c r="M116" s="94" cm="1">
        <f t="array" ref="M116">IFERROR(INDEX(M_DepotPrice!$C$10:$C$52,MATCH(1,(M_DepotPrice!$A$10:$A$52=I116)*(M_DepotPrice!$H$10:$H$52=IFERROR(INDEX(M_Depot!$A$7:$A$24,MATCH(F116,M_Depot!$B$7:$B$24,0)),""))*(M_DepotPrice!$G$10:$G$52="Special"),0)),INDEX(M_DepotPrice!$C$10:$C$52,MATCH(1,(M_DepotPrice!$A$10:$A$52=I116)*(M_DepotPrice!$G$10:$G$52="Default"),0)))</f>
        <v>8898</v>
      </c>
      <c r="N116" s="95">
        <f t="shared" si="3"/>
        <v>20999.279999999999</v>
      </c>
      <c r="O116" s="82" t="str">
        <f t="shared" si="2"/>
        <v>MOS100079|PH008|CK5-33370</v>
      </c>
    </row>
    <row r="117" spans="1:15" ht="15" customHeight="1" x14ac:dyDescent="0.3">
      <c r="A117" s="60" t="s">
        <v>780</v>
      </c>
      <c r="B117" s="60" t="s">
        <v>559</v>
      </c>
      <c r="C117" s="62">
        <v>46179</v>
      </c>
      <c r="D117" s="63" t="s">
        <v>395</v>
      </c>
      <c r="E117" s="66" t="str">
        <f>IFERROR(INDEX(M_User!$A$12:$J$67,MATCH(D117,M_User!$D$12:$D$67,0),3),"UNMAPPED")</f>
        <v>Meshack  Jeremiah</v>
      </c>
      <c r="F117" s="65" t="str">
        <f>IFERROR(INDEX(M_User!$A$12:$J$67,MATCH(D117,M_User!$D$12:$D$67,0),5),"UNMAPPED")</f>
        <v>MOS</v>
      </c>
      <c r="G117" s="63" t="s">
        <v>768</v>
      </c>
      <c r="H117" s="69" t="s">
        <v>769</v>
      </c>
      <c r="I117" s="63" t="s">
        <v>252</v>
      </c>
      <c r="J117" s="66" t="str">
        <f>IFERROR(INDEX(M_SKU!$A$18:$J$57,MATCH(I117,M_SKU!$B$18:$B$57,0),1),"UNKNOWN SKU")</f>
        <v>Sprite Zero Pet 300ML (x 12)</v>
      </c>
      <c r="K117" s="63" t="s">
        <v>545</v>
      </c>
      <c r="L117" s="276">
        <v>1</v>
      </c>
      <c r="M117" s="91" cm="1">
        <f t="array" ref="M117">IFERROR(INDEX(M_DepotPrice!$C$10:$C$52,MATCH(1,(M_DepotPrice!$A$10:$A$52=I117)*(M_DepotPrice!$H$10:$H$52=IFERROR(INDEX(M_Depot!$A$7:$A$24,MATCH(F117,M_Depot!$B$7:$B$24,0)),""))*(M_DepotPrice!$G$10:$G$52="Special"),0)),INDEX(M_DepotPrice!$C$10:$C$52,MATCH(1,(M_DepotPrice!$A$10:$A$52=I117)*(M_DepotPrice!$G$10:$G$52="Default"),0)))</f>
        <v>5085</v>
      </c>
      <c r="N117" s="67">
        <f t="shared" si="3"/>
        <v>6000.2999999999993</v>
      </c>
      <c r="O117" s="66" t="str">
        <f t="shared" si="2"/>
        <v>MOS100079|PO010|CK5-33360</v>
      </c>
    </row>
    <row r="118" spans="1:15" ht="15" customHeight="1" x14ac:dyDescent="0.3">
      <c r="A118" s="70" t="s">
        <v>781</v>
      </c>
      <c r="B118" s="70" t="s">
        <v>559</v>
      </c>
      <c r="C118" s="72">
        <v>46179</v>
      </c>
      <c r="D118" s="73" t="s">
        <v>395</v>
      </c>
      <c r="E118" s="76" t="str">
        <f>IFERROR(INDEX(M_User!$A$12:$J$67,MATCH(D118,M_User!$D$12:$D$67,0),3),"UNMAPPED")</f>
        <v>Meshack  Jeremiah</v>
      </c>
      <c r="F118" s="75" t="str">
        <f>IFERROR(INDEX(M_User!$A$12:$J$67,MATCH(D118,M_User!$D$12:$D$67,0),5),"UNMAPPED")</f>
        <v>MOS</v>
      </c>
      <c r="G118" s="73" t="s">
        <v>768</v>
      </c>
      <c r="H118" s="92" t="s">
        <v>769</v>
      </c>
      <c r="I118" s="73" t="s">
        <v>261</v>
      </c>
      <c r="J118" s="76" t="str">
        <f>IFERROR(INDEX(M_SKU!$A$18:$J$57,MATCH(I118,M_SKU!$B$18:$B$57,0),1),"UNKNOWN SKU")</f>
        <v>Sparletta Pine Apple Pet 300ML (x 12)</v>
      </c>
      <c r="K118" s="73" t="s">
        <v>547</v>
      </c>
      <c r="L118" s="276">
        <v>2</v>
      </c>
      <c r="M118" s="94" cm="1">
        <f t="array" ref="M118">IFERROR(INDEX(M_DepotPrice!$C$10:$C$52,MATCH(1,(M_DepotPrice!$A$10:$A$52=I118)*(M_DepotPrice!$H$10:$H$52=IFERROR(INDEX(M_Depot!$A$7:$A$24,MATCH(F118,M_Depot!$B$7:$B$24,0)),""))*(M_DepotPrice!$G$10:$G$52="Special"),0)),INDEX(M_DepotPrice!$C$10:$C$52,MATCH(1,(M_DepotPrice!$A$10:$A$52=I118)*(M_DepotPrice!$G$10:$G$52="Default"),0)))</f>
        <v>5085</v>
      </c>
      <c r="N118" s="95">
        <f t="shared" si="3"/>
        <v>12000.599999999999</v>
      </c>
      <c r="O118" s="82" t="str">
        <f t="shared" si="2"/>
        <v>MOS100079|PO015|CK5-33366</v>
      </c>
    </row>
    <row r="119" spans="1:15" ht="15" customHeight="1" x14ac:dyDescent="0.3">
      <c r="A119" s="60" t="s">
        <v>782</v>
      </c>
      <c r="B119" s="60" t="s">
        <v>559</v>
      </c>
      <c r="C119" s="62">
        <v>46179</v>
      </c>
      <c r="D119" s="63" t="s">
        <v>395</v>
      </c>
      <c r="E119" s="66" t="str">
        <f>IFERROR(INDEX(M_User!$A$12:$J$67,MATCH(D119,M_User!$D$12:$D$67,0),3),"UNMAPPED")</f>
        <v>Meshack  Jeremiah</v>
      </c>
      <c r="F119" s="65" t="str">
        <f>IFERROR(INDEX(M_User!$A$12:$J$67,MATCH(D119,M_User!$D$12:$D$67,0),5),"UNMAPPED")</f>
        <v>MOS</v>
      </c>
      <c r="G119" s="63" t="s">
        <v>783</v>
      </c>
      <c r="H119" s="69" t="s">
        <v>784</v>
      </c>
      <c r="I119" s="63" t="s">
        <v>181</v>
      </c>
      <c r="J119" s="66" t="str">
        <f>IFERROR(INDEX(M_SKU!$A$18:$J$57,MATCH(I119,M_SKU!$B$18:$B$57,0),1),"UNKNOWN SKU")</f>
        <v>Fanta Passion RGB 350ml</v>
      </c>
      <c r="K119" s="63" t="s">
        <v>550</v>
      </c>
      <c r="L119" s="276">
        <v>2.1796000000000002</v>
      </c>
      <c r="M119" s="91" cm="1">
        <f t="array" ref="M119">IFERROR(INDEX(M_DepotPrice!$C$10:$C$52,MATCH(1,(M_DepotPrice!$A$10:$A$52=I119)*(M_DepotPrice!$H$10:$H$52=IFERROR(INDEX(M_Depot!$A$7:$A$24,MATCH(F119,M_Depot!$B$7:$B$24,0)),""))*(M_DepotPrice!$G$10:$G$52="Special"),0)),INDEX(M_DepotPrice!$C$10:$C$52,MATCH(1,(M_DepotPrice!$A$10:$A$52=I119)*(M_DepotPrice!$G$10:$G$52="Default"),0)))</f>
        <v>11780</v>
      </c>
      <c r="N119" s="67">
        <f t="shared" si="3"/>
        <v>30297.311840000002</v>
      </c>
      <c r="O119" s="66" t="str">
        <f t="shared" si="2"/>
        <v>MOS100079|FG003|CK3-33356</v>
      </c>
    </row>
    <row r="120" spans="1:15" ht="15" customHeight="1" x14ac:dyDescent="0.3">
      <c r="A120" s="70" t="s">
        <v>785</v>
      </c>
      <c r="B120" s="70" t="s">
        <v>559</v>
      </c>
      <c r="C120" s="72">
        <v>46179</v>
      </c>
      <c r="D120" s="73" t="s">
        <v>395</v>
      </c>
      <c r="E120" s="76" t="str">
        <f>IFERROR(INDEX(M_User!$A$12:$J$67,MATCH(D120,M_User!$D$12:$D$67,0),3),"UNMAPPED")</f>
        <v>Meshack  Jeremiah</v>
      </c>
      <c r="F120" s="75" t="str">
        <f>IFERROR(INDEX(M_User!$A$12:$J$67,MATCH(D120,M_User!$D$12:$D$67,0),5),"UNMAPPED")</f>
        <v>MOS</v>
      </c>
      <c r="G120" s="73" t="s">
        <v>783</v>
      </c>
      <c r="H120" s="92" t="s">
        <v>784</v>
      </c>
      <c r="I120" s="73" t="s">
        <v>185</v>
      </c>
      <c r="J120" s="76" t="str">
        <f>IFERROR(INDEX(M_SKU!$A$18:$J$57,MATCH(I120,M_SKU!$B$18:$B$57,0),1),"UNKNOWN SKU")</f>
        <v>Fanta Fruit Blast RGB 350 ml</v>
      </c>
      <c r="K120" s="73" t="s">
        <v>534</v>
      </c>
      <c r="L120" s="276">
        <v>0.64259999999999995</v>
      </c>
      <c r="M120" s="94" cm="1">
        <f t="array" ref="M120">IFERROR(INDEX(M_DepotPrice!$C$10:$C$52,MATCH(1,(M_DepotPrice!$A$10:$A$52=I120)*(M_DepotPrice!$H$10:$H$52=IFERROR(INDEX(M_Depot!$A$7:$A$24,MATCH(F120,M_Depot!$B$7:$B$24,0)),""))*(M_DepotPrice!$G$10:$G$52="Special"),0)),INDEX(M_DepotPrice!$C$10:$C$52,MATCH(1,(M_DepotPrice!$A$10:$A$52=I120)*(M_DepotPrice!$G$10:$G$52="Default"),0)))</f>
        <v>11780</v>
      </c>
      <c r="N120" s="95">
        <f t="shared" si="3"/>
        <v>8932.3970399999998</v>
      </c>
      <c r="O120" s="82" t="str">
        <f t="shared" si="2"/>
        <v>MOS100079|FG005|CK3-33402</v>
      </c>
    </row>
    <row r="121" spans="1:15" ht="15" customHeight="1" x14ac:dyDescent="0.3">
      <c r="A121" s="60" t="s">
        <v>786</v>
      </c>
      <c r="B121" s="60" t="s">
        <v>559</v>
      </c>
      <c r="C121" s="62">
        <v>46179</v>
      </c>
      <c r="D121" s="63" t="s">
        <v>395</v>
      </c>
      <c r="E121" s="66" t="str">
        <f>IFERROR(INDEX(M_User!$A$12:$J$67,MATCH(D121,M_User!$D$12:$D$67,0),3),"UNMAPPED")</f>
        <v>Meshack  Jeremiah</v>
      </c>
      <c r="F121" s="65" t="str">
        <f>IFERROR(INDEX(M_User!$A$12:$J$67,MATCH(D121,M_User!$D$12:$D$67,0),5),"UNMAPPED")</f>
        <v>MOS</v>
      </c>
      <c r="G121" s="63" t="s">
        <v>783</v>
      </c>
      <c r="H121" s="69" t="s">
        <v>784</v>
      </c>
      <c r="I121" s="63" t="s">
        <v>187</v>
      </c>
      <c r="J121" s="66" t="str">
        <f>IFERROR(INDEX(M_SKU!$A$18:$J$57,MATCH(I121,M_SKU!$B$18:$B$57,0),1),"UNKNOWN SKU")</f>
        <v>Sprite 350ml</v>
      </c>
      <c r="K121" s="63" t="s">
        <v>535</v>
      </c>
      <c r="L121" s="276">
        <v>1.13078745364078</v>
      </c>
      <c r="M121" s="91" cm="1">
        <f t="array" ref="M121">IFERROR(INDEX(M_DepotPrice!$C$10:$C$52,MATCH(1,(M_DepotPrice!$A$10:$A$52=I121)*(M_DepotPrice!$H$10:$H$52=IFERROR(INDEX(M_Depot!$A$7:$A$24,MATCH(F121,M_Depot!$B$7:$B$24,0)),""))*(M_DepotPrice!$G$10:$G$52="Special"),0)),INDEX(M_DepotPrice!$C$10:$C$52,MATCH(1,(M_DepotPrice!$A$10:$A$52=I121)*(M_DepotPrice!$G$10:$G$52="Default"),0)))</f>
        <v>11780</v>
      </c>
      <c r="N121" s="67">
        <f t="shared" si="3"/>
        <v>15718.397920588297</v>
      </c>
      <c r="O121" s="66" t="str">
        <f t="shared" si="2"/>
        <v>MOS100079|FG006|CK3-33414</v>
      </c>
    </row>
    <row r="122" spans="1:15" ht="15" customHeight="1" x14ac:dyDescent="0.3">
      <c r="A122" s="70" t="s">
        <v>787</v>
      </c>
      <c r="B122" s="70" t="s">
        <v>559</v>
      </c>
      <c r="C122" s="72">
        <v>46179</v>
      </c>
      <c r="D122" s="73" t="s">
        <v>395</v>
      </c>
      <c r="E122" s="76" t="str">
        <f>IFERROR(INDEX(M_User!$A$12:$J$67,MATCH(D122,M_User!$D$12:$D$67,0),3),"UNMAPPED")</f>
        <v>Meshack  Jeremiah</v>
      </c>
      <c r="F122" s="75" t="str">
        <f>IFERROR(INDEX(M_User!$A$12:$J$67,MATCH(D122,M_User!$D$12:$D$67,0),5),"UNMAPPED")</f>
        <v>MOS</v>
      </c>
      <c r="G122" s="73" t="s">
        <v>783</v>
      </c>
      <c r="H122" s="92" t="s">
        <v>784</v>
      </c>
      <c r="I122" s="73" t="s">
        <v>190</v>
      </c>
      <c r="J122" s="76" t="str">
        <f>IFERROR(INDEX(M_SKU!$A$18:$J$57,MATCH(I122,M_SKU!$B$18:$B$57,0),1),"UNKNOWN SKU")</f>
        <v>Stoney Tangawizi RGB 350ml</v>
      </c>
      <c r="K122" s="73" t="s">
        <v>536</v>
      </c>
      <c r="L122" s="276">
        <v>1.0129999999999999</v>
      </c>
      <c r="M122" s="94" cm="1">
        <f t="array" ref="M122">IFERROR(INDEX(M_DepotPrice!$C$10:$C$52,MATCH(1,(M_DepotPrice!$A$10:$A$52=I122)*(M_DepotPrice!$H$10:$H$52=IFERROR(INDEX(M_Depot!$A$7:$A$24,MATCH(F122,M_Depot!$B$7:$B$24,0)),""))*(M_DepotPrice!$G$10:$G$52="Special"),0)),INDEX(M_DepotPrice!$C$10:$C$52,MATCH(1,(M_DepotPrice!$A$10:$A$52=I122)*(M_DepotPrice!$G$10:$G$52="Default"),0)))</f>
        <v>11780</v>
      </c>
      <c r="N122" s="95">
        <f t="shared" si="3"/>
        <v>14081.105199999998</v>
      </c>
      <c r="O122" s="82" t="str">
        <f t="shared" si="2"/>
        <v>MOS100079|FG007|CK3-33404</v>
      </c>
    </row>
    <row r="123" spans="1:15" ht="15" customHeight="1" x14ac:dyDescent="0.3">
      <c r="A123" s="60" t="s">
        <v>788</v>
      </c>
      <c r="B123" s="60" t="s">
        <v>559</v>
      </c>
      <c r="C123" s="62">
        <v>46179</v>
      </c>
      <c r="D123" s="63" t="s">
        <v>395</v>
      </c>
      <c r="E123" s="66" t="str">
        <f>IFERROR(INDEX(M_User!$A$12:$J$67,MATCH(D123,M_User!$D$12:$D$67,0),3),"UNMAPPED")</f>
        <v>Meshack  Jeremiah</v>
      </c>
      <c r="F123" s="65" t="str">
        <f>IFERROR(INDEX(M_User!$A$12:$J$67,MATCH(D123,M_User!$D$12:$D$67,0),5),"UNMAPPED")</f>
        <v>MOS</v>
      </c>
      <c r="G123" s="63" t="s">
        <v>783</v>
      </c>
      <c r="H123" s="69" t="s">
        <v>784</v>
      </c>
      <c r="I123" s="63" t="s">
        <v>196</v>
      </c>
      <c r="J123" s="66" t="str">
        <f>IFERROR(INDEX(M_SKU!$A$18:$J$57,MATCH(I123,M_SKU!$B$18:$B$57,0),1),"UNKNOWN SKU")</f>
        <v>Krest Bitter Lemon RGB 300ml</v>
      </c>
      <c r="K123" s="63" t="s">
        <v>538</v>
      </c>
      <c r="L123" s="276">
        <v>0.74196972409510398</v>
      </c>
      <c r="M123" s="91" cm="1">
        <f t="array" ref="M123">IFERROR(INDEX(M_DepotPrice!$C$10:$C$52,MATCH(1,(M_DepotPrice!$A$10:$A$52=I123)*(M_DepotPrice!$H$10:$H$52=IFERROR(INDEX(M_Depot!$A$7:$A$24,MATCH(F123,M_Depot!$B$7:$B$24,0)),""))*(M_DepotPrice!$G$10:$G$52="Special"),0)),INDEX(M_DepotPrice!$C$10:$C$52,MATCH(1,(M_DepotPrice!$A$10:$A$52=I123)*(M_DepotPrice!$G$10:$G$52="Default"),0)))</f>
        <v>11780</v>
      </c>
      <c r="N123" s="67">
        <f t="shared" si="3"/>
        <v>10313.675952811582</v>
      </c>
      <c r="O123" s="66" t="str">
        <f t="shared" si="2"/>
        <v>MOS100079|FG009|CK3-33348</v>
      </c>
    </row>
    <row r="124" spans="1:15" ht="15" customHeight="1" x14ac:dyDescent="0.3">
      <c r="A124" s="70" t="s">
        <v>789</v>
      </c>
      <c r="B124" s="70" t="s">
        <v>559</v>
      </c>
      <c r="C124" s="72">
        <v>46179</v>
      </c>
      <c r="D124" s="73" t="s">
        <v>395</v>
      </c>
      <c r="E124" s="76" t="str">
        <f>IFERROR(INDEX(M_User!$A$12:$J$67,MATCH(D124,M_User!$D$12:$D$67,0),3),"UNMAPPED")</f>
        <v>Meshack  Jeremiah</v>
      </c>
      <c r="F124" s="75" t="str">
        <f>IFERROR(INDEX(M_User!$A$12:$J$67,MATCH(D124,M_User!$D$12:$D$67,0),5),"UNMAPPED")</f>
        <v>MOS</v>
      </c>
      <c r="G124" s="73" t="s">
        <v>783</v>
      </c>
      <c r="H124" s="92" t="s">
        <v>784</v>
      </c>
      <c r="I124" s="73" t="s">
        <v>199</v>
      </c>
      <c r="J124" s="76" t="str">
        <f>IFERROR(INDEX(M_SKU!$A$18:$J$57,MATCH(I124,M_SKU!$B$18:$B$57,0),1),"UNKNOWN SKU")</f>
        <v>Krest Club Soda RGB 300ml</v>
      </c>
      <c r="K124" s="73" t="s">
        <v>539</v>
      </c>
      <c r="L124" s="276">
        <v>0.50509999999999999</v>
      </c>
      <c r="M124" s="94" cm="1">
        <f t="array" ref="M124">IFERROR(INDEX(M_DepotPrice!$C$10:$C$52,MATCH(1,(M_DepotPrice!$A$10:$A$52=I124)*(M_DepotPrice!$H$10:$H$52=IFERROR(INDEX(M_Depot!$A$7:$A$24,MATCH(F124,M_Depot!$B$7:$B$24,0)),""))*(M_DepotPrice!$G$10:$G$52="Special"),0)),INDEX(M_DepotPrice!$C$10:$C$52,MATCH(1,(M_DepotPrice!$A$10:$A$52=I124)*(M_DepotPrice!$G$10:$G$52="Default"),0)))</f>
        <v>11780</v>
      </c>
      <c r="N124" s="95">
        <f t="shared" si="3"/>
        <v>7021.0920399999986</v>
      </c>
      <c r="O124" s="82" t="str">
        <f t="shared" si="2"/>
        <v>MOS100079|FG010|CK3-33301</v>
      </c>
    </row>
    <row r="125" spans="1:15" ht="15" customHeight="1" x14ac:dyDescent="0.3">
      <c r="A125" s="60" t="s">
        <v>790</v>
      </c>
      <c r="B125" s="60" t="s">
        <v>559</v>
      </c>
      <c r="C125" s="62">
        <v>46179</v>
      </c>
      <c r="D125" s="63" t="s">
        <v>395</v>
      </c>
      <c r="E125" s="66" t="str">
        <f>IFERROR(INDEX(M_User!$A$12:$J$67,MATCH(D125,M_User!$D$12:$D$67,0),3),"UNMAPPED")</f>
        <v>Meshack  Jeremiah</v>
      </c>
      <c r="F125" s="65" t="str">
        <f>IFERROR(INDEX(M_User!$A$12:$J$67,MATCH(D125,M_User!$D$12:$D$67,0),5),"UNMAPPED")</f>
        <v>MOS</v>
      </c>
      <c r="G125" s="63" t="s">
        <v>783</v>
      </c>
      <c r="H125" s="69" t="s">
        <v>784</v>
      </c>
      <c r="I125" s="63" t="s">
        <v>201</v>
      </c>
      <c r="J125" s="66" t="str">
        <f>IFERROR(INDEX(M_SKU!$A$18:$J$57,MATCH(I125,M_SKU!$B$18:$B$57,0),1),"UNKNOWN SKU")</f>
        <v>Krest Tonic Water RGB 300ml</v>
      </c>
      <c r="K125" s="63" t="s">
        <v>540</v>
      </c>
      <c r="L125" s="276">
        <v>0.369800974091539</v>
      </c>
      <c r="M125" s="91" cm="1">
        <f t="array" ref="M125">IFERROR(INDEX(M_DepotPrice!$C$10:$C$52,MATCH(1,(M_DepotPrice!$A$10:$A$52=I125)*(M_DepotPrice!$H$10:$H$52=IFERROR(INDEX(M_Depot!$A$7:$A$24,MATCH(F125,M_Depot!$B$7:$B$24,0)),""))*(M_DepotPrice!$G$10:$G$52="Special"),0)),INDEX(M_DepotPrice!$C$10:$C$52,MATCH(1,(M_DepotPrice!$A$10:$A$52=I125)*(M_DepotPrice!$G$10:$G$52="Default"),0)))</f>
        <v>11780</v>
      </c>
      <c r="N125" s="67">
        <f t="shared" si="3"/>
        <v>5140.3814602620287</v>
      </c>
      <c r="O125" s="66" t="str">
        <f t="shared" si="2"/>
        <v>MOS100079|FG011|CK3-33347</v>
      </c>
    </row>
    <row r="126" spans="1:15" ht="15" customHeight="1" x14ac:dyDescent="0.3">
      <c r="A126" s="70" t="s">
        <v>791</v>
      </c>
      <c r="B126" s="70" t="s">
        <v>559</v>
      </c>
      <c r="C126" s="72">
        <v>46179</v>
      </c>
      <c r="D126" s="73" t="s">
        <v>395</v>
      </c>
      <c r="E126" s="76" t="str">
        <f>IFERROR(INDEX(M_User!$A$12:$J$67,MATCH(D126,M_User!$D$12:$D$67,0),3),"UNMAPPED")</f>
        <v>Meshack  Jeremiah</v>
      </c>
      <c r="F126" s="75" t="str">
        <f>IFERROR(INDEX(M_User!$A$12:$J$67,MATCH(D126,M_User!$D$12:$D$67,0),5),"UNMAPPED")</f>
        <v>MOS</v>
      </c>
      <c r="G126" s="73" t="s">
        <v>783</v>
      </c>
      <c r="H126" s="92" t="s">
        <v>784</v>
      </c>
      <c r="I126" s="73" t="s">
        <v>209</v>
      </c>
      <c r="J126" s="76" t="str">
        <f>IFERROR(INDEX(M_SKU!$A$18:$J$57,MATCH(I126,M_SKU!$B$18:$B$57,0),1),"UNKNOWN SKU")</f>
        <v>Sparletta Red Apple RGB 350ml</v>
      </c>
      <c r="K126" s="73" t="s">
        <v>542</v>
      </c>
      <c r="L126" s="276">
        <v>0.78220000000000001</v>
      </c>
      <c r="M126" s="94" cm="1">
        <f t="array" ref="M126">IFERROR(INDEX(M_DepotPrice!$C$10:$C$52,MATCH(1,(M_DepotPrice!$A$10:$A$52=I126)*(M_DepotPrice!$H$10:$H$52=IFERROR(INDEX(M_Depot!$A$7:$A$24,MATCH(F126,M_Depot!$B$7:$B$24,0)),""))*(M_DepotPrice!$G$10:$G$52="Special"),0)),INDEX(M_DepotPrice!$C$10:$C$52,MATCH(1,(M_DepotPrice!$A$10:$A$52=I126)*(M_DepotPrice!$G$10:$G$52="Default"),0)))</f>
        <v>11780</v>
      </c>
      <c r="N126" s="95">
        <f t="shared" si="3"/>
        <v>10872.892879999999</v>
      </c>
      <c r="O126" s="82" t="str">
        <f t="shared" si="2"/>
        <v>MOS100079|FG024|CK3-32758</v>
      </c>
    </row>
    <row r="127" spans="1:15" ht="15" customHeight="1" x14ac:dyDescent="0.3">
      <c r="A127" s="60" t="s">
        <v>792</v>
      </c>
      <c r="B127" s="60" t="s">
        <v>559</v>
      </c>
      <c r="C127" s="62">
        <v>46179</v>
      </c>
      <c r="D127" s="63" t="s">
        <v>395</v>
      </c>
      <c r="E127" s="66" t="str">
        <f>IFERROR(INDEX(M_User!$A$12:$J$67,MATCH(D127,M_User!$D$12:$D$67,0),3),"UNMAPPED")</f>
        <v>Meshack  Jeremiah</v>
      </c>
      <c r="F127" s="65" t="str">
        <f>IFERROR(INDEX(M_User!$A$12:$J$67,MATCH(D127,M_User!$D$12:$D$67,0),5),"UNMAPPED")</f>
        <v>MOS</v>
      </c>
      <c r="G127" s="63" t="s">
        <v>783</v>
      </c>
      <c r="H127" s="69" t="s">
        <v>784</v>
      </c>
      <c r="I127" s="63" t="s">
        <v>217</v>
      </c>
      <c r="J127" s="66" t="str">
        <f>IFERROR(INDEX(M_SKU!$A$18:$J$57,MATCH(I127,M_SKU!$B$18:$B$57,0),1),"UNKNOWN SKU")</f>
        <v>KNMW 1500ml</v>
      </c>
      <c r="K127" s="63" t="s">
        <v>551</v>
      </c>
      <c r="L127" s="276">
        <v>17</v>
      </c>
      <c r="M127" s="91" cm="1">
        <f t="array" ref="M127">IFERROR(INDEX(M_DepotPrice!$C$10:$C$52,MATCH(1,(M_DepotPrice!$A$10:$A$52=I127)*(M_DepotPrice!$H$10:$H$52=IFERROR(INDEX(M_Depot!$A$7:$A$24,MATCH(F127,M_Depot!$B$7:$B$24,0)),""))*(M_DepotPrice!$G$10:$G$52="Special"),0)),INDEX(M_DepotPrice!$C$10:$C$52,MATCH(1,(M_DepotPrice!$A$10:$A$52=I127)*(M_DepotPrice!$G$10:$G$52="Default"),0)))</f>
        <v>3983</v>
      </c>
      <c r="N127" s="67">
        <f t="shared" si="3"/>
        <v>79898.98</v>
      </c>
      <c r="O127" s="66" t="str">
        <f t="shared" si="2"/>
        <v>MOS100079|KD003|CK4-842</v>
      </c>
    </row>
    <row r="128" spans="1:15" ht="15" customHeight="1" x14ac:dyDescent="0.3">
      <c r="A128" s="70" t="s">
        <v>793</v>
      </c>
      <c r="B128" s="70" t="s">
        <v>559</v>
      </c>
      <c r="C128" s="72">
        <v>46179</v>
      </c>
      <c r="D128" s="73" t="s">
        <v>395</v>
      </c>
      <c r="E128" s="76" t="str">
        <f>IFERROR(INDEX(M_User!$A$12:$J$67,MATCH(D128,M_User!$D$12:$D$67,0),3),"UNMAPPED")</f>
        <v>Meshack  Jeremiah</v>
      </c>
      <c r="F128" s="75" t="str">
        <f>IFERROR(INDEX(M_User!$A$12:$J$67,MATCH(D128,M_User!$D$12:$D$67,0),5),"UNMAPPED")</f>
        <v>MOS</v>
      </c>
      <c r="G128" s="73" t="s">
        <v>783</v>
      </c>
      <c r="H128" s="92" t="s">
        <v>784</v>
      </c>
      <c r="I128" s="73" t="s">
        <v>229</v>
      </c>
      <c r="J128" s="76" t="str">
        <f>IFERROR(INDEX(M_SKU!$A$18:$J$57,MATCH(I128,M_SKU!$B$18:$B$57,0),1),"UNKNOWN SKU")</f>
        <v>Coke Pet 500ML ( x12)</v>
      </c>
      <c r="K128" s="73" t="s">
        <v>520</v>
      </c>
      <c r="L128" s="276">
        <v>14</v>
      </c>
      <c r="M128" s="94" cm="1">
        <f t="array" ref="M128">IFERROR(INDEX(M_DepotPrice!$C$10:$C$52,MATCH(1,(M_DepotPrice!$A$10:$A$52=I128)*(M_DepotPrice!$H$10:$H$52=IFERROR(INDEX(M_Depot!$A$7:$A$24,MATCH(F128,M_Depot!$B$7:$B$24,0)),""))*(M_DepotPrice!$G$10:$G$52="Special"),0)),INDEX(M_DepotPrice!$C$10:$C$52,MATCH(1,(M_DepotPrice!$A$10:$A$52=I128)*(M_DepotPrice!$G$10:$G$52="Default"),0)))</f>
        <v>8898</v>
      </c>
      <c r="N128" s="95">
        <f t="shared" si="3"/>
        <v>146994.96</v>
      </c>
      <c r="O128" s="82" t="str">
        <f t="shared" si="2"/>
        <v>MOS100079|PH001|CK6-33411</v>
      </c>
    </row>
    <row r="129" spans="1:15" ht="15" customHeight="1" x14ac:dyDescent="0.3">
      <c r="A129" s="60" t="s">
        <v>794</v>
      </c>
      <c r="B129" s="60" t="s">
        <v>559</v>
      </c>
      <c r="C129" s="62">
        <v>46179</v>
      </c>
      <c r="D129" s="63" t="s">
        <v>395</v>
      </c>
      <c r="E129" s="66" t="str">
        <f>IFERROR(INDEX(M_User!$A$12:$J$67,MATCH(D129,M_User!$D$12:$D$67,0),3),"UNMAPPED")</f>
        <v>Meshack  Jeremiah</v>
      </c>
      <c r="F129" s="65" t="str">
        <f>IFERROR(INDEX(M_User!$A$12:$J$67,MATCH(D129,M_User!$D$12:$D$67,0),5),"UNMAPPED")</f>
        <v>MOS</v>
      </c>
      <c r="G129" s="63" t="s">
        <v>783</v>
      </c>
      <c r="H129" s="69" t="s">
        <v>784</v>
      </c>
      <c r="I129" s="63" t="s">
        <v>234</v>
      </c>
      <c r="J129" s="66" t="str">
        <f>IFERROR(INDEX(M_SKU!$A$18:$J$57,MATCH(I129,M_SKU!$B$18:$B$57,0),1),"UNKNOWN SKU")</f>
        <v>Fanta Orange Pet 500ML ( x 12)</v>
      </c>
      <c r="K129" s="63" t="s">
        <v>523</v>
      </c>
      <c r="L129" s="276">
        <v>7</v>
      </c>
      <c r="M129" s="91" cm="1">
        <f t="array" ref="M129">IFERROR(INDEX(M_DepotPrice!$C$10:$C$52,MATCH(1,(M_DepotPrice!$A$10:$A$52=I129)*(M_DepotPrice!$H$10:$H$52=IFERROR(INDEX(M_Depot!$A$7:$A$24,MATCH(F129,M_Depot!$B$7:$B$24,0)),""))*(M_DepotPrice!$G$10:$G$52="Special"),0)),INDEX(M_DepotPrice!$C$10:$C$52,MATCH(1,(M_DepotPrice!$A$10:$A$52=I129)*(M_DepotPrice!$G$10:$G$52="Default"),0)))</f>
        <v>8898</v>
      </c>
      <c r="N129" s="67">
        <f t="shared" si="3"/>
        <v>73497.48</v>
      </c>
      <c r="O129" s="66" t="str">
        <f t="shared" si="2"/>
        <v>MOS100079|PH003|CK6-33405</v>
      </c>
    </row>
    <row r="130" spans="1:15" ht="15" customHeight="1" x14ac:dyDescent="0.3">
      <c r="A130" s="70" t="s">
        <v>795</v>
      </c>
      <c r="B130" s="70" t="s">
        <v>559</v>
      </c>
      <c r="C130" s="72">
        <v>46179</v>
      </c>
      <c r="D130" s="73" t="s">
        <v>395</v>
      </c>
      <c r="E130" s="76" t="str">
        <f>IFERROR(INDEX(M_User!$A$12:$J$67,MATCH(D130,M_User!$D$12:$D$67,0),3),"UNMAPPED")</f>
        <v>Meshack  Jeremiah</v>
      </c>
      <c r="F130" s="75" t="str">
        <f>IFERROR(INDEX(M_User!$A$12:$J$67,MATCH(D130,M_User!$D$12:$D$67,0),5),"UNMAPPED")</f>
        <v>MOS</v>
      </c>
      <c r="G130" s="73" t="s">
        <v>783</v>
      </c>
      <c r="H130" s="92" t="s">
        <v>784</v>
      </c>
      <c r="I130" s="73" t="s">
        <v>252</v>
      </c>
      <c r="J130" s="76" t="str">
        <f>IFERROR(INDEX(M_SKU!$A$18:$J$57,MATCH(I130,M_SKU!$B$18:$B$57,0),1),"UNKNOWN SKU")</f>
        <v>Sprite Zero Pet 300ML (x 12)</v>
      </c>
      <c r="K130" s="73" t="s">
        <v>545</v>
      </c>
      <c r="L130" s="276">
        <v>1</v>
      </c>
      <c r="M130" s="94" cm="1">
        <f t="array" ref="M130">IFERROR(INDEX(M_DepotPrice!$C$10:$C$52,MATCH(1,(M_DepotPrice!$A$10:$A$52=I130)*(M_DepotPrice!$H$10:$H$52=IFERROR(INDEX(M_Depot!$A$7:$A$24,MATCH(F130,M_Depot!$B$7:$B$24,0)),""))*(M_DepotPrice!$G$10:$G$52="Special"),0)),INDEX(M_DepotPrice!$C$10:$C$52,MATCH(1,(M_DepotPrice!$A$10:$A$52=I130)*(M_DepotPrice!$G$10:$G$52="Default"),0)))</f>
        <v>5085</v>
      </c>
      <c r="N130" s="95">
        <f t="shared" si="3"/>
        <v>6000.2999999999993</v>
      </c>
      <c r="O130" s="82" t="str">
        <f t="shared" si="2"/>
        <v>MOS100079|PO010|CK5-33360</v>
      </c>
    </row>
    <row r="131" spans="1:15" ht="15" customHeight="1" x14ac:dyDescent="0.3">
      <c r="A131" s="60" t="s">
        <v>796</v>
      </c>
      <c r="B131" s="60" t="s">
        <v>559</v>
      </c>
      <c r="C131" s="62">
        <v>46179</v>
      </c>
      <c r="D131" s="63" t="s">
        <v>395</v>
      </c>
      <c r="E131" s="66" t="str">
        <f>IFERROR(INDEX(M_User!$A$12:$J$67,MATCH(D131,M_User!$D$12:$D$67,0),3),"UNMAPPED")</f>
        <v>Meshack  Jeremiah</v>
      </c>
      <c r="F131" s="65" t="str">
        <f>IFERROR(INDEX(M_User!$A$12:$J$67,MATCH(D131,M_User!$D$12:$D$67,0),5),"UNMAPPED")</f>
        <v>MOS</v>
      </c>
      <c r="G131" s="63" t="s">
        <v>797</v>
      </c>
      <c r="H131" s="69" t="s">
        <v>798</v>
      </c>
      <c r="I131" s="63" t="s">
        <v>170</v>
      </c>
      <c r="J131" s="66" t="str">
        <f>IFERROR(INDEX(M_SKU!$A$18:$J$57,MATCH(I131,M_SKU!$B$18:$B$57,0),1),"UNKNOWN SKU")</f>
        <v>Coke RGB 350ml</v>
      </c>
      <c r="K131" s="63" t="s">
        <v>530</v>
      </c>
      <c r="L131" s="276">
        <v>13.364658027552</v>
      </c>
      <c r="M131" s="91" cm="1">
        <f t="array" ref="M131">IFERROR(INDEX(M_DepotPrice!$C$10:$C$52,MATCH(1,(M_DepotPrice!$A$10:$A$52=I131)*(M_DepotPrice!$H$10:$H$52=IFERROR(INDEX(M_Depot!$A$7:$A$24,MATCH(F131,M_Depot!$B$7:$B$24,0)),""))*(M_DepotPrice!$G$10:$G$52="Special"),0)),INDEX(M_DepotPrice!$C$10:$C$52,MATCH(1,(M_DepotPrice!$A$10:$A$52=I131)*(M_DepotPrice!$G$10:$G$52="Default"),0)))</f>
        <v>11780</v>
      </c>
      <c r="N131" s="67">
        <f t="shared" si="3"/>
        <v>185774.09244618381</v>
      </c>
      <c r="O131" s="66" t="str">
        <f t="shared" si="2"/>
        <v>MOS100079|FG001|CK3-33409</v>
      </c>
    </row>
    <row r="132" spans="1:15" ht="15" customHeight="1" x14ac:dyDescent="0.3">
      <c r="A132" s="70" t="s">
        <v>799</v>
      </c>
      <c r="B132" s="70" t="s">
        <v>559</v>
      </c>
      <c r="C132" s="72">
        <v>46179</v>
      </c>
      <c r="D132" s="73" t="s">
        <v>395</v>
      </c>
      <c r="E132" s="76" t="str">
        <f>IFERROR(INDEX(M_User!$A$12:$J$67,MATCH(D132,M_User!$D$12:$D$67,0),3),"UNMAPPED")</f>
        <v>Meshack  Jeremiah</v>
      </c>
      <c r="F132" s="75" t="str">
        <f>IFERROR(INDEX(M_User!$A$12:$J$67,MATCH(D132,M_User!$D$12:$D$67,0),5),"UNMAPPED")</f>
        <v>MOS</v>
      </c>
      <c r="G132" s="73" t="s">
        <v>797</v>
      </c>
      <c r="H132" s="92" t="s">
        <v>798</v>
      </c>
      <c r="I132" s="73" t="s">
        <v>178</v>
      </c>
      <c r="J132" s="76" t="str">
        <f>IFERROR(INDEX(M_SKU!$A$18:$J$57,MATCH(I132,M_SKU!$B$18:$B$57,0),1),"UNKNOWN SKU")</f>
        <v>Fanta Orange RGB 350ml</v>
      </c>
      <c r="K132" s="73" t="s">
        <v>531</v>
      </c>
      <c r="L132" s="276">
        <v>9.9086999999999996</v>
      </c>
      <c r="M132" s="94" cm="1">
        <f t="array" ref="M132">IFERROR(INDEX(M_DepotPrice!$C$10:$C$52,MATCH(1,(M_DepotPrice!$A$10:$A$52=I132)*(M_DepotPrice!$H$10:$H$52=IFERROR(INDEX(M_Depot!$A$7:$A$24,MATCH(F132,M_Depot!$B$7:$B$24,0)),""))*(M_DepotPrice!$G$10:$G$52="Special"),0)),INDEX(M_DepotPrice!$C$10:$C$52,MATCH(1,(M_DepotPrice!$A$10:$A$52=I132)*(M_DepotPrice!$G$10:$G$52="Default"),0)))</f>
        <v>11780</v>
      </c>
      <c r="N132" s="95">
        <f t="shared" si="3"/>
        <v>137734.89347999997</v>
      </c>
      <c r="O132" s="82" t="str">
        <f t="shared" si="2"/>
        <v>MOS100079|FG002|CK3-33407</v>
      </c>
    </row>
    <row r="133" spans="1:15" ht="15" customHeight="1" x14ac:dyDescent="0.3">
      <c r="A133" s="60" t="s">
        <v>800</v>
      </c>
      <c r="B133" s="60" t="s">
        <v>559</v>
      </c>
      <c r="C133" s="62">
        <v>46179</v>
      </c>
      <c r="D133" s="63" t="s">
        <v>395</v>
      </c>
      <c r="E133" s="66" t="str">
        <f>IFERROR(INDEX(M_User!$A$12:$J$67,MATCH(D133,M_User!$D$12:$D$67,0),3),"UNMAPPED")</f>
        <v>Meshack  Jeremiah</v>
      </c>
      <c r="F133" s="65" t="str">
        <f>IFERROR(INDEX(M_User!$A$12:$J$67,MATCH(D133,M_User!$D$12:$D$67,0),5),"UNMAPPED")</f>
        <v>MOS</v>
      </c>
      <c r="G133" s="63" t="s">
        <v>797</v>
      </c>
      <c r="H133" s="69" t="s">
        <v>798</v>
      </c>
      <c r="I133" s="63" t="s">
        <v>181</v>
      </c>
      <c r="J133" s="66" t="str">
        <f>IFERROR(INDEX(M_SKU!$A$18:$J$57,MATCH(I133,M_SKU!$B$18:$B$57,0),1),"UNKNOWN SKU")</f>
        <v>Fanta Passion RGB 350ml</v>
      </c>
      <c r="K133" s="63" t="s">
        <v>550</v>
      </c>
      <c r="L133" s="276">
        <v>1.3765000000000001</v>
      </c>
      <c r="M133" s="91" cm="1">
        <f t="array" ref="M133">IFERROR(INDEX(M_DepotPrice!$C$10:$C$52,MATCH(1,(M_DepotPrice!$A$10:$A$52=I133)*(M_DepotPrice!$H$10:$H$52=IFERROR(INDEX(M_Depot!$A$7:$A$24,MATCH(F133,M_Depot!$B$7:$B$24,0)),""))*(M_DepotPrice!$G$10:$G$52="Special"),0)),INDEX(M_DepotPrice!$C$10:$C$52,MATCH(1,(M_DepotPrice!$A$10:$A$52=I133)*(M_DepotPrice!$G$10:$G$52="Default"),0)))</f>
        <v>11780</v>
      </c>
      <c r="N133" s="67">
        <f t="shared" si="3"/>
        <v>19133.900600000001</v>
      </c>
      <c r="O133" s="66" t="str">
        <f t="shared" si="2"/>
        <v>MOS100079|FG003|CK3-33356</v>
      </c>
    </row>
    <row r="134" spans="1:15" ht="15" customHeight="1" x14ac:dyDescent="0.3">
      <c r="A134" s="70" t="s">
        <v>801</v>
      </c>
      <c r="B134" s="70" t="s">
        <v>559</v>
      </c>
      <c r="C134" s="72">
        <v>46179</v>
      </c>
      <c r="D134" s="73" t="s">
        <v>395</v>
      </c>
      <c r="E134" s="76" t="str">
        <f>IFERROR(INDEX(M_User!$A$12:$J$67,MATCH(D134,M_User!$D$12:$D$67,0),3),"UNMAPPED")</f>
        <v>Meshack  Jeremiah</v>
      </c>
      <c r="F134" s="75" t="str">
        <f>IFERROR(INDEX(M_User!$A$12:$J$67,MATCH(D134,M_User!$D$12:$D$67,0),5),"UNMAPPED")</f>
        <v>MOS</v>
      </c>
      <c r="G134" s="73" t="s">
        <v>797</v>
      </c>
      <c r="H134" s="92" t="s">
        <v>798</v>
      </c>
      <c r="I134" s="73" t="s">
        <v>185</v>
      </c>
      <c r="J134" s="76" t="str">
        <f>IFERROR(INDEX(M_SKU!$A$18:$J$57,MATCH(I134,M_SKU!$B$18:$B$57,0),1),"UNKNOWN SKU")</f>
        <v>Fanta Fruit Blast RGB 350 ml</v>
      </c>
      <c r="K134" s="73" t="s">
        <v>534</v>
      </c>
      <c r="L134" s="276">
        <v>0.86350000000000005</v>
      </c>
      <c r="M134" s="94" cm="1">
        <f t="array" ref="M134">IFERROR(INDEX(M_DepotPrice!$C$10:$C$52,MATCH(1,(M_DepotPrice!$A$10:$A$52=I134)*(M_DepotPrice!$H$10:$H$52=IFERROR(INDEX(M_Depot!$A$7:$A$24,MATCH(F134,M_Depot!$B$7:$B$24,0)),""))*(M_DepotPrice!$G$10:$G$52="Special"),0)),INDEX(M_DepotPrice!$C$10:$C$52,MATCH(1,(M_DepotPrice!$A$10:$A$52=I134)*(M_DepotPrice!$G$10:$G$52="Default"),0)))</f>
        <v>11780</v>
      </c>
      <c r="N134" s="95">
        <f t="shared" si="3"/>
        <v>12002.9954</v>
      </c>
      <c r="O134" s="82" t="str">
        <f t="shared" si="2"/>
        <v>MOS100079|FG005|CK3-33402</v>
      </c>
    </row>
    <row r="135" spans="1:15" ht="15" customHeight="1" x14ac:dyDescent="0.3">
      <c r="A135" s="60" t="s">
        <v>802</v>
      </c>
      <c r="B135" s="60" t="s">
        <v>559</v>
      </c>
      <c r="C135" s="62">
        <v>46179</v>
      </c>
      <c r="D135" s="63" t="s">
        <v>395</v>
      </c>
      <c r="E135" s="66" t="str">
        <f>IFERROR(INDEX(M_User!$A$12:$J$67,MATCH(D135,M_User!$D$12:$D$67,0),3),"UNMAPPED")</f>
        <v>Meshack  Jeremiah</v>
      </c>
      <c r="F135" s="65" t="str">
        <f>IFERROR(INDEX(M_User!$A$12:$J$67,MATCH(D135,M_User!$D$12:$D$67,0),5),"UNMAPPED")</f>
        <v>MOS</v>
      </c>
      <c r="G135" s="63" t="s">
        <v>797</v>
      </c>
      <c r="H135" s="69" t="s">
        <v>798</v>
      </c>
      <c r="I135" s="63" t="s">
        <v>187</v>
      </c>
      <c r="J135" s="66" t="str">
        <f>IFERROR(INDEX(M_SKU!$A$18:$J$57,MATCH(I135,M_SKU!$B$18:$B$57,0),1),"UNKNOWN SKU")</f>
        <v>Sprite 350ml</v>
      </c>
      <c r="K135" s="63" t="s">
        <v>535</v>
      </c>
      <c r="L135" s="276">
        <v>2.1461000000000001</v>
      </c>
      <c r="M135" s="91" cm="1">
        <f t="array" ref="M135">IFERROR(INDEX(M_DepotPrice!$C$10:$C$52,MATCH(1,(M_DepotPrice!$A$10:$A$52=I135)*(M_DepotPrice!$H$10:$H$52=IFERROR(INDEX(M_Depot!$A$7:$A$24,MATCH(F135,M_Depot!$B$7:$B$24,0)),""))*(M_DepotPrice!$G$10:$G$52="Special"),0)),INDEX(M_DepotPrice!$C$10:$C$52,MATCH(1,(M_DepotPrice!$A$10:$A$52=I135)*(M_DepotPrice!$G$10:$G$52="Default"),0)))</f>
        <v>11780</v>
      </c>
      <c r="N135" s="67">
        <f t="shared" si="3"/>
        <v>29831.648440000001</v>
      </c>
      <c r="O135" s="66" t="str">
        <f t="shared" si="2"/>
        <v>MOS100079|FG006|CK3-33414</v>
      </c>
    </row>
    <row r="136" spans="1:15" ht="15" customHeight="1" x14ac:dyDescent="0.3">
      <c r="A136" s="70" t="s">
        <v>803</v>
      </c>
      <c r="B136" s="70" t="s">
        <v>559</v>
      </c>
      <c r="C136" s="72">
        <v>46179</v>
      </c>
      <c r="D136" s="73" t="s">
        <v>395</v>
      </c>
      <c r="E136" s="76" t="str">
        <f>IFERROR(INDEX(M_User!$A$12:$J$67,MATCH(D136,M_User!$D$12:$D$67,0),3),"UNMAPPED")</f>
        <v>Meshack  Jeremiah</v>
      </c>
      <c r="F136" s="75" t="str">
        <f>IFERROR(INDEX(M_User!$A$12:$J$67,MATCH(D136,M_User!$D$12:$D$67,0),5),"UNMAPPED")</f>
        <v>MOS</v>
      </c>
      <c r="G136" s="73" t="s">
        <v>797</v>
      </c>
      <c r="H136" s="92" t="s">
        <v>798</v>
      </c>
      <c r="I136" s="73" t="s">
        <v>193</v>
      </c>
      <c r="J136" s="76" t="str">
        <f>IFERROR(INDEX(M_SKU!$A$18:$J$57,MATCH(I136,M_SKU!$B$18:$B$57,0),1),"UNKNOWN SKU")</f>
        <v>Sparletta Pinenut RGB 350ml</v>
      </c>
      <c r="K136" s="73" t="s">
        <v>537</v>
      </c>
      <c r="L136" s="276">
        <v>0.99390578771410498</v>
      </c>
      <c r="M136" s="94" cm="1">
        <f t="array" ref="M136">IFERROR(INDEX(M_DepotPrice!$C$10:$C$52,MATCH(1,(M_DepotPrice!$A$10:$A$52=I136)*(M_DepotPrice!$H$10:$H$52=IFERROR(INDEX(M_Depot!$A$7:$A$24,MATCH(F136,M_Depot!$B$7:$B$24,0)),""))*(M_DepotPrice!$G$10:$G$52="Special"),0)),INDEX(M_DepotPrice!$C$10:$C$52,MATCH(1,(M_DepotPrice!$A$10:$A$52=I136)*(M_DepotPrice!$G$10:$G$52="Default"),0)))</f>
        <v>11780</v>
      </c>
      <c r="N136" s="95">
        <f t="shared" si="3"/>
        <v>13815.688011541144</v>
      </c>
      <c r="O136" s="82" t="str">
        <f t="shared" si="2"/>
        <v>MOS100079|FG008|CK3-33365</v>
      </c>
    </row>
    <row r="137" spans="1:15" ht="15" customHeight="1" x14ac:dyDescent="0.3">
      <c r="A137" s="60" t="s">
        <v>804</v>
      </c>
      <c r="B137" s="60" t="s">
        <v>559</v>
      </c>
      <c r="C137" s="62">
        <v>46179</v>
      </c>
      <c r="D137" s="63" t="s">
        <v>395</v>
      </c>
      <c r="E137" s="66" t="str">
        <f>IFERROR(INDEX(M_User!$A$12:$J$67,MATCH(D137,M_User!$D$12:$D$67,0),3),"UNMAPPED")</f>
        <v>Meshack  Jeremiah</v>
      </c>
      <c r="F137" s="65" t="str">
        <f>IFERROR(INDEX(M_User!$A$12:$J$67,MATCH(D137,M_User!$D$12:$D$67,0),5),"UNMAPPED")</f>
        <v>MOS</v>
      </c>
      <c r="G137" s="63" t="s">
        <v>797</v>
      </c>
      <c r="H137" s="69" t="s">
        <v>798</v>
      </c>
      <c r="I137" s="63" t="s">
        <v>199</v>
      </c>
      <c r="J137" s="66" t="str">
        <f>IFERROR(INDEX(M_SKU!$A$18:$J$57,MATCH(I137,M_SKU!$B$18:$B$57,0),1),"UNKNOWN SKU")</f>
        <v>Krest Club Soda RGB 300ml</v>
      </c>
      <c r="K137" s="63" t="s">
        <v>539</v>
      </c>
      <c r="L137" s="276">
        <v>0.57830000000000004</v>
      </c>
      <c r="M137" s="91" cm="1">
        <f t="array" ref="M137">IFERROR(INDEX(M_DepotPrice!$C$10:$C$52,MATCH(1,(M_DepotPrice!$A$10:$A$52=I137)*(M_DepotPrice!$H$10:$H$52=IFERROR(INDEX(M_Depot!$A$7:$A$24,MATCH(F137,M_Depot!$B$7:$B$24,0)),""))*(M_DepotPrice!$G$10:$G$52="Special"),0)),INDEX(M_DepotPrice!$C$10:$C$52,MATCH(1,(M_DepotPrice!$A$10:$A$52=I137)*(M_DepotPrice!$G$10:$G$52="Default"),0)))</f>
        <v>11780</v>
      </c>
      <c r="N137" s="67">
        <f t="shared" si="3"/>
        <v>8038.6013200000007</v>
      </c>
      <c r="O137" s="66" t="str">
        <f t="shared" ref="O137:O200" si="4">D137 &amp; "|" &amp; I137 &amp; "|" &amp; K137</f>
        <v>MOS100079|FG010|CK3-33301</v>
      </c>
    </row>
    <row r="138" spans="1:15" ht="15" customHeight="1" x14ac:dyDescent="0.3">
      <c r="A138" s="70" t="s">
        <v>805</v>
      </c>
      <c r="B138" s="70" t="s">
        <v>559</v>
      </c>
      <c r="C138" s="72">
        <v>46179</v>
      </c>
      <c r="D138" s="73" t="s">
        <v>395</v>
      </c>
      <c r="E138" s="76" t="str">
        <f>IFERROR(INDEX(M_User!$A$12:$J$67,MATCH(D138,M_User!$D$12:$D$67,0),3),"UNMAPPED")</f>
        <v>Meshack  Jeremiah</v>
      </c>
      <c r="F138" s="75" t="str">
        <f>IFERROR(INDEX(M_User!$A$12:$J$67,MATCH(D138,M_User!$D$12:$D$67,0),5),"UNMAPPED")</f>
        <v>MOS</v>
      </c>
      <c r="G138" s="73" t="s">
        <v>797</v>
      </c>
      <c r="H138" s="92" t="s">
        <v>798</v>
      </c>
      <c r="I138" s="73" t="s">
        <v>203</v>
      </c>
      <c r="J138" s="76" t="str">
        <f>IFERROR(INDEX(M_SKU!$A$18:$J$57,MATCH(I138,M_SKU!$B$18:$B$57,0),1),"UNKNOWN SKU")</f>
        <v>Krest Ginger Ale RGB 300ml</v>
      </c>
      <c r="K138" s="73" t="s">
        <v>541</v>
      </c>
      <c r="L138" s="276">
        <v>0.41266614720473399</v>
      </c>
      <c r="M138" s="94" cm="1">
        <f t="array" ref="M138">IFERROR(INDEX(M_DepotPrice!$C$10:$C$52,MATCH(1,(M_DepotPrice!$A$10:$A$52=I138)*(M_DepotPrice!$H$10:$H$52=IFERROR(INDEX(M_Depot!$A$7:$A$24,MATCH(F138,M_Depot!$B$7:$B$24,0)),""))*(M_DepotPrice!$G$10:$G$52="Special"),0)),INDEX(M_DepotPrice!$C$10:$C$52,MATCH(1,(M_DepotPrice!$A$10:$A$52=I138)*(M_DepotPrice!$G$10:$G$52="Default"),0)))</f>
        <v>11780</v>
      </c>
      <c r="N138" s="95">
        <f t="shared" ref="N138:N201" si="5">(L138*M138)*1.18</f>
        <v>5736.2245126046837</v>
      </c>
      <c r="O138" s="82" t="str">
        <f t="shared" si="4"/>
        <v>MOS100079|FG012|CK3-33126</v>
      </c>
    </row>
    <row r="139" spans="1:15" ht="15" customHeight="1" x14ac:dyDescent="0.3">
      <c r="A139" s="60" t="s">
        <v>806</v>
      </c>
      <c r="B139" s="60" t="s">
        <v>559</v>
      </c>
      <c r="C139" s="62">
        <v>46179</v>
      </c>
      <c r="D139" s="63" t="s">
        <v>395</v>
      </c>
      <c r="E139" s="66" t="str">
        <f>IFERROR(INDEX(M_User!$A$12:$J$67,MATCH(D139,M_User!$D$12:$D$67,0),3),"UNMAPPED")</f>
        <v>Meshack  Jeremiah</v>
      </c>
      <c r="F139" s="65" t="str">
        <f>IFERROR(INDEX(M_User!$A$12:$J$67,MATCH(D139,M_User!$D$12:$D$67,0),5),"UNMAPPED")</f>
        <v>MOS</v>
      </c>
      <c r="G139" s="63" t="s">
        <v>797</v>
      </c>
      <c r="H139" s="69" t="s">
        <v>798</v>
      </c>
      <c r="I139" s="63" t="s">
        <v>211</v>
      </c>
      <c r="J139" s="66" t="str">
        <f>IFERROR(INDEX(M_SKU!$A$18:$J$57,MATCH(I139,M_SKU!$B$18:$B$57,0),1),"UNKNOWN SKU")</f>
        <v>KNMW 500ml</v>
      </c>
      <c r="K139" s="63" t="s">
        <v>543</v>
      </c>
      <c r="L139" s="276">
        <v>6</v>
      </c>
      <c r="M139" s="91" cm="1">
        <f t="array" ref="M139">IFERROR(INDEX(M_DepotPrice!$C$10:$C$52,MATCH(1,(M_DepotPrice!$A$10:$A$52=I139)*(M_DepotPrice!$H$10:$H$52=IFERROR(INDEX(M_Depot!$A$7:$A$24,MATCH(F139,M_Depot!$B$7:$B$24,0)),""))*(M_DepotPrice!$G$10:$G$52="Special"),0)),INDEX(M_DepotPrice!$C$10:$C$52,MATCH(1,(M_DepotPrice!$A$10:$A$52=I139)*(M_DepotPrice!$G$10:$G$52="Default"),0)))</f>
        <v>3559</v>
      </c>
      <c r="N139" s="67">
        <f t="shared" si="5"/>
        <v>25197.719999999998</v>
      </c>
      <c r="O139" s="66" t="str">
        <f t="shared" si="4"/>
        <v>MOS100079|KD001|CK6-986</v>
      </c>
    </row>
    <row r="140" spans="1:15" ht="15" customHeight="1" x14ac:dyDescent="0.3">
      <c r="A140" s="70" t="s">
        <v>807</v>
      </c>
      <c r="B140" s="70" t="s">
        <v>559</v>
      </c>
      <c r="C140" s="72">
        <v>46179</v>
      </c>
      <c r="D140" s="73" t="s">
        <v>395</v>
      </c>
      <c r="E140" s="76" t="str">
        <f>IFERROR(INDEX(M_User!$A$12:$J$67,MATCH(D140,M_User!$D$12:$D$67,0),3),"UNMAPPED")</f>
        <v>Meshack  Jeremiah</v>
      </c>
      <c r="F140" s="75" t="str">
        <f>IFERROR(INDEX(M_User!$A$12:$J$67,MATCH(D140,M_User!$D$12:$D$67,0),5),"UNMAPPED")</f>
        <v>MOS</v>
      </c>
      <c r="G140" s="73" t="s">
        <v>797</v>
      </c>
      <c r="H140" s="92" t="s">
        <v>798</v>
      </c>
      <c r="I140" s="73" t="s">
        <v>234</v>
      </c>
      <c r="J140" s="76" t="str">
        <f>IFERROR(INDEX(M_SKU!$A$18:$J$57,MATCH(I140,M_SKU!$B$18:$B$57,0),1),"UNKNOWN SKU")</f>
        <v>Fanta Orange Pet 500ML ( x 12)</v>
      </c>
      <c r="K140" s="73" t="s">
        <v>523</v>
      </c>
      <c r="L140" s="276">
        <v>3</v>
      </c>
      <c r="M140" s="94" cm="1">
        <f t="array" ref="M140">IFERROR(INDEX(M_DepotPrice!$C$10:$C$52,MATCH(1,(M_DepotPrice!$A$10:$A$52=I140)*(M_DepotPrice!$H$10:$H$52=IFERROR(INDEX(M_Depot!$A$7:$A$24,MATCH(F140,M_Depot!$B$7:$B$24,0)),""))*(M_DepotPrice!$G$10:$G$52="Special"),0)),INDEX(M_DepotPrice!$C$10:$C$52,MATCH(1,(M_DepotPrice!$A$10:$A$52=I140)*(M_DepotPrice!$G$10:$G$52="Default"),0)))</f>
        <v>8898</v>
      </c>
      <c r="N140" s="95">
        <f t="shared" si="5"/>
        <v>31498.92</v>
      </c>
      <c r="O140" s="82" t="str">
        <f t="shared" si="4"/>
        <v>MOS100079|PH003|CK6-33405</v>
      </c>
    </row>
    <row r="141" spans="1:15" ht="15" customHeight="1" x14ac:dyDescent="0.3">
      <c r="A141" s="60" t="s">
        <v>808</v>
      </c>
      <c r="B141" s="60" t="s">
        <v>559</v>
      </c>
      <c r="C141" s="62">
        <v>46179</v>
      </c>
      <c r="D141" s="63" t="s">
        <v>395</v>
      </c>
      <c r="E141" s="66" t="str">
        <f>IFERROR(INDEX(M_User!$A$12:$J$67,MATCH(D141,M_User!$D$12:$D$67,0),3),"UNMAPPED")</f>
        <v>Meshack  Jeremiah</v>
      </c>
      <c r="F141" s="65" t="str">
        <f>IFERROR(INDEX(M_User!$A$12:$J$67,MATCH(D141,M_User!$D$12:$D$67,0),5),"UNMAPPED")</f>
        <v>MOS</v>
      </c>
      <c r="G141" s="63" t="s">
        <v>797</v>
      </c>
      <c r="H141" s="69" t="s">
        <v>798</v>
      </c>
      <c r="I141" s="63" t="s">
        <v>252</v>
      </c>
      <c r="J141" s="66" t="str">
        <f>IFERROR(INDEX(M_SKU!$A$18:$J$57,MATCH(I141,M_SKU!$B$18:$B$57,0),1),"UNKNOWN SKU")</f>
        <v>Sprite Zero Pet 300ML (x 12)</v>
      </c>
      <c r="K141" s="63" t="s">
        <v>545</v>
      </c>
      <c r="L141" s="276">
        <v>1</v>
      </c>
      <c r="M141" s="91" cm="1">
        <f t="array" ref="M141">IFERROR(INDEX(M_DepotPrice!$C$10:$C$52,MATCH(1,(M_DepotPrice!$A$10:$A$52=I141)*(M_DepotPrice!$H$10:$H$52=IFERROR(INDEX(M_Depot!$A$7:$A$24,MATCH(F141,M_Depot!$B$7:$B$24,0)),""))*(M_DepotPrice!$G$10:$G$52="Special"),0)),INDEX(M_DepotPrice!$C$10:$C$52,MATCH(1,(M_DepotPrice!$A$10:$A$52=I141)*(M_DepotPrice!$G$10:$G$52="Default"),0)))</f>
        <v>5085</v>
      </c>
      <c r="N141" s="67">
        <f t="shared" si="5"/>
        <v>6000.2999999999993</v>
      </c>
      <c r="O141" s="66" t="str">
        <f t="shared" si="4"/>
        <v>MOS100079|PO010|CK5-33360</v>
      </c>
    </row>
    <row r="142" spans="1:15" ht="15" customHeight="1" x14ac:dyDescent="0.3">
      <c r="A142" s="70" t="s">
        <v>809</v>
      </c>
      <c r="B142" s="70" t="s">
        <v>559</v>
      </c>
      <c r="C142" s="72">
        <v>46179</v>
      </c>
      <c r="D142" s="73" t="s">
        <v>395</v>
      </c>
      <c r="E142" s="76" t="str">
        <f>IFERROR(INDEX(M_User!$A$12:$J$67,MATCH(D142,M_User!$D$12:$D$67,0),3),"UNMAPPED")</f>
        <v>Meshack  Jeremiah</v>
      </c>
      <c r="F142" s="75" t="str">
        <f>IFERROR(INDEX(M_User!$A$12:$J$67,MATCH(D142,M_User!$D$12:$D$67,0),5),"UNMAPPED")</f>
        <v>MOS</v>
      </c>
      <c r="G142" s="73" t="s">
        <v>797</v>
      </c>
      <c r="H142" s="92" t="s">
        <v>798</v>
      </c>
      <c r="I142" s="73" t="s">
        <v>254</v>
      </c>
      <c r="J142" s="76" t="str">
        <f>IFERROR(INDEX(M_SKU!$A$18:$J$57,MATCH(I142,M_SKU!$B$18:$B$57,0),1),"UNKNOWN SKU")</f>
        <v>Fanta Zero Pet 300ML (x 12)</v>
      </c>
      <c r="K142" s="73" t="s">
        <v>546</v>
      </c>
      <c r="L142" s="276">
        <v>1</v>
      </c>
      <c r="M142" s="94" cm="1">
        <f t="array" ref="M142">IFERROR(INDEX(M_DepotPrice!$C$10:$C$52,MATCH(1,(M_DepotPrice!$A$10:$A$52=I142)*(M_DepotPrice!$H$10:$H$52=IFERROR(INDEX(M_Depot!$A$7:$A$24,MATCH(F142,M_Depot!$B$7:$B$24,0)),""))*(M_DepotPrice!$G$10:$G$52="Special"),0)),INDEX(M_DepotPrice!$C$10:$C$52,MATCH(1,(M_DepotPrice!$A$10:$A$52=I142)*(M_DepotPrice!$G$10:$G$52="Default"),0)))</f>
        <v>5085</v>
      </c>
      <c r="N142" s="95">
        <f t="shared" si="5"/>
        <v>6000.2999999999993</v>
      </c>
      <c r="O142" s="82" t="str">
        <f t="shared" si="4"/>
        <v>MOS100079|PO012|CK5-33369</v>
      </c>
    </row>
    <row r="143" spans="1:15" ht="15" customHeight="1" x14ac:dyDescent="0.3">
      <c r="A143" s="60" t="s">
        <v>810</v>
      </c>
      <c r="B143" s="60" t="s">
        <v>559</v>
      </c>
      <c r="C143" s="62">
        <v>46179</v>
      </c>
      <c r="D143" s="63" t="s">
        <v>395</v>
      </c>
      <c r="E143" s="66" t="str">
        <f>IFERROR(INDEX(M_User!$A$12:$J$67,MATCH(D143,M_User!$D$12:$D$67,0),3),"UNMAPPED")</f>
        <v>Meshack  Jeremiah</v>
      </c>
      <c r="F143" s="65" t="str">
        <f>IFERROR(INDEX(M_User!$A$12:$J$67,MATCH(D143,M_User!$D$12:$D$67,0),5),"UNMAPPED")</f>
        <v>MOS</v>
      </c>
      <c r="G143" s="63" t="s">
        <v>797</v>
      </c>
      <c r="H143" s="69" t="s">
        <v>798</v>
      </c>
      <c r="I143" s="63" t="s">
        <v>261</v>
      </c>
      <c r="J143" s="66" t="str">
        <f>IFERROR(INDEX(M_SKU!$A$18:$J$57,MATCH(I143,M_SKU!$B$18:$B$57,0),1),"UNKNOWN SKU")</f>
        <v>Sparletta Pine Apple Pet 300ML (x 12)</v>
      </c>
      <c r="K143" s="63" t="s">
        <v>547</v>
      </c>
      <c r="L143" s="276">
        <v>2</v>
      </c>
      <c r="M143" s="91" cm="1">
        <f t="array" ref="M143">IFERROR(INDEX(M_DepotPrice!$C$10:$C$52,MATCH(1,(M_DepotPrice!$A$10:$A$52=I143)*(M_DepotPrice!$H$10:$H$52=IFERROR(INDEX(M_Depot!$A$7:$A$24,MATCH(F143,M_Depot!$B$7:$B$24,0)),""))*(M_DepotPrice!$G$10:$G$52="Special"),0)),INDEX(M_DepotPrice!$C$10:$C$52,MATCH(1,(M_DepotPrice!$A$10:$A$52=I143)*(M_DepotPrice!$G$10:$G$52="Default"),0)))</f>
        <v>5085</v>
      </c>
      <c r="N143" s="67">
        <f t="shared" si="5"/>
        <v>12000.599999999999</v>
      </c>
      <c r="O143" s="66" t="str">
        <f t="shared" si="4"/>
        <v>MOS100079|PO015|CK5-33366</v>
      </c>
    </row>
    <row r="144" spans="1:15" ht="15" customHeight="1" x14ac:dyDescent="0.3">
      <c r="A144" s="70" t="s">
        <v>811</v>
      </c>
      <c r="B144" s="70" t="s">
        <v>559</v>
      </c>
      <c r="C144" s="72">
        <v>46179</v>
      </c>
      <c r="D144" s="73" t="s">
        <v>395</v>
      </c>
      <c r="E144" s="76" t="str">
        <f>IFERROR(INDEX(M_User!$A$12:$J$67,MATCH(D144,M_User!$D$12:$D$67,0),3),"UNMAPPED")</f>
        <v>Meshack  Jeremiah</v>
      </c>
      <c r="F144" s="75" t="str">
        <f>IFERROR(INDEX(M_User!$A$12:$J$67,MATCH(D144,M_User!$D$12:$D$67,0),5),"UNMAPPED")</f>
        <v>MOS</v>
      </c>
      <c r="G144" s="73" t="s">
        <v>812</v>
      </c>
      <c r="H144" s="92" t="s">
        <v>813</v>
      </c>
      <c r="I144" s="73" t="s">
        <v>181</v>
      </c>
      <c r="J144" s="76" t="str">
        <f>IFERROR(INDEX(M_SKU!$A$18:$J$57,MATCH(I144,M_SKU!$B$18:$B$57,0),1),"UNKNOWN SKU")</f>
        <v>Fanta Passion RGB 350ml</v>
      </c>
      <c r="K144" s="73" t="s">
        <v>550</v>
      </c>
      <c r="L144" s="276">
        <v>1.6341000000000001</v>
      </c>
      <c r="M144" s="94" cm="1">
        <f t="array" ref="M144">IFERROR(INDEX(M_DepotPrice!$C$10:$C$52,MATCH(1,(M_DepotPrice!$A$10:$A$52=I144)*(M_DepotPrice!$H$10:$H$52=IFERROR(INDEX(M_Depot!$A$7:$A$24,MATCH(F144,M_Depot!$B$7:$B$24,0)),""))*(M_DepotPrice!$G$10:$G$52="Special"),0)),INDEX(M_DepotPrice!$C$10:$C$52,MATCH(1,(M_DepotPrice!$A$10:$A$52=I144)*(M_DepotPrice!$G$10:$G$52="Default"),0)))</f>
        <v>11780</v>
      </c>
      <c r="N144" s="95">
        <f t="shared" si="5"/>
        <v>22714.643639999998</v>
      </c>
      <c r="O144" s="82" t="str">
        <f t="shared" si="4"/>
        <v>MOS100079|FG003|CK3-33356</v>
      </c>
    </row>
    <row r="145" spans="1:15" ht="15" customHeight="1" x14ac:dyDescent="0.3">
      <c r="A145" s="60" t="s">
        <v>814</v>
      </c>
      <c r="B145" s="60" t="s">
        <v>559</v>
      </c>
      <c r="C145" s="62">
        <v>46179</v>
      </c>
      <c r="D145" s="63" t="s">
        <v>395</v>
      </c>
      <c r="E145" s="66" t="str">
        <f>IFERROR(INDEX(M_User!$A$12:$J$67,MATCH(D145,M_User!$D$12:$D$67,0),3),"UNMAPPED")</f>
        <v>Meshack  Jeremiah</v>
      </c>
      <c r="F145" s="65" t="str">
        <f>IFERROR(INDEX(M_User!$A$12:$J$67,MATCH(D145,M_User!$D$12:$D$67,0),5),"UNMAPPED")</f>
        <v>MOS</v>
      </c>
      <c r="G145" s="63" t="s">
        <v>812</v>
      </c>
      <c r="H145" s="69" t="s">
        <v>813</v>
      </c>
      <c r="I145" s="63" t="s">
        <v>183</v>
      </c>
      <c r="J145" s="66" t="str">
        <f>IFERROR(INDEX(M_SKU!$A$18:$J$57,MATCH(I145,M_SKU!$B$18:$B$57,0),1),"UNKNOWN SKU")</f>
        <v>Fanta Pineapple RGB 350ml</v>
      </c>
      <c r="K145" s="63" t="s">
        <v>533</v>
      </c>
      <c r="L145" s="276">
        <v>0.99109999999999998</v>
      </c>
      <c r="M145" s="91" cm="1">
        <f t="array" ref="M145">IFERROR(INDEX(M_DepotPrice!$C$10:$C$52,MATCH(1,(M_DepotPrice!$A$10:$A$52=I145)*(M_DepotPrice!$H$10:$H$52=IFERROR(INDEX(M_Depot!$A$7:$A$24,MATCH(F145,M_Depot!$B$7:$B$24,0)),""))*(M_DepotPrice!$G$10:$G$52="Special"),0)),INDEX(M_DepotPrice!$C$10:$C$52,MATCH(1,(M_DepotPrice!$A$10:$A$52=I145)*(M_DepotPrice!$G$10:$G$52="Default"),0)))</f>
        <v>11780</v>
      </c>
      <c r="N145" s="67">
        <f t="shared" si="5"/>
        <v>13776.686439999999</v>
      </c>
      <c r="O145" s="66" t="str">
        <f t="shared" si="4"/>
        <v>MOS100079|FG004|CK3-33385</v>
      </c>
    </row>
    <row r="146" spans="1:15" ht="15" customHeight="1" x14ac:dyDescent="0.3">
      <c r="A146" s="70" t="s">
        <v>815</v>
      </c>
      <c r="B146" s="70" t="s">
        <v>559</v>
      </c>
      <c r="C146" s="72">
        <v>46179</v>
      </c>
      <c r="D146" s="73" t="s">
        <v>395</v>
      </c>
      <c r="E146" s="76" t="str">
        <f>IFERROR(INDEX(M_User!$A$12:$J$67,MATCH(D146,M_User!$D$12:$D$67,0),3),"UNMAPPED")</f>
        <v>Meshack  Jeremiah</v>
      </c>
      <c r="F146" s="75" t="str">
        <f>IFERROR(INDEX(M_User!$A$12:$J$67,MATCH(D146,M_User!$D$12:$D$67,0),5),"UNMAPPED")</f>
        <v>MOS</v>
      </c>
      <c r="G146" s="73" t="s">
        <v>812</v>
      </c>
      <c r="H146" s="92" t="s">
        <v>813</v>
      </c>
      <c r="I146" s="73" t="s">
        <v>185</v>
      </c>
      <c r="J146" s="76" t="str">
        <f>IFERROR(INDEX(M_SKU!$A$18:$J$57,MATCH(I146,M_SKU!$B$18:$B$57,0),1),"UNKNOWN SKU")</f>
        <v>Fanta Fruit Blast RGB 350 ml</v>
      </c>
      <c r="K146" s="73" t="s">
        <v>534</v>
      </c>
      <c r="L146" s="276">
        <v>1.1008431404763901</v>
      </c>
      <c r="M146" s="94" cm="1">
        <f t="array" ref="M146">IFERROR(INDEX(M_DepotPrice!$C$10:$C$52,MATCH(1,(M_DepotPrice!$A$10:$A$52=I146)*(M_DepotPrice!$H$10:$H$52=IFERROR(INDEX(M_Depot!$A$7:$A$24,MATCH(F146,M_Depot!$B$7:$B$24,0)),""))*(M_DepotPrice!$G$10:$G$52="Special"),0)),INDEX(M_DepotPrice!$C$10:$C$52,MATCH(1,(M_DepotPrice!$A$10:$A$52=I146)*(M_DepotPrice!$G$10:$G$52="Default"),0)))</f>
        <v>11780</v>
      </c>
      <c r="N146" s="95">
        <f t="shared" si="5"/>
        <v>15302.159989878013</v>
      </c>
      <c r="O146" s="82" t="str">
        <f t="shared" si="4"/>
        <v>MOS100079|FG005|CK3-33402</v>
      </c>
    </row>
    <row r="147" spans="1:15" ht="15" customHeight="1" x14ac:dyDescent="0.3">
      <c r="A147" s="60" t="s">
        <v>816</v>
      </c>
      <c r="B147" s="60" t="s">
        <v>559</v>
      </c>
      <c r="C147" s="62">
        <v>46179</v>
      </c>
      <c r="D147" s="63" t="s">
        <v>395</v>
      </c>
      <c r="E147" s="66" t="str">
        <f>IFERROR(INDEX(M_User!$A$12:$J$67,MATCH(D147,M_User!$D$12:$D$67,0),3),"UNMAPPED")</f>
        <v>Meshack  Jeremiah</v>
      </c>
      <c r="F147" s="65" t="str">
        <f>IFERROR(INDEX(M_User!$A$12:$J$67,MATCH(D147,M_User!$D$12:$D$67,0),5),"UNMAPPED")</f>
        <v>MOS</v>
      </c>
      <c r="G147" s="63" t="s">
        <v>812</v>
      </c>
      <c r="H147" s="69" t="s">
        <v>813</v>
      </c>
      <c r="I147" s="63" t="s">
        <v>190</v>
      </c>
      <c r="J147" s="66" t="str">
        <f>IFERROR(INDEX(M_SKU!$A$18:$J$57,MATCH(I147,M_SKU!$B$18:$B$57,0),1),"UNKNOWN SKU")</f>
        <v>Stoney Tangawizi RGB 350ml</v>
      </c>
      <c r="K147" s="63" t="s">
        <v>536</v>
      </c>
      <c r="L147" s="276">
        <v>1.3506</v>
      </c>
      <c r="M147" s="91" cm="1">
        <f t="array" ref="M147">IFERROR(INDEX(M_DepotPrice!$C$10:$C$52,MATCH(1,(M_DepotPrice!$A$10:$A$52=I147)*(M_DepotPrice!$H$10:$H$52=IFERROR(INDEX(M_Depot!$A$7:$A$24,MATCH(F147,M_Depot!$B$7:$B$24,0)),""))*(M_DepotPrice!$G$10:$G$52="Special"),0)),INDEX(M_DepotPrice!$C$10:$C$52,MATCH(1,(M_DepotPrice!$A$10:$A$52=I147)*(M_DepotPrice!$G$10:$G$52="Default"),0)))</f>
        <v>11780</v>
      </c>
      <c r="N147" s="67">
        <f t="shared" si="5"/>
        <v>18773.880239999999</v>
      </c>
      <c r="O147" s="66" t="str">
        <f t="shared" si="4"/>
        <v>MOS100079|FG007|CK3-33404</v>
      </c>
    </row>
    <row r="148" spans="1:15" ht="15" customHeight="1" x14ac:dyDescent="0.3">
      <c r="A148" s="70" t="s">
        <v>817</v>
      </c>
      <c r="B148" s="70" t="s">
        <v>559</v>
      </c>
      <c r="C148" s="72">
        <v>46179</v>
      </c>
      <c r="D148" s="73" t="s">
        <v>395</v>
      </c>
      <c r="E148" s="76" t="str">
        <f>IFERROR(INDEX(M_User!$A$12:$J$67,MATCH(D148,M_User!$D$12:$D$67,0),3),"UNMAPPED")</f>
        <v>Meshack  Jeremiah</v>
      </c>
      <c r="F148" s="75" t="str">
        <f>IFERROR(INDEX(M_User!$A$12:$J$67,MATCH(D148,M_User!$D$12:$D$67,0),5),"UNMAPPED")</f>
        <v>MOS</v>
      </c>
      <c r="G148" s="73" t="s">
        <v>812</v>
      </c>
      <c r="H148" s="92" t="s">
        <v>813</v>
      </c>
      <c r="I148" s="73" t="s">
        <v>193</v>
      </c>
      <c r="J148" s="76" t="str">
        <f>IFERROR(INDEX(M_SKU!$A$18:$J$57,MATCH(I148,M_SKU!$B$18:$B$57,0),1),"UNKNOWN SKU")</f>
        <v>Sparletta Pinenut RGB 350ml</v>
      </c>
      <c r="K148" s="73" t="s">
        <v>537</v>
      </c>
      <c r="L148" s="276">
        <v>0.84619999999999995</v>
      </c>
      <c r="M148" s="94" cm="1">
        <f t="array" ref="M148">IFERROR(INDEX(M_DepotPrice!$C$10:$C$52,MATCH(1,(M_DepotPrice!$A$10:$A$52=I148)*(M_DepotPrice!$H$10:$H$52=IFERROR(INDEX(M_Depot!$A$7:$A$24,MATCH(F148,M_Depot!$B$7:$B$24,0)),""))*(M_DepotPrice!$G$10:$G$52="Special"),0)),INDEX(M_DepotPrice!$C$10:$C$52,MATCH(1,(M_DepotPrice!$A$10:$A$52=I148)*(M_DepotPrice!$G$10:$G$52="Default"),0)))</f>
        <v>11780</v>
      </c>
      <c r="N148" s="95">
        <f t="shared" si="5"/>
        <v>11762.518479999999</v>
      </c>
      <c r="O148" s="82" t="str">
        <f t="shared" si="4"/>
        <v>MOS100079|FG008|CK3-33365</v>
      </c>
    </row>
    <row r="149" spans="1:15" ht="15" customHeight="1" x14ac:dyDescent="0.3">
      <c r="A149" s="60" t="s">
        <v>818</v>
      </c>
      <c r="B149" s="60" t="s">
        <v>559</v>
      </c>
      <c r="C149" s="62">
        <v>46179</v>
      </c>
      <c r="D149" s="63" t="s">
        <v>395</v>
      </c>
      <c r="E149" s="66" t="str">
        <f>IFERROR(INDEX(M_User!$A$12:$J$67,MATCH(D149,M_User!$D$12:$D$67,0),3),"UNMAPPED")</f>
        <v>Meshack  Jeremiah</v>
      </c>
      <c r="F149" s="65" t="str">
        <f>IFERROR(INDEX(M_User!$A$12:$J$67,MATCH(D149,M_User!$D$12:$D$67,0),5),"UNMAPPED")</f>
        <v>MOS</v>
      </c>
      <c r="G149" s="63" t="s">
        <v>812</v>
      </c>
      <c r="H149" s="69" t="s">
        <v>813</v>
      </c>
      <c r="I149" s="63" t="s">
        <v>199</v>
      </c>
      <c r="J149" s="66" t="str">
        <f>IFERROR(INDEX(M_SKU!$A$18:$J$57,MATCH(I149,M_SKU!$B$18:$B$57,0),1),"UNKNOWN SKU")</f>
        <v>Krest Club Soda RGB 300ml</v>
      </c>
      <c r="K149" s="63" t="s">
        <v>539</v>
      </c>
      <c r="L149" s="276">
        <v>0.4138</v>
      </c>
      <c r="M149" s="91" cm="1">
        <f t="array" ref="M149">IFERROR(INDEX(M_DepotPrice!$C$10:$C$52,MATCH(1,(M_DepotPrice!$A$10:$A$52=I149)*(M_DepotPrice!$H$10:$H$52=IFERROR(INDEX(M_Depot!$A$7:$A$24,MATCH(F149,M_Depot!$B$7:$B$24,0)),""))*(M_DepotPrice!$G$10:$G$52="Special"),0)),INDEX(M_DepotPrice!$C$10:$C$52,MATCH(1,(M_DepotPrice!$A$10:$A$52=I149)*(M_DepotPrice!$G$10:$G$52="Default"),0)))</f>
        <v>11780</v>
      </c>
      <c r="N149" s="67">
        <f t="shared" si="5"/>
        <v>5751.9855200000002</v>
      </c>
      <c r="O149" s="66" t="str">
        <f t="shared" si="4"/>
        <v>MOS100079|FG010|CK3-33301</v>
      </c>
    </row>
    <row r="150" spans="1:15" ht="15" customHeight="1" x14ac:dyDescent="0.3">
      <c r="A150" s="70" t="s">
        <v>819</v>
      </c>
      <c r="B150" s="70" t="s">
        <v>559</v>
      </c>
      <c r="C150" s="72">
        <v>46179</v>
      </c>
      <c r="D150" s="73" t="s">
        <v>395</v>
      </c>
      <c r="E150" s="76" t="str">
        <f>IFERROR(INDEX(M_User!$A$12:$J$67,MATCH(D150,M_User!$D$12:$D$67,0),3),"UNMAPPED")</f>
        <v>Meshack  Jeremiah</v>
      </c>
      <c r="F150" s="75" t="str">
        <f>IFERROR(INDEX(M_User!$A$12:$J$67,MATCH(D150,M_User!$D$12:$D$67,0),5),"UNMAPPED")</f>
        <v>MOS</v>
      </c>
      <c r="G150" s="73" t="s">
        <v>812</v>
      </c>
      <c r="H150" s="92" t="s">
        <v>813</v>
      </c>
      <c r="I150" s="73" t="s">
        <v>201</v>
      </c>
      <c r="J150" s="76" t="str">
        <f>IFERROR(INDEX(M_SKU!$A$18:$J$57,MATCH(I150,M_SKU!$B$18:$B$57,0),1),"UNKNOWN SKU")</f>
        <v>Krest Tonic Water RGB 300ml</v>
      </c>
      <c r="K150" s="73" t="s">
        <v>540</v>
      </c>
      <c r="L150" s="276">
        <v>0.62090000000000001</v>
      </c>
      <c r="M150" s="94" cm="1">
        <f t="array" ref="M150">IFERROR(INDEX(M_DepotPrice!$C$10:$C$52,MATCH(1,(M_DepotPrice!$A$10:$A$52=I150)*(M_DepotPrice!$H$10:$H$52=IFERROR(INDEX(M_Depot!$A$7:$A$24,MATCH(F150,M_Depot!$B$7:$B$24,0)),""))*(M_DepotPrice!$G$10:$G$52="Special"),0)),INDEX(M_DepotPrice!$C$10:$C$52,MATCH(1,(M_DepotPrice!$A$10:$A$52=I150)*(M_DepotPrice!$G$10:$G$52="Default"),0)))</f>
        <v>11780</v>
      </c>
      <c r="N150" s="95">
        <f t="shared" si="5"/>
        <v>8630.7583599999998</v>
      </c>
      <c r="O150" s="82" t="str">
        <f t="shared" si="4"/>
        <v>MOS100079|FG011|CK3-33347</v>
      </c>
    </row>
    <row r="151" spans="1:15" ht="15" customHeight="1" x14ac:dyDescent="0.3">
      <c r="A151" s="60" t="s">
        <v>820</v>
      </c>
      <c r="B151" s="60" t="s">
        <v>559</v>
      </c>
      <c r="C151" s="62">
        <v>46179</v>
      </c>
      <c r="D151" s="63" t="s">
        <v>395</v>
      </c>
      <c r="E151" s="66" t="str">
        <f>IFERROR(INDEX(M_User!$A$12:$J$67,MATCH(D151,M_User!$D$12:$D$67,0),3),"UNMAPPED")</f>
        <v>Meshack  Jeremiah</v>
      </c>
      <c r="F151" s="65" t="str">
        <f>IFERROR(INDEX(M_User!$A$12:$J$67,MATCH(D151,M_User!$D$12:$D$67,0),5),"UNMAPPED")</f>
        <v>MOS</v>
      </c>
      <c r="G151" s="63" t="s">
        <v>812</v>
      </c>
      <c r="H151" s="69" t="s">
        <v>813</v>
      </c>
      <c r="I151" s="63" t="s">
        <v>203</v>
      </c>
      <c r="J151" s="66" t="str">
        <f>IFERROR(INDEX(M_SKU!$A$18:$J$57,MATCH(I151,M_SKU!$B$18:$B$57,0),1),"UNKNOWN SKU")</f>
        <v>Krest Ginger Ale RGB 300ml</v>
      </c>
      <c r="K151" s="63" t="s">
        <v>541</v>
      </c>
      <c r="L151" s="276">
        <v>0.35199999999999998</v>
      </c>
      <c r="M151" s="91" cm="1">
        <f t="array" ref="M151">IFERROR(INDEX(M_DepotPrice!$C$10:$C$52,MATCH(1,(M_DepotPrice!$A$10:$A$52=I151)*(M_DepotPrice!$H$10:$H$52=IFERROR(INDEX(M_Depot!$A$7:$A$24,MATCH(F151,M_Depot!$B$7:$B$24,0)),""))*(M_DepotPrice!$G$10:$G$52="Special"),0)),INDEX(M_DepotPrice!$C$10:$C$52,MATCH(1,(M_DepotPrice!$A$10:$A$52=I151)*(M_DepotPrice!$G$10:$G$52="Default"),0)))</f>
        <v>11780</v>
      </c>
      <c r="N151" s="67">
        <f t="shared" si="5"/>
        <v>4892.9407999999994</v>
      </c>
      <c r="O151" s="66" t="str">
        <f t="shared" si="4"/>
        <v>MOS100079|FG012|CK3-33126</v>
      </c>
    </row>
    <row r="152" spans="1:15" ht="15" customHeight="1" x14ac:dyDescent="0.3">
      <c r="A152" s="70" t="s">
        <v>821</v>
      </c>
      <c r="B152" s="70" t="s">
        <v>559</v>
      </c>
      <c r="C152" s="72">
        <v>46179</v>
      </c>
      <c r="D152" s="73" t="s">
        <v>395</v>
      </c>
      <c r="E152" s="76" t="str">
        <f>IFERROR(INDEX(M_User!$A$12:$J$67,MATCH(D152,M_User!$D$12:$D$67,0),3),"UNMAPPED")</f>
        <v>Meshack  Jeremiah</v>
      </c>
      <c r="F152" s="75" t="str">
        <f>IFERROR(INDEX(M_User!$A$12:$J$67,MATCH(D152,M_User!$D$12:$D$67,0),5),"UNMAPPED")</f>
        <v>MOS</v>
      </c>
      <c r="G152" s="73" t="s">
        <v>812</v>
      </c>
      <c r="H152" s="92" t="s">
        <v>813</v>
      </c>
      <c r="I152" s="73" t="s">
        <v>234</v>
      </c>
      <c r="J152" s="76" t="str">
        <f>IFERROR(INDEX(M_SKU!$A$18:$J$57,MATCH(I152,M_SKU!$B$18:$B$57,0),1),"UNKNOWN SKU")</f>
        <v>Fanta Orange Pet 500ML ( x 12)</v>
      </c>
      <c r="K152" s="73" t="s">
        <v>523</v>
      </c>
      <c r="L152" s="276">
        <v>3</v>
      </c>
      <c r="M152" s="94" cm="1">
        <f t="array" ref="M152">IFERROR(INDEX(M_DepotPrice!$C$10:$C$52,MATCH(1,(M_DepotPrice!$A$10:$A$52=I152)*(M_DepotPrice!$H$10:$H$52=IFERROR(INDEX(M_Depot!$A$7:$A$24,MATCH(F152,M_Depot!$B$7:$B$24,0)),""))*(M_DepotPrice!$G$10:$G$52="Special"),0)),INDEX(M_DepotPrice!$C$10:$C$52,MATCH(1,(M_DepotPrice!$A$10:$A$52=I152)*(M_DepotPrice!$G$10:$G$52="Default"),0)))</f>
        <v>8898</v>
      </c>
      <c r="N152" s="95">
        <f t="shared" si="5"/>
        <v>31498.92</v>
      </c>
      <c r="O152" s="82" t="str">
        <f t="shared" si="4"/>
        <v>MOS100079|PH003|CK6-33405</v>
      </c>
    </row>
    <row r="153" spans="1:15" ht="15" customHeight="1" x14ac:dyDescent="0.3">
      <c r="A153" s="60" t="s">
        <v>822</v>
      </c>
      <c r="B153" s="60" t="s">
        <v>559</v>
      </c>
      <c r="C153" s="62">
        <v>46179</v>
      </c>
      <c r="D153" s="63" t="s">
        <v>395</v>
      </c>
      <c r="E153" s="66" t="str">
        <f>IFERROR(INDEX(M_User!$A$12:$J$67,MATCH(D153,M_User!$D$12:$D$67,0),3),"UNMAPPED")</f>
        <v>Meshack  Jeremiah</v>
      </c>
      <c r="F153" s="65" t="str">
        <f>IFERROR(INDEX(M_User!$A$12:$J$67,MATCH(D153,M_User!$D$12:$D$67,0),5),"UNMAPPED")</f>
        <v>MOS</v>
      </c>
      <c r="G153" s="63" t="s">
        <v>812</v>
      </c>
      <c r="H153" s="69" t="s">
        <v>813</v>
      </c>
      <c r="I153" s="63" t="s">
        <v>236</v>
      </c>
      <c r="J153" s="66" t="str">
        <f>IFERROR(INDEX(M_SKU!$A$18:$J$57,MATCH(I153,M_SKU!$B$18:$B$57,0),1),"UNKNOWN SKU")</f>
        <v>Fanta Passion Pet 500ML ( x12)</v>
      </c>
      <c r="K153" s="63" t="s">
        <v>524</v>
      </c>
      <c r="L153" s="276">
        <v>2</v>
      </c>
      <c r="M153" s="91" cm="1">
        <f t="array" ref="M153">IFERROR(INDEX(M_DepotPrice!$C$10:$C$52,MATCH(1,(M_DepotPrice!$A$10:$A$52=I153)*(M_DepotPrice!$H$10:$H$52=IFERROR(INDEX(M_Depot!$A$7:$A$24,MATCH(F153,M_Depot!$B$7:$B$24,0)),""))*(M_DepotPrice!$G$10:$G$52="Special"),0)),INDEX(M_DepotPrice!$C$10:$C$52,MATCH(1,(M_DepotPrice!$A$10:$A$52=I153)*(M_DepotPrice!$G$10:$G$52="Default"),0)))</f>
        <v>8898</v>
      </c>
      <c r="N153" s="67">
        <f t="shared" si="5"/>
        <v>20999.279999999999</v>
      </c>
      <c r="O153" s="66" t="str">
        <f t="shared" si="4"/>
        <v>MOS100079|PH004|CK5-33334</v>
      </c>
    </row>
    <row r="154" spans="1:15" ht="15" customHeight="1" x14ac:dyDescent="0.3">
      <c r="A154" s="70" t="s">
        <v>823</v>
      </c>
      <c r="B154" s="70" t="s">
        <v>559</v>
      </c>
      <c r="C154" s="72">
        <v>46179</v>
      </c>
      <c r="D154" s="73" t="s">
        <v>395</v>
      </c>
      <c r="E154" s="76" t="str">
        <f>IFERROR(INDEX(M_User!$A$12:$J$67,MATCH(D154,M_User!$D$12:$D$67,0),3),"UNMAPPED")</f>
        <v>Meshack  Jeremiah</v>
      </c>
      <c r="F154" s="75" t="str">
        <f>IFERROR(INDEX(M_User!$A$12:$J$67,MATCH(D154,M_User!$D$12:$D$67,0),5),"UNMAPPED")</f>
        <v>MOS</v>
      </c>
      <c r="G154" s="73" t="s">
        <v>812</v>
      </c>
      <c r="H154" s="92" t="s">
        <v>813</v>
      </c>
      <c r="I154" s="73" t="s">
        <v>254</v>
      </c>
      <c r="J154" s="76" t="str">
        <f>IFERROR(INDEX(M_SKU!$A$18:$J$57,MATCH(I154,M_SKU!$B$18:$B$57,0),1),"UNKNOWN SKU")</f>
        <v>Fanta Zero Pet 300ML (x 12)</v>
      </c>
      <c r="K154" s="73" t="s">
        <v>546</v>
      </c>
      <c r="L154" s="276">
        <v>2</v>
      </c>
      <c r="M154" s="94" cm="1">
        <f t="array" ref="M154">IFERROR(INDEX(M_DepotPrice!$C$10:$C$52,MATCH(1,(M_DepotPrice!$A$10:$A$52=I154)*(M_DepotPrice!$H$10:$H$52=IFERROR(INDEX(M_Depot!$A$7:$A$24,MATCH(F154,M_Depot!$B$7:$B$24,0)),""))*(M_DepotPrice!$G$10:$G$52="Special"),0)),INDEX(M_DepotPrice!$C$10:$C$52,MATCH(1,(M_DepotPrice!$A$10:$A$52=I154)*(M_DepotPrice!$G$10:$G$52="Default"),0)))</f>
        <v>5085</v>
      </c>
      <c r="N154" s="95">
        <f t="shared" si="5"/>
        <v>12000.599999999999</v>
      </c>
      <c r="O154" s="82" t="str">
        <f t="shared" si="4"/>
        <v>MOS100079|PO012|CK5-33369</v>
      </c>
    </row>
    <row r="155" spans="1:15" ht="15" customHeight="1" x14ac:dyDescent="0.3">
      <c r="A155" s="60" t="s">
        <v>824</v>
      </c>
      <c r="B155" s="60" t="s">
        <v>559</v>
      </c>
      <c r="C155" s="62">
        <v>46179</v>
      </c>
      <c r="D155" s="63" t="s">
        <v>395</v>
      </c>
      <c r="E155" s="66" t="str">
        <f>IFERROR(INDEX(M_User!$A$12:$J$67,MATCH(D155,M_User!$D$12:$D$67,0),3),"UNMAPPED")</f>
        <v>Meshack  Jeremiah</v>
      </c>
      <c r="F155" s="65" t="str">
        <f>IFERROR(INDEX(M_User!$A$12:$J$67,MATCH(D155,M_User!$D$12:$D$67,0),5),"UNMAPPED")</f>
        <v>MOS</v>
      </c>
      <c r="G155" s="63" t="s">
        <v>825</v>
      </c>
      <c r="H155" s="69" t="s">
        <v>826</v>
      </c>
      <c r="I155" s="63" t="s">
        <v>170</v>
      </c>
      <c r="J155" s="66" t="str">
        <f>IFERROR(INDEX(M_SKU!$A$18:$J$57,MATCH(I155,M_SKU!$B$18:$B$57,0),1),"UNKNOWN SKU")</f>
        <v>Coke RGB 350ml</v>
      </c>
      <c r="K155" s="63" t="s">
        <v>530</v>
      </c>
      <c r="L155" s="276">
        <v>8.5225000000000009</v>
      </c>
      <c r="M155" s="91" cm="1">
        <f t="array" ref="M155">IFERROR(INDEX(M_DepotPrice!$C$10:$C$52,MATCH(1,(M_DepotPrice!$A$10:$A$52=I155)*(M_DepotPrice!$H$10:$H$52=IFERROR(INDEX(M_Depot!$A$7:$A$24,MATCH(F155,M_Depot!$B$7:$B$24,0)),""))*(M_DepotPrice!$G$10:$G$52="Special"),0)),INDEX(M_DepotPrice!$C$10:$C$52,MATCH(1,(M_DepotPrice!$A$10:$A$52=I155)*(M_DepotPrice!$G$10:$G$52="Default"),0)))</f>
        <v>11780</v>
      </c>
      <c r="N155" s="67">
        <f t="shared" si="5"/>
        <v>118466.159</v>
      </c>
      <c r="O155" s="66" t="str">
        <f t="shared" si="4"/>
        <v>MOS100079|FG001|CK3-33409</v>
      </c>
    </row>
    <row r="156" spans="1:15" ht="15" customHeight="1" x14ac:dyDescent="0.3">
      <c r="A156" s="70" t="s">
        <v>827</v>
      </c>
      <c r="B156" s="70" t="s">
        <v>559</v>
      </c>
      <c r="C156" s="72">
        <v>46179</v>
      </c>
      <c r="D156" s="73" t="s">
        <v>395</v>
      </c>
      <c r="E156" s="76" t="str">
        <f>IFERROR(INDEX(M_User!$A$12:$J$67,MATCH(D156,M_User!$D$12:$D$67,0),3),"UNMAPPED")</f>
        <v>Meshack  Jeremiah</v>
      </c>
      <c r="F156" s="75" t="str">
        <f>IFERROR(INDEX(M_User!$A$12:$J$67,MATCH(D156,M_User!$D$12:$D$67,0),5),"UNMAPPED")</f>
        <v>MOS</v>
      </c>
      <c r="G156" s="73" t="s">
        <v>825</v>
      </c>
      <c r="H156" s="92" t="s">
        <v>826</v>
      </c>
      <c r="I156" s="73" t="s">
        <v>183</v>
      </c>
      <c r="J156" s="76" t="str">
        <f>IFERROR(INDEX(M_SKU!$A$18:$J$57,MATCH(I156,M_SKU!$B$18:$B$57,0),1),"UNKNOWN SKU")</f>
        <v>Fanta Pineapple RGB 350ml</v>
      </c>
      <c r="K156" s="73" t="s">
        <v>533</v>
      </c>
      <c r="L156" s="276">
        <v>1.0747</v>
      </c>
      <c r="M156" s="94" cm="1">
        <f t="array" ref="M156">IFERROR(INDEX(M_DepotPrice!$C$10:$C$52,MATCH(1,(M_DepotPrice!$A$10:$A$52=I156)*(M_DepotPrice!$H$10:$H$52=IFERROR(INDEX(M_Depot!$A$7:$A$24,MATCH(F156,M_Depot!$B$7:$B$24,0)),""))*(M_DepotPrice!$G$10:$G$52="Special"),0)),INDEX(M_DepotPrice!$C$10:$C$52,MATCH(1,(M_DepotPrice!$A$10:$A$52=I156)*(M_DepotPrice!$G$10:$G$52="Default"),0)))</f>
        <v>11780</v>
      </c>
      <c r="N156" s="95">
        <f t="shared" si="5"/>
        <v>14938.75988</v>
      </c>
      <c r="O156" s="82" t="str">
        <f t="shared" si="4"/>
        <v>MOS100079|FG004|CK3-33385</v>
      </c>
    </row>
    <row r="157" spans="1:15" ht="15" customHeight="1" x14ac:dyDescent="0.3">
      <c r="A157" s="60" t="s">
        <v>828</v>
      </c>
      <c r="B157" s="60" t="s">
        <v>559</v>
      </c>
      <c r="C157" s="62">
        <v>46179</v>
      </c>
      <c r="D157" s="63" t="s">
        <v>395</v>
      </c>
      <c r="E157" s="66" t="str">
        <f>IFERROR(INDEX(M_User!$A$12:$J$67,MATCH(D157,M_User!$D$12:$D$67,0),3),"UNMAPPED")</f>
        <v>Meshack  Jeremiah</v>
      </c>
      <c r="F157" s="65" t="str">
        <f>IFERROR(INDEX(M_User!$A$12:$J$67,MATCH(D157,M_User!$D$12:$D$67,0),5),"UNMAPPED")</f>
        <v>MOS</v>
      </c>
      <c r="G157" s="63" t="s">
        <v>825</v>
      </c>
      <c r="H157" s="69" t="s">
        <v>826</v>
      </c>
      <c r="I157" s="63" t="s">
        <v>187</v>
      </c>
      <c r="J157" s="66" t="str">
        <f>IFERROR(INDEX(M_SKU!$A$18:$J$57,MATCH(I157,M_SKU!$B$18:$B$57,0),1),"UNKNOWN SKU")</f>
        <v>Sprite 350ml</v>
      </c>
      <c r="K157" s="63" t="s">
        <v>535</v>
      </c>
      <c r="L157" s="276">
        <v>1.8090999999999999</v>
      </c>
      <c r="M157" s="91" cm="1">
        <f t="array" ref="M157">IFERROR(INDEX(M_DepotPrice!$C$10:$C$52,MATCH(1,(M_DepotPrice!$A$10:$A$52=I157)*(M_DepotPrice!$H$10:$H$52=IFERROR(INDEX(M_Depot!$A$7:$A$24,MATCH(F157,M_Depot!$B$7:$B$24,0)),""))*(M_DepotPrice!$G$10:$G$52="Special"),0)),INDEX(M_DepotPrice!$C$10:$C$52,MATCH(1,(M_DepotPrice!$A$10:$A$52=I157)*(M_DepotPrice!$G$10:$G$52="Default"),0)))</f>
        <v>11780</v>
      </c>
      <c r="N157" s="67">
        <f t="shared" si="5"/>
        <v>25147.213639999998</v>
      </c>
      <c r="O157" s="66" t="str">
        <f t="shared" si="4"/>
        <v>MOS100079|FG006|CK3-33414</v>
      </c>
    </row>
    <row r="158" spans="1:15" ht="15" customHeight="1" x14ac:dyDescent="0.3">
      <c r="A158" s="70" t="s">
        <v>829</v>
      </c>
      <c r="B158" s="70" t="s">
        <v>559</v>
      </c>
      <c r="C158" s="72">
        <v>46179</v>
      </c>
      <c r="D158" s="73" t="s">
        <v>395</v>
      </c>
      <c r="E158" s="76" t="str">
        <f>IFERROR(INDEX(M_User!$A$12:$J$67,MATCH(D158,M_User!$D$12:$D$67,0),3),"UNMAPPED")</f>
        <v>Meshack  Jeremiah</v>
      </c>
      <c r="F158" s="75" t="str">
        <f>IFERROR(INDEX(M_User!$A$12:$J$67,MATCH(D158,M_User!$D$12:$D$67,0),5),"UNMAPPED")</f>
        <v>MOS</v>
      </c>
      <c r="G158" s="73" t="s">
        <v>825</v>
      </c>
      <c r="H158" s="92" t="s">
        <v>826</v>
      </c>
      <c r="I158" s="73" t="s">
        <v>196</v>
      </c>
      <c r="J158" s="76" t="str">
        <f>IFERROR(INDEX(M_SKU!$A$18:$J$57,MATCH(I158,M_SKU!$B$18:$B$57,0),1),"UNKNOWN SKU")</f>
        <v>Krest Bitter Lemon RGB 300ml</v>
      </c>
      <c r="K158" s="73" t="s">
        <v>538</v>
      </c>
      <c r="L158" s="276">
        <v>0.45550000000000002</v>
      </c>
      <c r="M158" s="94" cm="1">
        <f t="array" ref="M158">IFERROR(INDEX(M_DepotPrice!$C$10:$C$52,MATCH(1,(M_DepotPrice!$A$10:$A$52=I158)*(M_DepotPrice!$H$10:$H$52=IFERROR(INDEX(M_Depot!$A$7:$A$24,MATCH(F158,M_Depot!$B$7:$B$24,0)),""))*(M_DepotPrice!$G$10:$G$52="Special"),0)),INDEX(M_DepotPrice!$C$10:$C$52,MATCH(1,(M_DepotPrice!$A$10:$A$52=I158)*(M_DepotPrice!$G$10:$G$52="Default"),0)))</f>
        <v>11780</v>
      </c>
      <c r="N158" s="95">
        <f t="shared" si="5"/>
        <v>6331.6322</v>
      </c>
      <c r="O158" s="82" t="str">
        <f t="shared" si="4"/>
        <v>MOS100079|FG009|CK3-33348</v>
      </c>
    </row>
    <row r="159" spans="1:15" ht="15" customHeight="1" x14ac:dyDescent="0.3">
      <c r="A159" s="60" t="s">
        <v>830</v>
      </c>
      <c r="B159" s="60" t="s">
        <v>559</v>
      </c>
      <c r="C159" s="62">
        <v>46179</v>
      </c>
      <c r="D159" s="63" t="s">
        <v>395</v>
      </c>
      <c r="E159" s="66" t="str">
        <f>IFERROR(INDEX(M_User!$A$12:$J$67,MATCH(D159,M_User!$D$12:$D$67,0),3),"UNMAPPED")</f>
        <v>Meshack  Jeremiah</v>
      </c>
      <c r="F159" s="65" t="str">
        <f>IFERROR(INDEX(M_User!$A$12:$J$67,MATCH(D159,M_User!$D$12:$D$67,0),5),"UNMAPPED")</f>
        <v>MOS</v>
      </c>
      <c r="G159" s="63" t="s">
        <v>825</v>
      </c>
      <c r="H159" s="69" t="s">
        <v>826</v>
      </c>
      <c r="I159" s="63" t="s">
        <v>201</v>
      </c>
      <c r="J159" s="66" t="str">
        <f>IFERROR(INDEX(M_SKU!$A$18:$J$57,MATCH(I159,M_SKU!$B$18:$B$57,0),1),"UNKNOWN SKU")</f>
        <v>Krest Tonic Water RGB 300ml</v>
      </c>
      <c r="K159" s="63" t="s">
        <v>540</v>
      </c>
      <c r="L159" s="276">
        <v>0.24079999999999999</v>
      </c>
      <c r="M159" s="91" cm="1">
        <f t="array" ref="M159">IFERROR(INDEX(M_DepotPrice!$C$10:$C$52,MATCH(1,(M_DepotPrice!$A$10:$A$52=I159)*(M_DepotPrice!$H$10:$H$52=IFERROR(INDEX(M_Depot!$A$7:$A$24,MATCH(F159,M_Depot!$B$7:$B$24,0)),""))*(M_DepotPrice!$G$10:$G$52="Special"),0)),INDEX(M_DepotPrice!$C$10:$C$52,MATCH(1,(M_DepotPrice!$A$10:$A$52=I159)*(M_DepotPrice!$G$10:$G$52="Default"),0)))</f>
        <v>11780</v>
      </c>
      <c r="N159" s="67">
        <f t="shared" si="5"/>
        <v>3347.2163199999995</v>
      </c>
      <c r="O159" s="66" t="str">
        <f t="shared" si="4"/>
        <v>MOS100079|FG011|CK3-33347</v>
      </c>
    </row>
    <row r="160" spans="1:15" ht="15" customHeight="1" x14ac:dyDescent="0.3">
      <c r="A160" s="70" t="s">
        <v>831</v>
      </c>
      <c r="B160" s="70" t="s">
        <v>559</v>
      </c>
      <c r="C160" s="72">
        <v>46179</v>
      </c>
      <c r="D160" s="73" t="s">
        <v>395</v>
      </c>
      <c r="E160" s="76" t="str">
        <f>IFERROR(INDEX(M_User!$A$12:$J$67,MATCH(D160,M_User!$D$12:$D$67,0),3),"UNMAPPED")</f>
        <v>Meshack  Jeremiah</v>
      </c>
      <c r="F160" s="75" t="str">
        <f>IFERROR(INDEX(M_User!$A$12:$J$67,MATCH(D160,M_User!$D$12:$D$67,0),5),"UNMAPPED")</f>
        <v>MOS</v>
      </c>
      <c r="G160" s="73" t="s">
        <v>825</v>
      </c>
      <c r="H160" s="92" t="s">
        <v>826</v>
      </c>
      <c r="I160" s="73" t="s">
        <v>211</v>
      </c>
      <c r="J160" s="76" t="str">
        <f>IFERROR(INDEX(M_SKU!$A$18:$J$57,MATCH(I160,M_SKU!$B$18:$B$57,0),1),"UNKNOWN SKU")</f>
        <v>KNMW 500ml</v>
      </c>
      <c r="K160" s="73" t="s">
        <v>543</v>
      </c>
      <c r="L160" s="276">
        <v>12</v>
      </c>
      <c r="M160" s="94" cm="1">
        <f t="array" ref="M160">IFERROR(INDEX(M_DepotPrice!$C$10:$C$52,MATCH(1,(M_DepotPrice!$A$10:$A$52=I160)*(M_DepotPrice!$H$10:$H$52=IFERROR(INDEX(M_Depot!$A$7:$A$24,MATCH(F160,M_Depot!$B$7:$B$24,0)),""))*(M_DepotPrice!$G$10:$G$52="Special"),0)),INDEX(M_DepotPrice!$C$10:$C$52,MATCH(1,(M_DepotPrice!$A$10:$A$52=I160)*(M_DepotPrice!$G$10:$G$52="Default"),0)))</f>
        <v>3559</v>
      </c>
      <c r="N160" s="95">
        <f t="shared" si="5"/>
        <v>50395.439999999995</v>
      </c>
      <c r="O160" s="82" t="str">
        <f t="shared" si="4"/>
        <v>MOS100079|KD001|CK6-986</v>
      </c>
    </row>
    <row r="161" spans="1:15" ht="15" customHeight="1" x14ac:dyDescent="0.3">
      <c r="A161" s="60" t="s">
        <v>832</v>
      </c>
      <c r="B161" s="60" t="s">
        <v>559</v>
      </c>
      <c r="C161" s="62">
        <v>46179</v>
      </c>
      <c r="D161" s="63" t="s">
        <v>395</v>
      </c>
      <c r="E161" s="66" t="str">
        <f>IFERROR(INDEX(M_User!$A$12:$J$67,MATCH(D161,M_User!$D$12:$D$67,0),3),"UNMAPPED")</f>
        <v>Meshack  Jeremiah</v>
      </c>
      <c r="F161" s="65" t="str">
        <f>IFERROR(INDEX(M_User!$A$12:$J$67,MATCH(D161,M_User!$D$12:$D$67,0),5),"UNMAPPED")</f>
        <v>MOS</v>
      </c>
      <c r="G161" s="63" t="s">
        <v>825</v>
      </c>
      <c r="H161" s="69" t="s">
        <v>826</v>
      </c>
      <c r="I161" s="63" t="s">
        <v>217</v>
      </c>
      <c r="J161" s="66" t="str">
        <f>IFERROR(INDEX(M_SKU!$A$18:$J$57,MATCH(I161,M_SKU!$B$18:$B$57,0),1),"UNKNOWN SKU")</f>
        <v>KNMW 1500ml</v>
      </c>
      <c r="K161" s="63" t="s">
        <v>551</v>
      </c>
      <c r="L161" s="276">
        <v>26</v>
      </c>
      <c r="M161" s="91" cm="1">
        <f t="array" ref="M161">IFERROR(INDEX(M_DepotPrice!$C$10:$C$52,MATCH(1,(M_DepotPrice!$A$10:$A$52=I161)*(M_DepotPrice!$H$10:$H$52=IFERROR(INDEX(M_Depot!$A$7:$A$24,MATCH(F161,M_Depot!$B$7:$B$24,0)),""))*(M_DepotPrice!$G$10:$G$52="Special"),0)),INDEX(M_DepotPrice!$C$10:$C$52,MATCH(1,(M_DepotPrice!$A$10:$A$52=I161)*(M_DepotPrice!$G$10:$G$52="Default"),0)))</f>
        <v>3983</v>
      </c>
      <c r="N161" s="67">
        <f t="shared" si="5"/>
        <v>122198.43999999999</v>
      </c>
      <c r="O161" s="66" t="str">
        <f t="shared" si="4"/>
        <v>MOS100079|KD003|CK4-842</v>
      </c>
    </row>
    <row r="162" spans="1:15" ht="15" customHeight="1" x14ac:dyDescent="0.3">
      <c r="A162" s="70" t="s">
        <v>833</v>
      </c>
      <c r="B162" s="70" t="s">
        <v>559</v>
      </c>
      <c r="C162" s="72">
        <v>46179</v>
      </c>
      <c r="D162" s="73" t="s">
        <v>395</v>
      </c>
      <c r="E162" s="76" t="str">
        <f>IFERROR(INDEX(M_User!$A$12:$J$67,MATCH(D162,M_User!$D$12:$D$67,0),3),"UNMAPPED")</f>
        <v>Meshack  Jeremiah</v>
      </c>
      <c r="F162" s="75" t="str">
        <f>IFERROR(INDEX(M_User!$A$12:$J$67,MATCH(D162,M_User!$D$12:$D$67,0),5),"UNMAPPED")</f>
        <v>MOS</v>
      </c>
      <c r="G162" s="73" t="s">
        <v>825</v>
      </c>
      <c r="H162" s="92" t="s">
        <v>826</v>
      </c>
      <c r="I162" s="73" t="s">
        <v>229</v>
      </c>
      <c r="J162" s="76" t="str">
        <f>IFERROR(INDEX(M_SKU!$A$18:$J$57,MATCH(I162,M_SKU!$B$18:$B$57,0),1),"UNKNOWN SKU")</f>
        <v>Coke Pet 500ML ( x12)</v>
      </c>
      <c r="K162" s="73" t="s">
        <v>520</v>
      </c>
      <c r="L162" s="276">
        <v>10</v>
      </c>
      <c r="M162" s="94" cm="1">
        <f t="array" ref="M162">IFERROR(INDEX(M_DepotPrice!$C$10:$C$52,MATCH(1,(M_DepotPrice!$A$10:$A$52=I162)*(M_DepotPrice!$H$10:$H$52=IFERROR(INDEX(M_Depot!$A$7:$A$24,MATCH(F162,M_Depot!$B$7:$B$24,0)),""))*(M_DepotPrice!$G$10:$G$52="Special"),0)),INDEX(M_DepotPrice!$C$10:$C$52,MATCH(1,(M_DepotPrice!$A$10:$A$52=I162)*(M_DepotPrice!$G$10:$G$52="Default"),0)))</f>
        <v>8898</v>
      </c>
      <c r="N162" s="95">
        <f t="shared" si="5"/>
        <v>104996.4</v>
      </c>
      <c r="O162" s="82" t="str">
        <f t="shared" si="4"/>
        <v>MOS100079|PH001|CK6-33411</v>
      </c>
    </row>
    <row r="163" spans="1:15" ht="15" customHeight="1" x14ac:dyDescent="0.3">
      <c r="A163" s="60" t="s">
        <v>834</v>
      </c>
      <c r="B163" s="60" t="s">
        <v>559</v>
      </c>
      <c r="C163" s="62">
        <v>46179</v>
      </c>
      <c r="D163" s="63" t="s">
        <v>395</v>
      </c>
      <c r="E163" s="66" t="str">
        <f>IFERROR(INDEX(M_User!$A$12:$J$67,MATCH(D163,M_User!$D$12:$D$67,0),3),"UNMAPPED")</f>
        <v>Meshack  Jeremiah</v>
      </c>
      <c r="F163" s="65" t="str">
        <f>IFERROR(INDEX(M_User!$A$12:$J$67,MATCH(D163,M_User!$D$12:$D$67,0),5),"UNMAPPED")</f>
        <v>MOS</v>
      </c>
      <c r="G163" s="63" t="s">
        <v>825</v>
      </c>
      <c r="H163" s="69" t="s">
        <v>826</v>
      </c>
      <c r="I163" s="63" t="s">
        <v>232</v>
      </c>
      <c r="J163" s="66" t="str">
        <f>IFERROR(INDEX(M_SKU!$A$18:$J$57,MATCH(I163,M_SKU!$B$18:$B$57,0),1),"UNKNOWN SKU")</f>
        <v>Sprite Pet 500ML (x 12)</v>
      </c>
      <c r="K163" s="63" t="s">
        <v>522</v>
      </c>
      <c r="L163" s="276">
        <v>3</v>
      </c>
      <c r="M163" s="91" cm="1">
        <f t="array" ref="M163">IFERROR(INDEX(M_DepotPrice!$C$10:$C$52,MATCH(1,(M_DepotPrice!$A$10:$A$52=I163)*(M_DepotPrice!$H$10:$H$52=IFERROR(INDEX(M_Depot!$A$7:$A$24,MATCH(F163,M_Depot!$B$7:$B$24,0)),""))*(M_DepotPrice!$G$10:$G$52="Special"),0)),INDEX(M_DepotPrice!$C$10:$C$52,MATCH(1,(M_DepotPrice!$A$10:$A$52=I163)*(M_DepotPrice!$G$10:$G$52="Default"),0)))</f>
        <v>8898</v>
      </c>
      <c r="N163" s="67">
        <f t="shared" si="5"/>
        <v>31498.92</v>
      </c>
      <c r="O163" s="66" t="str">
        <f t="shared" si="4"/>
        <v>MOS100079|PH002|CK6-33362</v>
      </c>
    </row>
    <row r="164" spans="1:15" ht="15" customHeight="1" x14ac:dyDescent="0.3">
      <c r="A164" s="70" t="s">
        <v>835</v>
      </c>
      <c r="B164" s="70" t="s">
        <v>559</v>
      </c>
      <c r="C164" s="72">
        <v>46179</v>
      </c>
      <c r="D164" s="73" t="s">
        <v>395</v>
      </c>
      <c r="E164" s="76" t="str">
        <f>IFERROR(INDEX(M_User!$A$12:$J$67,MATCH(D164,M_User!$D$12:$D$67,0),3),"UNMAPPED")</f>
        <v>Meshack  Jeremiah</v>
      </c>
      <c r="F164" s="75" t="str">
        <f>IFERROR(INDEX(M_User!$A$12:$J$67,MATCH(D164,M_User!$D$12:$D$67,0),5),"UNMAPPED")</f>
        <v>MOS</v>
      </c>
      <c r="G164" s="73" t="s">
        <v>825</v>
      </c>
      <c r="H164" s="92" t="s">
        <v>826</v>
      </c>
      <c r="I164" s="73" t="s">
        <v>234</v>
      </c>
      <c r="J164" s="76" t="str">
        <f>IFERROR(INDEX(M_SKU!$A$18:$J$57,MATCH(I164,M_SKU!$B$18:$B$57,0),1),"UNKNOWN SKU")</f>
        <v>Fanta Orange Pet 500ML ( x 12)</v>
      </c>
      <c r="K164" s="73" t="s">
        <v>523</v>
      </c>
      <c r="L164" s="276">
        <v>7</v>
      </c>
      <c r="M164" s="94" cm="1">
        <f t="array" ref="M164">IFERROR(INDEX(M_DepotPrice!$C$10:$C$52,MATCH(1,(M_DepotPrice!$A$10:$A$52=I164)*(M_DepotPrice!$H$10:$H$52=IFERROR(INDEX(M_Depot!$A$7:$A$24,MATCH(F164,M_Depot!$B$7:$B$24,0)),""))*(M_DepotPrice!$G$10:$G$52="Special"),0)),INDEX(M_DepotPrice!$C$10:$C$52,MATCH(1,(M_DepotPrice!$A$10:$A$52=I164)*(M_DepotPrice!$G$10:$G$52="Default"),0)))</f>
        <v>8898</v>
      </c>
      <c r="N164" s="95">
        <f t="shared" si="5"/>
        <v>73497.48</v>
      </c>
      <c r="O164" s="82" t="str">
        <f t="shared" si="4"/>
        <v>MOS100079|PH003|CK6-33405</v>
      </c>
    </row>
    <row r="165" spans="1:15" ht="15" customHeight="1" x14ac:dyDescent="0.3">
      <c r="A165" s="60" t="s">
        <v>836</v>
      </c>
      <c r="B165" s="60" t="s">
        <v>559</v>
      </c>
      <c r="C165" s="62">
        <v>46179</v>
      </c>
      <c r="D165" s="63" t="s">
        <v>395</v>
      </c>
      <c r="E165" s="66" t="str">
        <f>IFERROR(INDEX(M_User!$A$12:$J$67,MATCH(D165,M_User!$D$12:$D$67,0),3),"UNMAPPED")</f>
        <v>Meshack  Jeremiah</v>
      </c>
      <c r="F165" s="65" t="str">
        <f>IFERROR(INDEX(M_User!$A$12:$J$67,MATCH(D165,M_User!$D$12:$D$67,0),5),"UNMAPPED")</f>
        <v>MOS</v>
      </c>
      <c r="G165" s="63" t="s">
        <v>825</v>
      </c>
      <c r="H165" s="69" t="s">
        <v>826</v>
      </c>
      <c r="I165" s="63" t="s">
        <v>242</v>
      </c>
      <c r="J165" s="66" t="str">
        <f>IFERROR(INDEX(M_SKU!$A$18:$J$57,MATCH(I165,M_SKU!$B$18:$B$57,0),1),"UNKNOWN SKU")</f>
        <v>Stoney Tangawizi Pet 500 ml ( x12)</v>
      </c>
      <c r="K165" s="63" t="s">
        <v>525</v>
      </c>
      <c r="L165" s="276">
        <v>2</v>
      </c>
      <c r="M165" s="91" cm="1">
        <f t="array" ref="M165">IFERROR(INDEX(M_DepotPrice!$C$10:$C$52,MATCH(1,(M_DepotPrice!$A$10:$A$52=I165)*(M_DepotPrice!$H$10:$H$52=IFERROR(INDEX(M_Depot!$A$7:$A$24,MATCH(F165,M_Depot!$B$7:$B$24,0)),""))*(M_DepotPrice!$G$10:$G$52="Special"),0)),INDEX(M_DepotPrice!$C$10:$C$52,MATCH(1,(M_DepotPrice!$A$10:$A$52=I165)*(M_DepotPrice!$G$10:$G$52="Default"),0)))</f>
        <v>8898</v>
      </c>
      <c r="N165" s="67">
        <f t="shared" si="5"/>
        <v>20999.279999999999</v>
      </c>
      <c r="O165" s="66" t="str">
        <f t="shared" si="4"/>
        <v>MOS100079|PH007|CK6-33375</v>
      </c>
    </row>
    <row r="166" spans="1:15" ht="15" customHeight="1" x14ac:dyDescent="0.3">
      <c r="A166" s="70" t="s">
        <v>837</v>
      </c>
      <c r="B166" s="70" t="s">
        <v>559</v>
      </c>
      <c r="C166" s="72">
        <v>46179</v>
      </c>
      <c r="D166" s="73" t="s">
        <v>395</v>
      </c>
      <c r="E166" s="76" t="str">
        <f>IFERROR(INDEX(M_User!$A$12:$J$67,MATCH(D166,M_User!$D$12:$D$67,0),3),"UNMAPPED")</f>
        <v>Meshack  Jeremiah</v>
      </c>
      <c r="F166" s="75" t="str">
        <f>IFERROR(INDEX(M_User!$A$12:$J$67,MATCH(D166,M_User!$D$12:$D$67,0),5),"UNMAPPED")</f>
        <v>MOS</v>
      </c>
      <c r="G166" s="73" t="s">
        <v>825</v>
      </c>
      <c r="H166" s="92" t="s">
        <v>826</v>
      </c>
      <c r="I166" s="73" t="s">
        <v>244</v>
      </c>
      <c r="J166" s="76" t="str">
        <f>IFERROR(INDEX(M_SKU!$A$18:$J$57,MATCH(I166,M_SKU!$B$18:$B$57,0),1),"UNKNOWN SKU")</f>
        <v>Sparletta Pinenut Pet 500 ml ( x12)</v>
      </c>
      <c r="K166" s="73" t="s">
        <v>526</v>
      </c>
      <c r="L166" s="276">
        <v>2</v>
      </c>
      <c r="M166" s="94" cm="1">
        <f t="array" ref="M166">IFERROR(INDEX(M_DepotPrice!$C$10:$C$52,MATCH(1,(M_DepotPrice!$A$10:$A$52=I166)*(M_DepotPrice!$H$10:$H$52=IFERROR(INDEX(M_Depot!$A$7:$A$24,MATCH(F166,M_Depot!$B$7:$B$24,0)),""))*(M_DepotPrice!$G$10:$G$52="Special"),0)),INDEX(M_DepotPrice!$C$10:$C$52,MATCH(1,(M_DepotPrice!$A$10:$A$52=I166)*(M_DepotPrice!$G$10:$G$52="Default"),0)))</f>
        <v>8898</v>
      </c>
      <c r="N166" s="95">
        <f t="shared" si="5"/>
        <v>20999.279999999999</v>
      </c>
      <c r="O166" s="82" t="str">
        <f t="shared" si="4"/>
        <v>MOS100079|PH008|CK5-33370</v>
      </c>
    </row>
    <row r="167" spans="1:15" ht="15" customHeight="1" x14ac:dyDescent="0.3">
      <c r="A167" s="60" t="s">
        <v>838</v>
      </c>
      <c r="B167" s="60" t="s">
        <v>559</v>
      </c>
      <c r="C167" s="62">
        <v>46179</v>
      </c>
      <c r="D167" s="63" t="s">
        <v>395</v>
      </c>
      <c r="E167" s="66" t="str">
        <f>IFERROR(INDEX(M_User!$A$12:$J$67,MATCH(D167,M_User!$D$12:$D$67,0),3),"UNMAPPED")</f>
        <v>Meshack  Jeremiah</v>
      </c>
      <c r="F167" s="65" t="str">
        <f>IFERROR(INDEX(M_User!$A$12:$J$67,MATCH(D167,M_User!$D$12:$D$67,0),5),"UNMAPPED")</f>
        <v>MOS</v>
      </c>
      <c r="G167" s="63" t="s">
        <v>825</v>
      </c>
      <c r="H167" s="69" t="s">
        <v>826</v>
      </c>
      <c r="I167" s="63" t="s">
        <v>254</v>
      </c>
      <c r="J167" s="66" t="str">
        <f>IFERROR(INDEX(M_SKU!$A$18:$J$57,MATCH(I167,M_SKU!$B$18:$B$57,0),1),"UNKNOWN SKU")</f>
        <v>Fanta Zero Pet 300ML (x 12)</v>
      </c>
      <c r="K167" s="63" t="s">
        <v>546</v>
      </c>
      <c r="L167" s="276">
        <v>1</v>
      </c>
      <c r="M167" s="91" cm="1">
        <f t="array" ref="M167">IFERROR(INDEX(M_DepotPrice!$C$10:$C$52,MATCH(1,(M_DepotPrice!$A$10:$A$52=I167)*(M_DepotPrice!$H$10:$H$52=IFERROR(INDEX(M_Depot!$A$7:$A$24,MATCH(F167,M_Depot!$B$7:$B$24,0)),""))*(M_DepotPrice!$G$10:$G$52="Special"),0)),INDEX(M_DepotPrice!$C$10:$C$52,MATCH(1,(M_DepotPrice!$A$10:$A$52=I167)*(M_DepotPrice!$G$10:$G$52="Default"),0)))</f>
        <v>5085</v>
      </c>
      <c r="N167" s="67">
        <f t="shared" si="5"/>
        <v>6000.2999999999993</v>
      </c>
      <c r="O167" s="66" t="str">
        <f t="shared" si="4"/>
        <v>MOS100079|PO012|CK5-33369</v>
      </c>
    </row>
    <row r="168" spans="1:15" ht="15" customHeight="1" x14ac:dyDescent="0.3">
      <c r="A168" s="70" t="s">
        <v>839</v>
      </c>
      <c r="B168" s="70" t="s">
        <v>575</v>
      </c>
      <c r="C168" s="72">
        <v>46179</v>
      </c>
      <c r="D168" s="73" t="s">
        <v>376</v>
      </c>
      <c r="E168" s="76" t="str">
        <f>IFERROR(INDEX(M_User!$A$12:$J$67,MATCH(D168,M_User!$D$12:$D$67,0),3),"UNMAPPED")</f>
        <v>Zefania Julius Ngoma</v>
      </c>
      <c r="F168" s="75" t="str">
        <f>IFERROR(INDEX(M_User!$A$12:$J$67,MATCH(D168,M_User!$D$12:$D$67,0),5),"UNMAPPED")</f>
        <v>MOS</v>
      </c>
      <c r="G168" s="73" t="s">
        <v>840</v>
      </c>
      <c r="H168" s="92" t="s">
        <v>841</v>
      </c>
      <c r="I168" s="73" t="s">
        <v>170</v>
      </c>
      <c r="J168" s="76" t="str">
        <f>IFERROR(INDEX(M_SKU!$A$18:$J$57,MATCH(I168,M_SKU!$B$18:$B$57,0),1),"UNKNOWN SKU")</f>
        <v>Coke RGB 350ml</v>
      </c>
      <c r="K168" s="73" t="s">
        <v>530</v>
      </c>
      <c r="L168" s="276">
        <v>14.2829</v>
      </c>
      <c r="M168" s="94" cm="1">
        <f t="array" ref="M168">IFERROR(INDEX(M_DepotPrice!$C$10:$C$52,MATCH(1,(M_DepotPrice!$A$10:$A$52=I168)*(M_DepotPrice!$H$10:$H$52=IFERROR(INDEX(M_Depot!$A$7:$A$24,MATCH(F168,M_Depot!$B$7:$B$24,0)),""))*(M_DepotPrice!$G$10:$G$52="Special"),0)),INDEX(M_DepotPrice!$C$10:$C$52,MATCH(1,(M_DepotPrice!$A$10:$A$52=I168)*(M_DepotPrice!$G$10:$G$52="Default"),0)))</f>
        <v>11780</v>
      </c>
      <c r="N168" s="95">
        <f t="shared" si="5"/>
        <v>198538.02315999998</v>
      </c>
      <c r="O168" s="82" t="str">
        <f t="shared" si="4"/>
        <v>MOS100144|FG001|CK3-33409</v>
      </c>
    </row>
    <row r="169" spans="1:15" ht="15" customHeight="1" x14ac:dyDescent="0.3">
      <c r="A169" s="60" t="s">
        <v>842</v>
      </c>
      <c r="B169" s="60" t="s">
        <v>575</v>
      </c>
      <c r="C169" s="62">
        <v>46179</v>
      </c>
      <c r="D169" s="63" t="s">
        <v>376</v>
      </c>
      <c r="E169" s="66" t="str">
        <f>IFERROR(INDEX(M_User!$A$12:$J$67,MATCH(D169,M_User!$D$12:$D$67,0),3),"UNMAPPED")</f>
        <v>Zefania Julius Ngoma</v>
      </c>
      <c r="F169" s="65" t="str">
        <f>IFERROR(INDEX(M_User!$A$12:$J$67,MATCH(D169,M_User!$D$12:$D$67,0),5),"UNMAPPED")</f>
        <v>MOS</v>
      </c>
      <c r="G169" s="63" t="s">
        <v>840</v>
      </c>
      <c r="H169" s="69" t="s">
        <v>841</v>
      </c>
      <c r="I169" s="63" t="s">
        <v>181</v>
      </c>
      <c r="J169" s="66" t="str">
        <f>IFERROR(INDEX(M_SKU!$A$18:$J$57,MATCH(I169,M_SKU!$B$18:$B$57,0),1),"UNKNOWN SKU")</f>
        <v>Fanta Passion RGB 350ml</v>
      </c>
      <c r="K169" s="63" t="s">
        <v>550</v>
      </c>
      <c r="L169" s="276">
        <v>1.5222</v>
      </c>
      <c r="M169" s="91" cm="1">
        <f t="array" ref="M169">IFERROR(INDEX(M_DepotPrice!$C$10:$C$52,MATCH(1,(M_DepotPrice!$A$10:$A$52=I169)*(M_DepotPrice!$H$10:$H$52=IFERROR(INDEX(M_Depot!$A$7:$A$24,MATCH(F169,M_Depot!$B$7:$B$24,0)),""))*(M_DepotPrice!$G$10:$G$52="Special"),0)),INDEX(M_DepotPrice!$C$10:$C$52,MATCH(1,(M_DepotPrice!$A$10:$A$52=I169)*(M_DepotPrice!$G$10:$G$52="Default"),0)))</f>
        <v>11780</v>
      </c>
      <c r="N169" s="67">
        <f t="shared" si="5"/>
        <v>21159.188879999998</v>
      </c>
      <c r="O169" s="66" t="str">
        <f t="shared" si="4"/>
        <v>MOS100144|FG003|CK3-33356</v>
      </c>
    </row>
    <row r="170" spans="1:15" ht="15" customHeight="1" x14ac:dyDescent="0.3">
      <c r="A170" s="70" t="s">
        <v>843</v>
      </c>
      <c r="B170" s="70" t="s">
        <v>575</v>
      </c>
      <c r="C170" s="72">
        <v>46179</v>
      </c>
      <c r="D170" s="73" t="s">
        <v>376</v>
      </c>
      <c r="E170" s="76" t="str">
        <f>IFERROR(INDEX(M_User!$A$12:$J$67,MATCH(D170,M_User!$D$12:$D$67,0),3),"UNMAPPED")</f>
        <v>Zefania Julius Ngoma</v>
      </c>
      <c r="F170" s="75" t="str">
        <f>IFERROR(INDEX(M_User!$A$12:$J$67,MATCH(D170,M_User!$D$12:$D$67,0),5),"UNMAPPED")</f>
        <v>MOS</v>
      </c>
      <c r="G170" s="73" t="s">
        <v>840</v>
      </c>
      <c r="H170" s="92" t="s">
        <v>841</v>
      </c>
      <c r="I170" s="73" t="s">
        <v>183</v>
      </c>
      <c r="J170" s="76" t="str">
        <f>IFERROR(INDEX(M_SKU!$A$18:$J$57,MATCH(I170,M_SKU!$B$18:$B$57,0),1),"UNKNOWN SKU")</f>
        <v>Fanta Pineapple RGB 350ml</v>
      </c>
      <c r="K170" s="73" t="s">
        <v>533</v>
      </c>
      <c r="L170" s="276">
        <v>4.3068</v>
      </c>
      <c r="M170" s="94" cm="1">
        <f t="array" ref="M170">IFERROR(INDEX(M_DepotPrice!$C$10:$C$52,MATCH(1,(M_DepotPrice!$A$10:$A$52=I170)*(M_DepotPrice!$H$10:$H$52=IFERROR(INDEX(M_Depot!$A$7:$A$24,MATCH(F170,M_Depot!$B$7:$B$24,0)),""))*(M_DepotPrice!$G$10:$G$52="Special"),0)),INDEX(M_DepotPrice!$C$10:$C$52,MATCH(1,(M_DepotPrice!$A$10:$A$52=I170)*(M_DepotPrice!$G$10:$G$52="Default"),0)))</f>
        <v>11780</v>
      </c>
      <c r="N170" s="95">
        <f t="shared" si="5"/>
        <v>59866.242719999995</v>
      </c>
      <c r="O170" s="82" t="str">
        <f t="shared" si="4"/>
        <v>MOS100144|FG004|CK3-33385</v>
      </c>
    </row>
    <row r="171" spans="1:15" ht="15" customHeight="1" x14ac:dyDescent="0.3">
      <c r="A171" s="60" t="s">
        <v>844</v>
      </c>
      <c r="B171" s="60" t="s">
        <v>575</v>
      </c>
      <c r="C171" s="62">
        <v>46179</v>
      </c>
      <c r="D171" s="63" t="s">
        <v>376</v>
      </c>
      <c r="E171" s="66" t="str">
        <f>IFERROR(INDEX(M_User!$A$12:$J$67,MATCH(D171,M_User!$D$12:$D$67,0),3),"UNMAPPED")</f>
        <v>Zefania Julius Ngoma</v>
      </c>
      <c r="F171" s="65" t="str">
        <f>IFERROR(INDEX(M_User!$A$12:$J$67,MATCH(D171,M_User!$D$12:$D$67,0),5),"UNMAPPED")</f>
        <v>MOS</v>
      </c>
      <c r="G171" s="63" t="s">
        <v>840</v>
      </c>
      <c r="H171" s="69" t="s">
        <v>841</v>
      </c>
      <c r="I171" s="63" t="s">
        <v>185</v>
      </c>
      <c r="J171" s="66" t="str">
        <f>IFERROR(INDEX(M_SKU!$A$18:$J$57,MATCH(I171,M_SKU!$B$18:$B$57,0),1),"UNKNOWN SKU")</f>
        <v>Fanta Fruit Blast RGB 350 ml</v>
      </c>
      <c r="K171" s="63" t="s">
        <v>534</v>
      </c>
      <c r="L171" s="276">
        <v>1.77046473419518</v>
      </c>
      <c r="M171" s="91" cm="1">
        <f t="array" ref="M171">IFERROR(INDEX(M_DepotPrice!$C$10:$C$52,MATCH(1,(M_DepotPrice!$A$10:$A$52=I171)*(M_DepotPrice!$H$10:$H$52=IFERROR(INDEX(M_Depot!$A$7:$A$24,MATCH(F171,M_Depot!$B$7:$B$24,0)),""))*(M_DepotPrice!$G$10:$G$52="Special"),0)),INDEX(M_DepotPrice!$C$10:$C$52,MATCH(1,(M_DepotPrice!$A$10:$A$52=I171)*(M_DepotPrice!$G$10:$G$52="Default"),0)))</f>
        <v>11780</v>
      </c>
      <c r="N171" s="67">
        <f t="shared" si="5"/>
        <v>24610.167991206679</v>
      </c>
      <c r="O171" s="66" t="str">
        <f t="shared" si="4"/>
        <v>MOS100144|FG005|CK3-33402</v>
      </c>
    </row>
    <row r="172" spans="1:15" ht="15" customHeight="1" x14ac:dyDescent="0.3">
      <c r="A172" s="70" t="s">
        <v>845</v>
      </c>
      <c r="B172" s="70" t="s">
        <v>575</v>
      </c>
      <c r="C172" s="72">
        <v>46179</v>
      </c>
      <c r="D172" s="73" t="s">
        <v>376</v>
      </c>
      <c r="E172" s="76" t="str">
        <f>IFERROR(INDEX(M_User!$A$12:$J$67,MATCH(D172,M_User!$D$12:$D$67,0),3),"UNMAPPED")</f>
        <v>Zefania Julius Ngoma</v>
      </c>
      <c r="F172" s="75" t="str">
        <f>IFERROR(INDEX(M_User!$A$12:$J$67,MATCH(D172,M_User!$D$12:$D$67,0),5),"UNMAPPED")</f>
        <v>MOS</v>
      </c>
      <c r="G172" s="73" t="s">
        <v>840</v>
      </c>
      <c r="H172" s="92" t="s">
        <v>841</v>
      </c>
      <c r="I172" s="73" t="s">
        <v>190</v>
      </c>
      <c r="J172" s="76" t="str">
        <f>IFERROR(INDEX(M_SKU!$A$18:$J$57,MATCH(I172,M_SKU!$B$18:$B$57,0),1),"UNKNOWN SKU")</f>
        <v>Stoney Tangawizi RGB 350ml</v>
      </c>
      <c r="K172" s="73" t="s">
        <v>536</v>
      </c>
      <c r="L172" s="276">
        <v>1.9343876768997299</v>
      </c>
      <c r="M172" s="94" cm="1">
        <f t="array" ref="M172">IFERROR(INDEX(M_DepotPrice!$C$10:$C$52,MATCH(1,(M_DepotPrice!$A$10:$A$52=I172)*(M_DepotPrice!$H$10:$H$52=IFERROR(INDEX(M_Depot!$A$7:$A$24,MATCH(F172,M_Depot!$B$7:$B$24,0)),""))*(M_DepotPrice!$G$10:$G$52="Special"),0)),INDEX(M_DepotPrice!$C$10:$C$52,MATCH(1,(M_DepotPrice!$A$10:$A$52=I172)*(M_DepotPrice!$G$10:$G$52="Default"),0)))</f>
        <v>11780</v>
      </c>
      <c r="N172" s="95">
        <f t="shared" si="5"/>
        <v>26888.762463977004</v>
      </c>
      <c r="O172" s="82" t="str">
        <f t="shared" si="4"/>
        <v>MOS100144|FG007|CK3-33404</v>
      </c>
    </row>
    <row r="173" spans="1:15" ht="15" customHeight="1" x14ac:dyDescent="0.3">
      <c r="A173" s="60" t="s">
        <v>846</v>
      </c>
      <c r="B173" s="60" t="s">
        <v>575</v>
      </c>
      <c r="C173" s="62">
        <v>46179</v>
      </c>
      <c r="D173" s="63" t="s">
        <v>376</v>
      </c>
      <c r="E173" s="66" t="str">
        <f>IFERROR(INDEX(M_User!$A$12:$J$67,MATCH(D173,M_User!$D$12:$D$67,0),3),"UNMAPPED")</f>
        <v>Zefania Julius Ngoma</v>
      </c>
      <c r="F173" s="65" t="str">
        <f>IFERROR(INDEX(M_User!$A$12:$J$67,MATCH(D173,M_User!$D$12:$D$67,0),5),"UNMAPPED")</f>
        <v>MOS</v>
      </c>
      <c r="G173" s="63" t="s">
        <v>840</v>
      </c>
      <c r="H173" s="69" t="s">
        <v>841</v>
      </c>
      <c r="I173" s="63" t="s">
        <v>193</v>
      </c>
      <c r="J173" s="66" t="str">
        <f>IFERROR(INDEX(M_SKU!$A$18:$J$57,MATCH(I173,M_SKU!$B$18:$B$57,0),1),"UNKNOWN SKU")</f>
        <v>Sparletta Pinenut RGB 350ml</v>
      </c>
      <c r="K173" s="63" t="s">
        <v>537</v>
      </c>
      <c r="L173" s="276">
        <v>0.98150000000000004</v>
      </c>
      <c r="M173" s="91" cm="1">
        <f t="array" ref="M173">IFERROR(INDEX(M_DepotPrice!$C$10:$C$52,MATCH(1,(M_DepotPrice!$A$10:$A$52=I173)*(M_DepotPrice!$H$10:$H$52=IFERROR(INDEX(M_Depot!$A$7:$A$24,MATCH(F173,M_Depot!$B$7:$B$24,0)),""))*(M_DepotPrice!$G$10:$G$52="Special"),0)),INDEX(M_DepotPrice!$C$10:$C$52,MATCH(1,(M_DepotPrice!$A$10:$A$52=I173)*(M_DepotPrice!$G$10:$G$52="Default"),0)))</f>
        <v>11780</v>
      </c>
      <c r="N173" s="67">
        <f t="shared" si="5"/>
        <v>13643.2426</v>
      </c>
      <c r="O173" s="66" t="str">
        <f t="shared" si="4"/>
        <v>MOS100144|FG008|CK3-33365</v>
      </c>
    </row>
    <row r="174" spans="1:15" ht="15" customHeight="1" x14ac:dyDescent="0.3">
      <c r="A174" s="70" t="s">
        <v>847</v>
      </c>
      <c r="B174" s="70" t="s">
        <v>575</v>
      </c>
      <c r="C174" s="72">
        <v>46179</v>
      </c>
      <c r="D174" s="73" t="s">
        <v>376</v>
      </c>
      <c r="E174" s="76" t="str">
        <f>IFERROR(INDEX(M_User!$A$12:$J$67,MATCH(D174,M_User!$D$12:$D$67,0),3),"UNMAPPED")</f>
        <v>Zefania Julius Ngoma</v>
      </c>
      <c r="F174" s="75" t="str">
        <f>IFERROR(INDEX(M_User!$A$12:$J$67,MATCH(D174,M_User!$D$12:$D$67,0),5),"UNMAPPED")</f>
        <v>MOS</v>
      </c>
      <c r="G174" s="73" t="s">
        <v>840</v>
      </c>
      <c r="H174" s="92" t="s">
        <v>841</v>
      </c>
      <c r="I174" s="73" t="s">
        <v>209</v>
      </c>
      <c r="J174" s="76" t="str">
        <f>IFERROR(INDEX(M_SKU!$A$18:$J$57,MATCH(I174,M_SKU!$B$18:$B$57,0),1),"UNKNOWN SKU")</f>
        <v>Sparletta Red Apple RGB 350ml</v>
      </c>
      <c r="K174" s="73" t="s">
        <v>542</v>
      </c>
      <c r="L174" s="276">
        <v>0.63149999999999995</v>
      </c>
      <c r="M174" s="94" cm="1">
        <f t="array" ref="M174">IFERROR(INDEX(M_DepotPrice!$C$10:$C$52,MATCH(1,(M_DepotPrice!$A$10:$A$52=I174)*(M_DepotPrice!$H$10:$H$52=IFERROR(INDEX(M_Depot!$A$7:$A$24,MATCH(F174,M_Depot!$B$7:$B$24,0)),""))*(M_DepotPrice!$G$10:$G$52="Special"),0)),INDEX(M_DepotPrice!$C$10:$C$52,MATCH(1,(M_DepotPrice!$A$10:$A$52=I174)*(M_DepotPrice!$G$10:$G$52="Default"),0)))</f>
        <v>11780</v>
      </c>
      <c r="N174" s="95">
        <f t="shared" si="5"/>
        <v>8778.1025999999983</v>
      </c>
      <c r="O174" s="82" t="str">
        <f t="shared" si="4"/>
        <v>MOS100144|FG024|CK3-32758</v>
      </c>
    </row>
    <row r="175" spans="1:15" ht="15" customHeight="1" x14ac:dyDescent="0.3">
      <c r="A175" s="60" t="s">
        <v>848</v>
      </c>
      <c r="B175" s="60" t="s">
        <v>575</v>
      </c>
      <c r="C175" s="62">
        <v>46179</v>
      </c>
      <c r="D175" s="63" t="s">
        <v>376</v>
      </c>
      <c r="E175" s="66" t="str">
        <f>IFERROR(INDEX(M_User!$A$12:$J$67,MATCH(D175,M_User!$D$12:$D$67,0),3),"UNMAPPED")</f>
        <v>Zefania Julius Ngoma</v>
      </c>
      <c r="F175" s="65" t="str">
        <f>IFERROR(INDEX(M_User!$A$12:$J$67,MATCH(D175,M_User!$D$12:$D$67,0),5),"UNMAPPED")</f>
        <v>MOS</v>
      </c>
      <c r="G175" s="63" t="s">
        <v>840</v>
      </c>
      <c r="H175" s="69" t="s">
        <v>841</v>
      </c>
      <c r="I175" s="63" t="s">
        <v>211</v>
      </c>
      <c r="J175" s="66" t="str">
        <f>IFERROR(INDEX(M_SKU!$A$18:$J$57,MATCH(I175,M_SKU!$B$18:$B$57,0),1),"UNKNOWN SKU")</f>
        <v>KNMW 500ml</v>
      </c>
      <c r="K175" s="63" t="s">
        <v>543</v>
      </c>
      <c r="L175" s="276">
        <v>4</v>
      </c>
      <c r="M175" s="91" cm="1">
        <f t="array" ref="M175">IFERROR(INDEX(M_DepotPrice!$C$10:$C$52,MATCH(1,(M_DepotPrice!$A$10:$A$52=I175)*(M_DepotPrice!$H$10:$H$52=IFERROR(INDEX(M_Depot!$A$7:$A$24,MATCH(F175,M_Depot!$B$7:$B$24,0)),""))*(M_DepotPrice!$G$10:$G$52="Special"),0)),INDEX(M_DepotPrice!$C$10:$C$52,MATCH(1,(M_DepotPrice!$A$10:$A$52=I175)*(M_DepotPrice!$G$10:$G$52="Default"),0)))</f>
        <v>3559</v>
      </c>
      <c r="N175" s="67">
        <f t="shared" si="5"/>
        <v>16798.48</v>
      </c>
      <c r="O175" s="66" t="str">
        <f t="shared" si="4"/>
        <v>MOS100144|KD001|CK6-986</v>
      </c>
    </row>
    <row r="176" spans="1:15" ht="15" customHeight="1" x14ac:dyDescent="0.3">
      <c r="A176" s="70" t="s">
        <v>849</v>
      </c>
      <c r="B176" s="70" t="s">
        <v>575</v>
      </c>
      <c r="C176" s="72">
        <v>46179</v>
      </c>
      <c r="D176" s="73" t="s">
        <v>376</v>
      </c>
      <c r="E176" s="76" t="str">
        <f>IFERROR(INDEX(M_User!$A$12:$J$67,MATCH(D176,M_User!$D$12:$D$67,0),3),"UNMAPPED")</f>
        <v>Zefania Julius Ngoma</v>
      </c>
      <c r="F176" s="75" t="str">
        <f>IFERROR(INDEX(M_User!$A$12:$J$67,MATCH(D176,M_User!$D$12:$D$67,0),5),"UNMAPPED")</f>
        <v>MOS</v>
      </c>
      <c r="G176" s="73" t="s">
        <v>840</v>
      </c>
      <c r="H176" s="92" t="s">
        <v>841</v>
      </c>
      <c r="I176" s="73" t="s">
        <v>229</v>
      </c>
      <c r="J176" s="76" t="str">
        <f>IFERROR(INDEX(M_SKU!$A$18:$J$57,MATCH(I176,M_SKU!$B$18:$B$57,0),1),"UNKNOWN SKU")</f>
        <v>Coke Pet 500ML ( x12)</v>
      </c>
      <c r="K176" s="73" t="s">
        <v>520</v>
      </c>
      <c r="L176" s="276">
        <v>4</v>
      </c>
      <c r="M176" s="94" cm="1">
        <f t="array" ref="M176">IFERROR(INDEX(M_DepotPrice!$C$10:$C$52,MATCH(1,(M_DepotPrice!$A$10:$A$52=I176)*(M_DepotPrice!$H$10:$H$52=IFERROR(INDEX(M_Depot!$A$7:$A$24,MATCH(F176,M_Depot!$B$7:$B$24,0)),""))*(M_DepotPrice!$G$10:$G$52="Special"),0)),INDEX(M_DepotPrice!$C$10:$C$52,MATCH(1,(M_DepotPrice!$A$10:$A$52=I176)*(M_DepotPrice!$G$10:$G$52="Default"),0)))</f>
        <v>8898</v>
      </c>
      <c r="N176" s="95">
        <f t="shared" si="5"/>
        <v>41998.559999999998</v>
      </c>
      <c r="O176" s="82" t="str">
        <f t="shared" si="4"/>
        <v>MOS100144|PH001|CK6-33411</v>
      </c>
    </row>
    <row r="177" spans="1:15" ht="15" customHeight="1" x14ac:dyDescent="0.3">
      <c r="A177" s="60" t="s">
        <v>850</v>
      </c>
      <c r="B177" s="60" t="s">
        <v>575</v>
      </c>
      <c r="C177" s="62">
        <v>46179</v>
      </c>
      <c r="D177" s="63" t="s">
        <v>376</v>
      </c>
      <c r="E177" s="66" t="str">
        <f>IFERROR(INDEX(M_User!$A$12:$J$67,MATCH(D177,M_User!$D$12:$D$67,0),3),"UNMAPPED")</f>
        <v>Zefania Julius Ngoma</v>
      </c>
      <c r="F177" s="65" t="str">
        <f>IFERROR(INDEX(M_User!$A$12:$J$67,MATCH(D177,M_User!$D$12:$D$67,0),5),"UNMAPPED")</f>
        <v>MOS</v>
      </c>
      <c r="G177" s="63" t="s">
        <v>840</v>
      </c>
      <c r="H177" s="69" t="s">
        <v>841</v>
      </c>
      <c r="I177" s="63" t="s">
        <v>232</v>
      </c>
      <c r="J177" s="66" t="str">
        <f>IFERROR(INDEX(M_SKU!$A$18:$J$57,MATCH(I177,M_SKU!$B$18:$B$57,0),1),"UNKNOWN SKU")</f>
        <v>Sprite Pet 500ML (x 12)</v>
      </c>
      <c r="K177" s="63" t="s">
        <v>522</v>
      </c>
      <c r="L177" s="276">
        <v>2</v>
      </c>
      <c r="M177" s="91" cm="1">
        <f t="array" ref="M177">IFERROR(INDEX(M_DepotPrice!$C$10:$C$52,MATCH(1,(M_DepotPrice!$A$10:$A$52=I177)*(M_DepotPrice!$H$10:$H$52=IFERROR(INDEX(M_Depot!$A$7:$A$24,MATCH(F177,M_Depot!$B$7:$B$24,0)),""))*(M_DepotPrice!$G$10:$G$52="Special"),0)),INDEX(M_DepotPrice!$C$10:$C$52,MATCH(1,(M_DepotPrice!$A$10:$A$52=I177)*(M_DepotPrice!$G$10:$G$52="Default"),0)))</f>
        <v>8898</v>
      </c>
      <c r="N177" s="67">
        <f t="shared" si="5"/>
        <v>20999.279999999999</v>
      </c>
      <c r="O177" s="66" t="str">
        <f t="shared" si="4"/>
        <v>MOS100144|PH002|CK6-33362</v>
      </c>
    </row>
    <row r="178" spans="1:15" ht="15" customHeight="1" x14ac:dyDescent="0.3">
      <c r="A178" s="70" t="s">
        <v>851</v>
      </c>
      <c r="B178" s="70" t="s">
        <v>575</v>
      </c>
      <c r="C178" s="72">
        <v>46179</v>
      </c>
      <c r="D178" s="73" t="s">
        <v>376</v>
      </c>
      <c r="E178" s="76" t="str">
        <f>IFERROR(INDEX(M_User!$A$12:$J$67,MATCH(D178,M_User!$D$12:$D$67,0),3),"UNMAPPED")</f>
        <v>Zefania Julius Ngoma</v>
      </c>
      <c r="F178" s="75" t="str">
        <f>IFERROR(INDEX(M_User!$A$12:$J$67,MATCH(D178,M_User!$D$12:$D$67,0),5),"UNMAPPED")</f>
        <v>MOS</v>
      </c>
      <c r="G178" s="73" t="s">
        <v>840</v>
      </c>
      <c r="H178" s="92" t="s">
        <v>841</v>
      </c>
      <c r="I178" s="73" t="s">
        <v>234</v>
      </c>
      <c r="J178" s="76" t="str">
        <f>IFERROR(INDEX(M_SKU!$A$18:$J$57,MATCH(I178,M_SKU!$B$18:$B$57,0),1),"UNKNOWN SKU")</f>
        <v>Fanta Orange Pet 500ML ( x 12)</v>
      </c>
      <c r="K178" s="73" t="s">
        <v>523</v>
      </c>
      <c r="L178" s="276">
        <v>3</v>
      </c>
      <c r="M178" s="94" cm="1">
        <f t="array" ref="M178">IFERROR(INDEX(M_DepotPrice!$C$10:$C$52,MATCH(1,(M_DepotPrice!$A$10:$A$52=I178)*(M_DepotPrice!$H$10:$H$52=IFERROR(INDEX(M_Depot!$A$7:$A$24,MATCH(F178,M_Depot!$B$7:$B$24,0)),""))*(M_DepotPrice!$G$10:$G$52="Special"),0)),INDEX(M_DepotPrice!$C$10:$C$52,MATCH(1,(M_DepotPrice!$A$10:$A$52=I178)*(M_DepotPrice!$G$10:$G$52="Default"),0)))</f>
        <v>8898</v>
      </c>
      <c r="N178" s="95">
        <f t="shared" si="5"/>
        <v>31498.92</v>
      </c>
      <c r="O178" s="82" t="str">
        <f t="shared" si="4"/>
        <v>MOS100144|PH003|CK6-33405</v>
      </c>
    </row>
    <row r="179" spans="1:15" ht="15" customHeight="1" x14ac:dyDescent="0.3">
      <c r="A179" s="60" t="s">
        <v>852</v>
      </c>
      <c r="B179" s="60" t="s">
        <v>575</v>
      </c>
      <c r="C179" s="62">
        <v>46179</v>
      </c>
      <c r="D179" s="63" t="s">
        <v>376</v>
      </c>
      <c r="E179" s="66" t="str">
        <f>IFERROR(INDEX(M_User!$A$12:$J$67,MATCH(D179,M_User!$D$12:$D$67,0),3),"UNMAPPED")</f>
        <v>Zefania Julius Ngoma</v>
      </c>
      <c r="F179" s="65" t="str">
        <f>IFERROR(INDEX(M_User!$A$12:$J$67,MATCH(D179,M_User!$D$12:$D$67,0),5),"UNMAPPED")</f>
        <v>MOS</v>
      </c>
      <c r="G179" s="63" t="s">
        <v>840</v>
      </c>
      <c r="H179" s="69" t="s">
        <v>841</v>
      </c>
      <c r="I179" s="63" t="s">
        <v>236</v>
      </c>
      <c r="J179" s="66" t="str">
        <f>IFERROR(INDEX(M_SKU!$A$18:$J$57,MATCH(I179,M_SKU!$B$18:$B$57,0),1),"UNKNOWN SKU")</f>
        <v>Fanta Passion Pet 500ML ( x12)</v>
      </c>
      <c r="K179" s="63" t="s">
        <v>524</v>
      </c>
      <c r="L179" s="276">
        <v>2</v>
      </c>
      <c r="M179" s="91" cm="1">
        <f t="array" ref="M179">IFERROR(INDEX(M_DepotPrice!$C$10:$C$52,MATCH(1,(M_DepotPrice!$A$10:$A$52=I179)*(M_DepotPrice!$H$10:$H$52=IFERROR(INDEX(M_Depot!$A$7:$A$24,MATCH(F179,M_Depot!$B$7:$B$24,0)),""))*(M_DepotPrice!$G$10:$G$52="Special"),0)),INDEX(M_DepotPrice!$C$10:$C$52,MATCH(1,(M_DepotPrice!$A$10:$A$52=I179)*(M_DepotPrice!$G$10:$G$52="Default"),0)))</f>
        <v>8898</v>
      </c>
      <c r="N179" s="67">
        <f t="shared" si="5"/>
        <v>20999.279999999999</v>
      </c>
      <c r="O179" s="66" t="str">
        <f t="shared" si="4"/>
        <v>MOS100144|PH004|CK5-33334</v>
      </c>
    </row>
    <row r="180" spans="1:15" ht="15" customHeight="1" x14ac:dyDescent="0.3">
      <c r="A180" s="70" t="s">
        <v>853</v>
      </c>
      <c r="B180" s="70" t="s">
        <v>575</v>
      </c>
      <c r="C180" s="72">
        <v>46179</v>
      </c>
      <c r="D180" s="73" t="s">
        <v>376</v>
      </c>
      <c r="E180" s="76" t="str">
        <f>IFERROR(INDEX(M_User!$A$12:$J$67,MATCH(D180,M_User!$D$12:$D$67,0),3),"UNMAPPED")</f>
        <v>Zefania Julius Ngoma</v>
      </c>
      <c r="F180" s="75" t="str">
        <f>IFERROR(INDEX(M_User!$A$12:$J$67,MATCH(D180,M_User!$D$12:$D$67,0),5),"UNMAPPED")</f>
        <v>MOS</v>
      </c>
      <c r="G180" s="73" t="s">
        <v>840</v>
      </c>
      <c r="H180" s="92" t="s">
        <v>841</v>
      </c>
      <c r="I180" s="73" t="s">
        <v>242</v>
      </c>
      <c r="J180" s="76" t="str">
        <f>IFERROR(INDEX(M_SKU!$A$18:$J$57,MATCH(I180,M_SKU!$B$18:$B$57,0),1),"UNKNOWN SKU")</f>
        <v>Stoney Tangawizi Pet 500 ml ( x12)</v>
      </c>
      <c r="K180" s="73" t="s">
        <v>525</v>
      </c>
      <c r="L180" s="276">
        <v>1</v>
      </c>
      <c r="M180" s="94" cm="1">
        <f t="array" ref="M180">IFERROR(INDEX(M_DepotPrice!$C$10:$C$52,MATCH(1,(M_DepotPrice!$A$10:$A$52=I180)*(M_DepotPrice!$H$10:$H$52=IFERROR(INDEX(M_Depot!$A$7:$A$24,MATCH(F180,M_Depot!$B$7:$B$24,0)),""))*(M_DepotPrice!$G$10:$G$52="Special"),0)),INDEX(M_DepotPrice!$C$10:$C$52,MATCH(1,(M_DepotPrice!$A$10:$A$52=I180)*(M_DepotPrice!$G$10:$G$52="Default"),0)))</f>
        <v>8898</v>
      </c>
      <c r="N180" s="95">
        <f t="shared" si="5"/>
        <v>10499.64</v>
      </c>
      <c r="O180" s="82" t="str">
        <f t="shared" si="4"/>
        <v>MOS100144|PH007|CK6-33375</v>
      </c>
    </row>
    <row r="181" spans="1:15" ht="15" customHeight="1" x14ac:dyDescent="0.3">
      <c r="A181" s="60" t="s">
        <v>854</v>
      </c>
      <c r="B181" s="60" t="s">
        <v>575</v>
      </c>
      <c r="C181" s="62">
        <v>46179</v>
      </c>
      <c r="D181" s="63" t="s">
        <v>376</v>
      </c>
      <c r="E181" s="66" t="str">
        <f>IFERROR(INDEX(M_User!$A$12:$J$67,MATCH(D181,M_User!$D$12:$D$67,0),3),"UNMAPPED")</f>
        <v>Zefania Julius Ngoma</v>
      </c>
      <c r="F181" s="65" t="str">
        <f>IFERROR(INDEX(M_User!$A$12:$J$67,MATCH(D181,M_User!$D$12:$D$67,0),5),"UNMAPPED")</f>
        <v>MOS</v>
      </c>
      <c r="G181" s="63" t="s">
        <v>768</v>
      </c>
      <c r="H181" s="69" t="s">
        <v>769</v>
      </c>
      <c r="I181" s="63" t="s">
        <v>170</v>
      </c>
      <c r="J181" s="66" t="str">
        <f>IFERROR(INDEX(M_SKU!$A$18:$J$57,MATCH(I181,M_SKU!$B$18:$B$57,0),1),"UNKNOWN SKU")</f>
        <v>Coke RGB 350ml</v>
      </c>
      <c r="K181" s="63" t="s">
        <v>530</v>
      </c>
      <c r="L181" s="276">
        <v>19.579122720863001</v>
      </c>
      <c r="M181" s="91" cm="1">
        <f t="array" ref="M181">IFERROR(INDEX(M_DepotPrice!$C$10:$C$52,MATCH(1,(M_DepotPrice!$A$10:$A$52=I181)*(M_DepotPrice!$H$10:$H$52=IFERROR(INDEX(M_Depot!$A$7:$A$24,MATCH(F181,M_Depot!$B$7:$B$24,0)),""))*(M_DepotPrice!$G$10:$G$52="Special"),0)),INDEX(M_DepotPrice!$C$10:$C$52,MATCH(1,(M_DepotPrice!$A$10:$A$52=I181)*(M_DepotPrice!$G$10:$G$52="Default"),0)))</f>
        <v>11780</v>
      </c>
      <c r="N181" s="67">
        <f t="shared" si="5"/>
        <v>272157.63746908406</v>
      </c>
      <c r="O181" s="66" t="str">
        <f t="shared" si="4"/>
        <v>MOS100144|FG001|CK3-33409</v>
      </c>
    </row>
    <row r="182" spans="1:15" ht="15" customHeight="1" x14ac:dyDescent="0.3">
      <c r="A182" s="70" t="s">
        <v>855</v>
      </c>
      <c r="B182" s="70" t="s">
        <v>575</v>
      </c>
      <c r="C182" s="72">
        <v>46179</v>
      </c>
      <c r="D182" s="73" t="s">
        <v>376</v>
      </c>
      <c r="E182" s="76" t="str">
        <f>IFERROR(INDEX(M_User!$A$12:$J$67,MATCH(D182,M_User!$D$12:$D$67,0),3),"UNMAPPED")</f>
        <v>Zefania Julius Ngoma</v>
      </c>
      <c r="F182" s="75" t="str">
        <f>IFERROR(INDEX(M_User!$A$12:$J$67,MATCH(D182,M_User!$D$12:$D$67,0),5),"UNMAPPED")</f>
        <v>MOS</v>
      </c>
      <c r="G182" s="73" t="s">
        <v>768</v>
      </c>
      <c r="H182" s="92" t="s">
        <v>769</v>
      </c>
      <c r="I182" s="73" t="s">
        <v>178</v>
      </c>
      <c r="J182" s="76" t="str">
        <f>IFERROR(INDEX(M_SKU!$A$18:$J$57,MATCH(I182,M_SKU!$B$18:$B$57,0),1),"UNKNOWN SKU")</f>
        <v>Fanta Orange RGB 350ml</v>
      </c>
      <c r="K182" s="73" t="s">
        <v>531</v>
      </c>
      <c r="L182" s="276">
        <v>5.40205928638545</v>
      </c>
      <c r="M182" s="94" cm="1">
        <f t="array" ref="M182">IFERROR(INDEX(M_DepotPrice!$C$10:$C$52,MATCH(1,(M_DepotPrice!$A$10:$A$52=I182)*(M_DepotPrice!$H$10:$H$52=IFERROR(INDEX(M_Depot!$A$7:$A$24,MATCH(F182,M_Depot!$B$7:$B$24,0)),""))*(M_DepotPrice!$G$10:$G$52="Special"),0)),INDEX(M_DepotPrice!$C$10:$C$52,MATCH(1,(M_DepotPrice!$A$10:$A$52=I182)*(M_DepotPrice!$G$10:$G$52="Default"),0)))</f>
        <v>11780</v>
      </c>
      <c r="N182" s="95">
        <f t="shared" si="5"/>
        <v>75090.784904472297</v>
      </c>
      <c r="O182" s="82" t="str">
        <f t="shared" si="4"/>
        <v>MOS100144|FG002|CK3-33407</v>
      </c>
    </row>
    <row r="183" spans="1:15" ht="15" customHeight="1" x14ac:dyDescent="0.3">
      <c r="A183" s="60" t="s">
        <v>856</v>
      </c>
      <c r="B183" s="60" t="s">
        <v>575</v>
      </c>
      <c r="C183" s="62">
        <v>46179</v>
      </c>
      <c r="D183" s="63" t="s">
        <v>376</v>
      </c>
      <c r="E183" s="66" t="str">
        <f>IFERROR(INDEX(M_User!$A$12:$J$67,MATCH(D183,M_User!$D$12:$D$67,0),3),"UNMAPPED")</f>
        <v>Zefania Julius Ngoma</v>
      </c>
      <c r="F183" s="65" t="str">
        <f>IFERROR(INDEX(M_User!$A$12:$J$67,MATCH(D183,M_User!$D$12:$D$67,0),5),"UNMAPPED")</f>
        <v>MOS</v>
      </c>
      <c r="G183" s="63" t="s">
        <v>768</v>
      </c>
      <c r="H183" s="69" t="s">
        <v>769</v>
      </c>
      <c r="I183" s="63" t="s">
        <v>181</v>
      </c>
      <c r="J183" s="66" t="str">
        <f>IFERROR(INDEX(M_SKU!$A$18:$J$57,MATCH(I183,M_SKU!$B$18:$B$57,0),1),"UNKNOWN SKU")</f>
        <v>Fanta Passion RGB 350ml</v>
      </c>
      <c r="K183" s="63" t="s">
        <v>550</v>
      </c>
      <c r="L183" s="276">
        <v>0.95879999999999999</v>
      </c>
      <c r="M183" s="91" cm="1">
        <f t="array" ref="M183">IFERROR(INDEX(M_DepotPrice!$C$10:$C$52,MATCH(1,(M_DepotPrice!$A$10:$A$52=I183)*(M_DepotPrice!$H$10:$H$52=IFERROR(INDEX(M_Depot!$A$7:$A$24,MATCH(F183,M_Depot!$B$7:$B$24,0)),""))*(M_DepotPrice!$G$10:$G$52="Special"),0)),INDEX(M_DepotPrice!$C$10:$C$52,MATCH(1,(M_DepotPrice!$A$10:$A$52=I183)*(M_DepotPrice!$G$10:$G$52="Default"),0)))</f>
        <v>11780</v>
      </c>
      <c r="N183" s="67">
        <f t="shared" si="5"/>
        <v>13327.703520000001</v>
      </c>
      <c r="O183" s="66" t="str">
        <f t="shared" si="4"/>
        <v>MOS100144|FG003|CK3-33356</v>
      </c>
    </row>
    <row r="184" spans="1:15" ht="15" customHeight="1" x14ac:dyDescent="0.3">
      <c r="A184" s="70" t="s">
        <v>857</v>
      </c>
      <c r="B184" s="70" t="s">
        <v>575</v>
      </c>
      <c r="C184" s="72">
        <v>46179</v>
      </c>
      <c r="D184" s="73" t="s">
        <v>376</v>
      </c>
      <c r="E184" s="76" t="str">
        <f>IFERROR(INDEX(M_User!$A$12:$J$67,MATCH(D184,M_User!$D$12:$D$67,0),3),"UNMAPPED")</f>
        <v>Zefania Julius Ngoma</v>
      </c>
      <c r="F184" s="75" t="str">
        <f>IFERROR(INDEX(M_User!$A$12:$J$67,MATCH(D184,M_User!$D$12:$D$67,0),5),"UNMAPPED")</f>
        <v>MOS</v>
      </c>
      <c r="G184" s="73" t="s">
        <v>768</v>
      </c>
      <c r="H184" s="92" t="s">
        <v>769</v>
      </c>
      <c r="I184" s="73" t="s">
        <v>183</v>
      </c>
      <c r="J184" s="76" t="str">
        <f>IFERROR(INDEX(M_SKU!$A$18:$J$57,MATCH(I184,M_SKU!$B$18:$B$57,0),1),"UNKNOWN SKU")</f>
        <v>Fanta Pineapple RGB 350ml</v>
      </c>
      <c r="K184" s="73" t="s">
        <v>533</v>
      </c>
      <c r="L184" s="276">
        <v>4.0900540762452096</v>
      </c>
      <c r="M184" s="94" cm="1">
        <f t="array" ref="M184">IFERROR(INDEX(M_DepotPrice!$C$10:$C$52,MATCH(1,(M_DepotPrice!$A$10:$A$52=I184)*(M_DepotPrice!$H$10:$H$52=IFERROR(INDEX(M_Depot!$A$7:$A$24,MATCH(F184,M_Depot!$B$7:$B$24,0)),""))*(M_DepotPrice!$G$10:$G$52="Special"),0)),INDEX(M_DepotPrice!$C$10:$C$52,MATCH(1,(M_DepotPrice!$A$10:$A$52=I184)*(M_DepotPrice!$G$10:$G$52="Default"),0)))</f>
        <v>11780</v>
      </c>
      <c r="N184" s="95">
        <f t="shared" si="5"/>
        <v>56853.387681438908</v>
      </c>
      <c r="O184" s="82" t="str">
        <f t="shared" si="4"/>
        <v>MOS100144|FG004|CK3-33385</v>
      </c>
    </row>
    <row r="185" spans="1:15" ht="15" customHeight="1" x14ac:dyDescent="0.3">
      <c r="A185" s="60" t="s">
        <v>858</v>
      </c>
      <c r="B185" s="60" t="s">
        <v>575</v>
      </c>
      <c r="C185" s="62">
        <v>46179</v>
      </c>
      <c r="D185" s="63" t="s">
        <v>376</v>
      </c>
      <c r="E185" s="66" t="str">
        <f>IFERROR(INDEX(M_User!$A$12:$J$67,MATCH(D185,M_User!$D$12:$D$67,0),3),"UNMAPPED")</f>
        <v>Zefania Julius Ngoma</v>
      </c>
      <c r="F185" s="65" t="str">
        <f>IFERROR(INDEX(M_User!$A$12:$J$67,MATCH(D185,M_User!$D$12:$D$67,0),5),"UNMAPPED")</f>
        <v>MOS</v>
      </c>
      <c r="G185" s="63" t="s">
        <v>768</v>
      </c>
      <c r="H185" s="69" t="s">
        <v>769</v>
      </c>
      <c r="I185" s="63" t="s">
        <v>185</v>
      </c>
      <c r="J185" s="66" t="str">
        <f>IFERROR(INDEX(M_SKU!$A$18:$J$57,MATCH(I185,M_SKU!$B$18:$B$57,0),1),"UNKNOWN SKU")</f>
        <v>Fanta Fruit Blast RGB 350 ml</v>
      </c>
      <c r="K185" s="63" t="s">
        <v>534</v>
      </c>
      <c r="L185" s="276">
        <v>1.1101000000000001</v>
      </c>
      <c r="M185" s="91" cm="1">
        <f t="array" ref="M185">IFERROR(INDEX(M_DepotPrice!$C$10:$C$52,MATCH(1,(M_DepotPrice!$A$10:$A$52=I185)*(M_DepotPrice!$H$10:$H$52=IFERROR(INDEX(M_Depot!$A$7:$A$24,MATCH(F185,M_Depot!$B$7:$B$24,0)),""))*(M_DepotPrice!$G$10:$G$52="Special"),0)),INDEX(M_DepotPrice!$C$10:$C$52,MATCH(1,(M_DepotPrice!$A$10:$A$52=I185)*(M_DepotPrice!$G$10:$G$52="Default"),0)))</f>
        <v>11780</v>
      </c>
      <c r="N185" s="67">
        <f t="shared" si="5"/>
        <v>15430.83404</v>
      </c>
      <c r="O185" s="66" t="str">
        <f t="shared" si="4"/>
        <v>MOS100144|FG005|CK3-33402</v>
      </c>
    </row>
    <row r="186" spans="1:15" ht="15" customHeight="1" x14ac:dyDescent="0.3">
      <c r="A186" s="70" t="s">
        <v>859</v>
      </c>
      <c r="B186" s="70" t="s">
        <v>575</v>
      </c>
      <c r="C186" s="72">
        <v>46179</v>
      </c>
      <c r="D186" s="73" t="s">
        <v>376</v>
      </c>
      <c r="E186" s="76" t="str">
        <f>IFERROR(INDEX(M_User!$A$12:$J$67,MATCH(D186,M_User!$D$12:$D$67,0),3),"UNMAPPED")</f>
        <v>Zefania Julius Ngoma</v>
      </c>
      <c r="F186" s="75" t="str">
        <f>IFERROR(INDEX(M_User!$A$12:$J$67,MATCH(D186,M_User!$D$12:$D$67,0),5),"UNMAPPED")</f>
        <v>MOS</v>
      </c>
      <c r="G186" s="73" t="s">
        <v>768</v>
      </c>
      <c r="H186" s="92" t="s">
        <v>769</v>
      </c>
      <c r="I186" s="73" t="s">
        <v>187</v>
      </c>
      <c r="J186" s="76" t="str">
        <f>IFERROR(INDEX(M_SKU!$A$18:$J$57,MATCH(I186,M_SKU!$B$18:$B$57,0),1),"UNKNOWN SKU")</f>
        <v>Sprite 350ml</v>
      </c>
      <c r="K186" s="73" t="s">
        <v>535</v>
      </c>
      <c r="L186" s="276">
        <v>3.5314307620142702</v>
      </c>
      <c r="M186" s="94" cm="1">
        <f t="array" ref="M186">IFERROR(INDEX(M_DepotPrice!$C$10:$C$52,MATCH(1,(M_DepotPrice!$A$10:$A$52=I186)*(M_DepotPrice!$H$10:$H$52=IFERROR(INDEX(M_Depot!$A$7:$A$24,MATCH(F186,M_Depot!$B$7:$B$24,0)),""))*(M_DepotPrice!$G$10:$G$52="Special"),0)),INDEX(M_DepotPrice!$C$10:$C$52,MATCH(1,(M_DepotPrice!$A$10:$A$52=I186)*(M_DepotPrice!$G$10:$G$52="Default"),0)))</f>
        <v>11780</v>
      </c>
      <c r="N186" s="95">
        <f t="shared" si="5"/>
        <v>49088.300164303153</v>
      </c>
      <c r="O186" s="82" t="str">
        <f t="shared" si="4"/>
        <v>MOS100144|FG006|CK3-33414</v>
      </c>
    </row>
    <row r="187" spans="1:15" ht="15" customHeight="1" x14ac:dyDescent="0.3">
      <c r="A187" s="60" t="s">
        <v>860</v>
      </c>
      <c r="B187" s="60" t="s">
        <v>575</v>
      </c>
      <c r="C187" s="62">
        <v>46179</v>
      </c>
      <c r="D187" s="63" t="s">
        <v>376</v>
      </c>
      <c r="E187" s="66" t="str">
        <f>IFERROR(INDEX(M_User!$A$12:$J$67,MATCH(D187,M_User!$D$12:$D$67,0),3),"UNMAPPED")</f>
        <v>Zefania Julius Ngoma</v>
      </c>
      <c r="F187" s="65" t="str">
        <f>IFERROR(INDEX(M_User!$A$12:$J$67,MATCH(D187,M_User!$D$12:$D$67,0),5),"UNMAPPED")</f>
        <v>MOS</v>
      </c>
      <c r="G187" s="63" t="s">
        <v>768</v>
      </c>
      <c r="H187" s="69" t="s">
        <v>769</v>
      </c>
      <c r="I187" s="63" t="s">
        <v>190</v>
      </c>
      <c r="J187" s="66" t="str">
        <f>IFERROR(INDEX(M_SKU!$A$18:$J$57,MATCH(I187,M_SKU!$B$18:$B$57,0),1),"UNKNOWN SKU")</f>
        <v>Stoney Tangawizi RGB 350ml</v>
      </c>
      <c r="K187" s="63" t="s">
        <v>536</v>
      </c>
      <c r="L187" s="276">
        <v>2.6461000000000001</v>
      </c>
      <c r="M187" s="91" cm="1">
        <f t="array" ref="M187">IFERROR(INDEX(M_DepotPrice!$C$10:$C$52,MATCH(1,(M_DepotPrice!$A$10:$A$52=I187)*(M_DepotPrice!$H$10:$H$52=IFERROR(INDEX(M_Depot!$A$7:$A$24,MATCH(F187,M_Depot!$B$7:$B$24,0)),""))*(M_DepotPrice!$G$10:$G$52="Special"),0)),INDEX(M_DepotPrice!$C$10:$C$52,MATCH(1,(M_DepotPrice!$A$10:$A$52=I187)*(M_DepotPrice!$G$10:$G$52="Default"),0)))</f>
        <v>11780</v>
      </c>
      <c r="N187" s="67">
        <f t="shared" si="5"/>
        <v>36781.848440000002</v>
      </c>
      <c r="O187" s="66" t="str">
        <f t="shared" si="4"/>
        <v>MOS100144|FG007|CK3-33404</v>
      </c>
    </row>
    <row r="188" spans="1:15" ht="15" customHeight="1" x14ac:dyDescent="0.3">
      <c r="A188" s="70" t="s">
        <v>861</v>
      </c>
      <c r="B188" s="70" t="s">
        <v>575</v>
      </c>
      <c r="C188" s="72">
        <v>46179</v>
      </c>
      <c r="D188" s="73" t="s">
        <v>376</v>
      </c>
      <c r="E188" s="76" t="str">
        <f>IFERROR(INDEX(M_User!$A$12:$J$67,MATCH(D188,M_User!$D$12:$D$67,0),3),"UNMAPPED")</f>
        <v>Zefania Julius Ngoma</v>
      </c>
      <c r="F188" s="75" t="str">
        <f>IFERROR(INDEX(M_User!$A$12:$J$67,MATCH(D188,M_User!$D$12:$D$67,0),5),"UNMAPPED")</f>
        <v>MOS</v>
      </c>
      <c r="G188" s="73" t="s">
        <v>768</v>
      </c>
      <c r="H188" s="92" t="s">
        <v>769</v>
      </c>
      <c r="I188" s="73" t="s">
        <v>193</v>
      </c>
      <c r="J188" s="76" t="str">
        <f>IFERROR(INDEX(M_SKU!$A$18:$J$57,MATCH(I188,M_SKU!$B$18:$B$57,0),1),"UNKNOWN SKU")</f>
        <v>Sparletta Pinenut RGB 350ml</v>
      </c>
      <c r="K188" s="73" t="s">
        <v>537</v>
      </c>
      <c r="L188" s="276">
        <v>1.79539257046365</v>
      </c>
      <c r="M188" s="94" cm="1">
        <f t="array" ref="M188">IFERROR(INDEX(M_DepotPrice!$C$10:$C$52,MATCH(1,(M_DepotPrice!$A$10:$A$52=I188)*(M_DepotPrice!$H$10:$H$52=IFERROR(INDEX(M_Depot!$A$7:$A$24,MATCH(F188,M_Depot!$B$7:$B$24,0)),""))*(M_DepotPrice!$G$10:$G$52="Special"),0)),INDEX(M_DepotPrice!$C$10:$C$52,MATCH(1,(M_DepotPrice!$A$10:$A$52=I188)*(M_DepotPrice!$G$10:$G$52="Default"),0)))</f>
        <v>11780</v>
      </c>
      <c r="N188" s="95">
        <f t="shared" si="5"/>
        <v>24956.674886472916</v>
      </c>
      <c r="O188" s="82" t="str">
        <f t="shared" si="4"/>
        <v>MOS100144|FG008|CK3-33365</v>
      </c>
    </row>
    <row r="189" spans="1:15" ht="15" customHeight="1" x14ac:dyDescent="0.3">
      <c r="A189" s="60" t="s">
        <v>862</v>
      </c>
      <c r="B189" s="60" t="s">
        <v>575</v>
      </c>
      <c r="C189" s="62">
        <v>46179</v>
      </c>
      <c r="D189" s="63" t="s">
        <v>376</v>
      </c>
      <c r="E189" s="66" t="str">
        <f>IFERROR(INDEX(M_User!$A$12:$J$67,MATCH(D189,M_User!$D$12:$D$67,0),3),"UNMAPPED")</f>
        <v>Zefania Julius Ngoma</v>
      </c>
      <c r="F189" s="65" t="str">
        <f>IFERROR(INDEX(M_User!$A$12:$J$67,MATCH(D189,M_User!$D$12:$D$67,0),5),"UNMAPPED")</f>
        <v>MOS</v>
      </c>
      <c r="G189" s="63" t="s">
        <v>768</v>
      </c>
      <c r="H189" s="69" t="s">
        <v>769</v>
      </c>
      <c r="I189" s="63" t="s">
        <v>209</v>
      </c>
      <c r="J189" s="66" t="str">
        <f>IFERROR(INDEX(M_SKU!$A$18:$J$57,MATCH(I189,M_SKU!$B$18:$B$57,0),1),"UNKNOWN SKU")</f>
        <v>Sparletta Red Apple RGB 350ml</v>
      </c>
      <c r="K189" s="63" t="s">
        <v>542</v>
      </c>
      <c r="L189" s="276">
        <v>0.64319626281935405</v>
      </c>
      <c r="M189" s="91" cm="1">
        <f t="array" ref="M189">IFERROR(INDEX(M_DepotPrice!$C$10:$C$52,MATCH(1,(M_DepotPrice!$A$10:$A$52=I189)*(M_DepotPrice!$H$10:$H$52=IFERROR(INDEX(M_Depot!$A$7:$A$24,MATCH(F189,M_Depot!$B$7:$B$24,0)),""))*(M_DepotPrice!$G$10:$G$52="Special"),0)),INDEX(M_DepotPrice!$C$10:$C$52,MATCH(1,(M_DepotPrice!$A$10:$A$52=I189)*(M_DepotPrice!$G$10:$G$52="Default"),0)))</f>
        <v>11780</v>
      </c>
      <c r="N189" s="67">
        <f t="shared" si="5"/>
        <v>8940.6853316941488</v>
      </c>
      <c r="O189" s="66" t="str">
        <f t="shared" si="4"/>
        <v>MOS100144|FG024|CK3-32758</v>
      </c>
    </row>
    <row r="190" spans="1:15" ht="15" customHeight="1" x14ac:dyDescent="0.3">
      <c r="A190" s="70" t="s">
        <v>863</v>
      </c>
      <c r="B190" s="70" t="s">
        <v>575</v>
      </c>
      <c r="C190" s="72">
        <v>46179</v>
      </c>
      <c r="D190" s="73" t="s">
        <v>376</v>
      </c>
      <c r="E190" s="76" t="str">
        <f>IFERROR(INDEX(M_User!$A$12:$J$67,MATCH(D190,M_User!$D$12:$D$67,0),3),"UNMAPPED")</f>
        <v>Zefania Julius Ngoma</v>
      </c>
      <c r="F190" s="75" t="str">
        <f>IFERROR(INDEX(M_User!$A$12:$J$67,MATCH(D190,M_User!$D$12:$D$67,0),5),"UNMAPPED")</f>
        <v>MOS</v>
      </c>
      <c r="G190" s="73" t="s">
        <v>768</v>
      </c>
      <c r="H190" s="92" t="s">
        <v>769</v>
      </c>
      <c r="I190" s="73" t="s">
        <v>211</v>
      </c>
      <c r="J190" s="76" t="str">
        <f>IFERROR(INDEX(M_SKU!$A$18:$J$57,MATCH(I190,M_SKU!$B$18:$B$57,0),1),"UNKNOWN SKU")</f>
        <v>KNMW 500ml</v>
      </c>
      <c r="K190" s="73" t="s">
        <v>543</v>
      </c>
      <c r="L190" s="276">
        <v>3</v>
      </c>
      <c r="M190" s="94" cm="1">
        <f t="array" ref="M190">IFERROR(INDEX(M_DepotPrice!$C$10:$C$52,MATCH(1,(M_DepotPrice!$A$10:$A$52=I190)*(M_DepotPrice!$H$10:$H$52=IFERROR(INDEX(M_Depot!$A$7:$A$24,MATCH(F190,M_Depot!$B$7:$B$24,0)),""))*(M_DepotPrice!$G$10:$G$52="Special"),0)),INDEX(M_DepotPrice!$C$10:$C$52,MATCH(1,(M_DepotPrice!$A$10:$A$52=I190)*(M_DepotPrice!$G$10:$G$52="Default"),0)))</f>
        <v>3559</v>
      </c>
      <c r="N190" s="95">
        <f t="shared" si="5"/>
        <v>12598.859999999999</v>
      </c>
      <c r="O190" s="82" t="str">
        <f t="shared" si="4"/>
        <v>MOS100144|KD001|CK6-986</v>
      </c>
    </row>
    <row r="191" spans="1:15" ht="15" customHeight="1" x14ac:dyDescent="0.3">
      <c r="A191" s="60" t="s">
        <v>864</v>
      </c>
      <c r="B191" s="60" t="s">
        <v>575</v>
      </c>
      <c r="C191" s="62">
        <v>46179</v>
      </c>
      <c r="D191" s="63" t="s">
        <v>376</v>
      </c>
      <c r="E191" s="66" t="str">
        <f>IFERROR(INDEX(M_User!$A$12:$J$67,MATCH(D191,M_User!$D$12:$D$67,0),3),"UNMAPPED")</f>
        <v>Zefania Julius Ngoma</v>
      </c>
      <c r="F191" s="65" t="str">
        <f>IFERROR(INDEX(M_User!$A$12:$J$67,MATCH(D191,M_User!$D$12:$D$67,0),5),"UNMAPPED")</f>
        <v>MOS</v>
      </c>
      <c r="G191" s="63" t="s">
        <v>768</v>
      </c>
      <c r="H191" s="69" t="s">
        <v>769</v>
      </c>
      <c r="I191" s="63" t="s">
        <v>217</v>
      </c>
      <c r="J191" s="66" t="str">
        <f>IFERROR(INDEX(M_SKU!$A$18:$J$57,MATCH(I191,M_SKU!$B$18:$B$57,0),1),"UNKNOWN SKU")</f>
        <v>KNMW 1500ml</v>
      </c>
      <c r="K191" s="63" t="s">
        <v>551</v>
      </c>
      <c r="L191" s="276">
        <v>33</v>
      </c>
      <c r="M191" s="91" cm="1">
        <f t="array" ref="M191">IFERROR(INDEX(M_DepotPrice!$C$10:$C$52,MATCH(1,(M_DepotPrice!$A$10:$A$52=I191)*(M_DepotPrice!$H$10:$H$52=IFERROR(INDEX(M_Depot!$A$7:$A$24,MATCH(F191,M_Depot!$B$7:$B$24,0)),""))*(M_DepotPrice!$G$10:$G$52="Special"),0)),INDEX(M_DepotPrice!$C$10:$C$52,MATCH(1,(M_DepotPrice!$A$10:$A$52=I191)*(M_DepotPrice!$G$10:$G$52="Default"),0)))</f>
        <v>3983</v>
      </c>
      <c r="N191" s="67">
        <f t="shared" si="5"/>
        <v>155098.01999999999</v>
      </c>
      <c r="O191" s="66" t="str">
        <f t="shared" si="4"/>
        <v>MOS100144|KD003|CK4-842</v>
      </c>
    </row>
    <row r="192" spans="1:15" ht="15" customHeight="1" x14ac:dyDescent="0.3">
      <c r="A192" s="70" t="s">
        <v>865</v>
      </c>
      <c r="B192" s="70" t="s">
        <v>575</v>
      </c>
      <c r="C192" s="72">
        <v>46179</v>
      </c>
      <c r="D192" s="73" t="s">
        <v>376</v>
      </c>
      <c r="E192" s="76" t="str">
        <f>IFERROR(INDEX(M_User!$A$12:$J$67,MATCH(D192,M_User!$D$12:$D$67,0),3),"UNMAPPED")</f>
        <v>Zefania Julius Ngoma</v>
      </c>
      <c r="F192" s="75" t="str">
        <f>IFERROR(INDEX(M_User!$A$12:$J$67,MATCH(D192,M_User!$D$12:$D$67,0),5),"UNMAPPED")</f>
        <v>MOS</v>
      </c>
      <c r="G192" s="73" t="s">
        <v>768</v>
      </c>
      <c r="H192" s="92" t="s">
        <v>769</v>
      </c>
      <c r="I192" s="73" t="s">
        <v>229</v>
      </c>
      <c r="J192" s="76" t="str">
        <f>IFERROR(INDEX(M_SKU!$A$18:$J$57,MATCH(I192,M_SKU!$B$18:$B$57,0),1),"UNKNOWN SKU")</f>
        <v>Coke Pet 500ML ( x12)</v>
      </c>
      <c r="K192" s="73" t="s">
        <v>520</v>
      </c>
      <c r="L192" s="276">
        <v>7</v>
      </c>
      <c r="M192" s="94" cm="1">
        <f t="array" ref="M192">IFERROR(INDEX(M_DepotPrice!$C$10:$C$52,MATCH(1,(M_DepotPrice!$A$10:$A$52=I192)*(M_DepotPrice!$H$10:$H$52=IFERROR(INDEX(M_Depot!$A$7:$A$24,MATCH(F192,M_Depot!$B$7:$B$24,0)),""))*(M_DepotPrice!$G$10:$G$52="Special"),0)),INDEX(M_DepotPrice!$C$10:$C$52,MATCH(1,(M_DepotPrice!$A$10:$A$52=I192)*(M_DepotPrice!$G$10:$G$52="Default"),0)))</f>
        <v>8898</v>
      </c>
      <c r="N192" s="95">
        <f t="shared" si="5"/>
        <v>73497.48</v>
      </c>
      <c r="O192" s="82" t="str">
        <f t="shared" si="4"/>
        <v>MOS100144|PH001|CK6-33411</v>
      </c>
    </row>
    <row r="193" spans="1:15" ht="15" customHeight="1" x14ac:dyDescent="0.3">
      <c r="A193" s="60" t="s">
        <v>866</v>
      </c>
      <c r="B193" s="60" t="s">
        <v>575</v>
      </c>
      <c r="C193" s="62">
        <v>46179</v>
      </c>
      <c r="D193" s="63" t="s">
        <v>376</v>
      </c>
      <c r="E193" s="66" t="str">
        <f>IFERROR(INDEX(M_User!$A$12:$J$67,MATCH(D193,M_User!$D$12:$D$67,0),3),"UNMAPPED")</f>
        <v>Zefania Julius Ngoma</v>
      </c>
      <c r="F193" s="65" t="str">
        <f>IFERROR(INDEX(M_User!$A$12:$J$67,MATCH(D193,M_User!$D$12:$D$67,0),5),"UNMAPPED")</f>
        <v>MOS</v>
      </c>
      <c r="G193" s="63" t="s">
        <v>768</v>
      </c>
      <c r="H193" s="69" t="s">
        <v>769</v>
      </c>
      <c r="I193" s="63" t="s">
        <v>240</v>
      </c>
      <c r="J193" s="66" t="str">
        <f>IFERROR(INDEX(M_SKU!$A$18:$J$57,MATCH(I193,M_SKU!$B$18:$B$57,0),1),"UNKNOWN SKU")</f>
        <v>Fanta Fruit Blast Pet 500ML (x12)</v>
      </c>
      <c r="K193" s="63" t="s">
        <v>553</v>
      </c>
      <c r="L193" s="276">
        <v>1</v>
      </c>
      <c r="M193" s="91" cm="1">
        <f t="array" ref="M193">IFERROR(INDEX(M_DepotPrice!$C$10:$C$52,MATCH(1,(M_DepotPrice!$A$10:$A$52=I193)*(M_DepotPrice!$H$10:$H$52=IFERROR(INDEX(M_Depot!$A$7:$A$24,MATCH(F193,M_Depot!$B$7:$B$24,0)),""))*(M_DepotPrice!$G$10:$G$52="Special"),0)),INDEX(M_DepotPrice!$C$10:$C$52,MATCH(1,(M_DepotPrice!$A$10:$A$52=I193)*(M_DepotPrice!$G$10:$G$52="Default"),0)))</f>
        <v>8898</v>
      </c>
      <c r="N193" s="67">
        <f t="shared" si="5"/>
        <v>10499.64</v>
      </c>
      <c r="O193" s="66" t="str">
        <f t="shared" si="4"/>
        <v>MOS100144|PH006|CK6-33334</v>
      </c>
    </row>
    <row r="194" spans="1:15" ht="15" customHeight="1" x14ac:dyDescent="0.3">
      <c r="A194" s="70" t="s">
        <v>867</v>
      </c>
      <c r="B194" s="70" t="s">
        <v>575</v>
      </c>
      <c r="C194" s="72">
        <v>46179</v>
      </c>
      <c r="D194" s="73" t="s">
        <v>376</v>
      </c>
      <c r="E194" s="76" t="str">
        <f>IFERROR(INDEX(M_User!$A$12:$J$67,MATCH(D194,M_User!$D$12:$D$67,0),3),"UNMAPPED")</f>
        <v>Zefania Julius Ngoma</v>
      </c>
      <c r="F194" s="75" t="str">
        <f>IFERROR(INDEX(M_User!$A$12:$J$67,MATCH(D194,M_User!$D$12:$D$67,0),5),"UNMAPPED")</f>
        <v>MOS</v>
      </c>
      <c r="G194" s="73" t="s">
        <v>768</v>
      </c>
      <c r="H194" s="92" t="s">
        <v>769</v>
      </c>
      <c r="I194" s="73" t="s">
        <v>242</v>
      </c>
      <c r="J194" s="76" t="str">
        <f>IFERROR(INDEX(M_SKU!$A$18:$J$57,MATCH(I194,M_SKU!$B$18:$B$57,0),1),"UNKNOWN SKU")</f>
        <v>Stoney Tangawizi Pet 500 ml ( x12)</v>
      </c>
      <c r="K194" s="73" t="s">
        <v>525</v>
      </c>
      <c r="L194" s="276">
        <v>2</v>
      </c>
      <c r="M194" s="94" cm="1">
        <f t="array" ref="M194">IFERROR(INDEX(M_DepotPrice!$C$10:$C$52,MATCH(1,(M_DepotPrice!$A$10:$A$52=I194)*(M_DepotPrice!$H$10:$H$52=IFERROR(INDEX(M_Depot!$A$7:$A$24,MATCH(F194,M_Depot!$B$7:$B$24,0)),""))*(M_DepotPrice!$G$10:$G$52="Special"),0)),INDEX(M_DepotPrice!$C$10:$C$52,MATCH(1,(M_DepotPrice!$A$10:$A$52=I194)*(M_DepotPrice!$G$10:$G$52="Default"),0)))</f>
        <v>8898</v>
      </c>
      <c r="N194" s="95">
        <f t="shared" si="5"/>
        <v>20999.279999999999</v>
      </c>
      <c r="O194" s="82" t="str">
        <f t="shared" si="4"/>
        <v>MOS100144|PH007|CK6-33375</v>
      </c>
    </row>
    <row r="195" spans="1:15" ht="15" customHeight="1" x14ac:dyDescent="0.3">
      <c r="A195" s="60" t="s">
        <v>868</v>
      </c>
      <c r="B195" s="60" t="s">
        <v>575</v>
      </c>
      <c r="C195" s="62">
        <v>46179</v>
      </c>
      <c r="D195" s="63" t="s">
        <v>376</v>
      </c>
      <c r="E195" s="66" t="str">
        <f>IFERROR(INDEX(M_User!$A$12:$J$67,MATCH(D195,M_User!$D$12:$D$67,0),3),"UNMAPPED")</f>
        <v>Zefania Julius Ngoma</v>
      </c>
      <c r="F195" s="65" t="str">
        <f>IFERROR(INDEX(M_User!$A$12:$J$67,MATCH(D195,M_User!$D$12:$D$67,0),5),"UNMAPPED")</f>
        <v>MOS</v>
      </c>
      <c r="G195" s="63" t="s">
        <v>869</v>
      </c>
      <c r="H195" s="69" t="s">
        <v>870</v>
      </c>
      <c r="I195" s="63" t="s">
        <v>170</v>
      </c>
      <c r="J195" s="66" t="str">
        <f>IFERROR(INDEX(M_SKU!$A$18:$J$57,MATCH(I195,M_SKU!$B$18:$B$57,0),1),"UNKNOWN SKU")</f>
        <v>Coke RGB 350ml</v>
      </c>
      <c r="K195" s="63" t="s">
        <v>530</v>
      </c>
      <c r="L195" s="276">
        <v>11.510999999999999</v>
      </c>
      <c r="M195" s="91" cm="1">
        <f t="array" ref="M195">IFERROR(INDEX(M_DepotPrice!$C$10:$C$52,MATCH(1,(M_DepotPrice!$A$10:$A$52=I195)*(M_DepotPrice!$H$10:$H$52=IFERROR(INDEX(M_Depot!$A$7:$A$24,MATCH(F195,M_Depot!$B$7:$B$24,0)),""))*(M_DepotPrice!$G$10:$G$52="Special"),0)),INDEX(M_DepotPrice!$C$10:$C$52,MATCH(1,(M_DepotPrice!$A$10:$A$52=I195)*(M_DepotPrice!$G$10:$G$52="Default"),0)))</f>
        <v>11780</v>
      </c>
      <c r="N195" s="67">
        <f t="shared" si="5"/>
        <v>160007.50439999998</v>
      </c>
      <c r="O195" s="66" t="str">
        <f t="shared" si="4"/>
        <v>MOS100144|FG001|CK3-33409</v>
      </c>
    </row>
    <row r="196" spans="1:15" ht="15" customHeight="1" x14ac:dyDescent="0.3">
      <c r="A196" s="70" t="s">
        <v>871</v>
      </c>
      <c r="B196" s="70" t="s">
        <v>575</v>
      </c>
      <c r="C196" s="72">
        <v>46179</v>
      </c>
      <c r="D196" s="73" t="s">
        <v>376</v>
      </c>
      <c r="E196" s="76" t="str">
        <f>IFERROR(INDEX(M_User!$A$12:$J$67,MATCH(D196,M_User!$D$12:$D$67,0),3),"UNMAPPED")</f>
        <v>Zefania Julius Ngoma</v>
      </c>
      <c r="F196" s="75" t="str">
        <f>IFERROR(INDEX(M_User!$A$12:$J$67,MATCH(D196,M_User!$D$12:$D$67,0),5),"UNMAPPED")</f>
        <v>MOS</v>
      </c>
      <c r="G196" s="73" t="s">
        <v>869</v>
      </c>
      <c r="H196" s="92" t="s">
        <v>870</v>
      </c>
      <c r="I196" s="73" t="s">
        <v>178</v>
      </c>
      <c r="J196" s="76" t="str">
        <f>IFERROR(INDEX(M_SKU!$A$18:$J$57,MATCH(I196,M_SKU!$B$18:$B$57,0),1),"UNKNOWN SKU")</f>
        <v>Fanta Orange RGB 350ml</v>
      </c>
      <c r="K196" s="73" t="s">
        <v>531</v>
      </c>
      <c r="L196" s="276">
        <v>3.1328</v>
      </c>
      <c r="M196" s="94" cm="1">
        <f t="array" ref="M196">IFERROR(INDEX(M_DepotPrice!$C$10:$C$52,MATCH(1,(M_DepotPrice!$A$10:$A$52=I196)*(M_DepotPrice!$H$10:$H$52=IFERROR(INDEX(M_Depot!$A$7:$A$24,MATCH(F196,M_Depot!$B$7:$B$24,0)),""))*(M_DepotPrice!$G$10:$G$52="Special"),0)),INDEX(M_DepotPrice!$C$10:$C$52,MATCH(1,(M_DepotPrice!$A$10:$A$52=I196)*(M_DepotPrice!$G$10:$G$52="Default"),0)))</f>
        <v>11780</v>
      </c>
      <c r="N196" s="95">
        <f t="shared" si="5"/>
        <v>43547.173119999992</v>
      </c>
      <c r="O196" s="82" t="str">
        <f t="shared" si="4"/>
        <v>MOS100144|FG002|CK3-33407</v>
      </c>
    </row>
    <row r="197" spans="1:15" ht="15" customHeight="1" x14ac:dyDescent="0.3">
      <c r="A197" s="60" t="s">
        <v>872</v>
      </c>
      <c r="B197" s="60" t="s">
        <v>575</v>
      </c>
      <c r="C197" s="62">
        <v>46179</v>
      </c>
      <c r="D197" s="63" t="s">
        <v>376</v>
      </c>
      <c r="E197" s="66" t="str">
        <f>IFERROR(INDEX(M_User!$A$12:$J$67,MATCH(D197,M_User!$D$12:$D$67,0),3),"UNMAPPED")</f>
        <v>Zefania Julius Ngoma</v>
      </c>
      <c r="F197" s="65" t="str">
        <f>IFERROR(INDEX(M_User!$A$12:$J$67,MATCH(D197,M_User!$D$12:$D$67,0),5),"UNMAPPED")</f>
        <v>MOS</v>
      </c>
      <c r="G197" s="63" t="s">
        <v>869</v>
      </c>
      <c r="H197" s="69" t="s">
        <v>870</v>
      </c>
      <c r="I197" s="63" t="s">
        <v>181</v>
      </c>
      <c r="J197" s="66" t="str">
        <f>IFERROR(INDEX(M_SKU!$A$18:$J$57,MATCH(I197,M_SKU!$B$18:$B$57,0),1),"UNKNOWN SKU")</f>
        <v>Fanta Passion RGB 350ml</v>
      </c>
      <c r="K197" s="63" t="s">
        <v>550</v>
      </c>
      <c r="L197" s="276">
        <v>1.4724945932904501</v>
      </c>
      <c r="M197" s="91" cm="1">
        <f t="array" ref="M197">IFERROR(INDEX(M_DepotPrice!$C$10:$C$52,MATCH(1,(M_DepotPrice!$A$10:$A$52=I197)*(M_DepotPrice!$H$10:$H$52=IFERROR(INDEX(M_Depot!$A$7:$A$24,MATCH(F197,M_Depot!$B$7:$B$24,0)),""))*(M_DepotPrice!$G$10:$G$52="Special"),0)),INDEX(M_DepotPrice!$C$10:$C$52,MATCH(1,(M_DepotPrice!$A$10:$A$52=I197)*(M_DepotPrice!$G$10:$G$52="Default"),0)))</f>
        <v>11780</v>
      </c>
      <c r="N197" s="67">
        <f t="shared" si="5"/>
        <v>20468.263844574572</v>
      </c>
      <c r="O197" s="66" t="str">
        <f t="shared" si="4"/>
        <v>MOS100144|FG003|CK3-33356</v>
      </c>
    </row>
    <row r="198" spans="1:15" ht="15" customHeight="1" x14ac:dyDescent="0.3">
      <c r="A198" s="70" t="s">
        <v>873</v>
      </c>
      <c r="B198" s="70" t="s">
        <v>575</v>
      </c>
      <c r="C198" s="72">
        <v>46179</v>
      </c>
      <c r="D198" s="73" t="s">
        <v>376</v>
      </c>
      <c r="E198" s="76" t="str">
        <f>IFERROR(INDEX(M_User!$A$12:$J$67,MATCH(D198,M_User!$D$12:$D$67,0),3),"UNMAPPED")</f>
        <v>Zefania Julius Ngoma</v>
      </c>
      <c r="F198" s="75" t="str">
        <f>IFERROR(INDEX(M_User!$A$12:$J$67,MATCH(D198,M_User!$D$12:$D$67,0),5),"UNMAPPED")</f>
        <v>MOS</v>
      </c>
      <c r="G198" s="73" t="s">
        <v>869</v>
      </c>
      <c r="H198" s="92" t="s">
        <v>870</v>
      </c>
      <c r="I198" s="73" t="s">
        <v>185</v>
      </c>
      <c r="J198" s="76" t="str">
        <f>IFERROR(INDEX(M_SKU!$A$18:$J$57,MATCH(I198,M_SKU!$B$18:$B$57,0),1),"UNKNOWN SKU")</f>
        <v>Fanta Fruit Blast RGB 350 ml</v>
      </c>
      <c r="K198" s="73" t="s">
        <v>534</v>
      </c>
      <c r="L198" s="276">
        <v>1.5951</v>
      </c>
      <c r="M198" s="94" cm="1">
        <f t="array" ref="M198">IFERROR(INDEX(M_DepotPrice!$C$10:$C$52,MATCH(1,(M_DepotPrice!$A$10:$A$52=I198)*(M_DepotPrice!$H$10:$H$52=IFERROR(INDEX(M_Depot!$A$7:$A$24,MATCH(F198,M_Depot!$B$7:$B$24,0)),""))*(M_DepotPrice!$G$10:$G$52="Special"),0)),INDEX(M_DepotPrice!$C$10:$C$52,MATCH(1,(M_DepotPrice!$A$10:$A$52=I198)*(M_DepotPrice!$G$10:$G$52="Default"),0)))</f>
        <v>11780</v>
      </c>
      <c r="N198" s="95">
        <f t="shared" si="5"/>
        <v>22172.528039999997</v>
      </c>
      <c r="O198" s="82" t="str">
        <f t="shared" si="4"/>
        <v>MOS100144|FG005|CK3-33402</v>
      </c>
    </row>
    <row r="199" spans="1:15" ht="15" customHeight="1" x14ac:dyDescent="0.3">
      <c r="A199" s="60" t="s">
        <v>874</v>
      </c>
      <c r="B199" s="60" t="s">
        <v>575</v>
      </c>
      <c r="C199" s="62">
        <v>46179</v>
      </c>
      <c r="D199" s="63" t="s">
        <v>376</v>
      </c>
      <c r="E199" s="66" t="str">
        <f>IFERROR(INDEX(M_User!$A$12:$J$67,MATCH(D199,M_User!$D$12:$D$67,0),3),"UNMAPPED")</f>
        <v>Zefania Julius Ngoma</v>
      </c>
      <c r="F199" s="65" t="str">
        <f>IFERROR(INDEX(M_User!$A$12:$J$67,MATCH(D199,M_User!$D$12:$D$67,0),5),"UNMAPPED")</f>
        <v>MOS</v>
      </c>
      <c r="G199" s="63" t="s">
        <v>869</v>
      </c>
      <c r="H199" s="69" t="s">
        <v>870</v>
      </c>
      <c r="I199" s="63" t="s">
        <v>187</v>
      </c>
      <c r="J199" s="66" t="str">
        <f>IFERROR(INDEX(M_SKU!$A$18:$J$57,MATCH(I199,M_SKU!$B$18:$B$57,0),1),"UNKNOWN SKU")</f>
        <v>Sprite 350ml</v>
      </c>
      <c r="K199" s="63" t="s">
        <v>535</v>
      </c>
      <c r="L199" s="276">
        <v>5.3459000000000003</v>
      </c>
      <c r="M199" s="91" cm="1">
        <f t="array" ref="M199">IFERROR(INDEX(M_DepotPrice!$C$10:$C$52,MATCH(1,(M_DepotPrice!$A$10:$A$52=I199)*(M_DepotPrice!$H$10:$H$52=IFERROR(INDEX(M_Depot!$A$7:$A$24,MATCH(F199,M_Depot!$B$7:$B$24,0)),""))*(M_DepotPrice!$G$10:$G$52="Special"),0)),INDEX(M_DepotPrice!$C$10:$C$52,MATCH(1,(M_DepotPrice!$A$10:$A$52=I199)*(M_DepotPrice!$G$10:$G$52="Default"),0)))</f>
        <v>11780</v>
      </c>
      <c r="N199" s="67">
        <f t="shared" si="5"/>
        <v>74310.148360000007</v>
      </c>
      <c r="O199" s="66" t="str">
        <f t="shared" si="4"/>
        <v>MOS100144|FG006|CK3-33414</v>
      </c>
    </row>
    <row r="200" spans="1:15" ht="15" customHeight="1" x14ac:dyDescent="0.3">
      <c r="A200" s="70" t="s">
        <v>875</v>
      </c>
      <c r="B200" s="70" t="s">
        <v>575</v>
      </c>
      <c r="C200" s="72">
        <v>46179</v>
      </c>
      <c r="D200" s="73" t="s">
        <v>376</v>
      </c>
      <c r="E200" s="76" t="str">
        <f>IFERROR(INDEX(M_User!$A$12:$J$67,MATCH(D200,M_User!$D$12:$D$67,0),3),"UNMAPPED")</f>
        <v>Zefania Julius Ngoma</v>
      </c>
      <c r="F200" s="75" t="str">
        <f>IFERROR(INDEX(M_User!$A$12:$J$67,MATCH(D200,M_User!$D$12:$D$67,0),5),"UNMAPPED")</f>
        <v>MOS</v>
      </c>
      <c r="G200" s="73" t="s">
        <v>869</v>
      </c>
      <c r="H200" s="92" t="s">
        <v>870</v>
      </c>
      <c r="I200" s="73" t="s">
        <v>193</v>
      </c>
      <c r="J200" s="76" t="str">
        <f>IFERROR(INDEX(M_SKU!$A$18:$J$57,MATCH(I200,M_SKU!$B$18:$B$57,0),1),"UNKNOWN SKU")</f>
        <v>Sparletta Pinenut RGB 350ml</v>
      </c>
      <c r="K200" s="73" t="s">
        <v>537</v>
      </c>
      <c r="L200" s="276">
        <v>1.8180000000000001</v>
      </c>
      <c r="M200" s="94" cm="1">
        <f t="array" ref="M200">IFERROR(INDEX(M_DepotPrice!$C$10:$C$52,MATCH(1,(M_DepotPrice!$A$10:$A$52=I200)*(M_DepotPrice!$H$10:$H$52=IFERROR(INDEX(M_Depot!$A$7:$A$24,MATCH(F200,M_Depot!$B$7:$B$24,0)),""))*(M_DepotPrice!$G$10:$G$52="Special"),0)),INDEX(M_DepotPrice!$C$10:$C$52,MATCH(1,(M_DepotPrice!$A$10:$A$52=I200)*(M_DepotPrice!$G$10:$G$52="Default"),0)))</f>
        <v>11780</v>
      </c>
      <c r="N200" s="95">
        <f t="shared" si="5"/>
        <v>25270.927199999998</v>
      </c>
      <c r="O200" s="82" t="str">
        <f t="shared" si="4"/>
        <v>MOS100144|FG008|CK3-33365</v>
      </c>
    </row>
    <row r="201" spans="1:15" ht="15" customHeight="1" x14ac:dyDescent="0.3">
      <c r="A201" s="60" t="s">
        <v>876</v>
      </c>
      <c r="B201" s="60" t="s">
        <v>575</v>
      </c>
      <c r="C201" s="62">
        <v>46179</v>
      </c>
      <c r="D201" s="63" t="s">
        <v>376</v>
      </c>
      <c r="E201" s="66" t="str">
        <f>IFERROR(INDEX(M_User!$A$12:$J$67,MATCH(D201,M_User!$D$12:$D$67,0),3),"UNMAPPED")</f>
        <v>Zefania Julius Ngoma</v>
      </c>
      <c r="F201" s="65" t="str">
        <f>IFERROR(INDEX(M_User!$A$12:$J$67,MATCH(D201,M_User!$D$12:$D$67,0),5),"UNMAPPED")</f>
        <v>MOS</v>
      </c>
      <c r="G201" s="63" t="s">
        <v>869</v>
      </c>
      <c r="H201" s="69" t="s">
        <v>870</v>
      </c>
      <c r="I201" s="63" t="s">
        <v>209</v>
      </c>
      <c r="J201" s="66" t="str">
        <f>IFERROR(INDEX(M_SKU!$A$18:$J$57,MATCH(I201,M_SKU!$B$18:$B$57,0),1),"UNKNOWN SKU")</f>
        <v>Sparletta Red Apple RGB 350ml</v>
      </c>
      <c r="K201" s="63" t="s">
        <v>542</v>
      </c>
      <c r="L201" s="276">
        <v>0.51839999999999997</v>
      </c>
      <c r="M201" s="91" cm="1">
        <f t="array" ref="M201">IFERROR(INDEX(M_DepotPrice!$C$10:$C$52,MATCH(1,(M_DepotPrice!$A$10:$A$52=I201)*(M_DepotPrice!$H$10:$H$52=IFERROR(INDEX(M_Depot!$A$7:$A$24,MATCH(F201,M_Depot!$B$7:$B$24,0)),""))*(M_DepotPrice!$G$10:$G$52="Special"),0)),INDEX(M_DepotPrice!$C$10:$C$52,MATCH(1,(M_DepotPrice!$A$10:$A$52=I201)*(M_DepotPrice!$G$10:$G$52="Default"),0)))</f>
        <v>11780</v>
      </c>
      <c r="N201" s="67">
        <f t="shared" si="5"/>
        <v>7205.9673599999987</v>
      </c>
      <c r="O201" s="66" t="str">
        <f t="shared" ref="O201:O264" si="6">D201 &amp; "|" &amp; I201 &amp; "|" &amp; K201</f>
        <v>MOS100144|FG024|CK3-32758</v>
      </c>
    </row>
    <row r="202" spans="1:15" ht="15" customHeight="1" x14ac:dyDescent="0.3">
      <c r="A202" s="70" t="s">
        <v>877</v>
      </c>
      <c r="B202" s="70" t="s">
        <v>575</v>
      </c>
      <c r="C202" s="72">
        <v>46179</v>
      </c>
      <c r="D202" s="73" t="s">
        <v>376</v>
      </c>
      <c r="E202" s="76" t="str">
        <f>IFERROR(INDEX(M_User!$A$12:$J$67,MATCH(D202,M_User!$D$12:$D$67,0),3),"UNMAPPED")</f>
        <v>Zefania Julius Ngoma</v>
      </c>
      <c r="F202" s="75" t="str">
        <f>IFERROR(INDEX(M_User!$A$12:$J$67,MATCH(D202,M_User!$D$12:$D$67,0),5),"UNMAPPED")</f>
        <v>MOS</v>
      </c>
      <c r="G202" s="73" t="s">
        <v>869</v>
      </c>
      <c r="H202" s="92" t="s">
        <v>870</v>
      </c>
      <c r="I202" s="73" t="s">
        <v>211</v>
      </c>
      <c r="J202" s="76" t="str">
        <f>IFERROR(INDEX(M_SKU!$A$18:$J$57,MATCH(I202,M_SKU!$B$18:$B$57,0),1),"UNKNOWN SKU")</f>
        <v>KNMW 500ml</v>
      </c>
      <c r="K202" s="73" t="s">
        <v>543</v>
      </c>
      <c r="L202" s="276">
        <v>5</v>
      </c>
      <c r="M202" s="94" cm="1">
        <f t="array" ref="M202">IFERROR(INDEX(M_DepotPrice!$C$10:$C$52,MATCH(1,(M_DepotPrice!$A$10:$A$52=I202)*(M_DepotPrice!$H$10:$H$52=IFERROR(INDEX(M_Depot!$A$7:$A$24,MATCH(F202,M_Depot!$B$7:$B$24,0)),""))*(M_DepotPrice!$G$10:$G$52="Special"),0)),INDEX(M_DepotPrice!$C$10:$C$52,MATCH(1,(M_DepotPrice!$A$10:$A$52=I202)*(M_DepotPrice!$G$10:$G$52="Default"),0)))</f>
        <v>3559</v>
      </c>
      <c r="N202" s="95">
        <f t="shared" ref="N202:N265" si="7">(L202*M202)*1.18</f>
        <v>20998.1</v>
      </c>
      <c r="O202" s="82" t="str">
        <f t="shared" si="6"/>
        <v>MOS100144|KD001|CK6-986</v>
      </c>
    </row>
    <row r="203" spans="1:15" ht="15" customHeight="1" x14ac:dyDescent="0.3">
      <c r="A203" s="60" t="s">
        <v>878</v>
      </c>
      <c r="B203" s="60" t="s">
        <v>575</v>
      </c>
      <c r="C203" s="62">
        <v>46179</v>
      </c>
      <c r="D203" s="63" t="s">
        <v>376</v>
      </c>
      <c r="E203" s="66" t="str">
        <f>IFERROR(INDEX(M_User!$A$12:$J$67,MATCH(D203,M_User!$D$12:$D$67,0),3),"UNMAPPED")</f>
        <v>Zefania Julius Ngoma</v>
      </c>
      <c r="F203" s="65" t="str">
        <f>IFERROR(INDEX(M_User!$A$12:$J$67,MATCH(D203,M_User!$D$12:$D$67,0),5),"UNMAPPED")</f>
        <v>MOS</v>
      </c>
      <c r="G203" s="63" t="s">
        <v>869</v>
      </c>
      <c r="H203" s="69" t="s">
        <v>870</v>
      </c>
      <c r="I203" s="63" t="s">
        <v>217</v>
      </c>
      <c r="J203" s="66" t="str">
        <f>IFERROR(INDEX(M_SKU!$A$18:$J$57,MATCH(I203,M_SKU!$B$18:$B$57,0),1),"UNKNOWN SKU")</f>
        <v>KNMW 1500ml</v>
      </c>
      <c r="K203" s="63" t="s">
        <v>551</v>
      </c>
      <c r="L203" s="276">
        <v>41</v>
      </c>
      <c r="M203" s="91" cm="1">
        <f t="array" ref="M203">IFERROR(INDEX(M_DepotPrice!$C$10:$C$52,MATCH(1,(M_DepotPrice!$A$10:$A$52=I203)*(M_DepotPrice!$H$10:$H$52=IFERROR(INDEX(M_Depot!$A$7:$A$24,MATCH(F203,M_Depot!$B$7:$B$24,0)),""))*(M_DepotPrice!$G$10:$G$52="Special"),0)),INDEX(M_DepotPrice!$C$10:$C$52,MATCH(1,(M_DepotPrice!$A$10:$A$52=I203)*(M_DepotPrice!$G$10:$G$52="Default"),0)))</f>
        <v>3983</v>
      </c>
      <c r="N203" s="67">
        <f t="shared" si="7"/>
        <v>192697.53999999998</v>
      </c>
      <c r="O203" s="66" t="str">
        <f t="shared" si="6"/>
        <v>MOS100144|KD003|CK4-842</v>
      </c>
    </row>
    <row r="204" spans="1:15" ht="15" customHeight="1" x14ac:dyDescent="0.3">
      <c r="A204" s="70" t="s">
        <v>879</v>
      </c>
      <c r="B204" s="70" t="s">
        <v>575</v>
      </c>
      <c r="C204" s="72">
        <v>46179</v>
      </c>
      <c r="D204" s="73" t="s">
        <v>376</v>
      </c>
      <c r="E204" s="76" t="str">
        <f>IFERROR(INDEX(M_User!$A$12:$J$67,MATCH(D204,M_User!$D$12:$D$67,0),3),"UNMAPPED")</f>
        <v>Zefania Julius Ngoma</v>
      </c>
      <c r="F204" s="75" t="str">
        <f>IFERROR(INDEX(M_User!$A$12:$J$67,MATCH(D204,M_User!$D$12:$D$67,0),5),"UNMAPPED")</f>
        <v>MOS</v>
      </c>
      <c r="G204" s="73" t="s">
        <v>869</v>
      </c>
      <c r="H204" s="92" t="s">
        <v>870</v>
      </c>
      <c r="I204" s="73" t="s">
        <v>229</v>
      </c>
      <c r="J204" s="76" t="str">
        <f>IFERROR(INDEX(M_SKU!$A$18:$J$57,MATCH(I204,M_SKU!$B$18:$B$57,0),1),"UNKNOWN SKU")</f>
        <v>Coke Pet 500ML ( x12)</v>
      </c>
      <c r="K204" s="73" t="s">
        <v>520</v>
      </c>
      <c r="L204" s="276">
        <v>4</v>
      </c>
      <c r="M204" s="94" cm="1">
        <f t="array" ref="M204">IFERROR(INDEX(M_DepotPrice!$C$10:$C$52,MATCH(1,(M_DepotPrice!$A$10:$A$52=I204)*(M_DepotPrice!$H$10:$H$52=IFERROR(INDEX(M_Depot!$A$7:$A$24,MATCH(F204,M_Depot!$B$7:$B$24,0)),""))*(M_DepotPrice!$G$10:$G$52="Special"),0)),INDEX(M_DepotPrice!$C$10:$C$52,MATCH(1,(M_DepotPrice!$A$10:$A$52=I204)*(M_DepotPrice!$G$10:$G$52="Default"),0)))</f>
        <v>8898</v>
      </c>
      <c r="N204" s="95">
        <f t="shared" si="7"/>
        <v>41998.559999999998</v>
      </c>
      <c r="O204" s="82" t="str">
        <f t="shared" si="6"/>
        <v>MOS100144|PH001|CK6-33411</v>
      </c>
    </row>
    <row r="205" spans="1:15" ht="15" customHeight="1" x14ac:dyDescent="0.3">
      <c r="A205" s="60" t="s">
        <v>880</v>
      </c>
      <c r="B205" s="60" t="s">
        <v>575</v>
      </c>
      <c r="C205" s="62">
        <v>46179</v>
      </c>
      <c r="D205" s="63" t="s">
        <v>376</v>
      </c>
      <c r="E205" s="66" t="str">
        <f>IFERROR(INDEX(M_User!$A$12:$J$67,MATCH(D205,M_User!$D$12:$D$67,0),3),"UNMAPPED")</f>
        <v>Zefania Julius Ngoma</v>
      </c>
      <c r="F205" s="65" t="str">
        <f>IFERROR(INDEX(M_User!$A$12:$J$67,MATCH(D205,M_User!$D$12:$D$67,0),5),"UNMAPPED")</f>
        <v>MOS</v>
      </c>
      <c r="G205" s="63" t="s">
        <v>869</v>
      </c>
      <c r="H205" s="69" t="s">
        <v>870</v>
      </c>
      <c r="I205" s="63" t="s">
        <v>232</v>
      </c>
      <c r="J205" s="66" t="str">
        <f>IFERROR(INDEX(M_SKU!$A$18:$J$57,MATCH(I205,M_SKU!$B$18:$B$57,0),1),"UNKNOWN SKU")</f>
        <v>Sprite Pet 500ML (x 12)</v>
      </c>
      <c r="K205" s="63" t="s">
        <v>522</v>
      </c>
      <c r="L205" s="276">
        <v>2</v>
      </c>
      <c r="M205" s="91" cm="1">
        <f t="array" ref="M205">IFERROR(INDEX(M_DepotPrice!$C$10:$C$52,MATCH(1,(M_DepotPrice!$A$10:$A$52=I205)*(M_DepotPrice!$H$10:$H$52=IFERROR(INDEX(M_Depot!$A$7:$A$24,MATCH(F205,M_Depot!$B$7:$B$24,0)),""))*(M_DepotPrice!$G$10:$G$52="Special"),0)),INDEX(M_DepotPrice!$C$10:$C$52,MATCH(1,(M_DepotPrice!$A$10:$A$52=I205)*(M_DepotPrice!$G$10:$G$52="Default"),0)))</f>
        <v>8898</v>
      </c>
      <c r="N205" s="67">
        <f t="shared" si="7"/>
        <v>20999.279999999999</v>
      </c>
      <c r="O205" s="66" t="str">
        <f t="shared" si="6"/>
        <v>MOS100144|PH002|CK6-33362</v>
      </c>
    </row>
    <row r="206" spans="1:15" ht="15" customHeight="1" x14ac:dyDescent="0.3">
      <c r="A206" s="70" t="s">
        <v>881</v>
      </c>
      <c r="B206" s="70" t="s">
        <v>575</v>
      </c>
      <c r="C206" s="72">
        <v>46179</v>
      </c>
      <c r="D206" s="73" t="s">
        <v>376</v>
      </c>
      <c r="E206" s="76" t="str">
        <f>IFERROR(INDEX(M_User!$A$12:$J$67,MATCH(D206,M_User!$D$12:$D$67,0),3),"UNMAPPED")</f>
        <v>Zefania Julius Ngoma</v>
      </c>
      <c r="F206" s="75" t="str">
        <f>IFERROR(INDEX(M_User!$A$12:$J$67,MATCH(D206,M_User!$D$12:$D$67,0),5),"UNMAPPED")</f>
        <v>MOS</v>
      </c>
      <c r="G206" s="73" t="s">
        <v>869</v>
      </c>
      <c r="H206" s="92" t="s">
        <v>870</v>
      </c>
      <c r="I206" s="73" t="s">
        <v>234</v>
      </c>
      <c r="J206" s="76" t="str">
        <f>IFERROR(INDEX(M_SKU!$A$18:$J$57,MATCH(I206,M_SKU!$B$18:$B$57,0),1),"UNKNOWN SKU")</f>
        <v>Fanta Orange Pet 500ML ( x 12)</v>
      </c>
      <c r="K206" s="73" t="s">
        <v>523</v>
      </c>
      <c r="L206" s="276">
        <v>2</v>
      </c>
      <c r="M206" s="94" cm="1">
        <f t="array" ref="M206">IFERROR(INDEX(M_DepotPrice!$C$10:$C$52,MATCH(1,(M_DepotPrice!$A$10:$A$52=I206)*(M_DepotPrice!$H$10:$H$52=IFERROR(INDEX(M_Depot!$A$7:$A$24,MATCH(F206,M_Depot!$B$7:$B$24,0)),""))*(M_DepotPrice!$G$10:$G$52="Special"),0)),INDEX(M_DepotPrice!$C$10:$C$52,MATCH(1,(M_DepotPrice!$A$10:$A$52=I206)*(M_DepotPrice!$G$10:$G$52="Default"),0)))</f>
        <v>8898</v>
      </c>
      <c r="N206" s="95">
        <f t="shared" si="7"/>
        <v>20999.279999999999</v>
      </c>
      <c r="O206" s="82" t="str">
        <f t="shared" si="6"/>
        <v>MOS100144|PH003|CK6-33405</v>
      </c>
    </row>
    <row r="207" spans="1:15" ht="15" customHeight="1" x14ac:dyDescent="0.3">
      <c r="A207" s="60" t="s">
        <v>882</v>
      </c>
      <c r="B207" s="60" t="s">
        <v>575</v>
      </c>
      <c r="C207" s="62">
        <v>46179</v>
      </c>
      <c r="D207" s="63" t="s">
        <v>376</v>
      </c>
      <c r="E207" s="66" t="str">
        <f>IFERROR(INDEX(M_User!$A$12:$J$67,MATCH(D207,M_User!$D$12:$D$67,0),3),"UNMAPPED")</f>
        <v>Zefania Julius Ngoma</v>
      </c>
      <c r="F207" s="65" t="str">
        <f>IFERROR(INDEX(M_User!$A$12:$J$67,MATCH(D207,M_User!$D$12:$D$67,0),5),"UNMAPPED")</f>
        <v>MOS</v>
      </c>
      <c r="G207" s="63" t="s">
        <v>869</v>
      </c>
      <c r="H207" s="69" t="s">
        <v>870</v>
      </c>
      <c r="I207" s="63" t="s">
        <v>236</v>
      </c>
      <c r="J207" s="66" t="str">
        <f>IFERROR(INDEX(M_SKU!$A$18:$J$57,MATCH(I207,M_SKU!$B$18:$B$57,0),1),"UNKNOWN SKU")</f>
        <v>Fanta Passion Pet 500ML ( x12)</v>
      </c>
      <c r="K207" s="63" t="s">
        <v>524</v>
      </c>
      <c r="L207" s="276">
        <v>2</v>
      </c>
      <c r="M207" s="91" cm="1">
        <f t="array" ref="M207">IFERROR(INDEX(M_DepotPrice!$C$10:$C$52,MATCH(1,(M_DepotPrice!$A$10:$A$52=I207)*(M_DepotPrice!$H$10:$H$52=IFERROR(INDEX(M_Depot!$A$7:$A$24,MATCH(F207,M_Depot!$B$7:$B$24,0)),""))*(M_DepotPrice!$G$10:$G$52="Special"),0)),INDEX(M_DepotPrice!$C$10:$C$52,MATCH(1,(M_DepotPrice!$A$10:$A$52=I207)*(M_DepotPrice!$G$10:$G$52="Default"),0)))</f>
        <v>8898</v>
      </c>
      <c r="N207" s="67">
        <f t="shared" si="7"/>
        <v>20999.279999999999</v>
      </c>
      <c r="O207" s="66" t="str">
        <f t="shared" si="6"/>
        <v>MOS100144|PH004|CK5-33334</v>
      </c>
    </row>
    <row r="208" spans="1:15" ht="15" customHeight="1" x14ac:dyDescent="0.3">
      <c r="A208" s="70" t="s">
        <v>883</v>
      </c>
      <c r="B208" s="70" t="s">
        <v>575</v>
      </c>
      <c r="C208" s="72">
        <v>46179</v>
      </c>
      <c r="D208" s="73" t="s">
        <v>376</v>
      </c>
      <c r="E208" s="76" t="str">
        <f>IFERROR(INDEX(M_User!$A$12:$J$67,MATCH(D208,M_User!$D$12:$D$67,0),3),"UNMAPPED")</f>
        <v>Zefania Julius Ngoma</v>
      </c>
      <c r="F208" s="75" t="str">
        <f>IFERROR(INDEX(M_User!$A$12:$J$67,MATCH(D208,M_User!$D$12:$D$67,0),5),"UNMAPPED")</f>
        <v>MOS</v>
      </c>
      <c r="G208" s="73" t="s">
        <v>869</v>
      </c>
      <c r="H208" s="92" t="s">
        <v>870</v>
      </c>
      <c r="I208" s="73" t="s">
        <v>240</v>
      </c>
      <c r="J208" s="76" t="str">
        <f>IFERROR(INDEX(M_SKU!$A$18:$J$57,MATCH(I208,M_SKU!$B$18:$B$57,0),1),"UNKNOWN SKU")</f>
        <v>Fanta Fruit Blast Pet 500ML (x12)</v>
      </c>
      <c r="K208" s="73" t="s">
        <v>553</v>
      </c>
      <c r="L208" s="276">
        <v>1</v>
      </c>
      <c r="M208" s="94" cm="1">
        <f t="array" ref="M208">IFERROR(INDEX(M_DepotPrice!$C$10:$C$52,MATCH(1,(M_DepotPrice!$A$10:$A$52=I208)*(M_DepotPrice!$H$10:$H$52=IFERROR(INDEX(M_Depot!$A$7:$A$24,MATCH(F208,M_Depot!$B$7:$B$24,0)),""))*(M_DepotPrice!$G$10:$G$52="Special"),0)),INDEX(M_DepotPrice!$C$10:$C$52,MATCH(1,(M_DepotPrice!$A$10:$A$52=I208)*(M_DepotPrice!$G$10:$G$52="Default"),0)))</f>
        <v>8898</v>
      </c>
      <c r="N208" s="95">
        <f t="shared" si="7"/>
        <v>10499.64</v>
      </c>
      <c r="O208" s="82" t="str">
        <f t="shared" si="6"/>
        <v>MOS100144|PH006|CK6-33334</v>
      </c>
    </row>
    <row r="209" spans="1:15" ht="15" customHeight="1" x14ac:dyDescent="0.3">
      <c r="A209" s="60" t="s">
        <v>884</v>
      </c>
      <c r="B209" s="60" t="s">
        <v>548</v>
      </c>
      <c r="C209" s="62">
        <v>46179</v>
      </c>
      <c r="D209" s="63" t="s">
        <v>421</v>
      </c>
      <c r="E209" s="66" t="str">
        <f>IFERROR(INDEX(M_User!$A$12:$J$67,MATCH(D209,M_User!$D$12:$D$67,0),3),"UNMAPPED")</f>
        <v>Deodat Francis Materu</v>
      </c>
      <c r="F209" s="65" t="str">
        <f>IFERROR(INDEX(M_User!$A$12:$J$67,MATCH(D209,M_User!$D$12:$D$67,0),5),"UNMAPPED")</f>
        <v>MOS</v>
      </c>
      <c r="G209" s="63" t="s">
        <v>840</v>
      </c>
      <c r="H209" s="69" t="s">
        <v>841</v>
      </c>
      <c r="I209" s="63" t="s">
        <v>178</v>
      </c>
      <c r="J209" s="66" t="str">
        <f>IFERROR(INDEX(M_SKU!$A$18:$J$57,MATCH(I209,M_SKU!$B$18:$B$57,0),1),"UNKNOWN SKU")</f>
        <v>Fanta Orange RGB 350ml</v>
      </c>
      <c r="K209" s="63" t="s">
        <v>531</v>
      </c>
      <c r="L209" s="276">
        <v>5.3141999999999996</v>
      </c>
      <c r="M209" s="91" cm="1">
        <f t="array" ref="M209">IFERROR(INDEX(M_DepotPrice!$C$10:$C$52,MATCH(1,(M_DepotPrice!$A$10:$A$52=I209)*(M_DepotPrice!$H$10:$H$52=IFERROR(INDEX(M_Depot!$A$7:$A$24,MATCH(F209,M_Depot!$B$7:$B$24,0)),""))*(M_DepotPrice!$G$10:$G$52="Special"),0)),INDEX(M_DepotPrice!$C$10:$C$52,MATCH(1,(M_DepotPrice!$A$10:$A$52=I209)*(M_DepotPrice!$G$10:$G$52="Default"),0)))</f>
        <v>11780</v>
      </c>
      <c r="N209" s="67">
        <f t="shared" si="7"/>
        <v>73869.505679999987</v>
      </c>
      <c r="O209" s="66" t="str">
        <f t="shared" si="6"/>
        <v>MOS100180|FG002|CK3-33407</v>
      </c>
    </row>
    <row r="210" spans="1:15" ht="15" customHeight="1" x14ac:dyDescent="0.3">
      <c r="A210" s="70" t="s">
        <v>885</v>
      </c>
      <c r="B210" s="70" t="s">
        <v>548</v>
      </c>
      <c r="C210" s="72">
        <v>46179</v>
      </c>
      <c r="D210" s="73" t="s">
        <v>421</v>
      </c>
      <c r="E210" s="76" t="str">
        <f>IFERROR(INDEX(M_User!$A$12:$J$67,MATCH(D210,M_User!$D$12:$D$67,0),3),"UNMAPPED")</f>
        <v>Deodat Francis Materu</v>
      </c>
      <c r="F210" s="75" t="str">
        <f>IFERROR(INDEX(M_User!$A$12:$J$67,MATCH(D210,M_User!$D$12:$D$67,0),5),"UNMAPPED")</f>
        <v>MOS</v>
      </c>
      <c r="G210" s="73" t="s">
        <v>840</v>
      </c>
      <c r="H210" s="92" t="s">
        <v>841</v>
      </c>
      <c r="I210" s="73" t="s">
        <v>181</v>
      </c>
      <c r="J210" s="76" t="str">
        <f>IFERROR(INDEX(M_SKU!$A$18:$J$57,MATCH(I210,M_SKU!$B$18:$B$57,0),1),"UNKNOWN SKU")</f>
        <v>Fanta Passion RGB 350ml</v>
      </c>
      <c r="K210" s="73" t="s">
        <v>550</v>
      </c>
      <c r="L210" s="276">
        <v>4.1760218559447599</v>
      </c>
      <c r="M210" s="94" cm="1">
        <f t="array" ref="M210">IFERROR(INDEX(M_DepotPrice!$C$10:$C$52,MATCH(1,(M_DepotPrice!$A$10:$A$52=I210)*(M_DepotPrice!$H$10:$H$52=IFERROR(INDEX(M_Depot!$A$7:$A$24,MATCH(F210,M_Depot!$B$7:$B$24,0)),""))*(M_DepotPrice!$G$10:$G$52="Special"),0)),INDEX(M_DepotPrice!$C$10:$C$52,MATCH(1,(M_DepotPrice!$A$10:$A$52=I210)*(M_DepotPrice!$G$10:$G$52="Default"),0)))</f>
        <v>11780</v>
      </c>
      <c r="N210" s="95">
        <f t="shared" si="7"/>
        <v>58048.374206374538</v>
      </c>
      <c r="O210" s="82" t="str">
        <f t="shared" si="6"/>
        <v>MOS100180|FG003|CK3-33356</v>
      </c>
    </row>
    <row r="211" spans="1:15" ht="15" customHeight="1" x14ac:dyDescent="0.3">
      <c r="A211" s="60" t="s">
        <v>886</v>
      </c>
      <c r="B211" s="60" t="s">
        <v>548</v>
      </c>
      <c r="C211" s="62">
        <v>46179</v>
      </c>
      <c r="D211" s="63" t="s">
        <v>421</v>
      </c>
      <c r="E211" s="66" t="str">
        <f>IFERROR(INDEX(M_User!$A$12:$J$67,MATCH(D211,M_User!$D$12:$D$67,0),3),"UNMAPPED")</f>
        <v>Deodat Francis Materu</v>
      </c>
      <c r="F211" s="65" t="str">
        <f>IFERROR(INDEX(M_User!$A$12:$J$67,MATCH(D211,M_User!$D$12:$D$67,0),5),"UNMAPPED")</f>
        <v>MOS</v>
      </c>
      <c r="G211" s="63" t="s">
        <v>840</v>
      </c>
      <c r="H211" s="69" t="s">
        <v>841</v>
      </c>
      <c r="I211" s="63" t="s">
        <v>183</v>
      </c>
      <c r="J211" s="66" t="str">
        <f>IFERROR(INDEX(M_SKU!$A$18:$J$57,MATCH(I211,M_SKU!$B$18:$B$57,0),1),"UNKNOWN SKU")</f>
        <v>Fanta Pineapple RGB 350ml</v>
      </c>
      <c r="K211" s="63" t="s">
        <v>533</v>
      </c>
      <c r="L211" s="276">
        <v>2.6865000000000001</v>
      </c>
      <c r="M211" s="91" cm="1">
        <f t="array" ref="M211">IFERROR(INDEX(M_DepotPrice!$C$10:$C$52,MATCH(1,(M_DepotPrice!$A$10:$A$52=I211)*(M_DepotPrice!$H$10:$H$52=IFERROR(INDEX(M_Depot!$A$7:$A$24,MATCH(F211,M_Depot!$B$7:$B$24,0)),""))*(M_DepotPrice!$G$10:$G$52="Special"),0)),INDEX(M_DepotPrice!$C$10:$C$52,MATCH(1,(M_DepotPrice!$A$10:$A$52=I211)*(M_DepotPrice!$G$10:$G$52="Default"),0)))</f>
        <v>11780</v>
      </c>
      <c r="N211" s="67">
        <f t="shared" si="7"/>
        <v>37343.424599999998</v>
      </c>
      <c r="O211" s="66" t="str">
        <f t="shared" si="6"/>
        <v>MOS100180|FG004|CK3-33385</v>
      </c>
    </row>
    <row r="212" spans="1:15" ht="15" customHeight="1" x14ac:dyDescent="0.3">
      <c r="A212" s="70" t="s">
        <v>887</v>
      </c>
      <c r="B212" s="70" t="s">
        <v>548</v>
      </c>
      <c r="C212" s="72">
        <v>46179</v>
      </c>
      <c r="D212" s="73" t="s">
        <v>421</v>
      </c>
      <c r="E212" s="76" t="str">
        <f>IFERROR(INDEX(M_User!$A$12:$J$67,MATCH(D212,M_User!$D$12:$D$67,0),3),"UNMAPPED")</f>
        <v>Deodat Francis Materu</v>
      </c>
      <c r="F212" s="75" t="str">
        <f>IFERROR(INDEX(M_User!$A$12:$J$67,MATCH(D212,M_User!$D$12:$D$67,0),5),"UNMAPPED")</f>
        <v>MOS</v>
      </c>
      <c r="G212" s="73" t="s">
        <v>840</v>
      </c>
      <c r="H212" s="92" t="s">
        <v>841</v>
      </c>
      <c r="I212" s="73" t="s">
        <v>185</v>
      </c>
      <c r="J212" s="76" t="str">
        <f>IFERROR(INDEX(M_SKU!$A$18:$J$57,MATCH(I212,M_SKU!$B$18:$B$57,0),1),"UNKNOWN SKU")</f>
        <v>Fanta Fruit Blast RGB 350 ml</v>
      </c>
      <c r="K212" s="73" t="s">
        <v>534</v>
      </c>
      <c r="L212" s="276">
        <v>2.8302999999999998</v>
      </c>
      <c r="M212" s="94" cm="1">
        <f t="array" ref="M212">IFERROR(INDEX(M_DepotPrice!$C$10:$C$52,MATCH(1,(M_DepotPrice!$A$10:$A$52=I212)*(M_DepotPrice!$H$10:$H$52=IFERROR(INDEX(M_Depot!$A$7:$A$24,MATCH(F212,M_Depot!$B$7:$B$24,0)),""))*(M_DepotPrice!$G$10:$G$52="Special"),0)),INDEX(M_DepotPrice!$C$10:$C$52,MATCH(1,(M_DepotPrice!$A$10:$A$52=I212)*(M_DepotPrice!$G$10:$G$52="Default"),0)))</f>
        <v>11780</v>
      </c>
      <c r="N212" s="95">
        <f t="shared" si="7"/>
        <v>39342.30212</v>
      </c>
      <c r="O212" s="82" t="str">
        <f t="shared" si="6"/>
        <v>MOS100180|FG005|CK3-33402</v>
      </c>
    </row>
    <row r="213" spans="1:15" ht="15" customHeight="1" x14ac:dyDescent="0.3">
      <c r="A213" s="60" t="s">
        <v>888</v>
      </c>
      <c r="B213" s="60" t="s">
        <v>548</v>
      </c>
      <c r="C213" s="62">
        <v>46179</v>
      </c>
      <c r="D213" s="63" t="s">
        <v>421</v>
      </c>
      <c r="E213" s="66" t="str">
        <f>IFERROR(INDEX(M_User!$A$12:$J$67,MATCH(D213,M_User!$D$12:$D$67,0),3),"UNMAPPED")</f>
        <v>Deodat Francis Materu</v>
      </c>
      <c r="F213" s="65" t="str">
        <f>IFERROR(INDEX(M_User!$A$12:$J$67,MATCH(D213,M_User!$D$12:$D$67,0),5),"UNMAPPED")</f>
        <v>MOS</v>
      </c>
      <c r="G213" s="63" t="s">
        <v>840</v>
      </c>
      <c r="H213" s="69" t="s">
        <v>841</v>
      </c>
      <c r="I213" s="63" t="s">
        <v>187</v>
      </c>
      <c r="J213" s="66" t="str">
        <f>IFERROR(INDEX(M_SKU!$A$18:$J$57,MATCH(I213,M_SKU!$B$18:$B$57,0),1),"UNKNOWN SKU")</f>
        <v>Sprite 350ml</v>
      </c>
      <c r="K213" s="63" t="s">
        <v>535</v>
      </c>
      <c r="L213" s="276">
        <v>7.8273000000000001</v>
      </c>
      <c r="M213" s="91" cm="1">
        <f t="array" ref="M213">IFERROR(INDEX(M_DepotPrice!$C$10:$C$52,MATCH(1,(M_DepotPrice!$A$10:$A$52=I213)*(M_DepotPrice!$H$10:$H$52=IFERROR(INDEX(M_Depot!$A$7:$A$24,MATCH(F213,M_Depot!$B$7:$B$24,0)),""))*(M_DepotPrice!$G$10:$G$52="Special"),0)),INDEX(M_DepotPrice!$C$10:$C$52,MATCH(1,(M_DepotPrice!$A$10:$A$52=I213)*(M_DepotPrice!$G$10:$G$52="Default"),0)))</f>
        <v>11780</v>
      </c>
      <c r="N213" s="67">
        <f t="shared" si="7"/>
        <v>108802.60092</v>
      </c>
      <c r="O213" s="66" t="str">
        <f t="shared" si="6"/>
        <v>MOS100180|FG006|CK3-33414</v>
      </c>
    </row>
    <row r="214" spans="1:15" ht="15" customHeight="1" x14ac:dyDescent="0.3">
      <c r="A214" s="70" t="s">
        <v>889</v>
      </c>
      <c r="B214" s="70" t="s">
        <v>548</v>
      </c>
      <c r="C214" s="72">
        <v>46179</v>
      </c>
      <c r="D214" s="73" t="s">
        <v>421</v>
      </c>
      <c r="E214" s="76" t="str">
        <f>IFERROR(INDEX(M_User!$A$12:$J$67,MATCH(D214,M_User!$D$12:$D$67,0),3),"UNMAPPED")</f>
        <v>Deodat Francis Materu</v>
      </c>
      <c r="F214" s="75" t="str">
        <f>IFERROR(INDEX(M_User!$A$12:$J$67,MATCH(D214,M_User!$D$12:$D$67,0),5),"UNMAPPED")</f>
        <v>MOS</v>
      </c>
      <c r="G214" s="73" t="s">
        <v>840</v>
      </c>
      <c r="H214" s="92" t="s">
        <v>841</v>
      </c>
      <c r="I214" s="73" t="s">
        <v>203</v>
      </c>
      <c r="J214" s="76" t="str">
        <f>IFERROR(INDEX(M_SKU!$A$18:$J$57,MATCH(I214,M_SKU!$B$18:$B$57,0),1),"UNKNOWN SKU")</f>
        <v>Krest Ginger Ale RGB 300ml</v>
      </c>
      <c r="K214" s="73" t="s">
        <v>541</v>
      </c>
      <c r="L214" s="276">
        <v>0.68679999999999997</v>
      </c>
      <c r="M214" s="94" cm="1">
        <f t="array" ref="M214">IFERROR(INDEX(M_DepotPrice!$C$10:$C$52,MATCH(1,(M_DepotPrice!$A$10:$A$52=I214)*(M_DepotPrice!$H$10:$H$52=IFERROR(INDEX(M_Depot!$A$7:$A$24,MATCH(F214,M_Depot!$B$7:$B$24,0)),""))*(M_DepotPrice!$G$10:$G$52="Special"),0)),INDEX(M_DepotPrice!$C$10:$C$52,MATCH(1,(M_DepotPrice!$A$10:$A$52=I214)*(M_DepotPrice!$G$10:$G$52="Default"),0)))</f>
        <v>11780</v>
      </c>
      <c r="N214" s="95">
        <f t="shared" si="7"/>
        <v>9546.7947199999999</v>
      </c>
      <c r="O214" s="82" t="str">
        <f t="shared" si="6"/>
        <v>MOS100180|FG012|CK3-33126</v>
      </c>
    </row>
    <row r="215" spans="1:15" ht="15" customHeight="1" x14ac:dyDescent="0.3">
      <c r="A215" s="60" t="s">
        <v>890</v>
      </c>
      <c r="B215" s="60" t="s">
        <v>548</v>
      </c>
      <c r="C215" s="62">
        <v>46179</v>
      </c>
      <c r="D215" s="63" t="s">
        <v>421</v>
      </c>
      <c r="E215" s="66" t="str">
        <f>IFERROR(INDEX(M_User!$A$12:$J$67,MATCH(D215,M_User!$D$12:$D$67,0),3),"UNMAPPED")</f>
        <v>Deodat Francis Materu</v>
      </c>
      <c r="F215" s="65" t="str">
        <f>IFERROR(INDEX(M_User!$A$12:$J$67,MATCH(D215,M_User!$D$12:$D$67,0),5),"UNMAPPED")</f>
        <v>MOS</v>
      </c>
      <c r="G215" s="63" t="s">
        <v>840</v>
      </c>
      <c r="H215" s="69" t="s">
        <v>841</v>
      </c>
      <c r="I215" s="63" t="s">
        <v>234</v>
      </c>
      <c r="J215" s="66" t="str">
        <f>IFERROR(INDEX(M_SKU!$A$18:$J$57,MATCH(I215,M_SKU!$B$18:$B$57,0),1),"UNKNOWN SKU")</f>
        <v>Fanta Orange Pet 500ML ( x 12)</v>
      </c>
      <c r="K215" s="63" t="s">
        <v>523</v>
      </c>
      <c r="L215" s="276">
        <v>7</v>
      </c>
      <c r="M215" s="91" cm="1">
        <f t="array" ref="M215">IFERROR(INDEX(M_DepotPrice!$C$10:$C$52,MATCH(1,(M_DepotPrice!$A$10:$A$52=I215)*(M_DepotPrice!$H$10:$H$52=IFERROR(INDEX(M_Depot!$A$7:$A$24,MATCH(F215,M_Depot!$B$7:$B$24,0)),""))*(M_DepotPrice!$G$10:$G$52="Special"),0)),INDEX(M_DepotPrice!$C$10:$C$52,MATCH(1,(M_DepotPrice!$A$10:$A$52=I215)*(M_DepotPrice!$G$10:$G$52="Default"),0)))</f>
        <v>8898</v>
      </c>
      <c r="N215" s="67">
        <f t="shared" si="7"/>
        <v>73497.48</v>
      </c>
      <c r="O215" s="66" t="str">
        <f t="shared" si="6"/>
        <v>MOS100180|PH003|CK6-33405</v>
      </c>
    </row>
    <row r="216" spans="1:15" ht="15" customHeight="1" x14ac:dyDescent="0.3">
      <c r="A216" s="70" t="s">
        <v>891</v>
      </c>
      <c r="B216" s="70" t="s">
        <v>548</v>
      </c>
      <c r="C216" s="72">
        <v>46179</v>
      </c>
      <c r="D216" s="73" t="s">
        <v>421</v>
      </c>
      <c r="E216" s="76" t="str">
        <f>IFERROR(INDEX(M_User!$A$12:$J$67,MATCH(D216,M_User!$D$12:$D$67,0),3),"UNMAPPED")</f>
        <v>Deodat Francis Materu</v>
      </c>
      <c r="F216" s="75" t="str">
        <f>IFERROR(INDEX(M_User!$A$12:$J$67,MATCH(D216,M_User!$D$12:$D$67,0),5),"UNMAPPED")</f>
        <v>MOS</v>
      </c>
      <c r="G216" s="73" t="s">
        <v>840</v>
      </c>
      <c r="H216" s="92" t="s">
        <v>841</v>
      </c>
      <c r="I216" s="73" t="s">
        <v>244</v>
      </c>
      <c r="J216" s="76" t="str">
        <f>IFERROR(INDEX(M_SKU!$A$18:$J$57,MATCH(I216,M_SKU!$B$18:$B$57,0),1),"UNKNOWN SKU")</f>
        <v>Sparletta Pinenut Pet 500 ml ( x12)</v>
      </c>
      <c r="K216" s="73" t="s">
        <v>526</v>
      </c>
      <c r="L216" s="276">
        <v>1</v>
      </c>
      <c r="M216" s="94" cm="1">
        <f t="array" ref="M216">IFERROR(INDEX(M_DepotPrice!$C$10:$C$52,MATCH(1,(M_DepotPrice!$A$10:$A$52=I216)*(M_DepotPrice!$H$10:$H$52=IFERROR(INDEX(M_Depot!$A$7:$A$24,MATCH(F216,M_Depot!$B$7:$B$24,0)),""))*(M_DepotPrice!$G$10:$G$52="Special"),0)),INDEX(M_DepotPrice!$C$10:$C$52,MATCH(1,(M_DepotPrice!$A$10:$A$52=I216)*(M_DepotPrice!$G$10:$G$52="Default"),0)))</f>
        <v>8898</v>
      </c>
      <c r="N216" s="95">
        <f t="shared" si="7"/>
        <v>10499.64</v>
      </c>
      <c r="O216" s="82" t="str">
        <f t="shared" si="6"/>
        <v>MOS100180|PH008|CK5-33370</v>
      </c>
    </row>
    <row r="217" spans="1:15" ht="15" customHeight="1" x14ac:dyDescent="0.3">
      <c r="A217" s="60" t="s">
        <v>892</v>
      </c>
      <c r="B217" s="60" t="s">
        <v>548</v>
      </c>
      <c r="C217" s="62">
        <v>46179</v>
      </c>
      <c r="D217" s="63" t="s">
        <v>421</v>
      </c>
      <c r="E217" s="66" t="str">
        <f>IFERROR(INDEX(M_User!$A$12:$J$67,MATCH(D217,M_User!$D$12:$D$67,0),3),"UNMAPPED")</f>
        <v>Deodat Francis Materu</v>
      </c>
      <c r="F217" s="65" t="str">
        <f>IFERROR(INDEX(M_User!$A$12:$J$67,MATCH(D217,M_User!$D$12:$D$67,0),5),"UNMAPPED")</f>
        <v>MOS</v>
      </c>
      <c r="G217" s="63" t="s">
        <v>840</v>
      </c>
      <c r="H217" s="69" t="s">
        <v>841</v>
      </c>
      <c r="I217" s="63" t="s">
        <v>254</v>
      </c>
      <c r="J217" s="66" t="str">
        <f>IFERROR(INDEX(M_SKU!$A$18:$J$57,MATCH(I217,M_SKU!$B$18:$B$57,0),1),"UNKNOWN SKU")</f>
        <v>Fanta Zero Pet 300ML (x 12)</v>
      </c>
      <c r="K217" s="63" t="s">
        <v>546</v>
      </c>
      <c r="L217" s="276">
        <v>2</v>
      </c>
      <c r="M217" s="91" cm="1">
        <f t="array" ref="M217">IFERROR(INDEX(M_DepotPrice!$C$10:$C$52,MATCH(1,(M_DepotPrice!$A$10:$A$52=I217)*(M_DepotPrice!$H$10:$H$52=IFERROR(INDEX(M_Depot!$A$7:$A$24,MATCH(F217,M_Depot!$B$7:$B$24,0)),""))*(M_DepotPrice!$G$10:$G$52="Special"),0)),INDEX(M_DepotPrice!$C$10:$C$52,MATCH(1,(M_DepotPrice!$A$10:$A$52=I217)*(M_DepotPrice!$G$10:$G$52="Default"),0)))</f>
        <v>5085</v>
      </c>
      <c r="N217" s="67">
        <f t="shared" si="7"/>
        <v>12000.599999999999</v>
      </c>
      <c r="O217" s="66" t="str">
        <f t="shared" si="6"/>
        <v>MOS100180|PO012|CK5-33369</v>
      </c>
    </row>
    <row r="218" spans="1:15" ht="15" customHeight="1" x14ac:dyDescent="0.3">
      <c r="A218" s="70" t="s">
        <v>893</v>
      </c>
      <c r="B218" s="70" t="s">
        <v>548</v>
      </c>
      <c r="C218" s="72">
        <v>46179</v>
      </c>
      <c r="D218" s="73" t="s">
        <v>421</v>
      </c>
      <c r="E218" s="76" t="str">
        <f>IFERROR(INDEX(M_User!$A$12:$J$67,MATCH(D218,M_User!$D$12:$D$67,0),3),"UNMAPPED")</f>
        <v>Deodat Francis Materu</v>
      </c>
      <c r="F218" s="75" t="str">
        <f>IFERROR(INDEX(M_User!$A$12:$J$67,MATCH(D218,M_User!$D$12:$D$67,0),5),"UNMAPPED")</f>
        <v>MOS</v>
      </c>
      <c r="G218" s="73" t="s">
        <v>840</v>
      </c>
      <c r="H218" s="92" t="s">
        <v>841</v>
      </c>
      <c r="I218" s="73" t="s">
        <v>256</v>
      </c>
      <c r="J218" s="76" t="str">
        <f>IFERROR(INDEX(M_SKU!$A$18:$J$57,MATCH(I218,M_SKU!$B$18:$B$57,0),1),"UNKNOWN SKU")</f>
        <v>Sparletta Red Apple Pet 300ML(x 12)</v>
      </c>
      <c r="K218" s="73" t="s">
        <v>555</v>
      </c>
      <c r="L218" s="276">
        <v>1</v>
      </c>
      <c r="M218" s="94" cm="1">
        <f t="array" ref="M218">IFERROR(INDEX(M_DepotPrice!$C$10:$C$52,MATCH(1,(M_DepotPrice!$A$10:$A$52=I218)*(M_DepotPrice!$H$10:$H$52=IFERROR(INDEX(M_Depot!$A$7:$A$24,MATCH(F218,M_Depot!$B$7:$B$24,0)),""))*(M_DepotPrice!$G$10:$G$52="Special"),0)),INDEX(M_DepotPrice!$C$10:$C$52,MATCH(1,(M_DepotPrice!$A$10:$A$52=I218)*(M_DepotPrice!$G$10:$G$52="Default"),0)))</f>
        <v>5085</v>
      </c>
      <c r="N218" s="95">
        <f t="shared" si="7"/>
        <v>6000.2999999999993</v>
      </c>
      <c r="O218" s="82" t="str">
        <f t="shared" si="6"/>
        <v>MOS100180|PO013|CK5-33368</v>
      </c>
    </row>
    <row r="219" spans="1:15" ht="15" customHeight="1" x14ac:dyDescent="0.3">
      <c r="A219" s="60" t="s">
        <v>894</v>
      </c>
      <c r="B219" s="60" t="s">
        <v>548</v>
      </c>
      <c r="C219" s="62">
        <v>46179</v>
      </c>
      <c r="D219" s="63" t="s">
        <v>421</v>
      </c>
      <c r="E219" s="66" t="str">
        <f>IFERROR(INDEX(M_User!$A$12:$J$67,MATCH(D219,M_User!$D$12:$D$67,0),3),"UNMAPPED")</f>
        <v>Deodat Francis Materu</v>
      </c>
      <c r="F219" s="65" t="str">
        <f>IFERROR(INDEX(M_User!$A$12:$J$67,MATCH(D219,M_User!$D$12:$D$67,0),5),"UNMAPPED")</f>
        <v>MOS</v>
      </c>
      <c r="G219" s="63" t="s">
        <v>756</v>
      </c>
      <c r="H219" s="69" t="s">
        <v>757</v>
      </c>
      <c r="I219" s="63" t="s">
        <v>183</v>
      </c>
      <c r="J219" s="66" t="str">
        <f>IFERROR(INDEX(M_SKU!$A$18:$J$57,MATCH(I219,M_SKU!$B$18:$B$57,0),1),"UNKNOWN SKU")</f>
        <v>Fanta Pineapple RGB 350ml</v>
      </c>
      <c r="K219" s="63" t="s">
        <v>533</v>
      </c>
      <c r="L219" s="276">
        <v>5.8327999999999998</v>
      </c>
      <c r="M219" s="91" cm="1">
        <f t="array" ref="M219">IFERROR(INDEX(M_DepotPrice!$C$10:$C$52,MATCH(1,(M_DepotPrice!$A$10:$A$52=I219)*(M_DepotPrice!$H$10:$H$52=IFERROR(INDEX(M_Depot!$A$7:$A$24,MATCH(F219,M_Depot!$B$7:$B$24,0)),""))*(M_DepotPrice!$G$10:$G$52="Special"),0)),INDEX(M_DepotPrice!$C$10:$C$52,MATCH(1,(M_DepotPrice!$A$10:$A$52=I219)*(M_DepotPrice!$G$10:$G$52="Default"),0)))</f>
        <v>11780</v>
      </c>
      <c r="N219" s="67">
        <f t="shared" si="7"/>
        <v>81078.253119999979</v>
      </c>
      <c r="O219" s="66" t="str">
        <f t="shared" si="6"/>
        <v>MOS100180|FG004|CK3-33385</v>
      </c>
    </row>
    <row r="220" spans="1:15" ht="15" customHeight="1" x14ac:dyDescent="0.3">
      <c r="A220" s="70" t="s">
        <v>895</v>
      </c>
      <c r="B220" s="70" t="s">
        <v>548</v>
      </c>
      <c r="C220" s="72">
        <v>46179</v>
      </c>
      <c r="D220" s="73" t="s">
        <v>421</v>
      </c>
      <c r="E220" s="76" t="str">
        <f>IFERROR(INDEX(M_User!$A$12:$J$67,MATCH(D220,M_User!$D$12:$D$67,0),3),"UNMAPPED")</f>
        <v>Deodat Francis Materu</v>
      </c>
      <c r="F220" s="75" t="str">
        <f>IFERROR(INDEX(M_User!$A$12:$J$67,MATCH(D220,M_User!$D$12:$D$67,0),5),"UNMAPPED")</f>
        <v>MOS</v>
      </c>
      <c r="G220" s="73" t="s">
        <v>756</v>
      </c>
      <c r="H220" s="92" t="s">
        <v>757</v>
      </c>
      <c r="I220" s="73" t="s">
        <v>199</v>
      </c>
      <c r="J220" s="76" t="str">
        <f>IFERROR(INDEX(M_SKU!$A$18:$J$57,MATCH(I220,M_SKU!$B$18:$B$57,0),1),"UNKNOWN SKU")</f>
        <v>Krest Club Soda RGB 300ml</v>
      </c>
      <c r="K220" s="73" t="s">
        <v>539</v>
      </c>
      <c r="L220" s="276">
        <v>0.38640000000000002</v>
      </c>
      <c r="M220" s="94" cm="1">
        <f t="array" ref="M220">IFERROR(INDEX(M_DepotPrice!$C$10:$C$52,MATCH(1,(M_DepotPrice!$A$10:$A$52=I220)*(M_DepotPrice!$H$10:$H$52=IFERROR(INDEX(M_Depot!$A$7:$A$24,MATCH(F220,M_Depot!$B$7:$B$24,0)),""))*(M_DepotPrice!$G$10:$G$52="Special"),0)),INDEX(M_DepotPrice!$C$10:$C$52,MATCH(1,(M_DepotPrice!$A$10:$A$52=I220)*(M_DepotPrice!$G$10:$G$52="Default"),0)))</f>
        <v>11780</v>
      </c>
      <c r="N220" s="95">
        <f t="shared" si="7"/>
        <v>5371.11456</v>
      </c>
      <c r="O220" s="82" t="str">
        <f t="shared" si="6"/>
        <v>MOS100180|FG010|CK3-33301</v>
      </c>
    </row>
    <row r="221" spans="1:15" ht="15" customHeight="1" x14ac:dyDescent="0.3">
      <c r="A221" s="60" t="s">
        <v>896</v>
      </c>
      <c r="B221" s="60" t="s">
        <v>548</v>
      </c>
      <c r="C221" s="62">
        <v>46179</v>
      </c>
      <c r="D221" s="63" t="s">
        <v>421</v>
      </c>
      <c r="E221" s="66" t="str">
        <f>IFERROR(INDEX(M_User!$A$12:$J$67,MATCH(D221,M_User!$D$12:$D$67,0),3),"UNMAPPED")</f>
        <v>Deodat Francis Materu</v>
      </c>
      <c r="F221" s="65" t="str">
        <f>IFERROR(INDEX(M_User!$A$12:$J$67,MATCH(D221,M_User!$D$12:$D$67,0),5),"UNMAPPED")</f>
        <v>MOS</v>
      </c>
      <c r="G221" s="63" t="s">
        <v>756</v>
      </c>
      <c r="H221" s="69" t="s">
        <v>757</v>
      </c>
      <c r="I221" s="63" t="s">
        <v>201</v>
      </c>
      <c r="J221" s="66" t="str">
        <f>IFERROR(INDEX(M_SKU!$A$18:$J$57,MATCH(I221,M_SKU!$B$18:$B$57,0),1),"UNKNOWN SKU")</f>
        <v>Krest Tonic Water RGB 300ml</v>
      </c>
      <c r="K221" s="63" t="s">
        <v>540</v>
      </c>
      <c r="L221" s="276">
        <v>1.4261999999999999</v>
      </c>
      <c r="M221" s="91" cm="1">
        <f t="array" ref="M221">IFERROR(INDEX(M_DepotPrice!$C$10:$C$52,MATCH(1,(M_DepotPrice!$A$10:$A$52=I221)*(M_DepotPrice!$H$10:$H$52=IFERROR(INDEX(M_Depot!$A$7:$A$24,MATCH(F221,M_Depot!$B$7:$B$24,0)),""))*(M_DepotPrice!$G$10:$G$52="Special"),0)),INDEX(M_DepotPrice!$C$10:$C$52,MATCH(1,(M_DepotPrice!$A$10:$A$52=I221)*(M_DepotPrice!$G$10:$G$52="Default"),0)))</f>
        <v>11780</v>
      </c>
      <c r="N221" s="67">
        <f t="shared" si="7"/>
        <v>19824.750479999999</v>
      </c>
      <c r="O221" s="66" t="str">
        <f t="shared" si="6"/>
        <v>MOS100180|FG011|CK3-33347</v>
      </c>
    </row>
    <row r="222" spans="1:15" ht="15" customHeight="1" x14ac:dyDescent="0.3">
      <c r="A222" s="70" t="s">
        <v>897</v>
      </c>
      <c r="B222" s="70" t="s">
        <v>548</v>
      </c>
      <c r="C222" s="72">
        <v>46179</v>
      </c>
      <c r="D222" s="73" t="s">
        <v>421</v>
      </c>
      <c r="E222" s="76" t="str">
        <f>IFERROR(INDEX(M_User!$A$12:$J$67,MATCH(D222,M_User!$D$12:$D$67,0),3),"UNMAPPED")</f>
        <v>Deodat Francis Materu</v>
      </c>
      <c r="F222" s="75" t="str">
        <f>IFERROR(INDEX(M_User!$A$12:$J$67,MATCH(D222,M_User!$D$12:$D$67,0),5),"UNMAPPED")</f>
        <v>MOS</v>
      </c>
      <c r="G222" s="73" t="s">
        <v>756</v>
      </c>
      <c r="H222" s="92" t="s">
        <v>757</v>
      </c>
      <c r="I222" s="73" t="s">
        <v>209</v>
      </c>
      <c r="J222" s="76" t="str">
        <f>IFERROR(INDEX(M_SKU!$A$18:$J$57,MATCH(I222,M_SKU!$B$18:$B$57,0),1),"UNKNOWN SKU")</f>
        <v>Sparletta Red Apple RGB 350ml</v>
      </c>
      <c r="K222" s="73" t="s">
        <v>542</v>
      </c>
      <c r="L222" s="276">
        <v>0.56220000000000003</v>
      </c>
      <c r="M222" s="94" cm="1">
        <f t="array" ref="M222">IFERROR(INDEX(M_DepotPrice!$C$10:$C$52,MATCH(1,(M_DepotPrice!$A$10:$A$52=I222)*(M_DepotPrice!$H$10:$H$52=IFERROR(INDEX(M_Depot!$A$7:$A$24,MATCH(F222,M_Depot!$B$7:$B$24,0)),""))*(M_DepotPrice!$G$10:$G$52="Special"),0)),INDEX(M_DepotPrice!$C$10:$C$52,MATCH(1,(M_DepotPrice!$A$10:$A$52=I222)*(M_DepotPrice!$G$10:$G$52="Default"),0)))</f>
        <v>11780</v>
      </c>
      <c r="N222" s="95">
        <f t="shared" si="7"/>
        <v>7814.8048799999997</v>
      </c>
      <c r="O222" s="82" t="str">
        <f t="shared" si="6"/>
        <v>MOS100180|FG024|CK3-32758</v>
      </c>
    </row>
    <row r="223" spans="1:15" ht="15" customHeight="1" x14ac:dyDescent="0.3">
      <c r="A223" s="60" t="s">
        <v>898</v>
      </c>
      <c r="B223" s="60" t="s">
        <v>548</v>
      </c>
      <c r="C223" s="62">
        <v>46179</v>
      </c>
      <c r="D223" s="63" t="s">
        <v>421</v>
      </c>
      <c r="E223" s="66" t="str">
        <f>IFERROR(INDEX(M_User!$A$12:$J$67,MATCH(D223,M_User!$D$12:$D$67,0),3),"UNMAPPED")</f>
        <v>Deodat Francis Materu</v>
      </c>
      <c r="F223" s="65" t="str">
        <f>IFERROR(INDEX(M_User!$A$12:$J$67,MATCH(D223,M_User!$D$12:$D$67,0),5),"UNMAPPED")</f>
        <v>MOS</v>
      </c>
      <c r="G223" s="63" t="s">
        <v>756</v>
      </c>
      <c r="H223" s="69" t="s">
        <v>757</v>
      </c>
      <c r="I223" s="63" t="s">
        <v>211</v>
      </c>
      <c r="J223" s="66" t="str">
        <f>IFERROR(INDEX(M_SKU!$A$18:$J$57,MATCH(I223,M_SKU!$B$18:$B$57,0),1),"UNKNOWN SKU")</f>
        <v>KNMW 500ml</v>
      </c>
      <c r="K223" s="63" t="s">
        <v>543</v>
      </c>
      <c r="L223" s="276">
        <v>11</v>
      </c>
      <c r="M223" s="91" cm="1">
        <f t="array" ref="M223">IFERROR(INDEX(M_DepotPrice!$C$10:$C$52,MATCH(1,(M_DepotPrice!$A$10:$A$52=I223)*(M_DepotPrice!$H$10:$H$52=IFERROR(INDEX(M_Depot!$A$7:$A$24,MATCH(F223,M_Depot!$B$7:$B$24,0)),""))*(M_DepotPrice!$G$10:$G$52="Special"),0)),INDEX(M_DepotPrice!$C$10:$C$52,MATCH(1,(M_DepotPrice!$A$10:$A$52=I223)*(M_DepotPrice!$G$10:$G$52="Default"),0)))</f>
        <v>3559</v>
      </c>
      <c r="N223" s="67">
        <f t="shared" si="7"/>
        <v>46195.82</v>
      </c>
      <c r="O223" s="66" t="str">
        <f t="shared" si="6"/>
        <v>MOS100180|KD001|CK6-986</v>
      </c>
    </row>
    <row r="224" spans="1:15" ht="15" customHeight="1" x14ac:dyDescent="0.3">
      <c r="A224" s="70" t="s">
        <v>899</v>
      </c>
      <c r="B224" s="70" t="s">
        <v>548</v>
      </c>
      <c r="C224" s="72">
        <v>46179</v>
      </c>
      <c r="D224" s="73" t="s">
        <v>421</v>
      </c>
      <c r="E224" s="76" t="str">
        <f>IFERROR(INDEX(M_User!$A$12:$J$67,MATCH(D224,M_User!$D$12:$D$67,0),3),"UNMAPPED")</f>
        <v>Deodat Francis Materu</v>
      </c>
      <c r="F224" s="75" t="str">
        <f>IFERROR(INDEX(M_User!$A$12:$J$67,MATCH(D224,M_User!$D$12:$D$67,0),5),"UNMAPPED")</f>
        <v>MOS</v>
      </c>
      <c r="G224" s="73" t="s">
        <v>756</v>
      </c>
      <c r="H224" s="92" t="s">
        <v>757</v>
      </c>
      <c r="I224" s="73" t="s">
        <v>242</v>
      </c>
      <c r="J224" s="76" t="str">
        <f>IFERROR(INDEX(M_SKU!$A$18:$J$57,MATCH(I224,M_SKU!$B$18:$B$57,0),1),"UNKNOWN SKU")</f>
        <v>Stoney Tangawizi Pet 500 ml ( x12)</v>
      </c>
      <c r="K224" s="73" t="s">
        <v>525</v>
      </c>
      <c r="L224" s="276">
        <v>1</v>
      </c>
      <c r="M224" s="94" cm="1">
        <f t="array" ref="M224">IFERROR(INDEX(M_DepotPrice!$C$10:$C$52,MATCH(1,(M_DepotPrice!$A$10:$A$52=I224)*(M_DepotPrice!$H$10:$H$52=IFERROR(INDEX(M_Depot!$A$7:$A$24,MATCH(F224,M_Depot!$B$7:$B$24,0)),""))*(M_DepotPrice!$G$10:$G$52="Special"),0)),INDEX(M_DepotPrice!$C$10:$C$52,MATCH(1,(M_DepotPrice!$A$10:$A$52=I224)*(M_DepotPrice!$G$10:$G$52="Default"),0)))</f>
        <v>8898</v>
      </c>
      <c r="N224" s="95">
        <f t="shared" si="7"/>
        <v>10499.64</v>
      </c>
      <c r="O224" s="82" t="str">
        <f t="shared" si="6"/>
        <v>MOS100180|PH007|CK6-33375</v>
      </c>
    </row>
    <row r="225" spans="1:15" ht="15" customHeight="1" x14ac:dyDescent="0.3">
      <c r="A225" s="60" t="s">
        <v>900</v>
      </c>
      <c r="B225" s="60" t="s">
        <v>548</v>
      </c>
      <c r="C225" s="62">
        <v>46179</v>
      </c>
      <c r="D225" s="63" t="s">
        <v>421</v>
      </c>
      <c r="E225" s="66" t="str">
        <f>IFERROR(INDEX(M_User!$A$12:$J$67,MATCH(D225,M_User!$D$12:$D$67,0),3),"UNMAPPED")</f>
        <v>Deodat Francis Materu</v>
      </c>
      <c r="F225" s="65" t="str">
        <f>IFERROR(INDEX(M_User!$A$12:$J$67,MATCH(D225,M_User!$D$12:$D$67,0),5),"UNMAPPED")</f>
        <v>MOS</v>
      </c>
      <c r="G225" s="63" t="s">
        <v>756</v>
      </c>
      <c r="H225" s="69" t="s">
        <v>757</v>
      </c>
      <c r="I225" s="63" t="s">
        <v>244</v>
      </c>
      <c r="J225" s="66" t="str">
        <f>IFERROR(INDEX(M_SKU!$A$18:$J$57,MATCH(I225,M_SKU!$B$18:$B$57,0),1),"UNKNOWN SKU")</f>
        <v>Sparletta Pinenut Pet 500 ml ( x12)</v>
      </c>
      <c r="K225" s="63" t="s">
        <v>526</v>
      </c>
      <c r="L225" s="276">
        <v>2</v>
      </c>
      <c r="M225" s="91" cm="1">
        <f t="array" ref="M225">IFERROR(INDEX(M_DepotPrice!$C$10:$C$52,MATCH(1,(M_DepotPrice!$A$10:$A$52=I225)*(M_DepotPrice!$H$10:$H$52=IFERROR(INDEX(M_Depot!$A$7:$A$24,MATCH(F225,M_Depot!$B$7:$B$24,0)),""))*(M_DepotPrice!$G$10:$G$52="Special"),0)),INDEX(M_DepotPrice!$C$10:$C$52,MATCH(1,(M_DepotPrice!$A$10:$A$52=I225)*(M_DepotPrice!$G$10:$G$52="Default"),0)))</f>
        <v>8898</v>
      </c>
      <c r="N225" s="67">
        <f t="shared" si="7"/>
        <v>20999.279999999999</v>
      </c>
      <c r="O225" s="66" t="str">
        <f t="shared" si="6"/>
        <v>MOS100180|PH008|CK5-33370</v>
      </c>
    </row>
    <row r="226" spans="1:15" ht="15" customHeight="1" x14ac:dyDescent="0.3">
      <c r="A226" s="70" t="s">
        <v>901</v>
      </c>
      <c r="B226" s="70" t="s">
        <v>548</v>
      </c>
      <c r="C226" s="72">
        <v>46179</v>
      </c>
      <c r="D226" s="73" t="s">
        <v>421</v>
      </c>
      <c r="E226" s="76" t="str">
        <f>IFERROR(INDEX(M_User!$A$12:$J$67,MATCH(D226,M_User!$D$12:$D$67,0),3),"UNMAPPED")</f>
        <v>Deodat Francis Materu</v>
      </c>
      <c r="F226" s="75" t="str">
        <f>IFERROR(INDEX(M_User!$A$12:$J$67,MATCH(D226,M_User!$D$12:$D$67,0),5),"UNMAPPED")</f>
        <v>MOS</v>
      </c>
      <c r="G226" s="73" t="s">
        <v>756</v>
      </c>
      <c r="H226" s="92" t="s">
        <v>757</v>
      </c>
      <c r="I226" s="73" t="s">
        <v>252</v>
      </c>
      <c r="J226" s="76" t="str">
        <f>IFERROR(INDEX(M_SKU!$A$18:$J$57,MATCH(I226,M_SKU!$B$18:$B$57,0),1),"UNKNOWN SKU")</f>
        <v>Sprite Zero Pet 300ML (x 12)</v>
      </c>
      <c r="K226" s="73" t="s">
        <v>545</v>
      </c>
      <c r="L226" s="276">
        <v>1</v>
      </c>
      <c r="M226" s="94" cm="1">
        <f t="array" ref="M226">IFERROR(INDEX(M_DepotPrice!$C$10:$C$52,MATCH(1,(M_DepotPrice!$A$10:$A$52=I226)*(M_DepotPrice!$H$10:$H$52=IFERROR(INDEX(M_Depot!$A$7:$A$24,MATCH(F226,M_Depot!$B$7:$B$24,0)),""))*(M_DepotPrice!$G$10:$G$52="Special"),0)),INDEX(M_DepotPrice!$C$10:$C$52,MATCH(1,(M_DepotPrice!$A$10:$A$52=I226)*(M_DepotPrice!$G$10:$G$52="Default"),0)))</f>
        <v>5085</v>
      </c>
      <c r="N226" s="95">
        <f t="shared" si="7"/>
        <v>6000.2999999999993</v>
      </c>
      <c r="O226" s="82" t="str">
        <f t="shared" si="6"/>
        <v>MOS100180|PO010|CK5-33360</v>
      </c>
    </row>
    <row r="227" spans="1:15" ht="15" customHeight="1" x14ac:dyDescent="0.3">
      <c r="A227" s="60" t="s">
        <v>902</v>
      </c>
      <c r="B227" s="60" t="s">
        <v>548</v>
      </c>
      <c r="C227" s="62">
        <v>46179</v>
      </c>
      <c r="D227" s="63" t="s">
        <v>421</v>
      </c>
      <c r="E227" s="66" t="str">
        <f>IFERROR(INDEX(M_User!$A$12:$J$67,MATCH(D227,M_User!$D$12:$D$67,0),3),"UNMAPPED")</f>
        <v>Deodat Francis Materu</v>
      </c>
      <c r="F227" s="65" t="str">
        <f>IFERROR(INDEX(M_User!$A$12:$J$67,MATCH(D227,M_User!$D$12:$D$67,0),5),"UNMAPPED")</f>
        <v>MOS</v>
      </c>
      <c r="G227" s="63" t="s">
        <v>756</v>
      </c>
      <c r="H227" s="69" t="s">
        <v>757</v>
      </c>
      <c r="I227" s="63" t="s">
        <v>261</v>
      </c>
      <c r="J227" s="66" t="str">
        <f>IFERROR(INDEX(M_SKU!$A$18:$J$57,MATCH(I227,M_SKU!$B$18:$B$57,0),1),"UNKNOWN SKU")</f>
        <v>Sparletta Pine Apple Pet 300ML (x 12)</v>
      </c>
      <c r="K227" s="63" t="s">
        <v>547</v>
      </c>
      <c r="L227" s="276">
        <v>2</v>
      </c>
      <c r="M227" s="91" cm="1">
        <f t="array" ref="M227">IFERROR(INDEX(M_DepotPrice!$C$10:$C$52,MATCH(1,(M_DepotPrice!$A$10:$A$52=I227)*(M_DepotPrice!$H$10:$H$52=IFERROR(INDEX(M_Depot!$A$7:$A$24,MATCH(F227,M_Depot!$B$7:$B$24,0)),""))*(M_DepotPrice!$G$10:$G$52="Special"),0)),INDEX(M_DepotPrice!$C$10:$C$52,MATCH(1,(M_DepotPrice!$A$10:$A$52=I227)*(M_DepotPrice!$G$10:$G$52="Default"),0)))</f>
        <v>5085</v>
      </c>
      <c r="N227" s="67">
        <f t="shared" si="7"/>
        <v>12000.599999999999</v>
      </c>
      <c r="O227" s="66" t="str">
        <f t="shared" si="6"/>
        <v>MOS100180|PO015|CK5-33366</v>
      </c>
    </row>
    <row r="228" spans="1:15" ht="15" customHeight="1" x14ac:dyDescent="0.3">
      <c r="A228" s="70" t="s">
        <v>903</v>
      </c>
      <c r="B228" s="70" t="s">
        <v>548</v>
      </c>
      <c r="C228" s="72">
        <v>46179</v>
      </c>
      <c r="D228" s="73" t="s">
        <v>421</v>
      </c>
      <c r="E228" s="76" t="str">
        <f>IFERROR(INDEX(M_User!$A$12:$J$67,MATCH(D228,M_User!$D$12:$D$67,0),3),"UNMAPPED")</f>
        <v>Deodat Francis Materu</v>
      </c>
      <c r="F228" s="75" t="str">
        <f>IFERROR(INDEX(M_User!$A$12:$J$67,MATCH(D228,M_User!$D$12:$D$67,0),5),"UNMAPPED")</f>
        <v>MOS</v>
      </c>
      <c r="G228" s="73" t="s">
        <v>904</v>
      </c>
      <c r="H228" s="92" t="s">
        <v>905</v>
      </c>
      <c r="I228" s="73" t="s">
        <v>170</v>
      </c>
      <c r="J228" s="76" t="str">
        <f>IFERROR(INDEX(M_SKU!$A$18:$J$57,MATCH(I228,M_SKU!$B$18:$B$57,0),1),"UNKNOWN SKU")</f>
        <v>Coke RGB 350ml</v>
      </c>
      <c r="K228" s="73" t="s">
        <v>530</v>
      </c>
      <c r="L228" s="276">
        <v>30.443733714407099</v>
      </c>
      <c r="M228" s="94" cm="1">
        <f t="array" ref="M228">IFERROR(INDEX(M_DepotPrice!$C$10:$C$52,MATCH(1,(M_DepotPrice!$A$10:$A$52=I228)*(M_DepotPrice!$H$10:$H$52=IFERROR(INDEX(M_Depot!$A$7:$A$24,MATCH(F228,M_Depot!$B$7:$B$24,0)),""))*(M_DepotPrice!$G$10:$G$52="Special"),0)),INDEX(M_DepotPrice!$C$10:$C$52,MATCH(1,(M_DepotPrice!$A$10:$A$52=I228)*(M_DepotPrice!$G$10:$G$52="Default"),0)))</f>
        <v>11780</v>
      </c>
      <c r="N228" s="95">
        <f t="shared" si="7"/>
        <v>423180.07612374442</v>
      </c>
      <c r="O228" s="82" t="str">
        <f t="shared" si="6"/>
        <v>MOS100180|FG001|CK3-33409</v>
      </c>
    </row>
    <row r="229" spans="1:15" ht="15" customHeight="1" x14ac:dyDescent="0.3">
      <c r="A229" s="60" t="s">
        <v>906</v>
      </c>
      <c r="B229" s="60" t="s">
        <v>548</v>
      </c>
      <c r="C229" s="62">
        <v>46179</v>
      </c>
      <c r="D229" s="63" t="s">
        <v>421</v>
      </c>
      <c r="E229" s="66" t="str">
        <f>IFERROR(INDEX(M_User!$A$12:$J$67,MATCH(D229,M_User!$D$12:$D$67,0),3),"UNMAPPED")</f>
        <v>Deodat Francis Materu</v>
      </c>
      <c r="F229" s="65" t="str">
        <f>IFERROR(INDEX(M_User!$A$12:$J$67,MATCH(D229,M_User!$D$12:$D$67,0),5),"UNMAPPED")</f>
        <v>MOS</v>
      </c>
      <c r="G229" s="63" t="s">
        <v>904</v>
      </c>
      <c r="H229" s="69" t="s">
        <v>905</v>
      </c>
      <c r="I229" s="63" t="s">
        <v>178</v>
      </c>
      <c r="J229" s="66" t="str">
        <f>IFERROR(INDEX(M_SKU!$A$18:$J$57,MATCH(I229,M_SKU!$B$18:$B$57,0),1),"UNKNOWN SKU")</f>
        <v>Fanta Orange RGB 350ml</v>
      </c>
      <c r="K229" s="63" t="s">
        <v>531</v>
      </c>
      <c r="L229" s="276">
        <v>6.1012000000000004</v>
      </c>
      <c r="M229" s="91" cm="1">
        <f t="array" ref="M229">IFERROR(INDEX(M_DepotPrice!$C$10:$C$52,MATCH(1,(M_DepotPrice!$A$10:$A$52=I229)*(M_DepotPrice!$H$10:$H$52=IFERROR(INDEX(M_Depot!$A$7:$A$24,MATCH(F229,M_Depot!$B$7:$B$24,0)),""))*(M_DepotPrice!$G$10:$G$52="Special"),0)),INDEX(M_DepotPrice!$C$10:$C$52,MATCH(1,(M_DepotPrice!$A$10:$A$52=I229)*(M_DepotPrice!$G$10:$G$52="Default"),0)))</f>
        <v>11780</v>
      </c>
      <c r="N229" s="67">
        <f t="shared" si="7"/>
        <v>84809.120479999998</v>
      </c>
      <c r="O229" s="66" t="str">
        <f t="shared" si="6"/>
        <v>MOS100180|FG002|CK3-33407</v>
      </c>
    </row>
    <row r="230" spans="1:15" ht="15" customHeight="1" x14ac:dyDescent="0.3">
      <c r="A230" s="70" t="s">
        <v>907</v>
      </c>
      <c r="B230" s="70" t="s">
        <v>548</v>
      </c>
      <c r="C230" s="72">
        <v>46179</v>
      </c>
      <c r="D230" s="73" t="s">
        <v>421</v>
      </c>
      <c r="E230" s="76" t="str">
        <f>IFERROR(INDEX(M_User!$A$12:$J$67,MATCH(D230,M_User!$D$12:$D$67,0),3),"UNMAPPED")</f>
        <v>Deodat Francis Materu</v>
      </c>
      <c r="F230" s="75" t="str">
        <f>IFERROR(INDEX(M_User!$A$12:$J$67,MATCH(D230,M_User!$D$12:$D$67,0),5),"UNMAPPED")</f>
        <v>MOS</v>
      </c>
      <c r="G230" s="73" t="s">
        <v>904</v>
      </c>
      <c r="H230" s="92" t="s">
        <v>905</v>
      </c>
      <c r="I230" s="73" t="s">
        <v>181</v>
      </c>
      <c r="J230" s="76" t="str">
        <f>IFERROR(INDEX(M_SKU!$A$18:$J$57,MATCH(I230,M_SKU!$B$18:$B$57,0),1),"UNKNOWN SKU")</f>
        <v>Fanta Passion RGB 350ml</v>
      </c>
      <c r="K230" s="73" t="s">
        <v>550</v>
      </c>
      <c r="L230" s="276">
        <v>4.9009</v>
      </c>
      <c r="M230" s="94" cm="1">
        <f t="array" ref="M230">IFERROR(INDEX(M_DepotPrice!$C$10:$C$52,MATCH(1,(M_DepotPrice!$A$10:$A$52=I230)*(M_DepotPrice!$H$10:$H$52=IFERROR(INDEX(M_Depot!$A$7:$A$24,MATCH(F230,M_Depot!$B$7:$B$24,0)),""))*(M_DepotPrice!$G$10:$G$52="Special"),0)),INDEX(M_DepotPrice!$C$10:$C$52,MATCH(1,(M_DepotPrice!$A$10:$A$52=I230)*(M_DepotPrice!$G$10:$G$52="Default"),0)))</f>
        <v>11780</v>
      </c>
      <c r="N230" s="95">
        <f t="shared" si="7"/>
        <v>68124.470359999992</v>
      </c>
      <c r="O230" s="82" t="str">
        <f t="shared" si="6"/>
        <v>MOS100180|FG003|CK3-33356</v>
      </c>
    </row>
    <row r="231" spans="1:15" ht="15" customHeight="1" x14ac:dyDescent="0.3">
      <c r="A231" s="60" t="s">
        <v>908</v>
      </c>
      <c r="B231" s="60" t="s">
        <v>548</v>
      </c>
      <c r="C231" s="62">
        <v>46179</v>
      </c>
      <c r="D231" s="63" t="s">
        <v>421</v>
      </c>
      <c r="E231" s="66" t="str">
        <f>IFERROR(INDEX(M_User!$A$12:$J$67,MATCH(D231,M_User!$D$12:$D$67,0),3),"UNMAPPED")</f>
        <v>Deodat Francis Materu</v>
      </c>
      <c r="F231" s="65" t="str">
        <f>IFERROR(INDEX(M_User!$A$12:$J$67,MATCH(D231,M_User!$D$12:$D$67,0),5),"UNMAPPED")</f>
        <v>MOS</v>
      </c>
      <c r="G231" s="63" t="s">
        <v>904</v>
      </c>
      <c r="H231" s="69" t="s">
        <v>905</v>
      </c>
      <c r="I231" s="63" t="s">
        <v>187</v>
      </c>
      <c r="J231" s="66" t="str">
        <f>IFERROR(INDEX(M_SKU!$A$18:$J$57,MATCH(I231,M_SKU!$B$18:$B$57,0),1),"UNKNOWN SKU")</f>
        <v>Sprite 350ml</v>
      </c>
      <c r="K231" s="63" t="s">
        <v>535</v>
      </c>
      <c r="L231" s="276">
        <v>3.6636000000000002</v>
      </c>
      <c r="M231" s="91" cm="1">
        <f t="array" ref="M231">IFERROR(INDEX(M_DepotPrice!$C$10:$C$52,MATCH(1,(M_DepotPrice!$A$10:$A$52=I231)*(M_DepotPrice!$H$10:$H$52=IFERROR(INDEX(M_Depot!$A$7:$A$24,MATCH(F231,M_Depot!$B$7:$B$24,0)),""))*(M_DepotPrice!$G$10:$G$52="Special"),0)),INDEX(M_DepotPrice!$C$10:$C$52,MATCH(1,(M_DepotPrice!$A$10:$A$52=I231)*(M_DepotPrice!$G$10:$G$52="Default"),0)))</f>
        <v>11780</v>
      </c>
      <c r="N231" s="67">
        <f t="shared" si="7"/>
        <v>50925.505439999994</v>
      </c>
      <c r="O231" s="66" t="str">
        <f t="shared" si="6"/>
        <v>MOS100180|FG006|CK3-33414</v>
      </c>
    </row>
    <row r="232" spans="1:15" ht="15" customHeight="1" x14ac:dyDescent="0.3">
      <c r="A232" s="70" t="s">
        <v>909</v>
      </c>
      <c r="B232" s="70" t="s">
        <v>548</v>
      </c>
      <c r="C232" s="72">
        <v>46179</v>
      </c>
      <c r="D232" s="73" t="s">
        <v>421</v>
      </c>
      <c r="E232" s="76" t="str">
        <f>IFERROR(INDEX(M_User!$A$12:$J$67,MATCH(D232,M_User!$D$12:$D$67,0),3),"UNMAPPED")</f>
        <v>Deodat Francis Materu</v>
      </c>
      <c r="F232" s="75" t="str">
        <f>IFERROR(INDEX(M_User!$A$12:$J$67,MATCH(D232,M_User!$D$12:$D$67,0),5),"UNMAPPED")</f>
        <v>MOS</v>
      </c>
      <c r="G232" s="73" t="s">
        <v>904</v>
      </c>
      <c r="H232" s="92" t="s">
        <v>905</v>
      </c>
      <c r="I232" s="73" t="s">
        <v>190</v>
      </c>
      <c r="J232" s="76" t="str">
        <f>IFERROR(INDEX(M_SKU!$A$18:$J$57,MATCH(I232,M_SKU!$B$18:$B$57,0),1),"UNKNOWN SKU")</f>
        <v>Stoney Tangawizi RGB 350ml</v>
      </c>
      <c r="K232" s="73" t="s">
        <v>536</v>
      </c>
      <c r="L232" s="276">
        <v>2.0682999999999998</v>
      </c>
      <c r="M232" s="94" cm="1">
        <f t="array" ref="M232">IFERROR(INDEX(M_DepotPrice!$C$10:$C$52,MATCH(1,(M_DepotPrice!$A$10:$A$52=I232)*(M_DepotPrice!$H$10:$H$52=IFERROR(INDEX(M_Depot!$A$7:$A$24,MATCH(F232,M_Depot!$B$7:$B$24,0)),""))*(M_DepotPrice!$G$10:$G$52="Special"),0)),INDEX(M_DepotPrice!$C$10:$C$52,MATCH(1,(M_DepotPrice!$A$10:$A$52=I232)*(M_DepotPrice!$G$10:$G$52="Default"),0)))</f>
        <v>11780</v>
      </c>
      <c r="N232" s="95">
        <f t="shared" si="7"/>
        <v>28750.197319999996</v>
      </c>
      <c r="O232" s="82" t="str">
        <f t="shared" si="6"/>
        <v>MOS100180|FG007|CK3-33404</v>
      </c>
    </row>
    <row r="233" spans="1:15" ht="15" customHeight="1" x14ac:dyDescent="0.3">
      <c r="A233" s="60" t="s">
        <v>910</v>
      </c>
      <c r="B233" s="60" t="s">
        <v>548</v>
      </c>
      <c r="C233" s="62">
        <v>46179</v>
      </c>
      <c r="D233" s="63" t="s">
        <v>421</v>
      </c>
      <c r="E233" s="66" t="str">
        <f>IFERROR(INDEX(M_User!$A$12:$J$67,MATCH(D233,M_User!$D$12:$D$67,0),3),"UNMAPPED")</f>
        <v>Deodat Francis Materu</v>
      </c>
      <c r="F233" s="65" t="str">
        <f>IFERROR(INDEX(M_User!$A$12:$J$67,MATCH(D233,M_User!$D$12:$D$67,0),5),"UNMAPPED")</f>
        <v>MOS</v>
      </c>
      <c r="G233" s="63" t="s">
        <v>904</v>
      </c>
      <c r="H233" s="69" t="s">
        <v>905</v>
      </c>
      <c r="I233" s="63" t="s">
        <v>193</v>
      </c>
      <c r="J233" s="66" t="str">
        <f>IFERROR(INDEX(M_SKU!$A$18:$J$57,MATCH(I233,M_SKU!$B$18:$B$57,0),1),"UNKNOWN SKU")</f>
        <v>Sparletta Pinenut RGB 350ml</v>
      </c>
      <c r="K233" s="63" t="s">
        <v>537</v>
      </c>
      <c r="L233" s="276">
        <v>1.1338999999999999</v>
      </c>
      <c r="M233" s="91" cm="1">
        <f t="array" ref="M233">IFERROR(INDEX(M_DepotPrice!$C$10:$C$52,MATCH(1,(M_DepotPrice!$A$10:$A$52=I233)*(M_DepotPrice!$H$10:$H$52=IFERROR(INDEX(M_Depot!$A$7:$A$24,MATCH(F233,M_Depot!$B$7:$B$24,0)),""))*(M_DepotPrice!$G$10:$G$52="Special"),0)),INDEX(M_DepotPrice!$C$10:$C$52,MATCH(1,(M_DepotPrice!$A$10:$A$52=I233)*(M_DepotPrice!$G$10:$G$52="Default"),0)))</f>
        <v>11780</v>
      </c>
      <c r="N233" s="67">
        <f t="shared" si="7"/>
        <v>15761.663559999997</v>
      </c>
      <c r="O233" s="66" t="str">
        <f t="shared" si="6"/>
        <v>MOS100180|FG008|CK3-33365</v>
      </c>
    </row>
    <row r="234" spans="1:15" ht="15" customHeight="1" x14ac:dyDescent="0.3">
      <c r="A234" s="70" t="s">
        <v>911</v>
      </c>
      <c r="B234" s="70" t="s">
        <v>548</v>
      </c>
      <c r="C234" s="72">
        <v>46179</v>
      </c>
      <c r="D234" s="73" t="s">
        <v>421</v>
      </c>
      <c r="E234" s="76" t="str">
        <f>IFERROR(INDEX(M_User!$A$12:$J$67,MATCH(D234,M_User!$D$12:$D$67,0),3),"UNMAPPED")</f>
        <v>Deodat Francis Materu</v>
      </c>
      <c r="F234" s="75" t="str">
        <f>IFERROR(INDEX(M_User!$A$12:$J$67,MATCH(D234,M_User!$D$12:$D$67,0),5),"UNMAPPED")</f>
        <v>MOS</v>
      </c>
      <c r="G234" s="73" t="s">
        <v>904</v>
      </c>
      <c r="H234" s="92" t="s">
        <v>905</v>
      </c>
      <c r="I234" s="73" t="s">
        <v>199</v>
      </c>
      <c r="J234" s="76" t="str">
        <f>IFERROR(INDEX(M_SKU!$A$18:$J$57,MATCH(I234,M_SKU!$B$18:$B$57,0),1),"UNKNOWN SKU")</f>
        <v>Krest Club Soda RGB 300ml</v>
      </c>
      <c r="K234" s="73" t="s">
        <v>539</v>
      </c>
      <c r="L234" s="276">
        <v>0.65310000000000001</v>
      </c>
      <c r="M234" s="94" cm="1">
        <f t="array" ref="M234">IFERROR(INDEX(M_DepotPrice!$C$10:$C$52,MATCH(1,(M_DepotPrice!$A$10:$A$52=I234)*(M_DepotPrice!$H$10:$H$52=IFERROR(INDEX(M_Depot!$A$7:$A$24,MATCH(F234,M_Depot!$B$7:$B$24,0)),""))*(M_DepotPrice!$G$10:$G$52="Special"),0)),INDEX(M_DepotPrice!$C$10:$C$52,MATCH(1,(M_DepotPrice!$A$10:$A$52=I234)*(M_DepotPrice!$G$10:$G$52="Default"),0)))</f>
        <v>11780</v>
      </c>
      <c r="N234" s="95">
        <f t="shared" si="7"/>
        <v>9078.35124</v>
      </c>
      <c r="O234" s="82" t="str">
        <f t="shared" si="6"/>
        <v>MOS100180|FG010|CK3-33301</v>
      </c>
    </row>
    <row r="235" spans="1:15" ht="15" customHeight="1" x14ac:dyDescent="0.3">
      <c r="A235" s="60" t="s">
        <v>912</v>
      </c>
      <c r="B235" s="60" t="s">
        <v>548</v>
      </c>
      <c r="C235" s="62">
        <v>46179</v>
      </c>
      <c r="D235" s="63" t="s">
        <v>421</v>
      </c>
      <c r="E235" s="66" t="str">
        <f>IFERROR(INDEX(M_User!$A$12:$J$67,MATCH(D235,M_User!$D$12:$D$67,0),3),"UNMAPPED")</f>
        <v>Deodat Francis Materu</v>
      </c>
      <c r="F235" s="65" t="str">
        <f>IFERROR(INDEX(M_User!$A$12:$J$67,MATCH(D235,M_User!$D$12:$D$67,0),5),"UNMAPPED")</f>
        <v>MOS</v>
      </c>
      <c r="G235" s="63" t="s">
        <v>904</v>
      </c>
      <c r="H235" s="69" t="s">
        <v>905</v>
      </c>
      <c r="I235" s="63" t="s">
        <v>201</v>
      </c>
      <c r="J235" s="66" t="str">
        <f>IFERROR(INDEX(M_SKU!$A$18:$J$57,MATCH(I235,M_SKU!$B$18:$B$57,0),1),"UNKNOWN SKU")</f>
        <v>Krest Tonic Water RGB 300ml</v>
      </c>
      <c r="K235" s="63" t="s">
        <v>540</v>
      </c>
      <c r="L235" s="276">
        <v>0.89757747013576095</v>
      </c>
      <c r="M235" s="91" cm="1">
        <f t="array" ref="M235">IFERROR(INDEX(M_DepotPrice!$C$10:$C$52,MATCH(1,(M_DepotPrice!$A$10:$A$52=I235)*(M_DepotPrice!$H$10:$H$52=IFERROR(INDEX(M_Depot!$A$7:$A$24,MATCH(F235,M_Depot!$B$7:$B$24,0)),""))*(M_DepotPrice!$G$10:$G$52="Special"),0)),INDEX(M_DepotPrice!$C$10:$C$52,MATCH(1,(M_DepotPrice!$A$10:$A$52=I235)*(M_DepotPrice!$G$10:$G$52="Default"),0)))</f>
        <v>11780</v>
      </c>
      <c r="N235" s="67">
        <f t="shared" si="7"/>
        <v>12476.68586587513</v>
      </c>
      <c r="O235" s="66" t="str">
        <f t="shared" si="6"/>
        <v>MOS100180|FG011|CK3-33347</v>
      </c>
    </row>
    <row r="236" spans="1:15" ht="15" customHeight="1" x14ac:dyDescent="0.3">
      <c r="A236" s="70" t="s">
        <v>913</v>
      </c>
      <c r="B236" s="70" t="s">
        <v>548</v>
      </c>
      <c r="C236" s="72">
        <v>46179</v>
      </c>
      <c r="D236" s="73" t="s">
        <v>421</v>
      </c>
      <c r="E236" s="76" t="str">
        <f>IFERROR(INDEX(M_User!$A$12:$J$67,MATCH(D236,M_User!$D$12:$D$67,0),3),"UNMAPPED")</f>
        <v>Deodat Francis Materu</v>
      </c>
      <c r="F236" s="75" t="str">
        <f>IFERROR(INDEX(M_User!$A$12:$J$67,MATCH(D236,M_User!$D$12:$D$67,0),5),"UNMAPPED")</f>
        <v>MOS</v>
      </c>
      <c r="G236" s="73" t="s">
        <v>904</v>
      </c>
      <c r="H236" s="92" t="s">
        <v>905</v>
      </c>
      <c r="I236" s="73" t="s">
        <v>203</v>
      </c>
      <c r="J236" s="76" t="str">
        <f>IFERROR(INDEX(M_SKU!$A$18:$J$57,MATCH(I236,M_SKU!$B$18:$B$57,0),1),"UNKNOWN SKU")</f>
        <v>Krest Ginger Ale RGB 300ml</v>
      </c>
      <c r="K236" s="73" t="s">
        <v>541</v>
      </c>
      <c r="L236" s="276">
        <v>0.62184660244643397</v>
      </c>
      <c r="M236" s="94" cm="1">
        <f t="array" ref="M236">IFERROR(INDEX(M_DepotPrice!$C$10:$C$52,MATCH(1,(M_DepotPrice!$A$10:$A$52=I236)*(M_DepotPrice!$H$10:$H$52=IFERROR(INDEX(M_Depot!$A$7:$A$24,MATCH(F236,M_Depot!$B$7:$B$24,0)),""))*(M_DepotPrice!$G$10:$G$52="Special"),0)),INDEX(M_DepotPrice!$C$10:$C$52,MATCH(1,(M_DepotPrice!$A$10:$A$52=I236)*(M_DepotPrice!$G$10:$G$52="Default"),0)))</f>
        <v>11780</v>
      </c>
      <c r="N236" s="95">
        <f t="shared" si="7"/>
        <v>8643.9165126464104</v>
      </c>
      <c r="O236" s="82" t="str">
        <f t="shared" si="6"/>
        <v>MOS100180|FG012|CK3-33126</v>
      </c>
    </row>
    <row r="237" spans="1:15" ht="15" customHeight="1" x14ac:dyDescent="0.3">
      <c r="A237" s="60" t="s">
        <v>914</v>
      </c>
      <c r="B237" s="60" t="s">
        <v>548</v>
      </c>
      <c r="C237" s="62">
        <v>46179</v>
      </c>
      <c r="D237" s="63" t="s">
        <v>421</v>
      </c>
      <c r="E237" s="66" t="str">
        <f>IFERROR(INDEX(M_User!$A$12:$J$67,MATCH(D237,M_User!$D$12:$D$67,0),3),"UNMAPPED")</f>
        <v>Deodat Francis Materu</v>
      </c>
      <c r="F237" s="65" t="str">
        <f>IFERROR(INDEX(M_User!$A$12:$J$67,MATCH(D237,M_User!$D$12:$D$67,0),5),"UNMAPPED")</f>
        <v>MOS</v>
      </c>
      <c r="G237" s="63" t="s">
        <v>904</v>
      </c>
      <c r="H237" s="69" t="s">
        <v>905</v>
      </c>
      <c r="I237" s="63" t="s">
        <v>229</v>
      </c>
      <c r="J237" s="66" t="str">
        <f>IFERROR(INDEX(M_SKU!$A$18:$J$57,MATCH(I237,M_SKU!$B$18:$B$57,0),1),"UNKNOWN SKU")</f>
        <v>Coke Pet 500ML ( x12)</v>
      </c>
      <c r="K237" s="63" t="s">
        <v>520</v>
      </c>
      <c r="L237" s="276">
        <v>28</v>
      </c>
      <c r="M237" s="91" cm="1">
        <f t="array" ref="M237">IFERROR(INDEX(M_DepotPrice!$C$10:$C$52,MATCH(1,(M_DepotPrice!$A$10:$A$52=I237)*(M_DepotPrice!$H$10:$H$52=IFERROR(INDEX(M_Depot!$A$7:$A$24,MATCH(F237,M_Depot!$B$7:$B$24,0)),""))*(M_DepotPrice!$G$10:$G$52="Special"),0)),INDEX(M_DepotPrice!$C$10:$C$52,MATCH(1,(M_DepotPrice!$A$10:$A$52=I237)*(M_DepotPrice!$G$10:$G$52="Default"),0)))</f>
        <v>8898</v>
      </c>
      <c r="N237" s="67">
        <f t="shared" si="7"/>
        <v>293989.92</v>
      </c>
      <c r="O237" s="66" t="str">
        <f t="shared" si="6"/>
        <v>MOS100180|PH001|CK6-33411</v>
      </c>
    </row>
    <row r="238" spans="1:15" ht="15" customHeight="1" x14ac:dyDescent="0.3">
      <c r="A238" s="70" t="s">
        <v>915</v>
      </c>
      <c r="B238" s="70" t="s">
        <v>548</v>
      </c>
      <c r="C238" s="72">
        <v>46179</v>
      </c>
      <c r="D238" s="73" t="s">
        <v>421</v>
      </c>
      <c r="E238" s="76" t="str">
        <f>IFERROR(INDEX(M_User!$A$12:$J$67,MATCH(D238,M_User!$D$12:$D$67,0),3),"UNMAPPED")</f>
        <v>Deodat Francis Materu</v>
      </c>
      <c r="F238" s="75" t="str">
        <f>IFERROR(INDEX(M_User!$A$12:$J$67,MATCH(D238,M_User!$D$12:$D$67,0),5),"UNMAPPED")</f>
        <v>MOS</v>
      </c>
      <c r="G238" s="73" t="s">
        <v>904</v>
      </c>
      <c r="H238" s="92" t="s">
        <v>905</v>
      </c>
      <c r="I238" s="73" t="s">
        <v>232</v>
      </c>
      <c r="J238" s="76" t="str">
        <f>IFERROR(INDEX(M_SKU!$A$18:$J$57,MATCH(I238,M_SKU!$B$18:$B$57,0),1),"UNKNOWN SKU")</f>
        <v>Sprite Pet 500ML (x 12)</v>
      </c>
      <c r="K238" s="73" t="s">
        <v>522</v>
      </c>
      <c r="L238" s="276">
        <v>8</v>
      </c>
      <c r="M238" s="94" cm="1">
        <f t="array" ref="M238">IFERROR(INDEX(M_DepotPrice!$C$10:$C$52,MATCH(1,(M_DepotPrice!$A$10:$A$52=I238)*(M_DepotPrice!$H$10:$H$52=IFERROR(INDEX(M_Depot!$A$7:$A$24,MATCH(F238,M_Depot!$B$7:$B$24,0)),""))*(M_DepotPrice!$G$10:$G$52="Special"),0)),INDEX(M_DepotPrice!$C$10:$C$52,MATCH(1,(M_DepotPrice!$A$10:$A$52=I238)*(M_DepotPrice!$G$10:$G$52="Default"),0)))</f>
        <v>8898</v>
      </c>
      <c r="N238" s="95">
        <f t="shared" si="7"/>
        <v>83997.119999999995</v>
      </c>
      <c r="O238" s="82" t="str">
        <f t="shared" si="6"/>
        <v>MOS100180|PH002|CK6-33362</v>
      </c>
    </row>
    <row r="239" spans="1:15" ht="15" customHeight="1" x14ac:dyDescent="0.3">
      <c r="A239" s="60" t="s">
        <v>916</v>
      </c>
      <c r="B239" s="60" t="s">
        <v>548</v>
      </c>
      <c r="C239" s="62">
        <v>46179</v>
      </c>
      <c r="D239" s="63" t="s">
        <v>421</v>
      </c>
      <c r="E239" s="66" t="str">
        <f>IFERROR(INDEX(M_User!$A$12:$J$67,MATCH(D239,M_User!$D$12:$D$67,0),3),"UNMAPPED")</f>
        <v>Deodat Francis Materu</v>
      </c>
      <c r="F239" s="65" t="str">
        <f>IFERROR(INDEX(M_User!$A$12:$J$67,MATCH(D239,M_User!$D$12:$D$67,0),5),"UNMAPPED")</f>
        <v>MOS</v>
      </c>
      <c r="G239" s="63" t="s">
        <v>904</v>
      </c>
      <c r="H239" s="69" t="s">
        <v>905</v>
      </c>
      <c r="I239" s="63" t="s">
        <v>234</v>
      </c>
      <c r="J239" s="66" t="str">
        <f>IFERROR(INDEX(M_SKU!$A$18:$J$57,MATCH(I239,M_SKU!$B$18:$B$57,0),1),"UNKNOWN SKU")</f>
        <v>Fanta Orange Pet 500ML ( x 12)</v>
      </c>
      <c r="K239" s="63" t="s">
        <v>523</v>
      </c>
      <c r="L239" s="276">
        <v>5</v>
      </c>
      <c r="M239" s="91" cm="1">
        <f t="array" ref="M239">IFERROR(INDEX(M_DepotPrice!$C$10:$C$52,MATCH(1,(M_DepotPrice!$A$10:$A$52=I239)*(M_DepotPrice!$H$10:$H$52=IFERROR(INDEX(M_Depot!$A$7:$A$24,MATCH(F239,M_Depot!$B$7:$B$24,0)),""))*(M_DepotPrice!$G$10:$G$52="Special"),0)),INDEX(M_DepotPrice!$C$10:$C$52,MATCH(1,(M_DepotPrice!$A$10:$A$52=I239)*(M_DepotPrice!$G$10:$G$52="Default"),0)))</f>
        <v>8898</v>
      </c>
      <c r="N239" s="67">
        <f t="shared" si="7"/>
        <v>52498.2</v>
      </c>
      <c r="O239" s="66" t="str">
        <f t="shared" si="6"/>
        <v>MOS100180|PH003|CK6-33405</v>
      </c>
    </row>
    <row r="240" spans="1:15" ht="15" customHeight="1" x14ac:dyDescent="0.3">
      <c r="A240" s="70" t="s">
        <v>917</v>
      </c>
      <c r="B240" s="70" t="s">
        <v>548</v>
      </c>
      <c r="C240" s="72">
        <v>46179</v>
      </c>
      <c r="D240" s="73" t="s">
        <v>421</v>
      </c>
      <c r="E240" s="76" t="str">
        <f>IFERROR(INDEX(M_User!$A$12:$J$67,MATCH(D240,M_User!$D$12:$D$67,0),3),"UNMAPPED")</f>
        <v>Deodat Francis Materu</v>
      </c>
      <c r="F240" s="75" t="str">
        <f>IFERROR(INDEX(M_User!$A$12:$J$67,MATCH(D240,M_User!$D$12:$D$67,0),5),"UNMAPPED")</f>
        <v>MOS</v>
      </c>
      <c r="G240" s="73" t="s">
        <v>904</v>
      </c>
      <c r="H240" s="92" t="s">
        <v>905</v>
      </c>
      <c r="I240" s="73" t="s">
        <v>252</v>
      </c>
      <c r="J240" s="76" t="str">
        <f>IFERROR(INDEX(M_SKU!$A$18:$J$57,MATCH(I240,M_SKU!$B$18:$B$57,0),1),"UNKNOWN SKU")</f>
        <v>Sprite Zero Pet 300ML (x 12)</v>
      </c>
      <c r="K240" s="73" t="s">
        <v>545</v>
      </c>
      <c r="L240" s="276">
        <v>1</v>
      </c>
      <c r="M240" s="94" cm="1">
        <f t="array" ref="M240">IFERROR(INDEX(M_DepotPrice!$C$10:$C$52,MATCH(1,(M_DepotPrice!$A$10:$A$52=I240)*(M_DepotPrice!$H$10:$H$52=IFERROR(INDEX(M_Depot!$A$7:$A$24,MATCH(F240,M_Depot!$B$7:$B$24,0)),""))*(M_DepotPrice!$G$10:$G$52="Special"),0)),INDEX(M_DepotPrice!$C$10:$C$52,MATCH(1,(M_DepotPrice!$A$10:$A$52=I240)*(M_DepotPrice!$G$10:$G$52="Default"),0)))</f>
        <v>5085</v>
      </c>
      <c r="N240" s="95">
        <f t="shared" si="7"/>
        <v>6000.2999999999993</v>
      </c>
      <c r="O240" s="82" t="str">
        <f t="shared" si="6"/>
        <v>MOS100180|PO010|CK5-33360</v>
      </c>
    </row>
    <row r="241" spans="1:15" ht="15" customHeight="1" x14ac:dyDescent="0.3">
      <c r="A241" s="60" t="s">
        <v>918</v>
      </c>
      <c r="B241" s="60" t="s">
        <v>548</v>
      </c>
      <c r="C241" s="62">
        <v>46179</v>
      </c>
      <c r="D241" s="63" t="s">
        <v>421</v>
      </c>
      <c r="E241" s="66" t="str">
        <f>IFERROR(INDEX(M_User!$A$12:$J$67,MATCH(D241,M_User!$D$12:$D$67,0),3),"UNMAPPED")</f>
        <v>Deodat Francis Materu</v>
      </c>
      <c r="F241" s="65" t="str">
        <f>IFERROR(INDEX(M_User!$A$12:$J$67,MATCH(D241,M_User!$D$12:$D$67,0),5),"UNMAPPED")</f>
        <v>MOS</v>
      </c>
      <c r="G241" s="63" t="s">
        <v>904</v>
      </c>
      <c r="H241" s="69" t="s">
        <v>905</v>
      </c>
      <c r="I241" s="63" t="s">
        <v>254</v>
      </c>
      <c r="J241" s="66" t="str">
        <f>IFERROR(INDEX(M_SKU!$A$18:$J$57,MATCH(I241,M_SKU!$B$18:$B$57,0),1),"UNKNOWN SKU")</f>
        <v>Fanta Zero Pet 300ML (x 12)</v>
      </c>
      <c r="K241" s="63" t="s">
        <v>546</v>
      </c>
      <c r="L241" s="276">
        <v>1</v>
      </c>
      <c r="M241" s="91" cm="1">
        <f t="array" ref="M241">IFERROR(INDEX(M_DepotPrice!$C$10:$C$52,MATCH(1,(M_DepotPrice!$A$10:$A$52=I241)*(M_DepotPrice!$H$10:$H$52=IFERROR(INDEX(M_Depot!$A$7:$A$24,MATCH(F241,M_Depot!$B$7:$B$24,0)),""))*(M_DepotPrice!$G$10:$G$52="Special"),0)),INDEX(M_DepotPrice!$C$10:$C$52,MATCH(1,(M_DepotPrice!$A$10:$A$52=I241)*(M_DepotPrice!$G$10:$G$52="Default"),0)))</f>
        <v>5085</v>
      </c>
      <c r="N241" s="67">
        <f t="shared" si="7"/>
        <v>6000.2999999999993</v>
      </c>
      <c r="O241" s="66" t="str">
        <f t="shared" si="6"/>
        <v>MOS100180|PO012|CK5-33369</v>
      </c>
    </row>
    <row r="242" spans="1:15" ht="15" customHeight="1" x14ac:dyDescent="0.3">
      <c r="A242" s="70" t="s">
        <v>919</v>
      </c>
      <c r="B242" s="70" t="s">
        <v>548</v>
      </c>
      <c r="C242" s="72">
        <v>46179</v>
      </c>
      <c r="D242" s="73" t="s">
        <v>421</v>
      </c>
      <c r="E242" s="76" t="str">
        <f>IFERROR(INDEX(M_User!$A$12:$J$67,MATCH(D242,M_User!$D$12:$D$67,0),3),"UNMAPPED")</f>
        <v>Deodat Francis Materu</v>
      </c>
      <c r="F242" s="75" t="str">
        <f>IFERROR(INDEX(M_User!$A$12:$J$67,MATCH(D242,M_User!$D$12:$D$67,0),5),"UNMAPPED")</f>
        <v>MOS</v>
      </c>
      <c r="G242" s="73" t="s">
        <v>904</v>
      </c>
      <c r="H242" s="92" t="s">
        <v>905</v>
      </c>
      <c r="I242" s="73" t="s">
        <v>256</v>
      </c>
      <c r="J242" s="76" t="str">
        <f>IFERROR(INDEX(M_SKU!$A$18:$J$57,MATCH(I242,M_SKU!$B$18:$B$57,0),1),"UNKNOWN SKU")</f>
        <v>Sparletta Red Apple Pet 300ML(x 12)</v>
      </c>
      <c r="K242" s="73" t="s">
        <v>555</v>
      </c>
      <c r="L242" s="276">
        <v>1</v>
      </c>
      <c r="M242" s="94" cm="1">
        <f t="array" ref="M242">IFERROR(INDEX(M_DepotPrice!$C$10:$C$52,MATCH(1,(M_DepotPrice!$A$10:$A$52=I242)*(M_DepotPrice!$H$10:$H$52=IFERROR(INDEX(M_Depot!$A$7:$A$24,MATCH(F242,M_Depot!$B$7:$B$24,0)),""))*(M_DepotPrice!$G$10:$G$52="Special"),0)),INDEX(M_DepotPrice!$C$10:$C$52,MATCH(1,(M_DepotPrice!$A$10:$A$52=I242)*(M_DepotPrice!$G$10:$G$52="Default"),0)))</f>
        <v>5085</v>
      </c>
      <c r="N242" s="95">
        <f t="shared" si="7"/>
        <v>6000.2999999999993</v>
      </c>
      <c r="O242" s="82" t="str">
        <f t="shared" si="6"/>
        <v>MOS100180|PO013|CK5-33368</v>
      </c>
    </row>
    <row r="243" spans="1:15" ht="15" customHeight="1" x14ac:dyDescent="0.3">
      <c r="A243" s="60" t="s">
        <v>920</v>
      </c>
      <c r="B243" s="60" t="s">
        <v>548</v>
      </c>
      <c r="C243" s="62">
        <v>46179</v>
      </c>
      <c r="D243" s="63" t="s">
        <v>421</v>
      </c>
      <c r="E243" s="66" t="str">
        <f>IFERROR(INDEX(M_User!$A$12:$J$67,MATCH(D243,M_User!$D$12:$D$67,0),3),"UNMAPPED")</f>
        <v>Deodat Francis Materu</v>
      </c>
      <c r="F243" s="65" t="str">
        <f>IFERROR(INDEX(M_User!$A$12:$J$67,MATCH(D243,M_User!$D$12:$D$67,0),5),"UNMAPPED")</f>
        <v>MOS</v>
      </c>
      <c r="G243" s="63" t="s">
        <v>768</v>
      </c>
      <c r="H243" s="69" t="s">
        <v>769</v>
      </c>
      <c r="I243" s="63" t="s">
        <v>178</v>
      </c>
      <c r="J243" s="66" t="str">
        <f>IFERROR(INDEX(M_SKU!$A$18:$J$57,MATCH(I243,M_SKU!$B$18:$B$57,0),1),"UNKNOWN SKU")</f>
        <v>Fanta Orange RGB 350ml</v>
      </c>
      <c r="K243" s="63" t="s">
        <v>531</v>
      </c>
      <c r="L243" s="276">
        <v>4.7612261153530699</v>
      </c>
      <c r="M243" s="91" cm="1">
        <f t="array" ref="M243">IFERROR(INDEX(M_DepotPrice!$C$10:$C$52,MATCH(1,(M_DepotPrice!$A$10:$A$52=I243)*(M_DepotPrice!$H$10:$H$52=IFERROR(INDEX(M_Depot!$A$7:$A$24,MATCH(F243,M_Depot!$B$7:$B$24,0)),""))*(M_DepotPrice!$G$10:$G$52="Special"),0)),INDEX(M_DepotPrice!$C$10:$C$52,MATCH(1,(M_DepotPrice!$A$10:$A$52=I243)*(M_DepotPrice!$G$10:$G$52="Default"),0)))</f>
        <v>11780</v>
      </c>
      <c r="N243" s="67">
        <f t="shared" si="7"/>
        <v>66182.947493853819</v>
      </c>
      <c r="O243" s="66" t="str">
        <f t="shared" si="6"/>
        <v>MOS100180|FG002|CK3-33407</v>
      </c>
    </row>
    <row r="244" spans="1:15" ht="15" customHeight="1" x14ac:dyDescent="0.3">
      <c r="A244" s="70" t="s">
        <v>921</v>
      </c>
      <c r="B244" s="70" t="s">
        <v>548</v>
      </c>
      <c r="C244" s="72">
        <v>46179</v>
      </c>
      <c r="D244" s="73" t="s">
        <v>421</v>
      </c>
      <c r="E244" s="76" t="str">
        <f>IFERROR(INDEX(M_User!$A$12:$J$67,MATCH(D244,M_User!$D$12:$D$67,0),3),"UNMAPPED")</f>
        <v>Deodat Francis Materu</v>
      </c>
      <c r="F244" s="75" t="str">
        <f>IFERROR(INDEX(M_User!$A$12:$J$67,MATCH(D244,M_User!$D$12:$D$67,0),5),"UNMAPPED")</f>
        <v>MOS</v>
      </c>
      <c r="G244" s="73" t="s">
        <v>768</v>
      </c>
      <c r="H244" s="92" t="s">
        <v>769</v>
      </c>
      <c r="I244" s="73" t="s">
        <v>183</v>
      </c>
      <c r="J244" s="76" t="str">
        <f>IFERROR(INDEX(M_SKU!$A$18:$J$57,MATCH(I244,M_SKU!$B$18:$B$57,0),1),"UNKNOWN SKU")</f>
        <v>Fanta Pineapple RGB 350ml</v>
      </c>
      <c r="K244" s="73" t="s">
        <v>533</v>
      </c>
      <c r="L244" s="276">
        <v>2.2486248352354399</v>
      </c>
      <c r="M244" s="94" cm="1">
        <f t="array" ref="M244">IFERROR(INDEX(M_DepotPrice!$C$10:$C$52,MATCH(1,(M_DepotPrice!$A$10:$A$52=I244)*(M_DepotPrice!$H$10:$H$52=IFERROR(INDEX(M_Depot!$A$7:$A$24,MATCH(F244,M_Depot!$B$7:$B$24,0)),""))*(M_DepotPrice!$G$10:$G$52="Special"),0)),INDEX(M_DepotPrice!$C$10:$C$52,MATCH(1,(M_DepotPrice!$A$10:$A$52=I244)*(M_DepotPrice!$G$10:$G$52="Default"),0)))</f>
        <v>11780</v>
      </c>
      <c r="N244" s="95">
        <f t="shared" si="7"/>
        <v>31256.784659706707</v>
      </c>
      <c r="O244" s="82" t="str">
        <f t="shared" si="6"/>
        <v>MOS100180|FG004|CK3-33385</v>
      </c>
    </row>
    <row r="245" spans="1:15" ht="15" customHeight="1" x14ac:dyDescent="0.3">
      <c r="A245" s="60" t="s">
        <v>922</v>
      </c>
      <c r="B245" s="60" t="s">
        <v>548</v>
      </c>
      <c r="C245" s="62">
        <v>46179</v>
      </c>
      <c r="D245" s="63" t="s">
        <v>421</v>
      </c>
      <c r="E245" s="66" t="str">
        <f>IFERROR(INDEX(M_User!$A$12:$J$67,MATCH(D245,M_User!$D$12:$D$67,0),3),"UNMAPPED")</f>
        <v>Deodat Francis Materu</v>
      </c>
      <c r="F245" s="65" t="str">
        <f>IFERROR(INDEX(M_User!$A$12:$J$67,MATCH(D245,M_User!$D$12:$D$67,0),5),"UNMAPPED")</f>
        <v>MOS</v>
      </c>
      <c r="G245" s="63" t="s">
        <v>768</v>
      </c>
      <c r="H245" s="69" t="s">
        <v>769</v>
      </c>
      <c r="I245" s="63" t="s">
        <v>193</v>
      </c>
      <c r="J245" s="66" t="str">
        <f>IFERROR(INDEX(M_SKU!$A$18:$J$57,MATCH(I245,M_SKU!$B$18:$B$57,0),1),"UNKNOWN SKU")</f>
        <v>Sparletta Pinenut RGB 350ml</v>
      </c>
      <c r="K245" s="63" t="s">
        <v>537</v>
      </c>
      <c r="L245" s="276">
        <v>2.0183</v>
      </c>
      <c r="M245" s="91" cm="1">
        <f t="array" ref="M245">IFERROR(INDEX(M_DepotPrice!$C$10:$C$52,MATCH(1,(M_DepotPrice!$A$10:$A$52=I245)*(M_DepotPrice!$H$10:$H$52=IFERROR(INDEX(M_Depot!$A$7:$A$24,MATCH(F245,M_Depot!$B$7:$B$24,0)),""))*(M_DepotPrice!$G$10:$G$52="Special"),0)),INDEX(M_DepotPrice!$C$10:$C$52,MATCH(1,(M_DepotPrice!$A$10:$A$52=I245)*(M_DepotPrice!$G$10:$G$52="Default"),0)))</f>
        <v>11780</v>
      </c>
      <c r="N245" s="67">
        <f t="shared" si="7"/>
        <v>28055.177319999999</v>
      </c>
      <c r="O245" s="66" t="str">
        <f t="shared" si="6"/>
        <v>MOS100180|FG008|CK3-33365</v>
      </c>
    </row>
    <row r="246" spans="1:15" ht="15" customHeight="1" x14ac:dyDescent="0.3">
      <c r="A246" s="70" t="s">
        <v>923</v>
      </c>
      <c r="B246" s="70" t="s">
        <v>548</v>
      </c>
      <c r="C246" s="72">
        <v>46179</v>
      </c>
      <c r="D246" s="73" t="s">
        <v>421</v>
      </c>
      <c r="E246" s="76" t="str">
        <f>IFERROR(INDEX(M_User!$A$12:$J$67,MATCH(D246,M_User!$D$12:$D$67,0),3),"UNMAPPED")</f>
        <v>Deodat Francis Materu</v>
      </c>
      <c r="F246" s="75" t="str">
        <f>IFERROR(INDEX(M_User!$A$12:$J$67,MATCH(D246,M_User!$D$12:$D$67,0),5),"UNMAPPED")</f>
        <v>MOS</v>
      </c>
      <c r="G246" s="73" t="s">
        <v>768</v>
      </c>
      <c r="H246" s="92" t="s">
        <v>769</v>
      </c>
      <c r="I246" s="73" t="s">
        <v>196</v>
      </c>
      <c r="J246" s="76" t="str">
        <f>IFERROR(INDEX(M_SKU!$A$18:$J$57,MATCH(I246,M_SKU!$B$18:$B$57,0),1),"UNKNOWN SKU")</f>
        <v>Krest Bitter Lemon RGB 300ml</v>
      </c>
      <c r="K246" s="73" t="s">
        <v>538</v>
      </c>
      <c r="L246" s="276">
        <v>1.1553</v>
      </c>
      <c r="M246" s="94" cm="1">
        <f t="array" ref="M246">IFERROR(INDEX(M_DepotPrice!$C$10:$C$52,MATCH(1,(M_DepotPrice!$A$10:$A$52=I246)*(M_DepotPrice!$H$10:$H$52=IFERROR(INDEX(M_Depot!$A$7:$A$24,MATCH(F246,M_Depot!$B$7:$B$24,0)),""))*(M_DepotPrice!$G$10:$G$52="Special"),0)),INDEX(M_DepotPrice!$C$10:$C$52,MATCH(1,(M_DepotPrice!$A$10:$A$52=I246)*(M_DepotPrice!$G$10:$G$52="Default"),0)))</f>
        <v>11780</v>
      </c>
      <c r="N246" s="95">
        <f t="shared" si="7"/>
        <v>16059.132119999998</v>
      </c>
      <c r="O246" s="82" t="str">
        <f t="shared" si="6"/>
        <v>MOS100180|FG009|CK3-33348</v>
      </c>
    </row>
    <row r="247" spans="1:15" ht="15" customHeight="1" x14ac:dyDescent="0.3">
      <c r="A247" s="60" t="s">
        <v>924</v>
      </c>
      <c r="B247" s="60" t="s">
        <v>548</v>
      </c>
      <c r="C247" s="62">
        <v>46179</v>
      </c>
      <c r="D247" s="63" t="s">
        <v>421</v>
      </c>
      <c r="E247" s="66" t="str">
        <f>IFERROR(INDEX(M_User!$A$12:$J$67,MATCH(D247,M_User!$D$12:$D$67,0),3),"UNMAPPED")</f>
        <v>Deodat Francis Materu</v>
      </c>
      <c r="F247" s="65" t="str">
        <f>IFERROR(INDEX(M_User!$A$12:$J$67,MATCH(D247,M_User!$D$12:$D$67,0),5),"UNMAPPED")</f>
        <v>MOS</v>
      </c>
      <c r="G247" s="63" t="s">
        <v>768</v>
      </c>
      <c r="H247" s="69" t="s">
        <v>769</v>
      </c>
      <c r="I247" s="63" t="s">
        <v>199</v>
      </c>
      <c r="J247" s="66" t="str">
        <f>IFERROR(INDEX(M_SKU!$A$18:$J$57,MATCH(I247,M_SKU!$B$18:$B$57,0),1),"UNKNOWN SKU")</f>
        <v>Krest Club Soda RGB 300ml</v>
      </c>
      <c r="K247" s="63" t="s">
        <v>539</v>
      </c>
      <c r="L247" s="276">
        <v>0.86779882575072698</v>
      </c>
      <c r="M247" s="91" cm="1">
        <f t="array" ref="M247">IFERROR(INDEX(M_DepotPrice!$C$10:$C$52,MATCH(1,(M_DepotPrice!$A$10:$A$52=I247)*(M_DepotPrice!$H$10:$H$52=IFERROR(INDEX(M_Depot!$A$7:$A$24,MATCH(F247,M_Depot!$B$7:$B$24,0)),""))*(M_DepotPrice!$G$10:$G$52="Special"),0)),INDEX(M_DepotPrice!$C$10:$C$52,MATCH(1,(M_DepotPrice!$A$10:$A$52=I247)*(M_DepotPrice!$G$10:$G$52="Default"),0)))</f>
        <v>11780</v>
      </c>
      <c r="N247" s="67">
        <f t="shared" si="7"/>
        <v>12062.750797465404</v>
      </c>
      <c r="O247" s="66" t="str">
        <f t="shared" si="6"/>
        <v>MOS100180|FG010|CK3-33301</v>
      </c>
    </row>
    <row r="248" spans="1:15" ht="15" customHeight="1" x14ac:dyDescent="0.3">
      <c r="A248" s="70" t="s">
        <v>925</v>
      </c>
      <c r="B248" s="70" t="s">
        <v>548</v>
      </c>
      <c r="C248" s="72">
        <v>46179</v>
      </c>
      <c r="D248" s="73" t="s">
        <v>421</v>
      </c>
      <c r="E248" s="76" t="str">
        <f>IFERROR(INDEX(M_User!$A$12:$J$67,MATCH(D248,M_User!$D$12:$D$67,0),3),"UNMAPPED")</f>
        <v>Deodat Francis Materu</v>
      </c>
      <c r="F248" s="75" t="str">
        <f>IFERROR(INDEX(M_User!$A$12:$J$67,MATCH(D248,M_User!$D$12:$D$67,0),5),"UNMAPPED")</f>
        <v>MOS</v>
      </c>
      <c r="G248" s="73" t="s">
        <v>768</v>
      </c>
      <c r="H248" s="92" t="s">
        <v>769</v>
      </c>
      <c r="I248" s="73" t="s">
        <v>203</v>
      </c>
      <c r="J248" s="76" t="str">
        <f>IFERROR(INDEX(M_SKU!$A$18:$J$57,MATCH(I248,M_SKU!$B$18:$B$57,0),1),"UNKNOWN SKU")</f>
        <v>Krest Ginger Ale RGB 300ml</v>
      </c>
      <c r="K248" s="73" t="s">
        <v>541</v>
      </c>
      <c r="L248" s="276">
        <v>0.41760000000000003</v>
      </c>
      <c r="M248" s="94" cm="1">
        <f t="array" ref="M248">IFERROR(INDEX(M_DepotPrice!$C$10:$C$52,MATCH(1,(M_DepotPrice!$A$10:$A$52=I248)*(M_DepotPrice!$H$10:$H$52=IFERROR(INDEX(M_Depot!$A$7:$A$24,MATCH(F248,M_Depot!$B$7:$B$24,0)),""))*(M_DepotPrice!$G$10:$G$52="Special"),0)),INDEX(M_DepotPrice!$C$10:$C$52,MATCH(1,(M_DepotPrice!$A$10:$A$52=I248)*(M_DepotPrice!$G$10:$G$52="Default"),0)))</f>
        <v>11780</v>
      </c>
      <c r="N248" s="95">
        <f t="shared" si="7"/>
        <v>5804.8070400000006</v>
      </c>
      <c r="O248" s="82" t="str">
        <f t="shared" si="6"/>
        <v>MOS100180|FG012|CK3-33126</v>
      </c>
    </row>
    <row r="249" spans="1:15" ht="15" customHeight="1" x14ac:dyDescent="0.3">
      <c r="A249" s="60" t="s">
        <v>926</v>
      </c>
      <c r="B249" s="60" t="s">
        <v>548</v>
      </c>
      <c r="C249" s="62">
        <v>46179</v>
      </c>
      <c r="D249" s="63" t="s">
        <v>421</v>
      </c>
      <c r="E249" s="66" t="str">
        <f>IFERROR(INDEX(M_User!$A$12:$J$67,MATCH(D249,M_User!$D$12:$D$67,0),3),"UNMAPPED")</f>
        <v>Deodat Francis Materu</v>
      </c>
      <c r="F249" s="65" t="str">
        <f>IFERROR(INDEX(M_User!$A$12:$J$67,MATCH(D249,M_User!$D$12:$D$67,0),5),"UNMAPPED")</f>
        <v>MOS</v>
      </c>
      <c r="G249" s="63" t="s">
        <v>768</v>
      </c>
      <c r="H249" s="69" t="s">
        <v>769</v>
      </c>
      <c r="I249" s="63" t="s">
        <v>209</v>
      </c>
      <c r="J249" s="66" t="str">
        <f>IFERROR(INDEX(M_SKU!$A$18:$J$57,MATCH(I249,M_SKU!$B$18:$B$57,0),1),"UNKNOWN SKU")</f>
        <v>Sparletta Red Apple RGB 350ml</v>
      </c>
      <c r="K249" s="63" t="s">
        <v>542</v>
      </c>
      <c r="L249" s="276">
        <v>0.428435991642792</v>
      </c>
      <c r="M249" s="91" cm="1">
        <f t="array" ref="M249">IFERROR(INDEX(M_DepotPrice!$C$10:$C$52,MATCH(1,(M_DepotPrice!$A$10:$A$52=I249)*(M_DepotPrice!$H$10:$H$52=IFERROR(INDEX(M_Depot!$A$7:$A$24,MATCH(F249,M_Depot!$B$7:$B$24,0)),""))*(M_DepotPrice!$G$10:$G$52="Special"),0)),INDEX(M_DepotPrice!$C$10:$C$52,MATCH(1,(M_DepotPrice!$A$10:$A$52=I249)*(M_DepotPrice!$G$10:$G$52="Default"),0)))</f>
        <v>11780</v>
      </c>
      <c r="N249" s="67">
        <f t="shared" si="7"/>
        <v>5955.4316582314659</v>
      </c>
      <c r="O249" s="66" t="str">
        <f t="shared" si="6"/>
        <v>MOS100180|FG024|CK3-32758</v>
      </c>
    </row>
    <row r="250" spans="1:15" ht="15" customHeight="1" x14ac:dyDescent="0.3">
      <c r="A250" s="70" t="s">
        <v>927</v>
      </c>
      <c r="B250" s="70" t="s">
        <v>548</v>
      </c>
      <c r="C250" s="72">
        <v>46179</v>
      </c>
      <c r="D250" s="73" t="s">
        <v>421</v>
      </c>
      <c r="E250" s="76" t="str">
        <f>IFERROR(INDEX(M_User!$A$12:$J$67,MATCH(D250,M_User!$D$12:$D$67,0),3),"UNMAPPED")</f>
        <v>Deodat Francis Materu</v>
      </c>
      <c r="F250" s="75" t="str">
        <f>IFERROR(INDEX(M_User!$A$12:$J$67,MATCH(D250,M_User!$D$12:$D$67,0),5),"UNMAPPED")</f>
        <v>MOS</v>
      </c>
      <c r="G250" s="73" t="s">
        <v>768</v>
      </c>
      <c r="H250" s="92" t="s">
        <v>769</v>
      </c>
      <c r="I250" s="73" t="s">
        <v>234</v>
      </c>
      <c r="J250" s="76" t="str">
        <f>IFERROR(INDEX(M_SKU!$A$18:$J$57,MATCH(I250,M_SKU!$B$18:$B$57,0),1),"UNKNOWN SKU")</f>
        <v>Fanta Orange Pet 500ML ( x 12)</v>
      </c>
      <c r="K250" s="73" t="s">
        <v>523</v>
      </c>
      <c r="L250" s="276">
        <v>6</v>
      </c>
      <c r="M250" s="94" cm="1">
        <f t="array" ref="M250">IFERROR(INDEX(M_DepotPrice!$C$10:$C$52,MATCH(1,(M_DepotPrice!$A$10:$A$52=I250)*(M_DepotPrice!$H$10:$H$52=IFERROR(INDEX(M_Depot!$A$7:$A$24,MATCH(F250,M_Depot!$B$7:$B$24,0)),""))*(M_DepotPrice!$G$10:$G$52="Special"),0)),INDEX(M_DepotPrice!$C$10:$C$52,MATCH(1,(M_DepotPrice!$A$10:$A$52=I250)*(M_DepotPrice!$G$10:$G$52="Default"),0)))</f>
        <v>8898</v>
      </c>
      <c r="N250" s="95">
        <f t="shared" si="7"/>
        <v>62997.84</v>
      </c>
      <c r="O250" s="82" t="str">
        <f t="shared" si="6"/>
        <v>MOS100180|PH003|CK6-33405</v>
      </c>
    </row>
    <row r="251" spans="1:15" ht="15" customHeight="1" x14ac:dyDescent="0.3">
      <c r="A251" s="60" t="s">
        <v>928</v>
      </c>
      <c r="B251" s="60" t="s">
        <v>548</v>
      </c>
      <c r="C251" s="62">
        <v>46179</v>
      </c>
      <c r="D251" s="63" t="s">
        <v>421</v>
      </c>
      <c r="E251" s="66" t="str">
        <f>IFERROR(INDEX(M_User!$A$12:$J$67,MATCH(D251,M_User!$D$12:$D$67,0),3),"UNMAPPED")</f>
        <v>Deodat Francis Materu</v>
      </c>
      <c r="F251" s="65" t="str">
        <f>IFERROR(INDEX(M_User!$A$12:$J$67,MATCH(D251,M_User!$D$12:$D$67,0),5),"UNMAPPED")</f>
        <v>MOS</v>
      </c>
      <c r="G251" s="63" t="s">
        <v>768</v>
      </c>
      <c r="H251" s="69" t="s">
        <v>769</v>
      </c>
      <c r="I251" s="63" t="s">
        <v>236</v>
      </c>
      <c r="J251" s="66" t="str">
        <f>IFERROR(INDEX(M_SKU!$A$18:$J$57,MATCH(I251,M_SKU!$B$18:$B$57,0),1),"UNKNOWN SKU")</f>
        <v>Fanta Passion Pet 500ML ( x12)</v>
      </c>
      <c r="K251" s="63" t="s">
        <v>524</v>
      </c>
      <c r="L251" s="276">
        <v>3</v>
      </c>
      <c r="M251" s="91" cm="1">
        <f t="array" ref="M251">IFERROR(INDEX(M_DepotPrice!$C$10:$C$52,MATCH(1,(M_DepotPrice!$A$10:$A$52=I251)*(M_DepotPrice!$H$10:$H$52=IFERROR(INDEX(M_Depot!$A$7:$A$24,MATCH(F251,M_Depot!$B$7:$B$24,0)),""))*(M_DepotPrice!$G$10:$G$52="Special"),0)),INDEX(M_DepotPrice!$C$10:$C$52,MATCH(1,(M_DepotPrice!$A$10:$A$52=I251)*(M_DepotPrice!$G$10:$G$52="Default"),0)))</f>
        <v>8898</v>
      </c>
      <c r="N251" s="67">
        <f t="shared" si="7"/>
        <v>31498.92</v>
      </c>
      <c r="O251" s="66" t="str">
        <f t="shared" si="6"/>
        <v>MOS100180|PH004|CK5-33334</v>
      </c>
    </row>
    <row r="252" spans="1:15" ht="15" customHeight="1" x14ac:dyDescent="0.3">
      <c r="A252" s="70" t="s">
        <v>929</v>
      </c>
      <c r="B252" s="70" t="s">
        <v>548</v>
      </c>
      <c r="C252" s="72">
        <v>46179</v>
      </c>
      <c r="D252" s="73" t="s">
        <v>421</v>
      </c>
      <c r="E252" s="76" t="str">
        <f>IFERROR(INDEX(M_User!$A$12:$J$67,MATCH(D252,M_User!$D$12:$D$67,0),3),"UNMAPPED")</f>
        <v>Deodat Francis Materu</v>
      </c>
      <c r="F252" s="75" t="str">
        <f>IFERROR(INDEX(M_User!$A$12:$J$67,MATCH(D252,M_User!$D$12:$D$67,0),5),"UNMAPPED")</f>
        <v>MOS</v>
      </c>
      <c r="G252" s="73" t="s">
        <v>768</v>
      </c>
      <c r="H252" s="92" t="s">
        <v>769</v>
      </c>
      <c r="I252" s="73" t="s">
        <v>240</v>
      </c>
      <c r="J252" s="76" t="str">
        <f>IFERROR(INDEX(M_SKU!$A$18:$J$57,MATCH(I252,M_SKU!$B$18:$B$57,0),1),"UNKNOWN SKU")</f>
        <v>Fanta Fruit Blast Pet 500ML (x12)</v>
      </c>
      <c r="K252" s="73" t="s">
        <v>552</v>
      </c>
      <c r="L252" s="276">
        <v>2</v>
      </c>
      <c r="M252" s="94" cm="1">
        <f t="array" ref="M252">IFERROR(INDEX(M_DepotPrice!$C$10:$C$52,MATCH(1,(M_DepotPrice!$A$10:$A$52=I252)*(M_DepotPrice!$H$10:$H$52=IFERROR(INDEX(M_Depot!$A$7:$A$24,MATCH(F252,M_Depot!$B$7:$B$24,0)),""))*(M_DepotPrice!$G$10:$G$52="Special"),0)),INDEX(M_DepotPrice!$C$10:$C$52,MATCH(1,(M_DepotPrice!$A$10:$A$52=I252)*(M_DepotPrice!$G$10:$G$52="Default"),0)))</f>
        <v>8898</v>
      </c>
      <c r="N252" s="95">
        <f t="shared" si="7"/>
        <v>20999.279999999999</v>
      </c>
      <c r="O252" s="82" t="str">
        <f t="shared" si="6"/>
        <v>MOS100180|PH006|CK6-33333</v>
      </c>
    </row>
    <row r="253" spans="1:15" ht="15" customHeight="1" x14ac:dyDescent="0.3">
      <c r="A253" s="60" t="s">
        <v>930</v>
      </c>
      <c r="B253" s="60" t="s">
        <v>548</v>
      </c>
      <c r="C253" s="62">
        <v>46179</v>
      </c>
      <c r="D253" s="63" t="s">
        <v>421</v>
      </c>
      <c r="E253" s="66" t="str">
        <f>IFERROR(INDEX(M_User!$A$12:$J$67,MATCH(D253,M_User!$D$12:$D$67,0),3),"UNMAPPED")</f>
        <v>Deodat Francis Materu</v>
      </c>
      <c r="F253" s="65" t="str">
        <f>IFERROR(INDEX(M_User!$A$12:$J$67,MATCH(D253,M_User!$D$12:$D$67,0),5),"UNMAPPED")</f>
        <v>MOS</v>
      </c>
      <c r="G253" s="63" t="s">
        <v>768</v>
      </c>
      <c r="H253" s="69" t="s">
        <v>769</v>
      </c>
      <c r="I253" s="63" t="s">
        <v>246</v>
      </c>
      <c r="J253" s="66" t="str">
        <f>IFERROR(INDEX(M_SKU!$A$18:$J$57,MATCH(I253,M_SKU!$B$18:$B$57,0),1),"UNKNOWN SKU")</f>
        <v>Coke Zero Pet 500ML ( X 12)</v>
      </c>
      <c r="K253" s="63" t="s">
        <v>554</v>
      </c>
      <c r="L253" s="276">
        <v>2</v>
      </c>
      <c r="M253" s="91" cm="1">
        <f t="array" ref="M253">IFERROR(INDEX(M_DepotPrice!$C$10:$C$52,MATCH(1,(M_DepotPrice!$A$10:$A$52=I253)*(M_DepotPrice!$H$10:$H$52=IFERROR(INDEX(M_Depot!$A$7:$A$24,MATCH(F253,M_Depot!$B$7:$B$24,0)),""))*(M_DepotPrice!$G$10:$G$52="Special"),0)),INDEX(M_DepotPrice!$C$10:$C$52,MATCH(1,(M_DepotPrice!$A$10:$A$52=I253)*(M_DepotPrice!$G$10:$G$52="Default"),0)))</f>
        <v>8898</v>
      </c>
      <c r="N253" s="67">
        <f t="shared" si="7"/>
        <v>20999.279999999999</v>
      </c>
      <c r="O253" s="66" t="str">
        <f t="shared" si="6"/>
        <v>MOS100180|PH009|CK6-33241</v>
      </c>
    </row>
    <row r="254" spans="1:15" ht="15" customHeight="1" x14ac:dyDescent="0.3">
      <c r="A254" s="70" t="s">
        <v>931</v>
      </c>
      <c r="B254" s="70" t="s">
        <v>548</v>
      </c>
      <c r="C254" s="72">
        <v>46179</v>
      </c>
      <c r="D254" s="73" t="s">
        <v>421</v>
      </c>
      <c r="E254" s="76" t="str">
        <f>IFERROR(INDEX(M_User!$A$12:$J$67,MATCH(D254,M_User!$D$12:$D$67,0),3),"UNMAPPED")</f>
        <v>Deodat Francis Materu</v>
      </c>
      <c r="F254" s="75" t="str">
        <f>IFERROR(INDEX(M_User!$A$12:$J$67,MATCH(D254,M_User!$D$12:$D$67,0),5),"UNMAPPED")</f>
        <v>MOS</v>
      </c>
      <c r="G254" s="73" t="s">
        <v>768</v>
      </c>
      <c r="H254" s="92" t="s">
        <v>769</v>
      </c>
      <c r="I254" s="73" t="s">
        <v>254</v>
      </c>
      <c r="J254" s="76" t="str">
        <f>IFERROR(INDEX(M_SKU!$A$18:$J$57,MATCH(I254,M_SKU!$B$18:$B$57,0),1),"UNKNOWN SKU")</f>
        <v>Fanta Zero Pet 300ML (x 12)</v>
      </c>
      <c r="K254" s="73" t="s">
        <v>546</v>
      </c>
      <c r="L254" s="276">
        <v>1</v>
      </c>
      <c r="M254" s="94" cm="1">
        <f t="array" ref="M254">IFERROR(INDEX(M_DepotPrice!$C$10:$C$52,MATCH(1,(M_DepotPrice!$A$10:$A$52=I254)*(M_DepotPrice!$H$10:$H$52=IFERROR(INDEX(M_Depot!$A$7:$A$24,MATCH(F254,M_Depot!$B$7:$B$24,0)),""))*(M_DepotPrice!$G$10:$G$52="Special"),0)),INDEX(M_DepotPrice!$C$10:$C$52,MATCH(1,(M_DepotPrice!$A$10:$A$52=I254)*(M_DepotPrice!$G$10:$G$52="Default"),0)))</f>
        <v>5085</v>
      </c>
      <c r="N254" s="95">
        <f t="shared" si="7"/>
        <v>6000.2999999999993</v>
      </c>
      <c r="O254" s="82" t="str">
        <f t="shared" si="6"/>
        <v>MOS100180|PO012|CK5-33369</v>
      </c>
    </row>
    <row r="255" spans="1:15" ht="15" customHeight="1" x14ac:dyDescent="0.3">
      <c r="A255" s="60" t="s">
        <v>932</v>
      </c>
      <c r="B255" s="60" t="s">
        <v>548</v>
      </c>
      <c r="C255" s="62">
        <v>46179</v>
      </c>
      <c r="D255" s="63" t="s">
        <v>421</v>
      </c>
      <c r="E255" s="66" t="str">
        <f>IFERROR(INDEX(M_User!$A$12:$J$67,MATCH(D255,M_User!$D$12:$D$67,0),3),"UNMAPPED")</f>
        <v>Deodat Francis Materu</v>
      </c>
      <c r="F255" s="65" t="str">
        <f>IFERROR(INDEX(M_User!$A$12:$J$67,MATCH(D255,M_User!$D$12:$D$67,0),5),"UNMAPPED")</f>
        <v>MOS</v>
      </c>
      <c r="G255" s="63" t="s">
        <v>768</v>
      </c>
      <c r="H255" s="69" t="s">
        <v>769</v>
      </c>
      <c r="I255" s="63" t="s">
        <v>256</v>
      </c>
      <c r="J255" s="66" t="str">
        <f>IFERROR(INDEX(M_SKU!$A$18:$J$57,MATCH(I255,M_SKU!$B$18:$B$57,0),1),"UNKNOWN SKU")</f>
        <v>Sparletta Red Apple Pet 300ML(x 12)</v>
      </c>
      <c r="K255" s="63" t="s">
        <v>555</v>
      </c>
      <c r="L255" s="276">
        <v>1</v>
      </c>
      <c r="M255" s="91" cm="1">
        <f t="array" ref="M255">IFERROR(INDEX(M_DepotPrice!$C$10:$C$52,MATCH(1,(M_DepotPrice!$A$10:$A$52=I255)*(M_DepotPrice!$H$10:$H$52=IFERROR(INDEX(M_Depot!$A$7:$A$24,MATCH(F255,M_Depot!$B$7:$B$24,0)),""))*(M_DepotPrice!$G$10:$G$52="Special"),0)),INDEX(M_DepotPrice!$C$10:$C$52,MATCH(1,(M_DepotPrice!$A$10:$A$52=I255)*(M_DepotPrice!$G$10:$G$52="Default"),0)))</f>
        <v>5085</v>
      </c>
      <c r="N255" s="67">
        <f t="shared" si="7"/>
        <v>6000.2999999999993</v>
      </c>
      <c r="O255" s="66" t="str">
        <f t="shared" si="6"/>
        <v>MOS100180|PO013|CK5-33368</v>
      </c>
    </row>
    <row r="256" spans="1:15" ht="15" customHeight="1" x14ac:dyDescent="0.3">
      <c r="A256" s="70" t="s">
        <v>933</v>
      </c>
      <c r="B256" s="70" t="s">
        <v>548</v>
      </c>
      <c r="C256" s="72">
        <v>46179</v>
      </c>
      <c r="D256" s="73" t="s">
        <v>421</v>
      </c>
      <c r="E256" s="76" t="str">
        <f>IFERROR(INDEX(M_User!$A$12:$J$67,MATCH(D256,M_User!$D$12:$D$67,0),3),"UNMAPPED")</f>
        <v>Deodat Francis Materu</v>
      </c>
      <c r="F256" s="75" t="str">
        <f>IFERROR(INDEX(M_User!$A$12:$J$67,MATCH(D256,M_User!$D$12:$D$67,0),5),"UNMAPPED")</f>
        <v>MOS</v>
      </c>
      <c r="G256" s="73" t="s">
        <v>812</v>
      </c>
      <c r="H256" s="92" t="s">
        <v>813</v>
      </c>
      <c r="I256" s="73" t="s">
        <v>178</v>
      </c>
      <c r="J256" s="76" t="str">
        <f>IFERROR(INDEX(M_SKU!$A$18:$J$57,MATCH(I256,M_SKU!$B$18:$B$57,0),1),"UNKNOWN SKU")</f>
        <v>Fanta Orange RGB 350ml</v>
      </c>
      <c r="K256" s="73" t="s">
        <v>531</v>
      </c>
      <c r="L256" s="276">
        <v>6.6025</v>
      </c>
      <c r="M256" s="94" cm="1">
        <f t="array" ref="M256">IFERROR(INDEX(M_DepotPrice!$C$10:$C$52,MATCH(1,(M_DepotPrice!$A$10:$A$52=I256)*(M_DepotPrice!$H$10:$H$52=IFERROR(INDEX(M_Depot!$A$7:$A$24,MATCH(F256,M_Depot!$B$7:$B$24,0)),""))*(M_DepotPrice!$G$10:$G$52="Special"),0)),INDEX(M_DepotPrice!$C$10:$C$52,MATCH(1,(M_DepotPrice!$A$10:$A$52=I256)*(M_DepotPrice!$G$10:$G$52="Default"),0)))</f>
        <v>11780</v>
      </c>
      <c r="N256" s="95">
        <f t="shared" si="7"/>
        <v>91777.390999999989</v>
      </c>
      <c r="O256" s="82" t="str">
        <f t="shared" si="6"/>
        <v>MOS100180|FG002|CK3-33407</v>
      </c>
    </row>
    <row r="257" spans="1:15" ht="15" customHeight="1" x14ac:dyDescent="0.3">
      <c r="A257" s="60" t="s">
        <v>934</v>
      </c>
      <c r="B257" s="60" t="s">
        <v>548</v>
      </c>
      <c r="C257" s="62">
        <v>46179</v>
      </c>
      <c r="D257" s="63" t="s">
        <v>421</v>
      </c>
      <c r="E257" s="66" t="str">
        <f>IFERROR(INDEX(M_User!$A$12:$J$67,MATCH(D257,M_User!$D$12:$D$67,0),3),"UNMAPPED")</f>
        <v>Deodat Francis Materu</v>
      </c>
      <c r="F257" s="65" t="str">
        <f>IFERROR(INDEX(M_User!$A$12:$J$67,MATCH(D257,M_User!$D$12:$D$67,0),5),"UNMAPPED")</f>
        <v>MOS</v>
      </c>
      <c r="G257" s="63" t="s">
        <v>812</v>
      </c>
      <c r="H257" s="69" t="s">
        <v>813</v>
      </c>
      <c r="I257" s="63" t="s">
        <v>187</v>
      </c>
      <c r="J257" s="66" t="str">
        <f>IFERROR(INDEX(M_SKU!$A$18:$J$57,MATCH(I257,M_SKU!$B$18:$B$57,0),1),"UNKNOWN SKU")</f>
        <v>Sprite 350ml</v>
      </c>
      <c r="K257" s="63" t="s">
        <v>535</v>
      </c>
      <c r="L257" s="276">
        <v>3.3877649128049798</v>
      </c>
      <c r="M257" s="91" cm="1">
        <f t="array" ref="M257">IFERROR(INDEX(M_DepotPrice!$C$10:$C$52,MATCH(1,(M_DepotPrice!$A$10:$A$52=I257)*(M_DepotPrice!$H$10:$H$52=IFERROR(INDEX(M_Depot!$A$7:$A$24,MATCH(F257,M_Depot!$B$7:$B$24,0)),""))*(M_DepotPrice!$G$10:$G$52="Special"),0)),INDEX(M_DepotPrice!$C$10:$C$52,MATCH(1,(M_DepotPrice!$A$10:$A$52=I257)*(M_DepotPrice!$G$10:$G$52="Default"),0)))</f>
        <v>11780</v>
      </c>
      <c r="N257" s="67">
        <f t="shared" si="7"/>
        <v>47091.287393954342</v>
      </c>
      <c r="O257" s="66" t="str">
        <f t="shared" si="6"/>
        <v>MOS100180|FG006|CK3-33414</v>
      </c>
    </row>
    <row r="258" spans="1:15" ht="15" customHeight="1" x14ac:dyDescent="0.3">
      <c r="A258" s="70" t="s">
        <v>935</v>
      </c>
      <c r="B258" s="70" t="s">
        <v>548</v>
      </c>
      <c r="C258" s="72">
        <v>46179</v>
      </c>
      <c r="D258" s="73" t="s">
        <v>421</v>
      </c>
      <c r="E258" s="76" t="str">
        <f>IFERROR(INDEX(M_User!$A$12:$J$67,MATCH(D258,M_User!$D$12:$D$67,0),3),"UNMAPPED")</f>
        <v>Deodat Francis Materu</v>
      </c>
      <c r="F258" s="75" t="str">
        <f>IFERROR(INDEX(M_User!$A$12:$J$67,MATCH(D258,M_User!$D$12:$D$67,0),5),"UNMAPPED")</f>
        <v>MOS</v>
      </c>
      <c r="G258" s="73" t="s">
        <v>812</v>
      </c>
      <c r="H258" s="92" t="s">
        <v>813</v>
      </c>
      <c r="I258" s="73" t="s">
        <v>190</v>
      </c>
      <c r="J258" s="76" t="str">
        <f>IFERROR(INDEX(M_SKU!$A$18:$J$57,MATCH(I258,M_SKU!$B$18:$B$57,0),1),"UNKNOWN SKU")</f>
        <v>Stoney Tangawizi RGB 350ml</v>
      </c>
      <c r="K258" s="73" t="s">
        <v>536</v>
      </c>
      <c r="L258" s="276">
        <v>1.9331881310721499</v>
      </c>
      <c r="M258" s="94" cm="1">
        <f t="array" ref="M258">IFERROR(INDEX(M_DepotPrice!$C$10:$C$52,MATCH(1,(M_DepotPrice!$A$10:$A$52=I258)*(M_DepotPrice!$H$10:$H$52=IFERROR(INDEX(M_Depot!$A$7:$A$24,MATCH(F258,M_Depot!$B$7:$B$24,0)),""))*(M_DepotPrice!$G$10:$G$52="Special"),0)),INDEX(M_DepotPrice!$C$10:$C$52,MATCH(1,(M_DepotPrice!$A$10:$A$52=I258)*(M_DepotPrice!$G$10:$G$52="Default"),0)))</f>
        <v>11780</v>
      </c>
      <c r="N258" s="95">
        <f t="shared" si="7"/>
        <v>26872.088297155311</v>
      </c>
      <c r="O258" s="82" t="str">
        <f t="shared" si="6"/>
        <v>MOS100180|FG007|CK3-33404</v>
      </c>
    </row>
    <row r="259" spans="1:15" ht="15" customHeight="1" x14ac:dyDescent="0.3">
      <c r="A259" s="60" t="s">
        <v>936</v>
      </c>
      <c r="B259" s="60" t="s">
        <v>548</v>
      </c>
      <c r="C259" s="62">
        <v>46179</v>
      </c>
      <c r="D259" s="63" t="s">
        <v>421</v>
      </c>
      <c r="E259" s="66" t="str">
        <f>IFERROR(INDEX(M_User!$A$12:$J$67,MATCH(D259,M_User!$D$12:$D$67,0),3),"UNMAPPED")</f>
        <v>Deodat Francis Materu</v>
      </c>
      <c r="F259" s="65" t="str">
        <f>IFERROR(INDEX(M_User!$A$12:$J$67,MATCH(D259,M_User!$D$12:$D$67,0),5),"UNMAPPED")</f>
        <v>MOS</v>
      </c>
      <c r="G259" s="63" t="s">
        <v>812</v>
      </c>
      <c r="H259" s="69" t="s">
        <v>813</v>
      </c>
      <c r="I259" s="63" t="s">
        <v>203</v>
      </c>
      <c r="J259" s="66" t="str">
        <f>IFERROR(INDEX(M_SKU!$A$18:$J$57,MATCH(I259,M_SKU!$B$18:$B$57,0),1),"UNKNOWN SKU")</f>
        <v>Krest Ginger Ale RGB 300ml</v>
      </c>
      <c r="K259" s="63" t="s">
        <v>541</v>
      </c>
      <c r="L259" s="276">
        <v>0.73260000000000003</v>
      </c>
      <c r="M259" s="91" cm="1">
        <f t="array" ref="M259">IFERROR(INDEX(M_DepotPrice!$C$10:$C$52,MATCH(1,(M_DepotPrice!$A$10:$A$52=I259)*(M_DepotPrice!$H$10:$H$52=IFERROR(INDEX(M_Depot!$A$7:$A$24,MATCH(F259,M_Depot!$B$7:$B$24,0)),""))*(M_DepotPrice!$G$10:$G$52="Special"),0)),INDEX(M_DepotPrice!$C$10:$C$52,MATCH(1,(M_DepotPrice!$A$10:$A$52=I259)*(M_DepotPrice!$G$10:$G$52="Default"),0)))</f>
        <v>11780</v>
      </c>
      <c r="N259" s="67">
        <f t="shared" si="7"/>
        <v>10183.43304</v>
      </c>
      <c r="O259" s="66" t="str">
        <f t="shared" si="6"/>
        <v>MOS100180|FG012|CK3-33126</v>
      </c>
    </row>
    <row r="260" spans="1:15" ht="15" customHeight="1" x14ac:dyDescent="0.3">
      <c r="A260" s="70" t="s">
        <v>937</v>
      </c>
      <c r="B260" s="70" t="s">
        <v>548</v>
      </c>
      <c r="C260" s="72">
        <v>46179</v>
      </c>
      <c r="D260" s="73" t="s">
        <v>421</v>
      </c>
      <c r="E260" s="76" t="str">
        <f>IFERROR(INDEX(M_User!$A$12:$J$67,MATCH(D260,M_User!$D$12:$D$67,0),3),"UNMAPPED")</f>
        <v>Deodat Francis Materu</v>
      </c>
      <c r="F260" s="75" t="str">
        <f>IFERROR(INDEX(M_User!$A$12:$J$67,MATCH(D260,M_User!$D$12:$D$67,0),5),"UNMAPPED")</f>
        <v>MOS</v>
      </c>
      <c r="G260" s="73" t="s">
        <v>812</v>
      </c>
      <c r="H260" s="92" t="s">
        <v>813</v>
      </c>
      <c r="I260" s="73" t="s">
        <v>211</v>
      </c>
      <c r="J260" s="76" t="str">
        <f>IFERROR(INDEX(M_SKU!$A$18:$J$57,MATCH(I260,M_SKU!$B$18:$B$57,0),1),"UNKNOWN SKU")</f>
        <v>KNMW 500ml</v>
      </c>
      <c r="K260" s="73" t="s">
        <v>543</v>
      </c>
      <c r="L260" s="276">
        <v>17</v>
      </c>
      <c r="M260" s="94" cm="1">
        <f t="array" ref="M260">IFERROR(INDEX(M_DepotPrice!$C$10:$C$52,MATCH(1,(M_DepotPrice!$A$10:$A$52=I260)*(M_DepotPrice!$H$10:$H$52=IFERROR(INDEX(M_Depot!$A$7:$A$24,MATCH(F260,M_Depot!$B$7:$B$24,0)),""))*(M_DepotPrice!$G$10:$G$52="Special"),0)),INDEX(M_DepotPrice!$C$10:$C$52,MATCH(1,(M_DepotPrice!$A$10:$A$52=I260)*(M_DepotPrice!$G$10:$G$52="Default"),0)))</f>
        <v>3559</v>
      </c>
      <c r="N260" s="95">
        <f t="shared" si="7"/>
        <v>71393.539999999994</v>
      </c>
      <c r="O260" s="82" t="str">
        <f t="shared" si="6"/>
        <v>MOS100180|KD001|CK6-986</v>
      </c>
    </row>
    <row r="261" spans="1:15" ht="15" customHeight="1" x14ac:dyDescent="0.3">
      <c r="A261" s="60" t="s">
        <v>938</v>
      </c>
      <c r="B261" s="60" t="s">
        <v>548</v>
      </c>
      <c r="C261" s="62">
        <v>46179</v>
      </c>
      <c r="D261" s="63" t="s">
        <v>421</v>
      </c>
      <c r="E261" s="66" t="str">
        <f>IFERROR(INDEX(M_User!$A$12:$J$67,MATCH(D261,M_User!$D$12:$D$67,0),3),"UNMAPPED")</f>
        <v>Deodat Francis Materu</v>
      </c>
      <c r="F261" s="65" t="str">
        <f>IFERROR(INDEX(M_User!$A$12:$J$67,MATCH(D261,M_User!$D$12:$D$67,0),5),"UNMAPPED")</f>
        <v>MOS</v>
      </c>
      <c r="G261" s="63" t="s">
        <v>812</v>
      </c>
      <c r="H261" s="69" t="s">
        <v>813</v>
      </c>
      <c r="I261" s="63" t="s">
        <v>217</v>
      </c>
      <c r="J261" s="66" t="str">
        <f>IFERROR(INDEX(M_SKU!$A$18:$J$57,MATCH(I261,M_SKU!$B$18:$B$57,0),1),"UNKNOWN SKU")</f>
        <v>KNMW 1500ml</v>
      </c>
      <c r="K261" s="63" t="s">
        <v>551</v>
      </c>
      <c r="L261" s="276">
        <v>37</v>
      </c>
      <c r="M261" s="91" cm="1">
        <f t="array" ref="M261">IFERROR(INDEX(M_DepotPrice!$C$10:$C$52,MATCH(1,(M_DepotPrice!$A$10:$A$52=I261)*(M_DepotPrice!$H$10:$H$52=IFERROR(INDEX(M_Depot!$A$7:$A$24,MATCH(F261,M_Depot!$B$7:$B$24,0)),""))*(M_DepotPrice!$G$10:$G$52="Special"),0)),INDEX(M_DepotPrice!$C$10:$C$52,MATCH(1,(M_DepotPrice!$A$10:$A$52=I261)*(M_DepotPrice!$G$10:$G$52="Default"),0)))</f>
        <v>3983</v>
      </c>
      <c r="N261" s="67">
        <f t="shared" si="7"/>
        <v>173897.78</v>
      </c>
      <c r="O261" s="66" t="str">
        <f t="shared" si="6"/>
        <v>MOS100180|KD003|CK4-842</v>
      </c>
    </row>
    <row r="262" spans="1:15" ht="15" customHeight="1" x14ac:dyDescent="0.3">
      <c r="A262" s="70" t="s">
        <v>939</v>
      </c>
      <c r="B262" s="70" t="s">
        <v>548</v>
      </c>
      <c r="C262" s="72">
        <v>46179</v>
      </c>
      <c r="D262" s="73" t="s">
        <v>421</v>
      </c>
      <c r="E262" s="76" t="str">
        <f>IFERROR(INDEX(M_User!$A$12:$J$67,MATCH(D262,M_User!$D$12:$D$67,0),3),"UNMAPPED")</f>
        <v>Deodat Francis Materu</v>
      </c>
      <c r="F262" s="75" t="str">
        <f>IFERROR(INDEX(M_User!$A$12:$J$67,MATCH(D262,M_User!$D$12:$D$67,0),5),"UNMAPPED")</f>
        <v>MOS</v>
      </c>
      <c r="G262" s="73" t="s">
        <v>812</v>
      </c>
      <c r="H262" s="92" t="s">
        <v>813</v>
      </c>
      <c r="I262" s="73" t="s">
        <v>229</v>
      </c>
      <c r="J262" s="76" t="str">
        <f>IFERROR(INDEX(M_SKU!$A$18:$J$57,MATCH(I262,M_SKU!$B$18:$B$57,0),1),"UNKNOWN SKU")</f>
        <v>Coke Pet 500ML ( x12)</v>
      </c>
      <c r="K262" s="73" t="s">
        <v>520</v>
      </c>
      <c r="L262" s="276">
        <v>23</v>
      </c>
      <c r="M262" s="94" cm="1">
        <f t="array" ref="M262">IFERROR(INDEX(M_DepotPrice!$C$10:$C$52,MATCH(1,(M_DepotPrice!$A$10:$A$52=I262)*(M_DepotPrice!$H$10:$H$52=IFERROR(INDEX(M_Depot!$A$7:$A$24,MATCH(F262,M_Depot!$B$7:$B$24,0)),""))*(M_DepotPrice!$G$10:$G$52="Special"),0)),INDEX(M_DepotPrice!$C$10:$C$52,MATCH(1,(M_DepotPrice!$A$10:$A$52=I262)*(M_DepotPrice!$G$10:$G$52="Default"),0)))</f>
        <v>8898</v>
      </c>
      <c r="N262" s="95">
        <f t="shared" si="7"/>
        <v>241491.72</v>
      </c>
      <c r="O262" s="82" t="str">
        <f t="shared" si="6"/>
        <v>MOS100180|PH001|CK6-33411</v>
      </c>
    </row>
    <row r="263" spans="1:15" ht="15" customHeight="1" x14ac:dyDescent="0.3">
      <c r="A263" s="60" t="s">
        <v>940</v>
      </c>
      <c r="B263" s="60" t="s">
        <v>548</v>
      </c>
      <c r="C263" s="62">
        <v>46179</v>
      </c>
      <c r="D263" s="63" t="s">
        <v>421</v>
      </c>
      <c r="E263" s="66" t="str">
        <f>IFERROR(INDEX(M_User!$A$12:$J$67,MATCH(D263,M_User!$D$12:$D$67,0),3),"UNMAPPED")</f>
        <v>Deodat Francis Materu</v>
      </c>
      <c r="F263" s="65" t="str">
        <f>IFERROR(INDEX(M_User!$A$12:$J$67,MATCH(D263,M_User!$D$12:$D$67,0),5),"UNMAPPED")</f>
        <v>MOS</v>
      </c>
      <c r="G263" s="63" t="s">
        <v>812</v>
      </c>
      <c r="H263" s="69" t="s">
        <v>813</v>
      </c>
      <c r="I263" s="63" t="s">
        <v>234</v>
      </c>
      <c r="J263" s="66" t="str">
        <f>IFERROR(INDEX(M_SKU!$A$18:$J$57,MATCH(I263,M_SKU!$B$18:$B$57,0),1),"UNKNOWN SKU")</f>
        <v>Fanta Orange Pet 500ML ( x 12)</v>
      </c>
      <c r="K263" s="63" t="s">
        <v>523</v>
      </c>
      <c r="L263" s="276">
        <v>4</v>
      </c>
      <c r="M263" s="91" cm="1">
        <f t="array" ref="M263">IFERROR(INDEX(M_DepotPrice!$C$10:$C$52,MATCH(1,(M_DepotPrice!$A$10:$A$52=I263)*(M_DepotPrice!$H$10:$H$52=IFERROR(INDEX(M_Depot!$A$7:$A$24,MATCH(F263,M_Depot!$B$7:$B$24,0)),""))*(M_DepotPrice!$G$10:$G$52="Special"),0)),INDEX(M_DepotPrice!$C$10:$C$52,MATCH(1,(M_DepotPrice!$A$10:$A$52=I263)*(M_DepotPrice!$G$10:$G$52="Default"),0)))</f>
        <v>8898</v>
      </c>
      <c r="N263" s="67">
        <f t="shared" si="7"/>
        <v>41998.559999999998</v>
      </c>
      <c r="O263" s="66" t="str">
        <f t="shared" si="6"/>
        <v>MOS100180|PH003|CK6-33405</v>
      </c>
    </row>
    <row r="264" spans="1:15" ht="15" customHeight="1" x14ac:dyDescent="0.3">
      <c r="A264" s="70" t="s">
        <v>941</v>
      </c>
      <c r="B264" s="70" t="s">
        <v>548</v>
      </c>
      <c r="C264" s="72">
        <v>46179</v>
      </c>
      <c r="D264" s="73" t="s">
        <v>421</v>
      </c>
      <c r="E264" s="76" t="str">
        <f>IFERROR(INDEX(M_User!$A$12:$J$67,MATCH(D264,M_User!$D$12:$D$67,0),3),"UNMAPPED")</f>
        <v>Deodat Francis Materu</v>
      </c>
      <c r="F264" s="75" t="str">
        <f>IFERROR(INDEX(M_User!$A$12:$J$67,MATCH(D264,M_User!$D$12:$D$67,0),5),"UNMAPPED")</f>
        <v>MOS</v>
      </c>
      <c r="G264" s="73" t="s">
        <v>812</v>
      </c>
      <c r="H264" s="92" t="s">
        <v>813</v>
      </c>
      <c r="I264" s="73" t="s">
        <v>236</v>
      </c>
      <c r="J264" s="76" t="str">
        <f>IFERROR(INDEX(M_SKU!$A$18:$J$57,MATCH(I264,M_SKU!$B$18:$B$57,0),1),"UNKNOWN SKU")</f>
        <v>Fanta Passion Pet 500ML ( x12)</v>
      </c>
      <c r="K264" s="73" t="s">
        <v>524</v>
      </c>
      <c r="L264" s="276">
        <v>3</v>
      </c>
      <c r="M264" s="94" cm="1">
        <f t="array" ref="M264">IFERROR(INDEX(M_DepotPrice!$C$10:$C$52,MATCH(1,(M_DepotPrice!$A$10:$A$52=I264)*(M_DepotPrice!$H$10:$H$52=IFERROR(INDEX(M_Depot!$A$7:$A$24,MATCH(F264,M_Depot!$B$7:$B$24,0)),""))*(M_DepotPrice!$G$10:$G$52="Special"),0)),INDEX(M_DepotPrice!$C$10:$C$52,MATCH(1,(M_DepotPrice!$A$10:$A$52=I264)*(M_DepotPrice!$G$10:$G$52="Default"),0)))</f>
        <v>8898</v>
      </c>
      <c r="N264" s="95">
        <f t="shared" si="7"/>
        <v>31498.92</v>
      </c>
      <c r="O264" s="82" t="str">
        <f t="shared" si="6"/>
        <v>MOS100180|PH004|CK5-33334</v>
      </c>
    </row>
    <row r="265" spans="1:15" ht="15" customHeight="1" x14ac:dyDescent="0.3">
      <c r="A265" s="60" t="s">
        <v>942</v>
      </c>
      <c r="B265" s="60" t="s">
        <v>548</v>
      </c>
      <c r="C265" s="62">
        <v>46179</v>
      </c>
      <c r="D265" s="63" t="s">
        <v>421</v>
      </c>
      <c r="E265" s="66" t="str">
        <f>IFERROR(INDEX(M_User!$A$12:$J$67,MATCH(D265,M_User!$D$12:$D$67,0),3),"UNMAPPED")</f>
        <v>Deodat Francis Materu</v>
      </c>
      <c r="F265" s="65" t="str">
        <f>IFERROR(INDEX(M_User!$A$12:$J$67,MATCH(D265,M_User!$D$12:$D$67,0),5),"UNMAPPED")</f>
        <v>MOS</v>
      </c>
      <c r="G265" s="63" t="s">
        <v>812</v>
      </c>
      <c r="H265" s="69" t="s">
        <v>813</v>
      </c>
      <c r="I265" s="63" t="s">
        <v>240</v>
      </c>
      <c r="J265" s="66" t="str">
        <f>IFERROR(INDEX(M_SKU!$A$18:$J$57,MATCH(I265,M_SKU!$B$18:$B$57,0),1),"UNKNOWN SKU")</f>
        <v>Fanta Fruit Blast Pet 500ML (x12)</v>
      </c>
      <c r="K265" s="63" t="s">
        <v>552</v>
      </c>
      <c r="L265" s="276">
        <v>1</v>
      </c>
      <c r="M265" s="91" cm="1">
        <f t="array" ref="M265">IFERROR(INDEX(M_DepotPrice!$C$10:$C$52,MATCH(1,(M_DepotPrice!$A$10:$A$52=I265)*(M_DepotPrice!$H$10:$H$52=IFERROR(INDEX(M_Depot!$A$7:$A$24,MATCH(F265,M_Depot!$B$7:$B$24,0)),""))*(M_DepotPrice!$G$10:$G$52="Special"),0)),INDEX(M_DepotPrice!$C$10:$C$52,MATCH(1,(M_DepotPrice!$A$10:$A$52=I265)*(M_DepotPrice!$G$10:$G$52="Default"),0)))</f>
        <v>8898</v>
      </c>
      <c r="N265" s="67">
        <f t="shared" si="7"/>
        <v>10499.64</v>
      </c>
      <c r="O265" s="66" t="str">
        <f t="shared" ref="O265:O328" si="8">D265 &amp; "|" &amp; I265 &amp; "|" &amp; K265</f>
        <v>MOS100180|PH006|CK6-33333</v>
      </c>
    </row>
    <row r="266" spans="1:15" ht="15" customHeight="1" x14ac:dyDescent="0.3">
      <c r="A266" s="70" t="s">
        <v>943</v>
      </c>
      <c r="B266" s="70" t="s">
        <v>548</v>
      </c>
      <c r="C266" s="72">
        <v>46179</v>
      </c>
      <c r="D266" s="73" t="s">
        <v>421</v>
      </c>
      <c r="E266" s="76" t="str">
        <f>IFERROR(INDEX(M_User!$A$12:$J$67,MATCH(D266,M_User!$D$12:$D$67,0),3),"UNMAPPED")</f>
        <v>Deodat Francis Materu</v>
      </c>
      <c r="F266" s="75" t="str">
        <f>IFERROR(INDEX(M_User!$A$12:$J$67,MATCH(D266,M_User!$D$12:$D$67,0),5),"UNMAPPED")</f>
        <v>MOS</v>
      </c>
      <c r="G266" s="73" t="s">
        <v>812</v>
      </c>
      <c r="H266" s="92" t="s">
        <v>813</v>
      </c>
      <c r="I266" s="73" t="s">
        <v>240</v>
      </c>
      <c r="J266" s="76" t="str">
        <f>IFERROR(INDEX(M_SKU!$A$18:$J$57,MATCH(I266,M_SKU!$B$18:$B$57,0),1),"UNKNOWN SKU")</f>
        <v>Fanta Fruit Blast Pet 500ML (x12)</v>
      </c>
      <c r="K266" s="73" t="s">
        <v>553</v>
      </c>
      <c r="L266" s="276">
        <v>1</v>
      </c>
      <c r="M266" s="94" cm="1">
        <f t="array" ref="M266">IFERROR(INDEX(M_DepotPrice!$C$10:$C$52,MATCH(1,(M_DepotPrice!$A$10:$A$52=I266)*(M_DepotPrice!$H$10:$H$52=IFERROR(INDEX(M_Depot!$A$7:$A$24,MATCH(F266,M_Depot!$B$7:$B$24,0)),""))*(M_DepotPrice!$G$10:$G$52="Special"),0)),INDEX(M_DepotPrice!$C$10:$C$52,MATCH(1,(M_DepotPrice!$A$10:$A$52=I266)*(M_DepotPrice!$G$10:$G$52="Default"),0)))</f>
        <v>8898</v>
      </c>
      <c r="N266" s="95">
        <f t="shared" ref="N266:N329" si="9">(L266*M266)*1.18</f>
        <v>10499.64</v>
      </c>
      <c r="O266" s="82" t="str">
        <f t="shared" si="8"/>
        <v>MOS100180|PH006|CK6-33334</v>
      </c>
    </row>
    <row r="267" spans="1:15" ht="15" customHeight="1" x14ac:dyDescent="0.3">
      <c r="A267" s="60" t="s">
        <v>944</v>
      </c>
      <c r="B267" s="60" t="s">
        <v>548</v>
      </c>
      <c r="C267" s="62">
        <v>46179</v>
      </c>
      <c r="D267" s="63" t="s">
        <v>421</v>
      </c>
      <c r="E267" s="66" t="str">
        <f>IFERROR(INDEX(M_User!$A$12:$J$67,MATCH(D267,M_User!$D$12:$D$67,0),3),"UNMAPPED")</f>
        <v>Deodat Francis Materu</v>
      </c>
      <c r="F267" s="65" t="str">
        <f>IFERROR(INDEX(M_User!$A$12:$J$67,MATCH(D267,M_User!$D$12:$D$67,0),5),"UNMAPPED")</f>
        <v>MOS</v>
      </c>
      <c r="G267" s="63" t="s">
        <v>812</v>
      </c>
      <c r="H267" s="69" t="s">
        <v>813</v>
      </c>
      <c r="I267" s="63" t="s">
        <v>242</v>
      </c>
      <c r="J267" s="66" t="str">
        <f>IFERROR(INDEX(M_SKU!$A$18:$J$57,MATCH(I267,M_SKU!$B$18:$B$57,0),1),"UNKNOWN SKU")</f>
        <v>Stoney Tangawizi Pet 500 ml ( x12)</v>
      </c>
      <c r="K267" s="63" t="s">
        <v>525</v>
      </c>
      <c r="L267" s="276">
        <v>1</v>
      </c>
      <c r="M267" s="91" cm="1">
        <f t="array" ref="M267">IFERROR(INDEX(M_DepotPrice!$C$10:$C$52,MATCH(1,(M_DepotPrice!$A$10:$A$52=I267)*(M_DepotPrice!$H$10:$H$52=IFERROR(INDEX(M_Depot!$A$7:$A$24,MATCH(F267,M_Depot!$B$7:$B$24,0)),""))*(M_DepotPrice!$G$10:$G$52="Special"),0)),INDEX(M_DepotPrice!$C$10:$C$52,MATCH(1,(M_DepotPrice!$A$10:$A$52=I267)*(M_DepotPrice!$G$10:$G$52="Default"),0)))</f>
        <v>8898</v>
      </c>
      <c r="N267" s="67">
        <f t="shared" si="9"/>
        <v>10499.64</v>
      </c>
      <c r="O267" s="66" t="str">
        <f t="shared" si="8"/>
        <v>MOS100180|PH007|CK6-33375</v>
      </c>
    </row>
    <row r="268" spans="1:15" ht="15" customHeight="1" x14ac:dyDescent="0.3">
      <c r="A268" s="70" t="s">
        <v>945</v>
      </c>
      <c r="B268" s="70" t="s">
        <v>548</v>
      </c>
      <c r="C268" s="72">
        <v>46179</v>
      </c>
      <c r="D268" s="73" t="s">
        <v>421</v>
      </c>
      <c r="E268" s="76" t="str">
        <f>IFERROR(INDEX(M_User!$A$12:$J$67,MATCH(D268,M_User!$D$12:$D$67,0),3),"UNMAPPED")</f>
        <v>Deodat Francis Materu</v>
      </c>
      <c r="F268" s="75" t="str">
        <f>IFERROR(INDEX(M_User!$A$12:$J$67,MATCH(D268,M_User!$D$12:$D$67,0),5),"UNMAPPED")</f>
        <v>MOS</v>
      </c>
      <c r="G268" s="73" t="s">
        <v>812</v>
      </c>
      <c r="H268" s="92" t="s">
        <v>813</v>
      </c>
      <c r="I268" s="73" t="s">
        <v>246</v>
      </c>
      <c r="J268" s="76" t="str">
        <f>IFERROR(INDEX(M_SKU!$A$18:$J$57,MATCH(I268,M_SKU!$B$18:$B$57,0),1),"UNKNOWN SKU")</f>
        <v>Coke Zero Pet 500ML ( X 12)</v>
      </c>
      <c r="K268" s="73" t="s">
        <v>554</v>
      </c>
      <c r="L268" s="276">
        <v>2</v>
      </c>
      <c r="M268" s="94" cm="1">
        <f t="array" ref="M268">IFERROR(INDEX(M_DepotPrice!$C$10:$C$52,MATCH(1,(M_DepotPrice!$A$10:$A$52=I268)*(M_DepotPrice!$H$10:$H$52=IFERROR(INDEX(M_Depot!$A$7:$A$24,MATCH(F268,M_Depot!$B$7:$B$24,0)),""))*(M_DepotPrice!$G$10:$G$52="Special"),0)),INDEX(M_DepotPrice!$C$10:$C$52,MATCH(1,(M_DepotPrice!$A$10:$A$52=I268)*(M_DepotPrice!$G$10:$G$52="Default"),0)))</f>
        <v>8898</v>
      </c>
      <c r="N268" s="95">
        <f t="shared" si="9"/>
        <v>20999.279999999999</v>
      </c>
      <c r="O268" s="82" t="str">
        <f t="shared" si="8"/>
        <v>MOS100180|PH009|CK6-33241</v>
      </c>
    </row>
    <row r="269" spans="1:15" ht="15" customHeight="1" x14ac:dyDescent="0.3">
      <c r="A269" s="60" t="s">
        <v>946</v>
      </c>
      <c r="B269" s="60" t="s">
        <v>548</v>
      </c>
      <c r="C269" s="62">
        <v>46179</v>
      </c>
      <c r="D269" s="63" t="s">
        <v>421</v>
      </c>
      <c r="E269" s="66" t="str">
        <f>IFERROR(INDEX(M_User!$A$12:$J$67,MATCH(D269,M_User!$D$12:$D$67,0),3),"UNMAPPED")</f>
        <v>Deodat Francis Materu</v>
      </c>
      <c r="F269" s="65" t="str">
        <f>IFERROR(INDEX(M_User!$A$12:$J$67,MATCH(D269,M_User!$D$12:$D$67,0),5),"UNMAPPED")</f>
        <v>MOS</v>
      </c>
      <c r="G269" s="63" t="s">
        <v>812</v>
      </c>
      <c r="H269" s="69" t="s">
        <v>813</v>
      </c>
      <c r="I269" s="63" t="s">
        <v>252</v>
      </c>
      <c r="J269" s="66" t="str">
        <f>IFERROR(INDEX(M_SKU!$A$18:$J$57,MATCH(I269,M_SKU!$B$18:$B$57,0),1),"UNKNOWN SKU")</f>
        <v>Sprite Zero Pet 300ML (x 12)</v>
      </c>
      <c r="K269" s="63" t="s">
        <v>545</v>
      </c>
      <c r="L269" s="276">
        <v>1</v>
      </c>
      <c r="M269" s="91" cm="1">
        <f t="array" ref="M269">IFERROR(INDEX(M_DepotPrice!$C$10:$C$52,MATCH(1,(M_DepotPrice!$A$10:$A$52=I269)*(M_DepotPrice!$H$10:$H$52=IFERROR(INDEX(M_Depot!$A$7:$A$24,MATCH(F269,M_Depot!$B$7:$B$24,0)),""))*(M_DepotPrice!$G$10:$G$52="Special"),0)),INDEX(M_DepotPrice!$C$10:$C$52,MATCH(1,(M_DepotPrice!$A$10:$A$52=I269)*(M_DepotPrice!$G$10:$G$52="Default"),0)))</f>
        <v>5085</v>
      </c>
      <c r="N269" s="67">
        <f t="shared" si="9"/>
        <v>6000.2999999999993</v>
      </c>
      <c r="O269" s="66" t="str">
        <f t="shared" si="8"/>
        <v>MOS100180|PO010|CK5-33360</v>
      </c>
    </row>
    <row r="270" spans="1:15" ht="15" customHeight="1" x14ac:dyDescent="0.3">
      <c r="A270" s="70" t="s">
        <v>947</v>
      </c>
      <c r="B270" s="70" t="s">
        <v>548</v>
      </c>
      <c r="C270" s="72">
        <v>46179</v>
      </c>
      <c r="D270" s="73" t="s">
        <v>421</v>
      </c>
      <c r="E270" s="76" t="str">
        <f>IFERROR(INDEX(M_User!$A$12:$J$67,MATCH(D270,M_User!$D$12:$D$67,0),3),"UNMAPPED")</f>
        <v>Deodat Francis Materu</v>
      </c>
      <c r="F270" s="75" t="str">
        <f>IFERROR(INDEX(M_User!$A$12:$J$67,MATCH(D270,M_User!$D$12:$D$67,0),5),"UNMAPPED")</f>
        <v>MOS</v>
      </c>
      <c r="G270" s="73" t="s">
        <v>812</v>
      </c>
      <c r="H270" s="92" t="s">
        <v>813</v>
      </c>
      <c r="I270" s="73" t="s">
        <v>261</v>
      </c>
      <c r="J270" s="76" t="str">
        <f>IFERROR(INDEX(M_SKU!$A$18:$J$57,MATCH(I270,M_SKU!$B$18:$B$57,0),1),"UNKNOWN SKU")</f>
        <v>Sparletta Pine Apple Pet 300ML (x 12)</v>
      </c>
      <c r="K270" s="73" t="s">
        <v>547</v>
      </c>
      <c r="L270" s="276">
        <v>2</v>
      </c>
      <c r="M270" s="94" cm="1">
        <f t="array" ref="M270">IFERROR(INDEX(M_DepotPrice!$C$10:$C$52,MATCH(1,(M_DepotPrice!$A$10:$A$52=I270)*(M_DepotPrice!$H$10:$H$52=IFERROR(INDEX(M_Depot!$A$7:$A$24,MATCH(F270,M_Depot!$B$7:$B$24,0)),""))*(M_DepotPrice!$G$10:$G$52="Special"),0)),INDEX(M_DepotPrice!$C$10:$C$52,MATCH(1,(M_DepotPrice!$A$10:$A$52=I270)*(M_DepotPrice!$G$10:$G$52="Default"),0)))</f>
        <v>5085</v>
      </c>
      <c r="N270" s="95">
        <f t="shared" si="9"/>
        <v>12000.599999999999</v>
      </c>
      <c r="O270" s="82" t="str">
        <f t="shared" si="8"/>
        <v>MOS100180|PO015|CK5-33366</v>
      </c>
    </row>
    <row r="271" spans="1:15" ht="15" customHeight="1" x14ac:dyDescent="0.3">
      <c r="A271" s="60" t="s">
        <v>948</v>
      </c>
      <c r="B271" s="60" t="s">
        <v>548</v>
      </c>
      <c r="C271" s="62">
        <v>46179</v>
      </c>
      <c r="D271" s="63" t="s">
        <v>421</v>
      </c>
      <c r="E271" s="66" t="str">
        <f>IFERROR(INDEX(M_User!$A$12:$J$67,MATCH(D271,M_User!$D$12:$D$67,0),3),"UNMAPPED")</f>
        <v>Deodat Francis Materu</v>
      </c>
      <c r="F271" s="65" t="str">
        <f>IFERROR(INDEX(M_User!$A$12:$J$67,MATCH(D271,M_User!$D$12:$D$67,0),5),"UNMAPPED")</f>
        <v>MOS</v>
      </c>
      <c r="G271" s="63" t="s">
        <v>949</v>
      </c>
      <c r="H271" s="69" t="s">
        <v>950</v>
      </c>
      <c r="I271" s="63" t="s">
        <v>170</v>
      </c>
      <c r="J271" s="66" t="str">
        <f>IFERROR(INDEX(M_SKU!$A$18:$J$57,MATCH(I271,M_SKU!$B$18:$B$57,0),1),"UNKNOWN SKU")</f>
        <v>Coke RGB 350ml</v>
      </c>
      <c r="K271" s="63" t="s">
        <v>530</v>
      </c>
      <c r="L271" s="276">
        <v>16.503699999999998</v>
      </c>
      <c r="M271" s="91" cm="1">
        <f t="array" ref="M271">IFERROR(INDEX(M_DepotPrice!$C$10:$C$52,MATCH(1,(M_DepotPrice!$A$10:$A$52=I271)*(M_DepotPrice!$H$10:$H$52=IFERROR(INDEX(M_Depot!$A$7:$A$24,MATCH(F271,M_Depot!$B$7:$B$24,0)),""))*(M_DepotPrice!$G$10:$G$52="Special"),0)),INDEX(M_DepotPrice!$C$10:$C$52,MATCH(1,(M_DepotPrice!$A$10:$A$52=I271)*(M_DepotPrice!$G$10:$G$52="Default"),0)))</f>
        <v>11780</v>
      </c>
      <c r="N271" s="67">
        <f t="shared" si="9"/>
        <v>229408.03147999998</v>
      </c>
      <c r="O271" s="66" t="str">
        <f t="shared" si="8"/>
        <v>MOS100180|FG001|CK3-33409</v>
      </c>
    </row>
    <row r="272" spans="1:15" ht="15" customHeight="1" x14ac:dyDescent="0.3">
      <c r="A272" s="70" t="s">
        <v>951</v>
      </c>
      <c r="B272" s="70" t="s">
        <v>548</v>
      </c>
      <c r="C272" s="72">
        <v>46179</v>
      </c>
      <c r="D272" s="73" t="s">
        <v>421</v>
      </c>
      <c r="E272" s="76" t="str">
        <f>IFERROR(INDEX(M_User!$A$12:$J$67,MATCH(D272,M_User!$D$12:$D$67,0),3),"UNMAPPED")</f>
        <v>Deodat Francis Materu</v>
      </c>
      <c r="F272" s="75" t="str">
        <f>IFERROR(INDEX(M_User!$A$12:$J$67,MATCH(D272,M_User!$D$12:$D$67,0),5),"UNMAPPED")</f>
        <v>MOS</v>
      </c>
      <c r="G272" s="73" t="s">
        <v>949</v>
      </c>
      <c r="H272" s="92" t="s">
        <v>950</v>
      </c>
      <c r="I272" s="73" t="s">
        <v>185</v>
      </c>
      <c r="J272" s="76" t="str">
        <f>IFERROR(INDEX(M_SKU!$A$18:$J$57,MATCH(I272,M_SKU!$B$18:$B$57,0),1),"UNKNOWN SKU")</f>
        <v>Fanta Fruit Blast RGB 350 ml</v>
      </c>
      <c r="K272" s="73" t="s">
        <v>534</v>
      </c>
      <c r="L272" s="276">
        <v>2.6842121630690401</v>
      </c>
      <c r="M272" s="94" cm="1">
        <f t="array" ref="M272">IFERROR(INDEX(M_DepotPrice!$C$10:$C$52,MATCH(1,(M_DepotPrice!$A$10:$A$52=I272)*(M_DepotPrice!$H$10:$H$52=IFERROR(INDEX(M_Depot!$A$7:$A$24,MATCH(F272,M_Depot!$B$7:$B$24,0)),""))*(M_DepotPrice!$G$10:$G$52="Special"),0)),INDEX(M_DepotPrice!$C$10:$C$52,MATCH(1,(M_DepotPrice!$A$10:$A$52=I272)*(M_DepotPrice!$G$10:$G$52="Default"),0)))</f>
        <v>11780</v>
      </c>
      <c r="N272" s="95">
        <f t="shared" si="9"/>
        <v>37311.622751524883</v>
      </c>
      <c r="O272" s="82" t="str">
        <f t="shared" si="8"/>
        <v>MOS100180|FG005|CK3-33402</v>
      </c>
    </row>
    <row r="273" spans="1:15" ht="15" customHeight="1" x14ac:dyDescent="0.3">
      <c r="A273" s="60" t="s">
        <v>952</v>
      </c>
      <c r="B273" s="60" t="s">
        <v>548</v>
      </c>
      <c r="C273" s="62">
        <v>46179</v>
      </c>
      <c r="D273" s="63" t="s">
        <v>421</v>
      </c>
      <c r="E273" s="66" t="str">
        <f>IFERROR(INDEX(M_User!$A$12:$J$67,MATCH(D273,M_User!$D$12:$D$67,0),3),"UNMAPPED")</f>
        <v>Deodat Francis Materu</v>
      </c>
      <c r="F273" s="65" t="str">
        <f>IFERROR(INDEX(M_User!$A$12:$J$67,MATCH(D273,M_User!$D$12:$D$67,0),5),"UNMAPPED")</f>
        <v>MOS</v>
      </c>
      <c r="G273" s="63" t="s">
        <v>949</v>
      </c>
      <c r="H273" s="69" t="s">
        <v>950</v>
      </c>
      <c r="I273" s="63" t="s">
        <v>193</v>
      </c>
      <c r="J273" s="66" t="str">
        <f>IFERROR(INDEX(M_SKU!$A$18:$J$57,MATCH(I273,M_SKU!$B$18:$B$57,0),1),"UNKNOWN SKU")</f>
        <v>Sparletta Pinenut RGB 350ml</v>
      </c>
      <c r="K273" s="63" t="s">
        <v>537</v>
      </c>
      <c r="L273" s="276">
        <v>0.904551825068594</v>
      </c>
      <c r="M273" s="91" cm="1">
        <f t="array" ref="M273">IFERROR(INDEX(M_DepotPrice!$C$10:$C$52,MATCH(1,(M_DepotPrice!$A$10:$A$52=I273)*(M_DepotPrice!$H$10:$H$52=IFERROR(INDEX(M_Depot!$A$7:$A$24,MATCH(F273,M_Depot!$B$7:$B$24,0)),""))*(M_DepotPrice!$G$10:$G$52="Special"),0)),INDEX(M_DepotPrice!$C$10:$C$52,MATCH(1,(M_DepotPrice!$A$10:$A$52=I273)*(M_DepotPrice!$G$10:$G$52="Default"),0)))</f>
        <v>11780</v>
      </c>
      <c r="N273" s="67">
        <f t="shared" si="9"/>
        <v>12573.632189183483</v>
      </c>
      <c r="O273" s="66" t="str">
        <f t="shared" si="8"/>
        <v>MOS100180|FG008|CK3-33365</v>
      </c>
    </row>
    <row r="274" spans="1:15" ht="15" customHeight="1" x14ac:dyDescent="0.3">
      <c r="A274" s="70" t="s">
        <v>953</v>
      </c>
      <c r="B274" s="70" t="s">
        <v>548</v>
      </c>
      <c r="C274" s="72">
        <v>46179</v>
      </c>
      <c r="D274" s="73" t="s">
        <v>421</v>
      </c>
      <c r="E274" s="76" t="str">
        <f>IFERROR(INDEX(M_User!$A$12:$J$67,MATCH(D274,M_User!$D$12:$D$67,0),3),"UNMAPPED")</f>
        <v>Deodat Francis Materu</v>
      </c>
      <c r="F274" s="75" t="str">
        <f>IFERROR(INDEX(M_User!$A$12:$J$67,MATCH(D274,M_User!$D$12:$D$67,0),5),"UNMAPPED")</f>
        <v>MOS</v>
      </c>
      <c r="G274" s="73" t="s">
        <v>949</v>
      </c>
      <c r="H274" s="92" t="s">
        <v>950</v>
      </c>
      <c r="I274" s="73" t="s">
        <v>196</v>
      </c>
      <c r="J274" s="76" t="str">
        <f>IFERROR(INDEX(M_SKU!$A$18:$J$57,MATCH(I274,M_SKU!$B$18:$B$57,0),1),"UNKNOWN SKU")</f>
        <v>Krest Bitter Lemon RGB 300ml</v>
      </c>
      <c r="K274" s="73" t="s">
        <v>538</v>
      </c>
      <c r="L274" s="276">
        <v>1.8572480312272599</v>
      </c>
      <c r="M274" s="94" cm="1">
        <f t="array" ref="M274">IFERROR(INDEX(M_DepotPrice!$C$10:$C$52,MATCH(1,(M_DepotPrice!$A$10:$A$52=I274)*(M_DepotPrice!$H$10:$H$52=IFERROR(INDEX(M_Depot!$A$7:$A$24,MATCH(F274,M_Depot!$B$7:$B$24,0)),""))*(M_DepotPrice!$G$10:$G$52="Special"),0)),INDEX(M_DepotPrice!$C$10:$C$52,MATCH(1,(M_DepotPrice!$A$10:$A$52=I274)*(M_DepotPrice!$G$10:$G$52="Default"),0)))</f>
        <v>11780</v>
      </c>
      <c r="N274" s="95">
        <f t="shared" si="9"/>
        <v>25816.490533271401</v>
      </c>
      <c r="O274" s="82" t="str">
        <f t="shared" si="8"/>
        <v>MOS100180|FG009|CK3-33348</v>
      </c>
    </row>
    <row r="275" spans="1:15" ht="15" customHeight="1" x14ac:dyDescent="0.3">
      <c r="A275" s="60" t="s">
        <v>954</v>
      </c>
      <c r="B275" s="60" t="s">
        <v>548</v>
      </c>
      <c r="C275" s="62">
        <v>46179</v>
      </c>
      <c r="D275" s="63" t="s">
        <v>421</v>
      </c>
      <c r="E275" s="66" t="str">
        <f>IFERROR(INDEX(M_User!$A$12:$J$67,MATCH(D275,M_User!$D$12:$D$67,0),3),"UNMAPPED")</f>
        <v>Deodat Francis Materu</v>
      </c>
      <c r="F275" s="65" t="str">
        <f>IFERROR(INDEX(M_User!$A$12:$J$67,MATCH(D275,M_User!$D$12:$D$67,0),5),"UNMAPPED")</f>
        <v>MOS</v>
      </c>
      <c r="G275" s="63" t="s">
        <v>949</v>
      </c>
      <c r="H275" s="69" t="s">
        <v>950</v>
      </c>
      <c r="I275" s="63" t="s">
        <v>199</v>
      </c>
      <c r="J275" s="66" t="str">
        <f>IFERROR(INDEX(M_SKU!$A$18:$J$57,MATCH(I275,M_SKU!$B$18:$B$57,0),1),"UNKNOWN SKU")</f>
        <v>Krest Club Soda RGB 300ml</v>
      </c>
      <c r="K275" s="63" t="s">
        <v>539</v>
      </c>
      <c r="L275" s="276">
        <v>0.56140000000000001</v>
      </c>
      <c r="M275" s="91" cm="1">
        <f t="array" ref="M275">IFERROR(INDEX(M_DepotPrice!$C$10:$C$52,MATCH(1,(M_DepotPrice!$A$10:$A$52=I275)*(M_DepotPrice!$H$10:$H$52=IFERROR(INDEX(M_Depot!$A$7:$A$24,MATCH(F275,M_Depot!$B$7:$B$24,0)),""))*(M_DepotPrice!$G$10:$G$52="Special"),0)),INDEX(M_DepotPrice!$C$10:$C$52,MATCH(1,(M_DepotPrice!$A$10:$A$52=I275)*(M_DepotPrice!$G$10:$G$52="Default"),0)))</f>
        <v>11780</v>
      </c>
      <c r="N275" s="67">
        <f t="shared" si="9"/>
        <v>7803.6845599999997</v>
      </c>
      <c r="O275" s="66" t="str">
        <f t="shared" si="8"/>
        <v>MOS100180|FG010|CK3-33301</v>
      </c>
    </row>
    <row r="276" spans="1:15" ht="15" customHeight="1" x14ac:dyDescent="0.3">
      <c r="A276" s="70" t="s">
        <v>955</v>
      </c>
      <c r="B276" s="70" t="s">
        <v>548</v>
      </c>
      <c r="C276" s="72">
        <v>46179</v>
      </c>
      <c r="D276" s="73" t="s">
        <v>421</v>
      </c>
      <c r="E276" s="76" t="str">
        <f>IFERROR(INDEX(M_User!$A$12:$J$67,MATCH(D276,M_User!$D$12:$D$67,0),3),"UNMAPPED")</f>
        <v>Deodat Francis Materu</v>
      </c>
      <c r="F276" s="75" t="str">
        <f>IFERROR(INDEX(M_User!$A$12:$J$67,MATCH(D276,M_User!$D$12:$D$67,0),5),"UNMAPPED")</f>
        <v>MOS</v>
      </c>
      <c r="G276" s="73" t="s">
        <v>949</v>
      </c>
      <c r="H276" s="92" t="s">
        <v>950</v>
      </c>
      <c r="I276" s="73" t="s">
        <v>201</v>
      </c>
      <c r="J276" s="76" t="str">
        <f>IFERROR(INDEX(M_SKU!$A$18:$J$57,MATCH(I276,M_SKU!$B$18:$B$57,0),1),"UNKNOWN SKU")</f>
        <v>Krest Tonic Water RGB 300ml</v>
      </c>
      <c r="K276" s="73" t="s">
        <v>540</v>
      </c>
      <c r="L276" s="276">
        <v>0.90539999999999998</v>
      </c>
      <c r="M276" s="94" cm="1">
        <f t="array" ref="M276">IFERROR(INDEX(M_DepotPrice!$C$10:$C$52,MATCH(1,(M_DepotPrice!$A$10:$A$52=I276)*(M_DepotPrice!$H$10:$H$52=IFERROR(INDEX(M_Depot!$A$7:$A$24,MATCH(F276,M_Depot!$B$7:$B$24,0)),""))*(M_DepotPrice!$G$10:$G$52="Special"),0)),INDEX(M_DepotPrice!$C$10:$C$52,MATCH(1,(M_DepotPrice!$A$10:$A$52=I276)*(M_DepotPrice!$G$10:$G$52="Default"),0)))</f>
        <v>11780</v>
      </c>
      <c r="N276" s="95">
        <f t="shared" si="9"/>
        <v>12585.422159999998</v>
      </c>
      <c r="O276" s="82" t="str">
        <f t="shared" si="8"/>
        <v>MOS100180|FG011|CK3-33347</v>
      </c>
    </row>
    <row r="277" spans="1:15" ht="15" customHeight="1" x14ac:dyDescent="0.3">
      <c r="A277" s="60" t="s">
        <v>956</v>
      </c>
      <c r="B277" s="60" t="s">
        <v>548</v>
      </c>
      <c r="C277" s="62">
        <v>46179</v>
      </c>
      <c r="D277" s="63" t="s">
        <v>421</v>
      </c>
      <c r="E277" s="66" t="str">
        <f>IFERROR(INDEX(M_User!$A$12:$J$67,MATCH(D277,M_User!$D$12:$D$67,0),3),"UNMAPPED")</f>
        <v>Deodat Francis Materu</v>
      </c>
      <c r="F277" s="65" t="str">
        <f>IFERROR(INDEX(M_User!$A$12:$J$67,MATCH(D277,M_User!$D$12:$D$67,0),5),"UNMAPPED")</f>
        <v>MOS</v>
      </c>
      <c r="G277" s="63" t="s">
        <v>949</v>
      </c>
      <c r="H277" s="69" t="s">
        <v>950</v>
      </c>
      <c r="I277" s="63" t="s">
        <v>209</v>
      </c>
      <c r="J277" s="66" t="str">
        <f>IFERROR(INDEX(M_SKU!$A$18:$J$57,MATCH(I277,M_SKU!$B$18:$B$57,0),1),"UNKNOWN SKU")</f>
        <v>Sparletta Red Apple RGB 350ml</v>
      </c>
      <c r="K277" s="63" t="s">
        <v>542</v>
      </c>
      <c r="L277" s="276">
        <v>0.56659999999999999</v>
      </c>
      <c r="M277" s="91" cm="1">
        <f t="array" ref="M277">IFERROR(INDEX(M_DepotPrice!$C$10:$C$52,MATCH(1,(M_DepotPrice!$A$10:$A$52=I277)*(M_DepotPrice!$H$10:$H$52=IFERROR(INDEX(M_Depot!$A$7:$A$24,MATCH(F277,M_Depot!$B$7:$B$24,0)),""))*(M_DepotPrice!$G$10:$G$52="Special"),0)),INDEX(M_DepotPrice!$C$10:$C$52,MATCH(1,(M_DepotPrice!$A$10:$A$52=I277)*(M_DepotPrice!$G$10:$G$52="Default"),0)))</f>
        <v>11780</v>
      </c>
      <c r="N277" s="67">
        <f t="shared" si="9"/>
        <v>7875.9666399999996</v>
      </c>
      <c r="O277" s="66" t="str">
        <f t="shared" si="8"/>
        <v>MOS100180|FG024|CK3-32758</v>
      </c>
    </row>
    <row r="278" spans="1:15" ht="15" customHeight="1" x14ac:dyDescent="0.3">
      <c r="A278" s="70" t="s">
        <v>957</v>
      </c>
      <c r="B278" s="70" t="s">
        <v>548</v>
      </c>
      <c r="C278" s="72">
        <v>46179</v>
      </c>
      <c r="D278" s="73" t="s">
        <v>421</v>
      </c>
      <c r="E278" s="76" t="str">
        <f>IFERROR(INDEX(M_User!$A$12:$J$67,MATCH(D278,M_User!$D$12:$D$67,0),3),"UNMAPPED")</f>
        <v>Deodat Francis Materu</v>
      </c>
      <c r="F278" s="75" t="str">
        <f>IFERROR(INDEX(M_User!$A$12:$J$67,MATCH(D278,M_User!$D$12:$D$67,0),5),"UNMAPPED")</f>
        <v>MOS</v>
      </c>
      <c r="G278" s="73" t="s">
        <v>949</v>
      </c>
      <c r="H278" s="92" t="s">
        <v>950</v>
      </c>
      <c r="I278" s="73" t="s">
        <v>211</v>
      </c>
      <c r="J278" s="76" t="str">
        <f>IFERROR(INDEX(M_SKU!$A$18:$J$57,MATCH(I278,M_SKU!$B$18:$B$57,0),1),"UNKNOWN SKU")</f>
        <v>KNMW 500ml</v>
      </c>
      <c r="K278" s="73" t="s">
        <v>543</v>
      </c>
      <c r="L278" s="276">
        <v>18</v>
      </c>
      <c r="M278" s="94" cm="1">
        <f t="array" ref="M278">IFERROR(INDEX(M_DepotPrice!$C$10:$C$52,MATCH(1,(M_DepotPrice!$A$10:$A$52=I278)*(M_DepotPrice!$H$10:$H$52=IFERROR(INDEX(M_Depot!$A$7:$A$24,MATCH(F278,M_Depot!$B$7:$B$24,0)),""))*(M_DepotPrice!$G$10:$G$52="Special"),0)),INDEX(M_DepotPrice!$C$10:$C$52,MATCH(1,(M_DepotPrice!$A$10:$A$52=I278)*(M_DepotPrice!$G$10:$G$52="Default"),0)))</f>
        <v>3559</v>
      </c>
      <c r="N278" s="95">
        <f t="shared" si="9"/>
        <v>75593.159999999989</v>
      </c>
      <c r="O278" s="82" t="str">
        <f t="shared" si="8"/>
        <v>MOS100180|KD001|CK6-986</v>
      </c>
    </row>
    <row r="279" spans="1:15" ht="15" customHeight="1" x14ac:dyDescent="0.3">
      <c r="A279" s="60" t="s">
        <v>958</v>
      </c>
      <c r="B279" s="60" t="s">
        <v>548</v>
      </c>
      <c r="C279" s="62">
        <v>46179</v>
      </c>
      <c r="D279" s="63" t="s">
        <v>421</v>
      </c>
      <c r="E279" s="66" t="str">
        <f>IFERROR(INDEX(M_User!$A$12:$J$67,MATCH(D279,M_User!$D$12:$D$67,0),3),"UNMAPPED")</f>
        <v>Deodat Francis Materu</v>
      </c>
      <c r="F279" s="65" t="str">
        <f>IFERROR(INDEX(M_User!$A$12:$J$67,MATCH(D279,M_User!$D$12:$D$67,0),5),"UNMAPPED")</f>
        <v>MOS</v>
      </c>
      <c r="G279" s="63" t="s">
        <v>949</v>
      </c>
      <c r="H279" s="69" t="s">
        <v>950</v>
      </c>
      <c r="I279" s="63" t="s">
        <v>217</v>
      </c>
      <c r="J279" s="66" t="str">
        <f>IFERROR(INDEX(M_SKU!$A$18:$J$57,MATCH(I279,M_SKU!$B$18:$B$57,0),1),"UNKNOWN SKU")</f>
        <v>KNMW 1500ml</v>
      </c>
      <c r="K279" s="63" t="s">
        <v>551</v>
      </c>
      <c r="L279" s="276">
        <v>32</v>
      </c>
      <c r="M279" s="91" cm="1">
        <f t="array" ref="M279">IFERROR(INDEX(M_DepotPrice!$C$10:$C$52,MATCH(1,(M_DepotPrice!$A$10:$A$52=I279)*(M_DepotPrice!$H$10:$H$52=IFERROR(INDEX(M_Depot!$A$7:$A$24,MATCH(F279,M_Depot!$B$7:$B$24,0)),""))*(M_DepotPrice!$G$10:$G$52="Special"),0)),INDEX(M_DepotPrice!$C$10:$C$52,MATCH(1,(M_DepotPrice!$A$10:$A$52=I279)*(M_DepotPrice!$G$10:$G$52="Default"),0)))</f>
        <v>3983</v>
      </c>
      <c r="N279" s="67">
        <f t="shared" si="9"/>
        <v>150398.07999999999</v>
      </c>
      <c r="O279" s="66" t="str">
        <f t="shared" si="8"/>
        <v>MOS100180|KD003|CK4-842</v>
      </c>
    </row>
    <row r="280" spans="1:15" ht="15" customHeight="1" x14ac:dyDescent="0.3">
      <c r="A280" s="70" t="s">
        <v>959</v>
      </c>
      <c r="B280" s="70" t="s">
        <v>548</v>
      </c>
      <c r="C280" s="72">
        <v>46179</v>
      </c>
      <c r="D280" s="73" t="s">
        <v>421</v>
      </c>
      <c r="E280" s="76" t="str">
        <f>IFERROR(INDEX(M_User!$A$12:$J$67,MATCH(D280,M_User!$D$12:$D$67,0),3),"UNMAPPED")</f>
        <v>Deodat Francis Materu</v>
      </c>
      <c r="F280" s="75" t="str">
        <f>IFERROR(INDEX(M_User!$A$12:$J$67,MATCH(D280,M_User!$D$12:$D$67,0),5),"UNMAPPED")</f>
        <v>MOS</v>
      </c>
      <c r="G280" s="73" t="s">
        <v>949</v>
      </c>
      <c r="H280" s="92" t="s">
        <v>950</v>
      </c>
      <c r="I280" s="73" t="s">
        <v>232</v>
      </c>
      <c r="J280" s="76" t="str">
        <f>IFERROR(INDEX(M_SKU!$A$18:$J$57,MATCH(I280,M_SKU!$B$18:$B$57,0),1),"UNKNOWN SKU")</f>
        <v>Sprite Pet 500ML (x 12)</v>
      </c>
      <c r="K280" s="73" t="s">
        <v>522</v>
      </c>
      <c r="L280" s="276">
        <v>4</v>
      </c>
      <c r="M280" s="94" cm="1">
        <f t="array" ref="M280">IFERROR(INDEX(M_DepotPrice!$C$10:$C$52,MATCH(1,(M_DepotPrice!$A$10:$A$52=I280)*(M_DepotPrice!$H$10:$H$52=IFERROR(INDEX(M_Depot!$A$7:$A$24,MATCH(F280,M_Depot!$B$7:$B$24,0)),""))*(M_DepotPrice!$G$10:$G$52="Special"),0)),INDEX(M_DepotPrice!$C$10:$C$52,MATCH(1,(M_DepotPrice!$A$10:$A$52=I280)*(M_DepotPrice!$G$10:$G$52="Default"),0)))</f>
        <v>8898</v>
      </c>
      <c r="N280" s="95">
        <f t="shared" si="9"/>
        <v>41998.559999999998</v>
      </c>
      <c r="O280" s="82" t="str">
        <f t="shared" si="8"/>
        <v>MOS100180|PH002|CK6-33362</v>
      </c>
    </row>
    <row r="281" spans="1:15" ht="15" customHeight="1" x14ac:dyDescent="0.3">
      <c r="A281" s="60" t="s">
        <v>960</v>
      </c>
      <c r="B281" s="60" t="s">
        <v>548</v>
      </c>
      <c r="C281" s="62">
        <v>46179</v>
      </c>
      <c r="D281" s="63" t="s">
        <v>421</v>
      </c>
      <c r="E281" s="66" t="str">
        <f>IFERROR(INDEX(M_User!$A$12:$J$67,MATCH(D281,M_User!$D$12:$D$67,0),3),"UNMAPPED")</f>
        <v>Deodat Francis Materu</v>
      </c>
      <c r="F281" s="65" t="str">
        <f>IFERROR(INDEX(M_User!$A$12:$J$67,MATCH(D281,M_User!$D$12:$D$67,0),5),"UNMAPPED")</f>
        <v>MOS</v>
      </c>
      <c r="G281" s="63" t="s">
        <v>949</v>
      </c>
      <c r="H281" s="69" t="s">
        <v>950</v>
      </c>
      <c r="I281" s="63" t="s">
        <v>236</v>
      </c>
      <c r="J281" s="66" t="str">
        <f>IFERROR(INDEX(M_SKU!$A$18:$J$57,MATCH(I281,M_SKU!$B$18:$B$57,0),1),"UNKNOWN SKU")</f>
        <v>Fanta Passion Pet 500ML ( x12)</v>
      </c>
      <c r="K281" s="63" t="s">
        <v>524</v>
      </c>
      <c r="L281" s="276">
        <v>3</v>
      </c>
      <c r="M281" s="91" cm="1">
        <f t="array" ref="M281">IFERROR(INDEX(M_DepotPrice!$C$10:$C$52,MATCH(1,(M_DepotPrice!$A$10:$A$52=I281)*(M_DepotPrice!$H$10:$H$52=IFERROR(INDEX(M_Depot!$A$7:$A$24,MATCH(F281,M_Depot!$B$7:$B$24,0)),""))*(M_DepotPrice!$G$10:$G$52="Special"),0)),INDEX(M_DepotPrice!$C$10:$C$52,MATCH(1,(M_DepotPrice!$A$10:$A$52=I281)*(M_DepotPrice!$G$10:$G$52="Default"),0)))</f>
        <v>8898</v>
      </c>
      <c r="N281" s="67">
        <f t="shared" si="9"/>
        <v>31498.92</v>
      </c>
      <c r="O281" s="66" t="str">
        <f t="shared" si="8"/>
        <v>MOS100180|PH004|CK5-33334</v>
      </c>
    </row>
    <row r="282" spans="1:15" ht="15" customHeight="1" x14ac:dyDescent="0.3">
      <c r="A282" s="70" t="s">
        <v>961</v>
      </c>
      <c r="B282" s="70" t="s">
        <v>548</v>
      </c>
      <c r="C282" s="72">
        <v>46179</v>
      </c>
      <c r="D282" s="73" t="s">
        <v>421</v>
      </c>
      <c r="E282" s="76" t="str">
        <f>IFERROR(INDEX(M_User!$A$12:$J$67,MATCH(D282,M_User!$D$12:$D$67,0),3),"UNMAPPED")</f>
        <v>Deodat Francis Materu</v>
      </c>
      <c r="F282" s="75" t="str">
        <f>IFERROR(INDEX(M_User!$A$12:$J$67,MATCH(D282,M_User!$D$12:$D$67,0),5),"UNMAPPED")</f>
        <v>MOS</v>
      </c>
      <c r="G282" s="73" t="s">
        <v>949</v>
      </c>
      <c r="H282" s="92" t="s">
        <v>950</v>
      </c>
      <c r="I282" s="73" t="s">
        <v>242</v>
      </c>
      <c r="J282" s="76" t="str">
        <f>IFERROR(INDEX(M_SKU!$A$18:$J$57,MATCH(I282,M_SKU!$B$18:$B$57,0),1),"UNKNOWN SKU")</f>
        <v>Stoney Tangawizi Pet 500 ml ( x12)</v>
      </c>
      <c r="K282" s="73" t="s">
        <v>525</v>
      </c>
      <c r="L282" s="276">
        <v>1</v>
      </c>
      <c r="M282" s="94" cm="1">
        <f t="array" ref="M282">IFERROR(INDEX(M_DepotPrice!$C$10:$C$52,MATCH(1,(M_DepotPrice!$A$10:$A$52=I282)*(M_DepotPrice!$H$10:$H$52=IFERROR(INDEX(M_Depot!$A$7:$A$24,MATCH(F282,M_Depot!$B$7:$B$24,0)),""))*(M_DepotPrice!$G$10:$G$52="Special"),0)),INDEX(M_DepotPrice!$C$10:$C$52,MATCH(1,(M_DepotPrice!$A$10:$A$52=I282)*(M_DepotPrice!$G$10:$G$52="Default"),0)))</f>
        <v>8898</v>
      </c>
      <c r="N282" s="95">
        <f t="shared" si="9"/>
        <v>10499.64</v>
      </c>
      <c r="O282" s="82" t="str">
        <f t="shared" si="8"/>
        <v>MOS100180|PH007|CK6-33375</v>
      </c>
    </row>
    <row r="283" spans="1:15" ht="15" customHeight="1" x14ac:dyDescent="0.3">
      <c r="A283" s="60" t="s">
        <v>962</v>
      </c>
      <c r="B283" s="60" t="s">
        <v>548</v>
      </c>
      <c r="C283" s="62">
        <v>46179</v>
      </c>
      <c r="D283" s="63" t="s">
        <v>421</v>
      </c>
      <c r="E283" s="66" t="str">
        <f>IFERROR(INDEX(M_User!$A$12:$J$67,MATCH(D283,M_User!$D$12:$D$67,0),3),"UNMAPPED")</f>
        <v>Deodat Francis Materu</v>
      </c>
      <c r="F283" s="65" t="str">
        <f>IFERROR(INDEX(M_User!$A$12:$J$67,MATCH(D283,M_User!$D$12:$D$67,0),5),"UNMAPPED")</f>
        <v>MOS</v>
      </c>
      <c r="G283" s="63" t="s">
        <v>949</v>
      </c>
      <c r="H283" s="69" t="s">
        <v>950</v>
      </c>
      <c r="I283" s="63" t="s">
        <v>252</v>
      </c>
      <c r="J283" s="66" t="str">
        <f>IFERROR(INDEX(M_SKU!$A$18:$J$57,MATCH(I283,M_SKU!$B$18:$B$57,0),1),"UNKNOWN SKU")</f>
        <v>Sprite Zero Pet 300ML (x 12)</v>
      </c>
      <c r="K283" s="63" t="s">
        <v>545</v>
      </c>
      <c r="L283" s="276">
        <v>1</v>
      </c>
      <c r="M283" s="91" cm="1">
        <f t="array" ref="M283">IFERROR(INDEX(M_DepotPrice!$C$10:$C$52,MATCH(1,(M_DepotPrice!$A$10:$A$52=I283)*(M_DepotPrice!$H$10:$H$52=IFERROR(INDEX(M_Depot!$A$7:$A$24,MATCH(F283,M_Depot!$B$7:$B$24,0)),""))*(M_DepotPrice!$G$10:$G$52="Special"),0)),INDEX(M_DepotPrice!$C$10:$C$52,MATCH(1,(M_DepotPrice!$A$10:$A$52=I283)*(M_DepotPrice!$G$10:$G$52="Default"),0)))</f>
        <v>5085</v>
      </c>
      <c r="N283" s="67">
        <f t="shared" si="9"/>
        <v>6000.2999999999993</v>
      </c>
      <c r="O283" s="66" t="str">
        <f t="shared" si="8"/>
        <v>MOS100180|PO010|CK5-33360</v>
      </c>
    </row>
    <row r="284" spans="1:15" ht="15" customHeight="1" x14ac:dyDescent="0.3">
      <c r="A284" s="70" t="s">
        <v>963</v>
      </c>
      <c r="B284" s="70" t="s">
        <v>548</v>
      </c>
      <c r="C284" s="72">
        <v>46179</v>
      </c>
      <c r="D284" s="73" t="s">
        <v>421</v>
      </c>
      <c r="E284" s="76" t="str">
        <f>IFERROR(INDEX(M_User!$A$12:$J$67,MATCH(D284,M_User!$D$12:$D$67,0),3),"UNMAPPED")</f>
        <v>Deodat Francis Materu</v>
      </c>
      <c r="F284" s="75" t="str">
        <f>IFERROR(INDEX(M_User!$A$12:$J$67,MATCH(D284,M_User!$D$12:$D$67,0),5),"UNMAPPED")</f>
        <v>MOS</v>
      </c>
      <c r="G284" s="73" t="s">
        <v>949</v>
      </c>
      <c r="H284" s="92" t="s">
        <v>950</v>
      </c>
      <c r="I284" s="73" t="s">
        <v>256</v>
      </c>
      <c r="J284" s="76" t="str">
        <f>IFERROR(INDEX(M_SKU!$A$18:$J$57,MATCH(I284,M_SKU!$B$18:$B$57,0),1),"UNKNOWN SKU")</f>
        <v>Sparletta Red Apple Pet 300ML(x 12)</v>
      </c>
      <c r="K284" s="73" t="s">
        <v>555</v>
      </c>
      <c r="L284" s="276">
        <v>1</v>
      </c>
      <c r="M284" s="94" cm="1">
        <f t="array" ref="M284">IFERROR(INDEX(M_DepotPrice!$C$10:$C$52,MATCH(1,(M_DepotPrice!$A$10:$A$52=I284)*(M_DepotPrice!$H$10:$H$52=IFERROR(INDEX(M_Depot!$A$7:$A$24,MATCH(F284,M_Depot!$B$7:$B$24,0)),""))*(M_DepotPrice!$G$10:$G$52="Special"),0)),INDEX(M_DepotPrice!$C$10:$C$52,MATCH(1,(M_DepotPrice!$A$10:$A$52=I284)*(M_DepotPrice!$G$10:$G$52="Default"),0)))</f>
        <v>5085</v>
      </c>
      <c r="N284" s="95">
        <f t="shared" si="9"/>
        <v>6000.2999999999993</v>
      </c>
      <c r="O284" s="82" t="str">
        <f t="shared" si="8"/>
        <v>MOS100180|PO013|CK5-33368</v>
      </c>
    </row>
    <row r="285" spans="1:15" ht="15" customHeight="1" x14ac:dyDescent="0.3">
      <c r="A285" s="60" t="s">
        <v>964</v>
      </c>
      <c r="B285" s="60" t="s">
        <v>583</v>
      </c>
      <c r="C285" s="62">
        <v>46179</v>
      </c>
      <c r="D285" s="63" t="s">
        <v>336</v>
      </c>
      <c r="E285" s="66" t="str">
        <f>IFERROR(INDEX(M_User!$A$12:$J$67,MATCH(D285,M_User!$D$12:$D$67,0),3),"UNMAPPED")</f>
        <v>George Gibson Mmary</v>
      </c>
      <c r="F285" s="65" t="str">
        <f>IFERROR(INDEX(M_User!$A$12:$J$67,MATCH(D285,M_User!$D$12:$D$67,0),5),"UNMAPPED")</f>
        <v>MOS</v>
      </c>
      <c r="G285" s="63" t="s">
        <v>840</v>
      </c>
      <c r="H285" s="69" t="s">
        <v>841</v>
      </c>
      <c r="I285" s="63" t="s">
        <v>178</v>
      </c>
      <c r="J285" s="66" t="str">
        <f>IFERROR(INDEX(M_SKU!$A$18:$J$57,MATCH(I285,M_SKU!$B$18:$B$57,0),1),"UNKNOWN SKU")</f>
        <v>Fanta Orange RGB 350ml</v>
      </c>
      <c r="K285" s="63" t="s">
        <v>531</v>
      </c>
      <c r="L285" s="276">
        <v>10.542899999999999</v>
      </c>
      <c r="M285" s="91" cm="1">
        <f t="array" ref="M285">IFERROR(INDEX(M_DepotPrice!$C$10:$C$52,MATCH(1,(M_DepotPrice!$A$10:$A$52=I285)*(M_DepotPrice!$H$10:$H$52=IFERROR(INDEX(M_Depot!$A$7:$A$24,MATCH(F285,M_Depot!$B$7:$B$24,0)),""))*(M_DepotPrice!$G$10:$G$52="Special"),0)),INDEX(M_DepotPrice!$C$10:$C$52,MATCH(1,(M_DepotPrice!$A$10:$A$52=I285)*(M_DepotPrice!$G$10:$G$52="Default"),0)))</f>
        <v>11780</v>
      </c>
      <c r="N285" s="67">
        <f t="shared" si="9"/>
        <v>146550.52716</v>
      </c>
      <c r="O285" s="66" t="str">
        <f t="shared" si="8"/>
        <v>MOS100200|FG002|CK3-33407</v>
      </c>
    </row>
    <row r="286" spans="1:15" ht="15" customHeight="1" x14ac:dyDescent="0.3">
      <c r="A286" s="70" t="s">
        <v>965</v>
      </c>
      <c r="B286" s="70" t="s">
        <v>583</v>
      </c>
      <c r="C286" s="72">
        <v>46179</v>
      </c>
      <c r="D286" s="73" t="s">
        <v>336</v>
      </c>
      <c r="E286" s="76" t="str">
        <f>IFERROR(INDEX(M_User!$A$12:$J$67,MATCH(D286,M_User!$D$12:$D$67,0),3),"UNMAPPED")</f>
        <v>George Gibson Mmary</v>
      </c>
      <c r="F286" s="75" t="str">
        <f>IFERROR(INDEX(M_User!$A$12:$J$67,MATCH(D286,M_User!$D$12:$D$67,0),5),"UNMAPPED")</f>
        <v>MOS</v>
      </c>
      <c r="G286" s="73" t="s">
        <v>840</v>
      </c>
      <c r="H286" s="92" t="s">
        <v>841</v>
      </c>
      <c r="I286" s="73" t="s">
        <v>185</v>
      </c>
      <c r="J286" s="76" t="str">
        <f>IFERROR(INDEX(M_SKU!$A$18:$J$57,MATCH(I286,M_SKU!$B$18:$B$57,0),1),"UNKNOWN SKU")</f>
        <v>Fanta Fruit Blast RGB 350 ml</v>
      </c>
      <c r="K286" s="73" t="s">
        <v>534</v>
      </c>
      <c r="L286" s="276">
        <v>0.640711926050614</v>
      </c>
      <c r="M286" s="94" cm="1">
        <f t="array" ref="M286">IFERROR(INDEX(M_DepotPrice!$C$10:$C$52,MATCH(1,(M_DepotPrice!$A$10:$A$52=I286)*(M_DepotPrice!$H$10:$H$52=IFERROR(INDEX(M_Depot!$A$7:$A$24,MATCH(F286,M_Depot!$B$7:$B$24,0)),""))*(M_DepotPrice!$G$10:$G$52="Special"),0)),INDEX(M_DepotPrice!$C$10:$C$52,MATCH(1,(M_DepotPrice!$A$10:$A$52=I286)*(M_DepotPrice!$G$10:$G$52="Default"),0)))</f>
        <v>11780</v>
      </c>
      <c r="N286" s="95">
        <f t="shared" si="9"/>
        <v>8906.1520568739543</v>
      </c>
      <c r="O286" s="82" t="str">
        <f t="shared" si="8"/>
        <v>MOS100200|FG005|CK3-33402</v>
      </c>
    </row>
    <row r="287" spans="1:15" ht="15" customHeight="1" x14ac:dyDescent="0.3">
      <c r="A287" s="60" t="s">
        <v>966</v>
      </c>
      <c r="B287" s="60" t="s">
        <v>583</v>
      </c>
      <c r="C287" s="62">
        <v>46179</v>
      </c>
      <c r="D287" s="63" t="s">
        <v>336</v>
      </c>
      <c r="E287" s="66" t="str">
        <f>IFERROR(INDEX(M_User!$A$12:$J$67,MATCH(D287,M_User!$D$12:$D$67,0),3),"UNMAPPED")</f>
        <v>George Gibson Mmary</v>
      </c>
      <c r="F287" s="65" t="str">
        <f>IFERROR(INDEX(M_User!$A$12:$J$67,MATCH(D287,M_User!$D$12:$D$67,0),5),"UNMAPPED")</f>
        <v>MOS</v>
      </c>
      <c r="G287" s="63" t="s">
        <v>840</v>
      </c>
      <c r="H287" s="69" t="s">
        <v>841</v>
      </c>
      <c r="I287" s="63" t="s">
        <v>190</v>
      </c>
      <c r="J287" s="66" t="str">
        <f>IFERROR(INDEX(M_SKU!$A$18:$J$57,MATCH(I287,M_SKU!$B$18:$B$57,0),1),"UNKNOWN SKU")</f>
        <v>Stoney Tangawizi RGB 350ml</v>
      </c>
      <c r="K287" s="63" t="s">
        <v>536</v>
      </c>
      <c r="L287" s="276">
        <v>1.8773</v>
      </c>
      <c r="M287" s="91" cm="1">
        <f t="array" ref="M287">IFERROR(INDEX(M_DepotPrice!$C$10:$C$52,MATCH(1,(M_DepotPrice!$A$10:$A$52=I287)*(M_DepotPrice!$H$10:$H$52=IFERROR(INDEX(M_Depot!$A$7:$A$24,MATCH(F287,M_Depot!$B$7:$B$24,0)),""))*(M_DepotPrice!$G$10:$G$52="Special"),0)),INDEX(M_DepotPrice!$C$10:$C$52,MATCH(1,(M_DepotPrice!$A$10:$A$52=I287)*(M_DepotPrice!$G$10:$G$52="Default"),0)))</f>
        <v>11780</v>
      </c>
      <c r="N287" s="67">
        <f t="shared" si="9"/>
        <v>26095.22092</v>
      </c>
      <c r="O287" s="66" t="str">
        <f t="shared" si="8"/>
        <v>MOS100200|FG007|CK3-33404</v>
      </c>
    </row>
    <row r="288" spans="1:15" ht="15" customHeight="1" x14ac:dyDescent="0.3">
      <c r="A288" s="70" t="s">
        <v>967</v>
      </c>
      <c r="B288" s="70" t="s">
        <v>583</v>
      </c>
      <c r="C288" s="72">
        <v>46179</v>
      </c>
      <c r="D288" s="73" t="s">
        <v>336</v>
      </c>
      <c r="E288" s="76" t="str">
        <f>IFERROR(INDEX(M_User!$A$12:$J$67,MATCH(D288,M_User!$D$12:$D$67,0),3),"UNMAPPED")</f>
        <v>George Gibson Mmary</v>
      </c>
      <c r="F288" s="75" t="str">
        <f>IFERROR(INDEX(M_User!$A$12:$J$67,MATCH(D288,M_User!$D$12:$D$67,0),5),"UNMAPPED")</f>
        <v>MOS</v>
      </c>
      <c r="G288" s="73" t="s">
        <v>840</v>
      </c>
      <c r="H288" s="92" t="s">
        <v>841</v>
      </c>
      <c r="I288" s="73" t="s">
        <v>193</v>
      </c>
      <c r="J288" s="76" t="str">
        <f>IFERROR(INDEX(M_SKU!$A$18:$J$57,MATCH(I288,M_SKU!$B$18:$B$57,0),1),"UNKNOWN SKU")</f>
        <v>Sparletta Pinenut RGB 350ml</v>
      </c>
      <c r="K288" s="73" t="s">
        <v>537</v>
      </c>
      <c r="L288" s="276">
        <v>1.1999516672425401</v>
      </c>
      <c r="M288" s="94" cm="1">
        <f t="array" ref="M288">IFERROR(INDEX(M_DepotPrice!$C$10:$C$52,MATCH(1,(M_DepotPrice!$A$10:$A$52=I288)*(M_DepotPrice!$H$10:$H$52=IFERROR(INDEX(M_Depot!$A$7:$A$24,MATCH(F288,M_Depot!$B$7:$B$24,0)),""))*(M_DepotPrice!$G$10:$G$52="Special"),0)),INDEX(M_DepotPrice!$C$10:$C$52,MATCH(1,(M_DepotPrice!$A$10:$A$52=I288)*(M_DepotPrice!$G$10:$G$52="Default"),0)))</f>
        <v>11780</v>
      </c>
      <c r="N288" s="95">
        <f t="shared" si="9"/>
        <v>16679.808155338204</v>
      </c>
      <c r="O288" s="82" t="str">
        <f t="shared" si="8"/>
        <v>MOS100200|FG008|CK3-33365</v>
      </c>
    </row>
    <row r="289" spans="1:15" ht="15" customHeight="1" x14ac:dyDescent="0.3">
      <c r="A289" s="60" t="s">
        <v>968</v>
      </c>
      <c r="B289" s="60" t="s">
        <v>583</v>
      </c>
      <c r="C289" s="62">
        <v>46179</v>
      </c>
      <c r="D289" s="63" t="s">
        <v>336</v>
      </c>
      <c r="E289" s="66" t="str">
        <f>IFERROR(INDEX(M_User!$A$12:$J$67,MATCH(D289,M_User!$D$12:$D$67,0),3),"UNMAPPED")</f>
        <v>George Gibson Mmary</v>
      </c>
      <c r="F289" s="65" t="str">
        <f>IFERROR(INDEX(M_User!$A$12:$J$67,MATCH(D289,M_User!$D$12:$D$67,0),5),"UNMAPPED")</f>
        <v>MOS</v>
      </c>
      <c r="G289" s="63" t="s">
        <v>840</v>
      </c>
      <c r="H289" s="69" t="s">
        <v>841</v>
      </c>
      <c r="I289" s="63" t="s">
        <v>201</v>
      </c>
      <c r="J289" s="66" t="str">
        <f>IFERROR(INDEX(M_SKU!$A$18:$J$57,MATCH(I289,M_SKU!$B$18:$B$57,0),1),"UNKNOWN SKU")</f>
        <v>Krest Tonic Water RGB 300ml</v>
      </c>
      <c r="K289" s="63" t="s">
        <v>540</v>
      </c>
      <c r="L289" s="276">
        <v>0.44954981145070799</v>
      </c>
      <c r="M289" s="91" cm="1">
        <f t="array" ref="M289">IFERROR(INDEX(M_DepotPrice!$C$10:$C$52,MATCH(1,(M_DepotPrice!$A$10:$A$52=I289)*(M_DepotPrice!$H$10:$H$52=IFERROR(INDEX(M_Depot!$A$7:$A$24,MATCH(F289,M_Depot!$B$7:$B$24,0)),""))*(M_DepotPrice!$G$10:$G$52="Special"),0)),INDEX(M_DepotPrice!$C$10:$C$52,MATCH(1,(M_DepotPrice!$A$10:$A$52=I289)*(M_DepotPrice!$G$10:$G$52="Default"),0)))</f>
        <v>11780</v>
      </c>
      <c r="N289" s="67">
        <f t="shared" si="9"/>
        <v>6248.9221990894202</v>
      </c>
      <c r="O289" s="66" t="str">
        <f t="shared" si="8"/>
        <v>MOS100200|FG011|CK3-33347</v>
      </c>
    </row>
    <row r="290" spans="1:15" ht="15" customHeight="1" x14ac:dyDescent="0.3">
      <c r="A290" s="70" t="s">
        <v>969</v>
      </c>
      <c r="B290" s="70" t="s">
        <v>583</v>
      </c>
      <c r="C290" s="72">
        <v>46179</v>
      </c>
      <c r="D290" s="73" t="s">
        <v>336</v>
      </c>
      <c r="E290" s="76" t="str">
        <f>IFERROR(INDEX(M_User!$A$12:$J$67,MATCH(D290,M_User!$D$12:$D$67,0),3),"UNMAPPED")</f>
        <v>George Gibson Mmary</v>
      </c>
      <c r="F290" s="75" t="str">
        <f>IFERROR(INDEX(M_User!$A$12:$J$67,MATCH(D290,M_User!$D$12:$D$67,0),5),"UNMAPPED")</f>
        <v>MOS</v>
      </c>
      <c r="G290" s="73" t="s">
        <v>840</v>
      </c>
      <c r="H290" s="92" t="s">
        <v>841</v>
      </c>
      <c r="I290" s="73" t="s">
        <v>217</v>
      </c>
      <c r="J290" s="76" t="str">
        <f>IFERROR(INDEX(M_SKU!$A$18:$J$57,MATCH(I290,M_SKU!$B$18:$B$57,0),1),"UNKNOWN SKU")</f>
        <v>KNMW 1500ml</v>
      </c>
      <c r="K290" s="73" t="s">
        <v>551</v>
      </c>
      <c r="L290" s="276">
        <v>12</v>
      </c>
      <c r="M290" s="94" cm="1">
        <f t="array" ref="M290">IFERROR(INDEX(M_DepotPrice!$C$10:$C$52,MATCH(1,(M_DepotPrice!$A$10:$A$52=I290)*(M_DepotPrice!$H$10:$H$52=IFERROR(INDEX(M_Depot!$A$7:$A$24,MATCH(F290,M_Depot!$B$7:$B$24,0)),""))*(M_DepotPrice!$G$10:$G$52="Special"),0)),INDEX(M_DepotPrice!$C$10:$C$52,MATCH(1,(M_DepotPrice!$A$10:$A$52=I290)*(M_DepotPrice!$G$10:$G$52="Default"),0)))</f>
        <v>3983</v>
      </c>
      <c r="N290" s="95">
        <f t="shared" si="9"/>
        <v>56399.28</v>
      </c>
      <c r="O290" s="82" t="str">
        <f t="shared" si="8"/>
        <v>MOS100200|KD003|CK4-842</v>
      </c>
    </row>
    <row r="291" spans="1:15" ht="15" customHeight="1" x14ac:dyDescent="0.3">
      <c r="A291" s="60" t="s">
        <v>970</v>
      </c>
      <c r="B291" s="60" t="s">
        <v>583</v>
      </c>
      <c r="C291" s="62">
        <v>46179</v>
      </c>
      <c r="D291" s="63" t="s">
        <v>336</v>
      </c>
      <c r="E291" s="66" t="str">
        <f>IFERROR(INDEX(M_User!$A$12:$J$67,MATCH(D291,M_User!$D$12:$D$67,0),3),"UNMAPPED")</f>
        <v>George Gibson Mmary</v>
      </c>
      <c r="F291" s="65" t="str">
        <f>IFERROR(INDEX(M_User!$A$12:$J$67,MATCH(D291,M_User!$D$12:$D$67,0),5),"UNMAPPED")</f>
        <v>MOS</v>
      </c>
      <c r="G291" s="63" t="s">
        <v>840</v>
      </c>
      <c r="H291" s="69" t="s">
        <v>841</v>
      </c>
      <c r="I291" s="63" t="s">
        <v>229</v>
      </c>
      <c r="J291" s="66" t="str">
        <f>IFERROR(INDEX(M_SKU!$A$18:$J$57,MATCH(I291,M_SKU!$B$18:$B$57,0),1),"UNKNOWN SKU")</f>
        <v>Coke Pet 500ML ( x12)</v>
      </c>
      <c r="K291" s="63" t="s">
        <v>520</v>
      </c>
      <c r="L291" s="276">
        <v>18</v>
      </c>
      <c r="M291" s="91" cm="1">
        <f t="array" ref="M291">IFERROR(INDEX(M_DepotPrice!$C$10:$C$52,MATCH(1,(M_DepotPrice!$A$10:$A$52=I291)*(M_DepotPrice!$H$10:$H$52=IFERROR(INDEX(M_Depot!$A$7:$A$24,MATCH(F291,M_Depot!$B$7:$B$24,0)),""))*(M_DepotPrice!$G$10:$G$52="Special"),0)),INDEX(M_DepotPrice!$C$10:$C$52,MATCH(1,(M_DepotPrice!$A$10:$A$52=I291)*(M_DepotPrice!$G$10:$G$52="Default"),0)))</f>
        <v>8898</v>
      </c>
      <c r="N291" s="67">
        <f t="shared" si="9"/>
        <v>188993.52</v>
      </c>
      <c r="O291" s="66" t="str">
        <f t="shared" si="8"/>
        <v>MOS100200|PH001|CK6-33411</v>
      </c>
    </row>
    <row r="292" spans="1:15" ht="15" customHeight="1" x14ac:dyDescent="0.3">
      <c r="A292" s="70" t="s">
        <v>971</v>
      </c>
      <c r="B292" s="70" t="s">
        <v>583</v>
      </c>
      <c r="C292" s="72">
        <v>46179</v>
      </c>
      <c r="D292" s="73" t="s">
        <v>336</v>
      </c>
      <c r="E292" s="76" t="str">
        <f>IFERROR(INDEX(M_User!$A$12:$J$67,MATCH(D292,M_User!$D$12:$D$67,0),3),"UNMAPPED")</f>
        <v>George Gibson Mmary</v>
      </c>
      <c r="F292" s="75" t="str">
        <f>IFERROR(INDEX(M_User!$A$12:$J$67,MATCH(D292,M_User!$D$12:$D$67,0),5),"UNMAPPED")</f>
        <v>MOS</v>
      </c>
      <c r="G292" s="73" t="s">
        <v>840</v>
      </c>
      <c r="H292" s="92" t="s">
        <v>841</v>
      </c>
      <c r="I292" s="73" t="s">
        <v>232</v>
      </c>
      <c r="J292" s="76" t="str">
        <f>IFERROR(INDEX(M_SKU!$A$18:$J$57,MATCH(I292,M_SKU!$B$18:$B$57,0),1),"UNKNOWN SKU")</f>
        <v>Sprite Pet 500ML (x 12)</v>
      </c>
      <c r="K292" s="73" t="s">
        <v>522</v>
      </c>
      <c r="L292" s="276">
        <v>3</v>
      </c>
      <c r="M292" s="94" cm="1">
        <f t="array" ref="M292">IFERROR(INDEX(M_DepotPrice!$C$10:$C$52,MATCH(1,(M_DepotPrice!$A$10:$A$52=I292)*(M_DepotPrice!$H$10:$H$52=IFERROR(INDEX(M_Depot!$A$7:$A$24,MATCH(F292,M_Depot!$B$7:$B$24,0)),""))*(M_DepotPrice!$G$10:$G$52="Special"),0)),INDEX(M_DepotPrice!$C$10:$C$52,MATCH(1,(M_DepotPrice!$A$10:$A$52=I292)*(M_DepotPrice!$G$10:$G$52="Default"),0)))</f>
        <v>8898</v>
      </c>
      <c r="N292" s="95">
        <f t="shared" si="9"/>
        <v>31498.92</v>
      </c>
      <c r="O292" s="82" t="str">
        <f t="shared" si="8"/>
        <v>MOS100200|PH002|CK6-33362</v>
      </c>
    </row>
    <row r="293" spans="1:15" ht="15" customHeight="1" x14ac:dyDescent="0.3">
      <c r="A293" s="60" t="s">
        <v>972</v>
      </c>
      <c r="B293" s="60" t="s">
        <v>583</v>
      </c>
      <c r="C293" s="62">
        <v>46179</v>
      </c>
      <c r="D293" s="63" t="s">
        <v>336</v>
      </c>
      <c r="E293" s="66" t="str">
        <f>IFERROR(INDEX(M_User!$A$12:$J$67,MATCH(D293,M_User!$D$12:$D$67,0),3),"UNMAPPED")</f>
        <v>George Gibson Mmary</v>
      </c>
      <c r="F293" s="65" t="str">
        <f>IFERROR(INDEX(M_User!$A$12:$J$67,MATCH(D293,M_User!$D$12:$D$67,0),5),"UNMAPPED")</f>
        <v>MOS</v>
      </c>
      <c r="G293" s="63" t="s">
        <v>840</v>
      </c>
      <c r="H293" s="69" t="s">
        <v>841</v>
      </c>
      <c r="I293" s="63" t="s">
        <v>236</v>
      </c>
      <c r="J293" s="66" t="str">
        <f>IFERROR(INDEX(M_SKU!$A$18:$J$57,MATCH(I293,M_SKU!$B$18:$B$57,0),1),"UNKNOWN SKU")</f>
        <v>Fanta Passion Pet 500ML ( x12)</v>
      </c>
      <c r="K293" s="63" t="s">
        <v>524</v>
      </c>
      <c r="L293" s="276">
        <v>2</v>
      </c>
      <c r="M293" s="91" cm="1">
        <f t="array" ref="M293">IFERROR(INDEX(M_DepotPrice!$C$10:$C$52,MATCH(1,(M_DepotPrice!$A$10:$A$52=I293)*(M_DepotPrice!$H$10:$H$52=IFERROR(INDEX(M_Depot!$A$7:$A$24,MATCH(F293,M_Depot!$B$7:$B$24,0)),""))*(M_DepotPrice!$G$10:$G$52="Special"),0)),INDEX(M_DepotPrice!$C$10:$C$52,MATCH(1,(M_DepotPrice!$A$10:$A$52=I293)*(M_DepotPrice!$G$10:$G$52="Default"),0)))</f>
        <v>8898</v>
      </c>
      <c r="N293" s="67">
        <f t="shared" si="9"/>
        <v>20999.279999999999</v>
      </c>
      <c r="O293" s="66" t="str">
        <f t="shared" si="8"/>
        <v>MOS100200|PH004|CK5-33334</v>
      </c>
    </row>
    <row r="294" spans="1:15" ht="15" customHeight="1" x14ac:dyDescent="0.3">
      <c r="A294" s="70" t="s">
        <v>973</v>
      </c>
      <c r="B294" s="70" t="s">
        <v>583</v>
      </c>
      <c r="C294" s="72">
        <v>46179</v>
      </c>
      <c r="D294" s="73" t="s">
        <v>336</v>
      </c>
      <c r="E294" s="76" t="str">
        <f>IFERROR(INDEX(M_User!$A$12:$J$67,MATCH(D294,M_User!$D$12:$D$67,0),3),"UNMAPPED")</f>
        <v>George Gibson Mmary</v>
      </c>
      <c r="F294" s="75" t="str">
        <f>IFERROR(INDEX(M_User!$A$12:$J$67,MATCH(D294,M_User!$D$12:$D$67,0),5),"UNMAPPED")</f>
        <v>MOS</v>
      </c>
      <c r="G294" s="73" t="s">
        <v>840</v>
      </c>
      <c r="H294" s="92" t="s">
        <v>841</v>
      </c>
      <c r="I294" s="73" t="s">
        <v>242</v>
      </c>
      <c r="J294" s="76" t="str">
        <f>IFERROR(INDEX(M_SKU!$A$18:$J$57,MATCH(I294,M_SKU!$B$18:$B$57,0),1),"UNKNOWN SKU")</f>
        <v>Stoney Tangawizi Pet 500 ml ( x12)</v>
      </c>
      <c r="K294" s="73" t="s">
        <v>525</v>
      </c>
      <c r="L294" s="276">
        <v>2</v>
      </c>
      <c r="M294" s="94" cm="1">
        <f t="array" ref="M294">IFERROR(INDEX(M_DepotPrice!$C$10:$C$52,MATCH(1,(M_DepotPrice!$A$10:$A$52=I294)*(M_DepotPrice!$H$10:$H$52=IFERROR(INDEX(M_Depot!$A$7:$A$24,MATCH(F294,M_Depot!$B$7:$B$24,0)),""))*(M_DepotPrice!$G$10:$G$52="Special"),0)),INDEX(M_DepotPrice!$C$10:$C$52,MATCH(1,(M_DepotPrice!$A$10:$A$52=I294)*(M_DepotPrice!$G$10:$G$52="Default"),0)))</f>
        <v>8898</v>
      </c>
      <c r="N294" s="95">
        <f t="shared" si="9"/>
        <v>20999.279999999999</v>
      </c>
      <c r="O294" s="82" t="str">
        <f t="shared" si="8"/>
        <v>MOS100200|PH007|CK6-33375</v>
      </c>
    </row>
    <row r="295" spans="1:15" ht="15" customHeight="1" x14ac:dyDescent="0.3">
      <c r="A295" s="60" t="s">
        <v>974</v>
      </c>
      <c r="B295" s="60" t="s">
        <v>583</v>
      </c>
      <c r="C295" s="62">
        <v>46179</v>
      </c>
      <c r="D295" s="63" t="s">
        <v>336</v>
      </c>
      <c r="E295" s="66" t="str">
        <f>IFERROR(INDEX(M_User!$A$12:$J$67,MATCH(D295,M_User!$D$12:$D$67,0),3),"UNMAPPED")</f>
        <v>George Gibson Mmary</v>
      </c>
      <c r="F295" s="65" t="str">
        <f>IFERROR(INDEX(M_User!$A$12:$J$67,MATCH(D295,M_User!$D$12:$D$67,0),5),"UNMAPPED")</f>
        <v>MOS</v>
      </c>
      <c r="G295" s="63" t="s">
        <v>840</v>
      </c>
      <c r="H295" s="69" t="s">
        <v>841</v>
      </c>
      <c r="I295" s="63" t="s">
        <v>254</v>
      </c>
      <c r="J295" s="66" t="str">
        <f>IFERROR(INDEX(M_SKU!$A$18:$J$57,MATCH(I295,M_SKU!$B$18:$B$57,0),1),"UNKNOWN SKU")</f>
        <v>Fanta Zero Pet 300ML (x 12)</v>
      </c>
      <c r="K295" s="63" t="s">
        <v>546</v>
      </c>
      <c r="L295" s="276">
        <v>1</v>
      </c>
      <c r="M295" s="91" cm="1">
        <f t="array" ref="M295">IFERROR(INDEX(M_DepotPrice!$C$10:$C$52,MATCH(1,(M_DepotPrice!$A$10:$A$52=I295)*(M_DepotPrice!$H$10:$H$52=IFERROR(INDEX(M_Depot!$A$7:$A$24,MATCH(F295,M_Depot!$B$7:$B$24,0)),""))*(M_DepotPrice!$G$10:$G$52="Special"),0)),INDEX(M_DepotPrice!$C$10:$C$52,MATCH(1,(M_DepotPrice!$A$10:$A$52=I295)*(M_DepotPrice!$G$10:$G$52="Default"),0)))</f>
        <v>5085</v>
      </c>
      <c r="N295" s="67">
        <f t="shared" si="9"/>
        <v>6000.2999999999993</v>
      </c>
      <c r="O295" s="66" t="str">
        <f t="shared" si="8"/>
        <v>MOS100200|PO012|CK5-33369</v>
      </c>
    </row>
    <row r="296" spans="1:15" ht="15" customHeight="1" x14ac:dyDescent="0.3">
      <c r="A296" s="70" t="s">
        <v>975</v>
      </c>
      <c r="B296" s="70" t="s">
        <v>583</v>
      </c>
      <c r="C296" s="72">
        <v>46179</v>
      </c>
      <c r="D296" s="73" t="s">
        <v>336</v>
      </c>
      <c r="E296" s="76" t="str">
        <f>IFERROR(INDEX(M_User!$A$12:$J$67,MATCH(D296,M_User!$D$12:$D$67,0),3),"UNMAPPED")</f>
        <v>George Gibson Mmary</v>
      </c>
      <c r="F296" s="75" t="str">
        <f>IFERROR(INDEX(M_User!$A$12:$J$67,MATCH(D296,M_User!$D$12:$D$67,0),5),"UNMAPPED")</f>
        <v>MOS</v>
      </c>
      <c r="G296" s="73" t="s">
        <v>756</v>
      </c>
      <c r="H296" s="92" t="s">
        <v>757</v>
      </c>
      <c r="I296" s="73" t="s">
        <v>190</v>
      </c>
      <c r="J296" s="76" t="str">
        <f>IFERROR(INDEX(M_SKU!$A$18:$J$57,MATCH(I296,M_SKU!$B$18:$B$57,0),1),"UNKNOWN SKU")</f>
        <v>Stoney Tangawizi RGB 350ml</v>
      </c>
      <c r="K296" s="73" t="s">
        <v>536</v>
      </c>
      <c r="L296" s="276">
        <v>2.0409740882012999</v>
      </c>
      <c r="M296" s="94" cm="1">
        <f t="array" ref="M296">IFERROR(INDEX(M_DepotPrice!$C$10:$C$52,MATCH(1,(M_DepotPrice!$A$10:$A$52=I296)*(M_DepotPrice!$H$10:$H$52=IFERROR(INDEX(M_Depot!$A$7:$A$24,MATCH(F296,M_Depot!$B$7:$B$24,0)),""))*(M_DepotPrice!$G$10:$G$52="Special"),0)),INDEX(M_DepotPrice!$C$10:$C$52,MATCH(1,(M_DepotPrice!$A$10:$A$52=I296)*(M_DepotPrice!$G$10:$G$52="Default"),0)))</f>
        <v>11780</v>
      </c>
      <c r="N296" s="95">
        <f t="shared" si="9"/>
        <v>28370.356215633346</v>
      </c>
      <c r="O296" s="82" t="str">
        <f t="shared" si="8"/>
        <v>MOS100200|FG007|CK3-33404</v>
      </c>
    </row>
    <row r="297" spans="1:15" ht="15" customHeight="1" x14ac:dyDescent="0.3">
      <c r="A297" s="60" t="s">
        <v>976</v>
      </c>
      <c r="B297" s="60" t="s">
        <v>583</v>
      </c>
      <c r="C297" s="62">
        <v>46179</v>
      </c>
      <c r="D297" s="63" t="s">
        <v>336</v>
      </c>
      <c r="E297" s="66" t="str">
        <f>IFERROR(INDEX(M_User!$A$12:$J$67,MATCH(D297,M_User!$D$12:$D$67,0),3),"UNMAPPED")</f>
        <v>George Gibson Mmary</v>
      </c>
      <c r="F297" s="65" t="str">
        <f>IFERROR(INDEX(M_User!$A$12:$J$67,MATCH(D297,M_User!$D$12:$D$67,0),5),"UNMAPPED")</f>
        <v>MOS</v>
      </c>
      <c r="G297" s="63" t="s">
        <v>756</v>
      </c>
      <c r="H297" s="69" t="s">
        <v>757</v>
      </c>
      <c r="I297" s="63" t="s">
        <v>193</v>
      </c>
      <c r="J297" s="66" t="str">
        <f>IFERROR(INDEX(M_SKU!$A$18:$J$57,MATCH(I297,M_SKU!$B$18:$B$57,0),1),"UNKNOWN SKU")</f>
        <v>Sparletta Pinenut RGB 350ml</v>
      </c>
      <c r="K297" s="63" t="s">
        <v>537</v>
      </c>
      <c r="L297" s="276">
        <v>1.3314999999999999</v>
      </c>
      <c r="M297" s="91" cm="1">
        <f t="array" ref="M297">IFERROR(INDEX(M_DepotPrice!$C$10:$C$52,MATCH(1,(M_DepotPrice!$A$10:$A$52=I297)*(M_DepotPrice!$H$10:$H$52=IFERROR(INDEX(M_Depot!$A$7:$A$24,MATCH(F297,M_Depot!$B$7:$B$24,0)),""))*(M_DepotPrice!$G$10:$G$52="Special"),0)),INDEX(M_DepotPrice!$C$10:$C$52,MATCH(1,(M_DepotPrice!$A$10:$A$52=I297)*(M_DepotPrice!$G$10:$G$52="Default"),0)))</f>
        <v>11780</v>
      </c>
      <c r="N297" s="67">
        <f t="shared" si="9"/>
        <v>18508.382599999997</v>
      </c>
      <c r="O297" s="66" t="str">
        <f t="shared" si="8"/>
        <v>MOS100200|FG008|CK3-33365</v>
      </c>
    </row>
    <row r="298" spans="1:15" ht="15" customHeight="1" x14ac:dyDescent="0.3">
      <c r="A298" s="70" t="s">
        <v>977</v>
      </c>
      <c r="B298" s="70" t="s">
        <v>583</v>
      </c>
      <c r="C298" s="72">
        <v>46179</v>
      </c>
      <c r="D298" s="73" t="s">
        <v>336</v>
      </c>
      <c r="E298" s="76" t="str">
        <f>IFERROR(INDEX(M_User!$A$12:$J$67,MATCH(D298,M_User!$D$12:$D$67,0),3),"UNMAPPED")</f>
        <v>George Gibson Mmary</v>
      </c>
      <c r="F298" s="75" t="str">
        <f>IFERROR(INDEX(M_User!$A$12:$J$67,MATCH(D298,M_User!$D$12:$D$67,0),5),"UNMAPPED")</f>
        <v>MOS</v>
      </c>
      <c r="G298" s="73" t="s">
        <v>756</v>
      </c>
      <c r="H298" s="92" t="s">
        <v>757</v>
      </c>
      <c r="I298" s="73" t="s">
        <v>199</v>
      </c>
      <c r="J298" s="76" t="str">
        <f>IFERROR(INDEX(M_SKU!$A$18:$J$57,MATCH(I298,M_SKU!$B$18:$B$57,0),1),"UNKNOWN SKU")</f>
        <v>Krest Club Soda RGB 300ml</v>
      </c>
      <c r="K298" s="73" t="s">
        <v>539</v>
      </c>
      <c r="L298" s="276">
        <v>0.88629999999999998</v>
      </c>
      <c r="M298" s="94" cm="1">
        <f t="array" ref="M298">IFERROR(INDEX(M_DepotPrice!$C$10:$C$52,MATCH(1,(M_DepotPrice!$A$10:$A$52=I298)*(M_DepotPrice!$H$10:$H$52=IFERROR(INDEX(M_Depot!$A$7:$A$24,MATCH(F298,M_Depot!$B$7:$B$24,0)),""))*(M_DepotPrice!$G$10:$G$52="Special"),0)),INDEX(M_DepotPrice!$C$10:$C$52,MATCH(1,(M_DepotPrice!$A$10:$A$52=I298)*(M_DepotPrice!$G$10:$G$52="Default"),0)))</f>
        <v>11780</v>
      </c>
      <c r="N298" s="95">
        <f t="shared" si="9"/>
        <v>12319.924519999999</v>
      </c>
      <c r="O298" s="82" t="str">
        <f t="shared" si="8"/>
        <v>MOS100200|FG010|CK3-33301</v>
      </c>
    </row>
    <row r="299" spans="1:15" ht="15" customHeight="1" x14ac:dyDescent="0.3">
      <c r="A299" s="60" t="s">
        <v>978</v>
      </c>
      <c r="B299" s="60" t="s">
        <v>583</v>
      </c>
      <c r="C299" s="62">
        <v>46179</v>
      </c>
      <c r="D299" s="63" t="s">
        <v>336</v>
      </c>
      <c r="E299" s="66" t="str">
        <f>IFERROR(INDEX(M_User!$A$12:$J$67,MATCH(D299,M_User!$D$12:$D$67,0),3),"UNMAPPED")</f>
        <v>George Gibson Mmary</v>
      </c>
      <c r="F299" s="65" t="str">
        <f>IFERROR(INDEX(M_User!$A$12:$J$67,MATCH(D299,M_User!$D$12:$D$67,0),5),"UNMAPPED")</f>
        <v>MOS</v>
      </c>
      <c r="G299" s="63" t="s">
        <v>756</v>
      </c>
      <c r="H299" s="69" t="s">
        <v>757</v>
      </c>
      <c r="I299" s="63" t="s">
        <v>244</v>
      </c>
      <c r="J299" s="66" t="str">
        <f>IFERROR(INDEX(M_SKU!$A$18:$J$57,MATCH(I299,M_SKU!$B$18:$B$57,0),1),"UNKNOWN SKU")</f>
        <v>Sparletta Pinenut Pet 500 ml ( x12)</v>
      </c>
      <c r="K299" s="63" t="s">
        <v>526</v>
      </c>
      <c r="L299" s="276">
        <v>1</v>
      </c>
      <c r="M299" s="91" cm="1">
        <f t="array" ref="M299">IFERROR(INDEX(M_DepotPrice!$C$10:$C$52,MATCH(1,(M_DepotPrice!$A$10:$A$52=I299)*(M_DepotPrice!$H$10:$H$52=IFERROR(INDEX(M_Depot!$A$7:$A$24,MATCH(F299,M_Depot!$B$7:$B$24,0)),""))*(M_DepotPrice!$G$10:$G$52="Special"),0)),INDEX(M_DepotPrice!$C$10:$C$52,MATCH(1,(M_DepotPrice!$A$10:$A$52=I299)*(M_DepotPrice!$G$10:$G$52="Default"),0)))</f>
        <v>8898</v>
      </c>
      <c r="N299" s="67">
        <f t="shared" si="9"/>
        <v>10499.64</v>
      </c>
      <c r="O299" s="66" t="str">
        <f t="shared" si="8"/>
        <v>MOS100200|PH008|CK5-33370</v>
      </c>
    </row>
    <row r="300" spans="1:15" ht="15" customHeight="1" x14ac:dyDescent="0.3">
      <c r="A300" s="70" t="s">
        <v>979</v>
      </c>
      <c r="B300" s="70" t="s">
        <v>583</v>
      </c>
      <c r="C300" s="72">
        <v>46179</v>
      </c>
      <c r="D300" s="73" t="s">
        <v>336</v>
      </c>
      <c r="E300" s="76" t="str">
        <f>IFERROR(INDEX(M_User!$A$12:$J$67,MATCH(D300,M_User!$D$12:$D$67,0),3),"UNMAPPED")</f>
        <v>George Gibson Mmary</v>
      </c>
      <c r="F300" s="75" t="str">
        <f>IFERROR(INDEX(M_User!$A$12:$J$67,MATCH(D300,M_User!$D$12:$D$67,0),5),"UNMAPPED")</f>
        <v>MOS</v>
      </c>
      <c r="G300" s="73" t="s">
        <v>756</v>
      </c>
      <c r="H300" s="92" t="s">
        <v>757</v>
      </c>
      <c r="I300" s="73" t="s">
        <v>254</v>
      </c>
      <c r="J300" s="76" t="str">
        <f>IFERROR(INDEX(M_SKU!$A$18:$J$57,MATCH(I300,M_SKU!$B$18:$B$57,0),1),"UNKNOWN SKU")</f>
        <v>Fanta Zero Pet 300ML (x 12)</v>
      </c>
      <c r="K300" s="73" t="s">
        <v>546</v>
      </c>
      <c r="L300" s="276">
        <v>1</v>
      </c>
      <c r="M300" s="94" cm="1">
        <f t="array" ref="M300">IFERROR(INDEX(M_DepotPrice!$C$10:$C$52,MATCH(1,(M_DepotPrice!$A$10:$A$52=I300)*(M_DepotPrice!$H$10:$H$52=IFERROR(INDEX(M_Depot!$A$7:$A$24,MATCH(F300,M_Depot!$B$7:$B$24,0)),""))*(M_DepotPrice!$G$10:$G$52="Special"),0)),INDEX(M_DepotPrice!$C$10:$C$52,MATCH(1,(M_DepotPrice!$A$10:$A$52=I300)*(M_DepotPrice!$G$10:$G$52="Default"),0)))</f>
        <v>5085</v>
      </c>
      <c r="N300" s="95">
        <f t="shared" si="9"/>
        <v>6000.2999999999993</v>
      </c>
      <c r="O300" s="82" t="str">
        <f t="shared" si="8"/>
        <v>MOS100200|PO012|CK5-33369</v>
      </c>
    </row>
    <row r="301" spans="1:15" ht="15" customHeight="1" x14ac:dyDescent="0.3">
      <c r="A301" s="60" t="s">
        <v>980</v>
      </c>
      <c r="B301" s="60" t="s">
        <v>583</v>
      </c>
      <c r="C301" s="62">
        <v>46179</v>
      </c>
      <c r="D301" s="63" t="s">
        <v>336</v>
      </c>
      <c r="E301" s="66" t="str">
        <f>IFERROR(INDEX(M_User!$A$12:$J$67,MATCH(D301,M_User!$D$12:$D$67,0),3),"UNMAPPED")</f>
        <v>George Gibson Mmary</v>
      </c>
      <c r="F301" s="65" t="str">
        <f>IFERROR(INDEX(M_User!$A$12:$J$67,MATCH(D301,M_User!$D$12:$D$67,0),5),"UNMAPPED")</f>
        <v>MOS</v>
      </c>
      <c r="G301" s="63" t="s">
        <v>904</v>
      </c>
      <c r="H301" s="69" t="s">
        <v>905</v>
      </c>
      <c r="I301" s="63" t="s">
        <v>178</v>
      </c>
      <c r="J301" s="66" t="str">
        <f>IFERROR(INDEX(M_SKU!$A$18:$J$57,MATCH(I301,M_SKU!$B$18:$B$57,0),1),"UNKNOWN SKU")</f>
        <v>Fanta Orange RGB 350ml</v>
      </c>
      <c r="K301" s="63" t="s">
        <v>531</v>
      </c>
      <c r="L301" s="276">
        <v>6.45000675795856</v>
      </c>
      <c r="M301" s="91" cm="1">
        <f t="array" ref="M301">IFERROR(INDEX(M_DepotPrice!$C$10:$C$52,MATCH(1,(M_DepotPrice!$A$10:$A$52=I301)*(M_DepotPrice!$H$10:$H$52=IFERROR(INDEX(M_Depot!$A$7:$A$24,MATCH(F301,M_Depot!$B$7:$B$24,0)),""))*(M_DepotPrice!$G$10:$G$52="Special"),0)),INDEX(M_DepotPrice!$C$10:$C$52,MATCH(1,(M_DepotPrice!$A$10:$A$52=I301)*(M_DepotPrice!$G$10:$G$52="Default"),0)))</f>
        <v>11780</v>
      </c>
      <c r="N301" s="67">
        <f t="shared" si="9"/>
        <v>89657.673938327163</v>
      </c>
      <c r="O301" s="66" t="str">
        <f t="shared" si="8"/>
        <v>MOS100200|FG002|CK3-33407</v>
      </c>
    </row>
    <row r="302" spans="1:15" ht="15" customHeight="1" x14ac:dyDescent="0.3">
      <c r="A302" s="70" t="s">
        <v>981</v>
      </c>
      <c r="B302" s="70" t="s">
        <v>583</v>
      </c>
      <c r="C302" s="72">
        <v>46179</v>
      </c>
      <c r="D302" s="73" t="s">
        <v>336</v>
      </c>
      <c r="E302" s="76" t="str">
        <f>IFERROR(INDEX(M_User!$A$12:$J$67,MATCH(D302,M_User!$D$12:$D$67,0),3),"UNMAPPED")</f>
        <v>George Gibson Mmary</v>
      </c>
      <c r="F302" s="75" t="str">
        <f>IFERROR(INDEX(M_User!$A$12:$J$67,MATCH(D302,M_User!$D$12:$D$67,0),5),"UNMAPPED")</f>
        <v>MOS</v>
      </c>
      <c r="G302" s="73" t="s">
        <v>904</v>
      </c>
      <c r="H302" s="92" t="s">
        <v>905</v>
      </c>
      <c r="I302" s="73" t="s">
        <v>181</v>
      </c>
      <c r="J302" s="76" t="str">
        <f>IFERROR(INDEX(M_SKU!$A$18:$J$57,MATCH(I302,M_SKU!$B$18:$B$57,0),1),"UNKNOWN SKU")</f>
        <v>Fanta Passion RGB 350ml</v>
      </c>
      <c r="K302" s="73" t="s">
        <v>550</v>
      </c>
      <c r="L302" s="276">
        <v>1.6706000000000001</v>
      </c>
      <c r="M302" s="94" cm="1">
        <f t="array" ref="M302">IFERROR(INDEX(M_DepotPrice!$C$10:$C$52,MATCH(1,(M_DepotPrice!$A$10:$A$52=I302)*(M_DepotPrice!$H$10:$H$52=IFERROR(INDEX(M_Depot!$A$7:$A$24,MATCH(F302,M_Depot!$B$7:$B$24,0)),""))*(M_DepotPrice!$G$10:$G$52="Special"),0)),INDEX(M_DepotPrice!$C$10:$C$52,MATCH(1,(M_DepotPrice!$A$10:$A$52=I302)*(M_DepotPrice!$G$10:$G$52="Default"),0)))</f>
        <v>11780</v>
      </c>
      <c r="N302" s="95">
        <f t="shared" si="9"/>
        <v>23222.008239999999</v>
      </c>
      <c r="O302" s="82" t="str">
        <f t="shared" si="8"/>
        <v>MOS100200|FG003|CK3-33356</v>
      </c>
    </row>
    <row r="303" spans="1:15" ht="15" customHeight="1" x14ac:dyDescent="0.3">
      <c r="A303" s="60" t="s">
        <v>982</v>
      </c>
      <c r="B303" s="60" t="s">
        <v>583</v>
      </c>
      <c r="C303" s="62">
        <v>46179</v>
      </c>
      <c r="D303" s="63" t="s">
        <v>336</v>
      </c>
      <c r="E303" s="66" t="str">
        <f>IFERROR(INDEX(M_User!$A$12:$J$67,MATCH(D303,M_User!$D$12:$D$67,0),3),"UNMAPPED")</f>
        <v>George Gibson Mmary</v>
      </c>
      <c r="F303" s="65" t="str">
        <f>IFERROR(INDEX(M_User!$A$12:$J$67,MATCH(D303,M_User!$D$12:$D$67,0),5),"UNMAPPED")</f>
        <v>MOS</v>
      </c>
      <c r="G303" s="63" t="s">
        <v>904</v>
      </c>
      <c r="H303" s="69" t="s">
        <v>905</v>
      </c>
      <c r="I303" s="63" t="s">
        <v>183</v>
      </c>
      <c r="J303" s="66" t="str">
        <f>IFERROR(INDEX(M_SKU!$A$18:$J$57,MATCH(I303,M_SKU!$B$18:$B$57,0),1),"UNKNOWN SKU")</f>
        <v>Fanta Pineapple RGB 350ml</v>
      </c>
      <c r="K303" s="63" t="s">
        <v>533</v>
      </c>
      <c r="L303" s="276">
        <v>6.2190000000000003</v>
      </c>
      <c r="M303" s="91" cm="1">
        <f t="array" ref="M303">IFERROR(INDEX(M_DepotPrice!$C$10:$C$52,MATCH(1,(M_DepotPrice!$A$10:$A$52=I303)*(M_DepotPrice!$H$10:$H$52=IFERROR(INDEX(M_Depot!$A$7:$A$24,MATCH(F303,M_Depot!$B$7:$B$24,0)),""))*(M_DepotPrice!$G$10:$G$52="Special"),0)),INDEX(M_DepotPrice!$C$10:$C$52,MATCH(1,(M_DepotPrice!$A$10:$A$52=I303)*(M_DepotPrice!$G$10:$G$52="Default"),0)))</f>
        <v>11780</v>
      </c>
      <c r="N303" s="67">
        <f t="shared" si="9"/>
        <v>86446.587599999999</v>
      </c>
      <c r="O303" s="66" t="str">
        <f t="shared" si="8"/>
        <v>MOS100200|FG004|CK3-33385</v>
      </c>
    </row>
    <row r="304" spans="1:15" ht="15" customHeight="1" x14ac:dyDescent="0.3">
      <c r="A304" s="70" t="s">
        <v>983</v>
      </c>
      <c r="B304" s="70" t="s">
        <v>583</v>
      </c>
      <c r="C304" s="72">
        <v>46179</v>
      </c>
      <c r="D304" s="73" t="s">
        <v>336</v>
      </c>
      <c r="E304" s="76" t="str">
        <f>IFERROR(INDEX(M_User!$A$12:$J$67,MATCH(D304,M_User!$D$12:$D$67,0),3),"UNMAPPED")</f>
        <v>George Gibson Mmary</v>
      </c>
      <c r="F304" s="75" t="str">
        <f>IFERROR(INDEX(M_User!$A$12:$J$67,MATCH(D304,M_User!$D$12:$D$67,0),5),"UNMAPPED")</f>
        <v>MOS</v>
      </c>
      <c r="G304" s="73" t="s">
        <v>904</v>
      </c>
      <c r="H304" s="92" t="s">
        <v>905</v>
      </c>
      <c r="I304" s="73" t="s">
        <v>187</v>
      </c>
      <c r="J304" s="76" t="str">
        <f>IFERROR(INDEX(M_SKU!$A$18:$J$57,MATCH(I304,M_SKU!$B$18:$B$57,0),1),"UNKNOWN SKU")</f>
        <v>Sprite 350ml</v>
      </c>
      <c r="K304" s="73" t="s">
        <v>535</v>
      </c>
      <c r="L304" s="276">
        <v>16.9316</v>
      </c>
      <c r="M304" s="94" cm="1">
        <f t="array" ref="M304">IFERROR(INDEX(M_DepotPrice!$C$10:$C$52,MATCH(1,(M_DepotPrice!$A$10:$A$52=I304)*(M_DepotPrice!$H$10:$H$52=IFERROR(INDEX(M_Depot!$A$7:$A$24,MATCH(F304,M_Depot!$B$7:$B$24,0)),""))*(M_DepotPrice!$G$10:$G$52="Special"),0)),INDEX(M_DepotPrice!$C$10:$C$52,MATCH(1,(M_DepotPrice!$A$10:$A$52=I304)*(M_DepotPrice!$G$10:$G$52="Default"),0)))</f>
        <v>11780</v>
      </c>
      <c r="N304" s="95">
        <f t="shared" si="9"/>
        <v>235356.01263999997</v>
      </c>
      <c r="O304" s="82" t="str">
        <f t="shared" si="8"/>
        <v>MOS100200|FG006|CK3-33414</v>
      </c>
    </row>
    <row r="305" spans="1:15" ht="15" customHeight="1" x14ac:dyDescent="0.3">
      <c r="A305" s="60" t="s">
        <v>984</v>
      </c>
      <c r="B305" s="60" t="s">
        <v>583</v>
      </c>
      <c r="C305" s="62">
        <v>46179</v>
      </c>
      <c r="D305" s="63" t="s">
        <v>336</v>
      </c>
      <c r="E305" s="66" t="str">
        <f>IFERROR(INDEX(M_User!$A$12:$J$67,MATCH(D305,M_User!$D$12:$D$67,0),3),"UNMAPPED")</f>
        <v>George Gibson Mmary</v>
      </c>
      <c r="F305" s="65" t="str">
        <f>IFERROR(INDEX(M_User!$A$12:$J$67,MATCH(D305,M_User!$D$12:$D$67,0),5),"UNMAPPED")</f>
        <v>MOS</v>
      </c>
      <c r="G305" s="63" t="s">
        <v>904</v>
      </c>
      <c r="H305" s="69" t="s">
        <v>905</v>
      </c>
      <c r="I305" s="63" t="s">
        <v>199</v>
      </c>
      <c r="J305" s="66" t="str">
        <f>IFERROR(INDEX(M_SKU!$A$18:$J$57,MATCH(I305,M_SKU!$B$18:$B$57,0),1),"UNKNOWN SKU")</f>
        <v>Krest Club Soda RGB 300ml</v>
      </c>
      <c r="K305" s="63" t="s">
        <v>539</v>
      </c>
      <c r="L305" s="276">
        <v>0.46600000000000003</v>
      </c>
      <c r="M305" s="91" cm="1">
        <f t="array" ref="M305">IFERROR(INDEX(M_DepotPrice!$C$10:$C$52,MATCH(1,(M_DepotPrice!$A$10:$A$52=I305)*(M_DepotPrice!$H$10:$H$52=IFERROR(INDEX(M_Depot!$A$7:$A$24,MATCH(F305,M_Depot!$B$7:$B$24,0)),""))*(M_DepotPrice!$G$10:$G$52="Special"),0)),INDEX(M_DepotPrice!$C$10:$C$52,MATCH(1,(M_DepotPrice!$A$10:$A$52=I305)*(M_DepotPrice!$G$10:$G$52="Default"),0)))</f>
        <v>11780</v>
      </c>
      <c r="N305" s="67">
        <f t="shared" si="9"/>
        <v>6477.5864000000001</v>
      </c>
      <c r="O305" s="66" t="str">
        <f t="shared" si="8"/>
        <v>MOS100200|FG010|CK3-33301</v>
      </c>
    </row>
    <row r="306" spans="1:15" ht="15" customHeight="1" x14ac:dyDescent="0.3">
      <c r="A306" s="70" t="s">
        <v>985</v>
      </c>
      <c r="B306" s="70" t="s">
        <v>583</v>
      </c>
      <c r="C306" s="72">
        <v>46179</v>
      </c>
      <c r="D306" s="73" t="s">
        <v>336</v>
      </c>
      <c r="E306" s="76" t="str">
        <f>IFERROR(INDEX(M_User!$A$12:$J$67,MATCH(D306,M_User!$D$12:$D$67,0),3),"UNMAPPED")</f>
        <v>George Gibson Mmary</v>
      </c>
      <c r="F306" s="75" t="str">
        <f>IFERROR(INDEX(M_User!$A$12:$J$67,MATCH(D306,M_User!$D$12:$D$67,0),5),"UNMAPPED")</f>
        <v>MOS</v>
      </c>
      <c r="G306" s="73" t="s">
        <v>904</v>
      </c>
      <c r="H306" s="92" t="s">
        <v>905</v>
      </c>
      <c r="I306" s="73" t="s">
        <v>203</v>
      </c>
      <c r="J306" s="76" t="str">
        <f>IFERROR(INDEX(M_SKU!$A$18:$J$57,MATCH(I306,M_SKU!$B$18:$B$57,0),1),"UNKNOWN SKU")</f>
        <v>Krest Ginger Ale RGB 300ml</v>
      </c>
      <c r="K306" s="73" t="s">
        <v>541</v>
      </c>
      <c r="L306" s="276">
        <v>1.5310004597854201</v>
      </c>
      <c r="M306" s="94" cm="1">
        <f t="array" ref="M306">IFERROR(INDEX(M_DepotPrice!$C$10:$C$52,MATCH(1,(M_DepotPrice!$A$10:$A$52=I306)*(M_DepotPrice!$H$10:$H$52=IFERROR(INDEX(M_Depot!$A$7:$A$24,MATCH(F306,M_Depot!$B$7:$B$24,0)),""))*(M_DepotPrice!$G$10:$G$52="Special"),0)),INDEX(M_DepotPrice!$C$10:$C$52,MATCH(1,(M_DepotPrice!$A$10:$A$52=I306)*(M_DepotPrice!$G$10:$G$52="Default"),0)))</f>
        <v>11780</v>
      </c>
      <c r="N306" s="95">
        <f t="shared" si="9"/>
        <v>21281.518791201252</v>
      </c>
      <c r="O306" s="82" t="str">
        <f t="shared" si="8"/>
        <v>MOS100200|FG012|CK3-33126</v>
      </c>
    </row>
    <row r="307" spans="1:15" ht="15" customHeight="1" x14ac:dyDescent="0.3">
      <c r="A307" s="60" t="s">
        <v>986</v>
      </c>
      <c r="B307" s="60" t="s">
        <v>583</v>
      </c>
      <c r="C307" s="62">
        <v>46179</v>
      </c>
      <c r="D307" s="63" t="s">
        <v>336</v>
      </c>
      <c r="E307" s="66" t="str">
        <f>IFERROR(INDEX(M_User!$A$12:$J$67,MATCH(D307,M_User!$D$12:$D$67,0),3),"UNMAPPED")</f>
        <v>George Gibson Mmary</v>
      </c>
      <c r="F307" s="65" t="str">
        <f>IFERROR(INDEX(M_User!$A$12:$J$67,MATCH(D307,M_User!$D$12:$D$67,0),5),"UNMAPPED")</f>
        <v>MOS</v>
      </c>
      <c r="G307" s="63" t="s">
        <v>904</v>
      </c>
      <c r="H307" s="69" t="s">
        <v>905</v>
      </c>
      <c r="I307" s="63" t="s">
        <v>217</v>
      </c>
      <c r="J307" s="66" t="str">
        <f>IFERROR(INDEX(M_SKU!$A$18:$J$57,MATCH(I307,M_SKU!$B$18:$B$57,0),1),"UNKNOWN SKU")</f>
        <v>KNMW 1500ml</v>
      </c>
      <c r="K307" s="63" t="s">
        <v>551</v>
      </c>
      <c r="L307" s="276">
        <v>15</v>
      </c>
      <c r="M307" s="91" cm="1">
        <f t="array" ref="M307">IFERROR(INDEX(M_DepotPrice!$C$10:$C$52,MATCH(1,(M_DepotPrice!$A$10:$A$52=I307)*(M_DepotPrice!$H$10:$H$52=IFERROR(INDEX(M_Depot!$A$7:$A$24,MATCH(F307,M_Depot!$B$7:$B$24,0)),""))*(M_DepotPrice!$G$10:$G$52="Special"),0)),INDEX(M_DepotPrice!$C$10:$C$52,MATCH(1,(M_DepotPrice!$A$10:$A$52=I307)*(M_DepotPrice!$G$10:$G$52="Default"),0)))</f>
        <v>3983</v>
      </c>
      <c r="N307" s="67">
        <f t="shared" si="9"/>
        <v>70499.099999999991</v>
      </c>
      <c r="O307" s="66" t="str">
        <f t="shared" si="8"/>
        <v>MOS100200|KD003|CK4-842</v>
      </c>
    </row>
    <row r="308" spans="1:15" ht="15" customHeight="1" x14ac:dyDescent="0.3">
      <c r="A308" s="70" t="s">
        <v>987</v>
      </c>
      <c r="B308" s="70" t="s">
        <v>583</v>
      </c>
      <c r="C308" s="72">
        <v>46179</v>
      </c>
      <c r="D308" s="73" t="s">
        <v>336</v>
      </c>
      <c r="E308" s="76" t="str">
        <f>IFERROR(INDEX(M_User!$A$12:$J$67,MATCH(D308,M_User!$D$12:$D$67,0),3),"UNMAPPED")</f>
        <v>George Gibson Mmary</v>
      </c>
      <c r="F308" s="75" t="str">
        <f>IFERROR(INDEX(M_User!$A$12:$J$67,MATCH(D308,M_User!$D$12:$D$67,0),5),"UNMAPPED")</f>
        <v>MOS</v>
      </c>
      <c r="G308" s="73" t="s">
        <v>904</v>
      </c>
      <c r="H308" s="92" t="s">
        <v>905</v>
      </c>
      <c r="I308" s="73" t="s">
        <v>229</v>
      </c>
      <c r="J308" s="76" t="str">
        <f>IFERROR(INDEX(M_SKU!$A$18:$J$57,MATCH(I308,M_SKU!$B$18:$B$57,0),1),"UNKNOWN SKU")</f>
        <v>Coke Pet 500ML ( x12)</v>
      </c>
      <c r="K308" s="73" t="s">
        <v>520</v>
      </c>
      <c r="L308" s="276">
        <v>24</v>
      </c>
      <c r="M308" s="94" cm="1">
        <f t="array" ref="M308">IFERROR(INDEX(M_DepotPrice!$C$10:$C$52,MATCH(1,(M_DepotPrice!$A$10:$A$52=I308)*(M_DepotPrice!$H$10:$H$52=IFERROR(INDEX(M_Depot!$A$7:$A$24,MATCH(F308,M_Depot!$B$7:$B$24,0)),""))*(M_DepotPrice!$G$10:$G$52="Special"),0)),INDEX(M_DepotPrice!$C$10:$C$52,MATCH(1,(M_DepotPrice!$A$10:$A$52=I308)*(M_DepotPrice!$G$10:$G$52="Default"),0)))</f>
        <v>8898</v>
      </c>
      <c r="N308" s="95">
        <f t="shared" si="9"/>
        <v>251991.36</v>
      </c>
      <c r="O308" s="82" t="str">
        <f t="shared" si="8"/>
        <v>MOS100200|PH001|CK6-33411</v>
      </c>
    </row>
    <row r="309" spans="1:15" ht="15" customHeight="1" x14ac:dyDescent="0.3">
      <c r="A309" s="60" t="s">
        <v>988</v>
      </c>
      <c r="B309" s="60" t="s">
        <v>583</v>
      </c>
      <c r="C309" s="62">
        <v>46179</v>
      </c>
      <c r="D309" s="63" t="s">
        <v>336</v>
      </c>
      <c r="E309" s="66" t="str">
        <f>IFERROR(INDEX(M_User!$A$12:$J$67,MATCH(D309,M_User!$D$12:$D$67,0),3),"UNMAPPED")</f>
        <v>George Gibson Mmary</v>
      </c>
      <c r="F309" s="65" t="str">
        <f>IFERROR(INDEX(M_User!$A$12:$J$67,MATCH(D309,M_User!$D$12:$D$67,0),5),"UNMAPPED")</f>
        <v>MOS</v>
      </c>
      <c r="G309" s="63" t="s">
        <v>904</v>
      </c>
      <c r="H309" s="69" t="s">
        <v>905</v>
      </c>
      <c r="I309" s="63" t="s">
        <v>232</v>
      </c>
      <c r="J309" s="66" t="str">
        <f>IFERROR(INDEX(M_SKU!$A$18:$J$57,MATCH(I309,M_SKU!$B$18:$B$57,0),1),"UNKNOWN SKU")</f>
        <v>Sprite Pet 500ML (x 12)</v>
      </c>
      <c r="K309" s="63" t="s">
        <v>522</v>
      </c>
      <c r="L309" s="276">
        <v>3</v>
      </c>
      <c r="M309" s="91" cm="1">
        <f t="array" ref="M309">IFERROR(INDEX(M_DepotPrice!$C$10:$C$52,MATCH(1,(M_DepotPrice!$A$10:$A$52=I309)*(M_DepotPrice!$H$10:$H$52=IFERROR(INDEX(M_Depot!$A$7:$A$24,MATCH(F309,M_Depot!$B$7:$B$24,0)),""))*(M_DepotPrice!$G$10:$G$52="Special"),0)),INDEX(M_DepotPrice!$C$10:$C$52,MATCH(1,(M_DepotPrice!$A$10:$A$52=I309)*(M_DepotPrice!$G$10:$G$52="Default"),0)))</f>
        <v>8898</v>
      </c>
      <c r="N309" s="67">
        <f t="shared" si="9"/>
        <v>31498.92</v>
      </c>
      <c r="O309" s="66" t="str">
        <f t="shared" si="8"/>
        <v>MOS100200|PH002|CK6-33362</v>
      </c>
    </row>
    <row r="310" spans="1:15" ht="15" customHeight="1" x14ac:dyDescent="0.3">
      <c r="A310" s="70" t="s">
        <v>989</v>
      </c>
      <c r="B310" s="70" t="s">
        <v>583</v>
      </c>
      <c r="C310" s="72">
        <v>46179</v>
      </c>
      <c r="D310" s="73" t="s">
        <v>336</v>
      </c>
      <c r="E310" s="76" t="str">
        <f>IFERROR(INDEX(M_User!$A$12:$J$67,MATCH(D310,M_User!$D$12:$D$67,0),3),"UNMAPPED")</f>
        <v>George Gibson Mmary</v>
      </c>
      <c r="F310" s="75" t="str">
        <f>IFERROR(INDEX(M_User!$A$12:$J$67,MATCH(D310,M_User!$D$12:$D$67,0),5),"UNMAPPED")</f>
        <v>MOS</v>
      </c>
      <c r="G310" s="73" t="s">
        <v>904</v>
      </c>
      <c r="H310" s="92" t="s">
        <v>905</v>
      </c>
      <c r="I310" s="73" t="s">
        <v>236</v>
      </c>
      <c r="J310" s="76" t="str">
        <f>IFERROR(INDEX(M_SKU!$A$18:$J$57,MATCH(I310,M_SKU!$B$18:$B$57,0),1),"UNKNOWN SKU")</f>
        <v>Fanta Passion Pet 500ML ( x12)</v>
      </c>
      <c r="K310" s="73" t="s">
        <v>524</v>
      </c>
      <c r="L310" s="276">
        <v>2</v>
      </c>
      <c r="M310" s="94" cm="1">
        <f t="array" ref="M310">IFERROR(INDEX(M_DepotPrice!$C$10:$C$52,MATCH(1,(M_DepotPrice!$A$10:$A$52=I310)*(M_DepotPrice!$H$10:$H$52=IFERROR(INDEX(M_Depot!$A$7:$A$24,MATCH(F310,M_Depot!$B$7:$B$24,0)),""))*(M_DepotPrice!$G$10:$G$52="Special"),0)),INDEX(M_DepotPrice!$C$10:$C$52,MATCH(1,(M_DepotPrice!$A$10:$A$52=I310)*(M_DepotPrice!$G$10:$G$52="Default"),0)))</f>
        <v>8898</v>
      </c>
      <c r="N310" s="95">
        <f t="shared" si="9"/>
        <v>20999.279999999999</v>
      </c>
      <c r="O310" s="82" t="str">
        <f t="shared" si="8"/>
        <v>MOS100200|PH004|CK5-33334</v>
      </c>
    </row>
    <row r="311" spans="1:15" ht="15" customHeight="1" x14ac:dyDescent="0.3">
      <c r="A311" s="60" t="s">
        <v>990</v>
      </c>
      <c r="B311" s="60" t="s">
        <v>583</v>
      </c>
      <c r="C311" s="62">
        <v>46179</v>
      </c>
      <c r="D311" s="63" t="s">
        <v>336</v>
      </c>
      <c r="E311" s="66" t="str">
        <f>IFERROR(INDEX(M_User!$A$12:$J$67,MATCH(D311,M_User!$D$12:$D$67,0),3),"UNMAPPED")</f>
        <v>George Gibson Mmary</v>
      </c>
      <c r="F311" s="65" t="str">
        <f>IFERROR(INDEX(M_User!$A$12:$J$67,MATCH(D311,M_User!$D$12:$D$67,0),5),"UNMAPPED")</f>
        <v>MOS</v>
      </c>
      <c r="G311" s="63" t="s">
        <v>904</v>
      </c>
      <c r="H311" s="69" t="s">
        <v>905</v>
      </c>
      <c r="I311" s="63" t="s">
        <v>242</v>
      </c>
      <c r="J311" s="66" t="str">
        <f>IFERROR(INDEX(M_SKU!$A$18:$J$57,MATCH(I311,M_SKU!$B$18:$B$57,0),1),"UNKNOWN SKU")</f>
        <v>Stoney Tangawizi Pet 500 ml ( x12)</v>
      </c>
      <c r="K311" s="63" t="s">
        <v>525</v>
      </c>
      <c r="L311" s="276">
        <v>3</v>
      </c>
      <c r="M311" s="91" cm="1">
        <f t="array" ref="M311">IFERROR(INDEX(M_DepotPrice!$C$10:$C$52,MATCH(1,(M_DepotPrice!$A$10:$A$52=I311)*(M_DepotPrice!$H$10:$H$52=IFERROR(INDEX(M_Depot!$A$7:$A$24,MATCH(F311,M_Depot!$B$7:$B$24,0)),""))*(M_DepotPrice!$G$10:$G$52="Special"),0)),INDEX(M_DepotPrice!$C$10:$C$52,MATCH(1,(M_DepotPrice!$A$10:$A$52=I311)*(M_DepotPrice!$G$10:$G$52="Default"),0)))</f>
        <v>8898</v>
      </c>
      <c r="N311" s="67">
        <f t="shared" si="9"/>
        <v>31498.92</v>
      </c>
      <c r="O311" s="66" t="str">
        <f t="shared" si="8"/>
        <v>MOS100200|PH007|CK6-33375</v>
      </c>
    </row>
    <row r="312" spans="1:15" ht="15" customHeight="1" x14ac:dyDescent="0.3">
      <c r="A312" s="70" t="s">
        <v>991</v>
      </c>
      <c r="B312" s="70" t="s">
        <v>583</v>
      </c>
      <c r="C312" s="72">
        <v>46179</v>
      </c>
      <c r="D312" s="73" t="s">
        <v>336</v>
      </c>
      <c r="E312" s="76" t="str">
        <f>IFERROR(INDEX(M_User!$A$12:$J$67,MATCH(D312,M_User!$D$12:$D$67,0),3),"UNMAPPED")</f>
        <v>George Gibson Mmary</v>
      </c>
      <c r="F312" s="75" t="str">
        <f>IFERROR(INDEX(M_User!$A$12:$J$67,MATCH(D312,M_User!$D$12:$D$67,0),5),"UNMAPPED")</f>
        <v>MOS</v>
      </c>
      <c r="G312" s="73" t="s">
        <v>869</v>
      </c>
      <c r="H312" s="92" t="s">
        <v>870</v>
      </c>
      <c r="I312" s="73" t="s">
        <v>170</v>
      </c>
      <c r="J312" s="76" t="str">
        <f>IFERROR(INDEX(M_SKU!$A$18:$J$57,MATCH(I312,M_SKU!$B$18:$B$57,0),1),"UNKNOWN SKU")</f>
        <v>Coke RGB 350ml</v>
      </c>
      <c r="K312" s="73" t="s">
        <v>585</v>
      </c>
      <c r="L312" s="276">
        <v>34.785400000000003</v>
      </c>
      <c r="M312" s="94" cm="1">
        <f t="array" ref="M312">IFERROR(INDEX(M_DepotPrice!$C$10:$C$52,MATCH(1,(M_DepotPrice!$A$10:$A$52=I312)*(M_DepotPrice!$H$10:$H$52=IFERROR(INDEX(M_Depot!$A$7:$A$24,MATCH(F312,M_Depot!$B$7:$B$24,0)),""))*(M_DepotPrice!$G$10:$G$52="Special"),0)),INDEX(M_DepotPrice!$C$10:$C$52,MATCH(1,(M_DepotPrice!$A$10:$A$52=I312)*(M_DepotPrice!$G$10:$G$52="Default"),0)))</f>
        <v>11780</v>
      </c>
      <c r="N312" s="95">
        <f t="shared" si="9"/>
        <v>483530.97416000004</v>
      </c>
      <c r="O312" s="82" t="str">
        <f t="shared" si="8"/>
        <v>MOS100200|FG001|CK3-33410</v>
      </c>
    </row>
    <row r="313" spans="1:15" ht="15" customHeight="1" x14ac:dyDescent="0.3">
      <c r="A313" s="60" t="s">
        <v>992</v>
      </c>
      <c r="B313" s="60" t="s">
        <v>583</v>
      </c>
      <c r="C313" s="62">
        <v>46179</v>
      </c>
      <c r="D313" s="63" t="s">
        <v>336</v>
      </c>
      <c r="E313" s="66" t="str">
        <f>IFERROR(INDEX(M_User!$A$12:$J$67,MATCH(D313,M_User!$D$12:$D$67,0),3),"UNMAPPED")</f>
        <v>George Gibson Mmary</v>
      </c>
      <c r="F313" s="65" t="str">
        <f>IFERROR(INDEX(M_User!$A$12:$J$67,MATCH(D313,M_User!$D$12:$D$67,0),5),"UNMAPPED")</f>
        <v>MOS</v>
      </c>
      <c r="G313" s="63" t="s">
        <v>869</v>
      </c>
      <c r="H313" s="69" t="s">
        <v>870</v>
      </c>
      <c r="I313" s="63" t="s">
        <v>181</v>
      </c>
      <c r="J313" s="66" t="str">
        <f>IFERROR(INDEX(M_SKU!$A$18:$J$57,MATCH(I313,M_SKU!$B$18:$B$57,0),1),"UNKNOWN SKU")</f>
        <v>Fanta Passion RGB 350ml</v>
      </c>
      <c r="K313" s="63" t="s">
        <v>550</v>
      </c>
      <c r="L313" s="276">
        <v>3.33906355655559</v>
      </c>
      <c r="M313" s="91" cm="1">
        <f t="array" ref="M313">IFERROR(INDEX(M_DepotPrice!$C$10:$C$52,MATCH(1,(M_DepotPrice!$A$10:$A$52=I313)*(M_DepotPrice!$H$10:$H$52=IFERROR(INDEX(M_Depot!$A$7:$A$24,MATCH(F313,M_Depot!$B$7:$B$24,0)),""))*(M_DepotPrice!$G$10:$G$52="Special"),0)),INDEX(M_DepotPrice!$C$10:$C$52,MATCH(1,(M_DepotPrice!$A$10:$A$52=I313)*(M_DepotPrice!$G$10:$G$52="Default"),0)))</f>
        <v>11780</v>
      </c>
      <c r="N313" s="67">
        <f t="shared" si="9"/>
        <v>46414.31906154532</v>
      </c>
      <c r="O313" s="66" t="str">
        <f t="shared" si="8"/>
        <v>MOS100200|FG003|CK3-33356</v>
      </c>
    </row>
    <row r="314" spans="1:15" ht="15" customHeight="1" x14ac:dyDescent="0.3">
      <c r="A314" s="70" t="s">
        <v>993</v>
      </c>
      <c r="B314" s="70" t="s">
        <v>583</v>
      </c>
      <c r="C314" s="72">
        <v>46179</v>
      </c>
      <c r="D314" s="73" t="s">
        <v>336</v>
      </c>
      <c r="E314" s="76" t="str">
        <f>IFERROR(INDEX(M_User!$A$12:$J$67,MATCH(D314,M_User!$D$12:$D$67,0),3),"UNMAPPED")</f>
        <v>George Gibson Mmary</v>
      </c>
      <c r="F314" s="75" t="str">
        <f>IFERROR(INDEX(M_User!$A$12:$J$67,MATCH(D314,M_User!$D$12:$D$67,0),5),"UNMAPPED")</f>
        <v>MOS</v>
      </c>
      <c r="G314" s="73" t="s">
        <v>869</v>
      </c>
      <c r="H314" s="92" t="s">
        <v>870</v>
      </c>
      <c r="I314" s="73" t="s">
        <v>201</v>
      </c>
      <c r="J314" s="76" t="str">
        <f>IFERROR(INDEX(M_SKU!$A$18:$J$57,MATCH(I314,M_SKU!$B$18:$B$57,0),1),"UNKNOWN SKU")</f>
        <v>Krest Tonic Water RGB 300ml</v>
      </c>
      <c r="K314" s="73" t="s">
        <v>540</v>
      </c>
      <c r="L314" s="276">
        <v>0.84050000000000002</v>
      </c>
      <c r="M314" s="94" cm="1">
        <f t="array" ref="M314">IFERROR(INDEX(M_DepotPrice!$C$10:$C$52,MATCH(1,(M_DepotPrice!$A$10:$A$52=I314)*(M_DepotPrice!$H$10:$H$52=IFERROR(INDEX(M_Depot!$A$7:$A$24,MATCH(F314,M_Depot!$B$7:$B$24,0)),""))*(M_DepotPrice!$G$10:$G$52="Special"),0)),INDEX(M_DepotPrice!$C$10:$C$52,MATCH(1,(M_DepotPrice!$A$10:$A$52=I314)*(M_DepotPrice!$G$10:$G$52="Default"),0)))</f>
        <v>11780</v>
      </c>
      <c r="N314" s="95">
        <f t="shared" si="9"/>
        <v>11683.2862</v>
      </c>
      <c r="O314" s="82" t="str">
        <f t="shared" si="8"/>
        <v>MOS100200|FG011|CK3-33347</v>
      </c>
    </row>
    <row r="315" spans="1:15" ht="15" customHeight="1" x14ac:dyDescent="0.3">
      <c r="A315" s="60" t="s">
        <v>994</v>
      </c>
      <c r="B315" s="60" t="s">
        <v>583</v>
      </c>
      <c r="C315" s="62">
        <v>46179</v>
      </c>
      <c r="D315" s="63" t="s">
        <v>336</v>
      </c>
      <c r="E315" s="66" t="str">
        <f>IFERROR(INDEX(M_User!$A$12:$J$67,MATCH(D315,M_User!$D$12:$D$67,0),3),"UNMAPPED")</f>
        <v>George Gibson Mmary</v>
      </c>
      <c r="F315" s="65" t="str">
        <f>IFERROR(INDEX(M_User!$A$12:$J$67,MATCH(D315,M_User!$D$12:$D$67,0),5),"UNMAPPED")</f>
        <v>MOS</v>
      </c>
      <c r="G315" s="63" t="s">
        <v>869</v>
      </c>
      <c r="H315" s="69" t="s">
        <v>870</v>
      </c>
      <c r="I315" s="63" t="s">
        <v>209</v>
      </c>
      <c r="J315" s="66" t="str">
        <f>IFERROR(INDEX(M_SKU!$A$18:$J$57,MATCH(I315,M_SKU!$B$18:$B$57,0),1),"UNKNOWN SKU")</f>
        <v>Sparletta Red Apple RGB 350ml</v>
      </c>
      <c r="K315" s="63" t="s">
        <v>542</v>
      </c>
      <c r="L315" s="276">
        <v>1.0113241500097201</v>
      </c>
      <c r="M315" s="91" cm="1">
        <f t="array" ref="M315">IFERROR(INDEX(M_DepotPrice!$C$10:$C$52,MATCH(1,(M_DepotPrice!$A$10:$A$52=I315)*(M_DepotPrice!$H$10:$H$52=IFERROR(INDEX(M_Depot!$A$7:$A$24,MATCH(F315,M_Depot!$B$7:$B$24,0)),""))*(M_DepotPrice!$G$10:$G$52="Special"),0)),INDEX(M_DepotPrice!$C$10:$C$52,MATCH(1,(M_DepotPrice!$A$10:$A$52=I315)*(M_DepotPrice!$G$10:$G$52="Default"),0)))</f>
        <v>11780</v>
      </c>
      <c r="N315" s="67">
        <f t="shared" si="9"/>
        <v>14057.810214795112</v>
      </c>
      <c r="O315" s="66" t="str">
        <f t="shared" si="8"/>
        <v>MOS100200|FG024|CK3-32758</v>
      </c>
    </row>
    <row r="316" spans="1:15" ht="15" customHeight="1" x14ac:dyDescent="0.3">
      <c r="A316" s="70" t="s">
        <v>995</v>
      </c>
      <c r="B316" s="70" t="s">
        <v>583</v>
      </c>
      <c r="C316" s="72">
        <v>46179</v>
      </c>
      <c r="D316" s="73" t="s">
        <v>336</v>
      </c>
      <c r="E316" s="76" t="str">
        <f>IFERROR(INDEX(M_User!$A$12:$J$67,MATCH(D316,M_User!$D$12:$D$67,0),3),"UNMAPPED")</f>
        <v>George Gibson Mmary</v>
      </c>
      <c r="F316" s="75" t="str">
        <f>IFERROR(INDEX(M_User!$A$12:$J$67,MATCH(D316,M_User!$D$12:$D$67,0),5),"UNMAPPED")</f>
        <v>MOS</v>
      </c>
      <c r="G316" s="73" t="s">
        <v>869</v>
      </c>
      <c r="H316" s="92" t="s">
        <v>870</v>
      </c>
      <c r="I316" s="73" t="s">
        <v>211</v>
      </c>
      <c r="J316" s="76" t="str">
        <f>IFERROR(INDEX(M_SKU!$A$18:$J$57,MATCH(I316,M_SKU!$B$18:$B$57,0),1),"UNKNOWN SKU")</f>
        <v>KNMW 500ml</v>
      </c>
      <c r="K316" s="73" t="s">
        <v>543</v>
      </c>
      <c r="L316" s="276">
        <v>29</v>
      </c>
      <c r="M316" s="94" cm="1">
        <f t="array" ref="M316">IFERROR(INDEX(M_DepotPrice!$C$10:$C$52,MATCH(1,(M_DepotPrice!$A$10:$A$52=I316)*(M_DepotPrice!$H$10:$H$52=IFERROR(INDEX(M_Depot!$A$7:$A$24,MATCH(F316,M_Depot!$B$7:$B$24,0)),""))*(M_DepotPrice!$G$10:$G$52="Special"),0)),INDEX(M_DepotPrice!$C$10:$C$52,MATCH(1,(M_DepotPrice!$A$10:$A$52=I316)*(M_DepotPrice!$G$10:$G$52="Default"),0)))</f>
        <v>3559</v>
      </c>
      <c r="N316" s="95">
        <f t="shared" si="9"/>
        <v>121788.98</v>
      </c>
      <c r="O316" s="82" t="str">
        <f t="shared" si="8"/>
        <v>MOS100200|KD001|CK6-986</v>
      </c>
    </row>
    <row r="317" spans="1:15" ht="15" customHeight="1" x14ac:dyDescent="0.3">
      <c r="A317" s="60" t="s">
        <v>996</v>
      </c>
      <c r="B317" s="60" t="s">
        <v>583</v>
      </c>
      <c r="C317" s="62">
        <v>46179</v>
      </c>
      <c r="D317" s="63" t="s">
        <v>336</v>
      </c>
      <c r="E317" s="66" t="str">
        <f>IFERROR(INDEX(M_User!$A$12:$J$67,MATCH(D317,M_User!$D$12:$D$67,0),3),"UNMAPPED")</f>
        <v>George Gibson Mmary</v>
      </c>
      <c r="F317" s="65" t="str">
        <f>IFERROR(INDEX(M_User!$A$12:$J$67,MATCH(D317,M_User!$D$12:$D$67,0),5),"UNMAPPED")</f>
        <v>MOS</v>
      </c>
      <c r="G317" s="63" t="s">
        <v>869</v>
      </c>
      <c r="H317" s="69" t="s">
        <v>870</v>
      </c>
      <c r="I317" s="63" t="s">
        <v>217</v>
      </c>
      <c r="J317" s="66" t="str">
        <f>IFERROR(INDEX(M_SKU!$A$18:$J$57,MATCH(I317,M_SKU!$B$18:$B$57,0),1),"UNKNOWN SKU")</f>
        <v>KNMW 1500ml</v>
      </c>
      <c r="K317" s="63" t="s">
        <v>551</v>
      </c>
      <c r="L317" s="276">
        <v>21</v>
      </c>
      <c r="M317" s="91" cm="1">
        <f t="array" ref="M317">IFERROR(INDEX(M_DepotPrice!$C$10:$C$52,MATCH(1,(M_DepotPrice!$A$10:$A$52=I317)*(M_DepotPrice!$H$10:$H$52=IFERROR(INDEX(M_Depot!$A$7:$A$24,MATCH(F317,M_Depot!$B$7:$B$24,0)),""))*(M_DepotPrice!$G$10:$G$52="Special"),0)),INDEX(M_DepotPrice!$C$10:$C$52,MATCH(1,(M_DepotPrice!$A$10:$A$52=I317)*(M_DepotPrice!$G$10:$G$52="Default"),0)))</f>
        <v>3983</v>
      </c>
      <c r="N317" s="67">
        <f t="shared" si="9"/>
        <v>98698.739999999991</v>
      </c>
      <c r="O317" s="66" t="str">
        <f t="shared" si="8"/>
        <v>MOS100200|KD003|CK4-842</v>
      </c>
    </row>
    <row r="318" spans="1:15" ht="15" customHeight="1" x14ac:dyDescent="0.3">
      <c r="A318" s="70" t="s">
        <v>997</v>
      </c>
      <c r="B318" s="70" t="s">
        <v>583</v>
      </c>
      <c r="C318" s="72">
        <v>46179</v>
      </c>
      <c r="D318" s="73" t="s">
        <v>336</v>
      </c>
      <c r="E318" s="76" t="str">
        <f>IFERROR(INDEX(M_User!$A$12:$J$67,MATCH(D318,M_User!$D$12:$D$67,0),3),"UNMAPPED")</f>
        <v>George Gibson Mmary</v>
      </c>
      <c r="F318" s="75" t="str">
        <f>IFERROR(INDEX(M_User!$A$12:$J$67,MATCH(D318,M_User!$D$12:$D$67,0),5),"UNMAPPED")</f>
        <v>MOS</v>
      </c>
      <c r="G318" s="73" t="s">
        <v>869</v>
      </c>
      <c r="H318" s="92" t="s">
        <v>870</v>
      </c>
      <c r="I318" s="73" t="s">
        <v>229</v>
      </c>
      <c r="J318" s="76" t="str">
        <f>IFERROR(INDEX(M_SKU!$A$18:$J$57,MATCH(I318,M_SKU!$B$18:$B$57,0),1),"UNKNOWN SKU")</f>
        <v>Coke Pet 500ML ( x12)</v>
      </c>
      <c r="K318" s="73" t="s">
        <v>520</v>
      </c>
      <c r="L318" s="276">
        <v>12</v>
      </c>
      <c r="M318" s="94" cm="1">
        <f t="array" ref="M318">IFERROR(INDEX(M_DepotPrice!$C$10:$C$52,MATCH(1,(M_DepotPrice!$A$10:$A$52=I318)*(M_DepotPrice!$H$10:$H$52=IFERROR(INDEX(M_Depot!$A$7:$A$24,MATCH(F318,M_Depot!$B$7:$B$24,0)),""))*(M_DepotPrice!$G$10:$G$52="Special"),0)),INDEX(M_DepotPrice!$C$10:$C$52,MATCH(1,(M_DepotPrice!$A$10:$A$52=I318)*(M_DepotPrice!$G$10:$G$52="Default"),0)))</f>
        <v>8898</v>
      </c>
      <c r="N318" s="95">
        <f t="shared" si="9"/>
        <v>125995.68</v>
      </c>
      <c r="O318" s="82" t="str">
        <f t="shared" si="8"/>
        <v>MOS100200|PH001|CK6-33411</v>
      </c>
    </row>
    <row r="319" spans="1:15" ht="15" customHeight="1" x14ac:dyDescent="0.3">
      <c r="A319" s="60" t="s">
        <v>998</v>
      </c>
      <c r="B319" s="60" t="s">
        <v>583</v>
      </c>
      <c r="C319" s="62">
        <v>46179</v>
      </c>
      <c r="D319" s="63" t="s">
        <v>336</v>
      </c>
      <c r="E319" s="66" t="str">
        <f>IFERROR(INDEX(M_User!$A$12:$J$67,MATCH(D319,M_User!$D$12:$D$67,0),3),"UNMAPPED")</f>
        <v>George Gibson Mmary</v>
      </c>
      <c r="F319" s="65" t="str">
        <f>IFERROR(INDEX(M_User!$A$12:$J$67,MATCH(D319,M_User!$D$12:$D$67,0),5),"UNMAPPED")</f>
        <v>MOS</v>
      </c>
      <c r="G319" s="63" t="s">
        <v>869</v>
      </c>
      <c r="H319" s="69" t="s">
        <v>870</v>
      </c>
      <c r="I319" s="63" t="s">
        <v>242</v>
      </c>
      <c r="J319" s="66" t="str">
        <f>IFERROR(INDEX(M_SKU!$A$18:$J$57,MATCH(I319,M_SKU!$B$18:$B$57,0),1),"UNKNOWN SKU")</f>
        <v>Stoney Tangawizi Pet 500 ml ( x12)</v>
      </c>
      <c r="K319" s="63" t="s">
        <v>525</v>
      </c>
      <c r="L319" s="276">
        <v>2</v>
      </c>
      <c r="M319" s="91" cm="1">
        <f t="array" ref="M319">IFERROR(INDEX(M_DepotPrice!$C$10:$C$52,MATCH(1,(M_DepotPrice!$A$10:$A$52=I319)*(M_DepotPrice!$H$10:$H$52=IFERROR(INDEX(M_Depot!$A$7:$A$24,MATCH(F319,M_Depot!$B$7:$B$24,0)),""))*(M_DepotPrice!$G$10:$G$52="Special"),0)),INDEX(M_DepotPrice!$C$10:$C$52,MATCH(1,(M_DepotPrice!$A$10:$A$52=I319)*(M_DepotPrice!$G$10:$G$52="Default"),0)))</f>
        <v>8898</v>
      </c>
      <c r="N319" s="67">
        <f t="shared" si="9"/>
        <v>20999.279999999999</v>
      </c>
      <c r="O319" s="66" t="str">
        <f t="shared" si="8"/>
        <v>MOS100200|PH007|CK6-33375</v>
      </c>
    </row>
    <row r="320" spans="1:15" ht="15" customHeight="1" x14ac:dyDescent="0.3">
      <c r="A320" s="70" t="s">
        <v>999</v>
      </c>
      <c r="B320" s="70" t="s">
        <v>583</v>
      </c>
      <c r="C320" s="72">
        <v>46179</v>
      </c>
      <c r="D320" s="73" t="s">
        <v>336</v>
      </c>
      <c r="E320" s="76" t="str">
        <f>IFERROR(INDEX(M_User!$A$12:$J$67,MATCH(D320,M_User!$D$12:$D$67,0),3),"UNMAPPED")</f>
        <v>George Gibson Mmary</v>
      </c>
      <c r="F320" s="75" t="str">
        <f>IFERROR(INDEX(M_User!$A$12:$J$67,MATCH(D320,M_User!$D$12:$D$67,0),5),"UNMAPPED")</f>
        <v>MOS</v>
      </c>
      <c r="G320" s="73" t="s">
        <v>869</v>
      </c>
      <c r="H320" s="92" t="s">
        <v>870</v>
      </c>
      <c r="I320" s="73" t="s">
        <v>244</v>
      </c>
      <c r="J320" s="76" t="str">
        <f>IFERROR(INDEX(M_SKU!$A$18:$J$57,MATCH(I320,M_SKU!$B$18:$B$57,0),1),"UNKNOWN SKU")</f>
        <v>Sparletta Pinenut Pet 500 ml ( x12)</v>
      </c>
      <c r="K320" s="73" t="s">
        <v>526</v>
      </c>
      <c r="L320" s="276">
        <v>1</v>
      </c>
      <c r="M320" s="94" cm="1">
        <f t="array" ref="M320">IFERROR(INDEX(M_DepotPrice!$C$10:$C$52,MATCH(1,(M_DepotPrice!$A$10:$A$52=I320)*(M_DepotPrice!$H$10:$H$52=IFERROR(INDEX(M_Depot!$A$7:$A$24,MATCH(F320,M_Depot!$B$7:$B$24,0)),""))*(M_DepotPrice!$G$10:$G$52="Special"),0)),INDEX(M_DepotPrice!$C$10:$C$52,MATCH(1,(M_DepotPrice!$A$10:$A$52=I320)*(M_DepotPrice!$G$10:$G$52="Default"),0)))</f>
        <v>8898</v>
      </c>
      <c r="N320" s="95">
        <f t="shared" si="9"/>
        <v>10499.64</v>
      </c>
      <c r="O320" s="82" t="str">
        <f t="shared" si="8"/>
        <v>MOS100200|PH008|CK5-33370</v>
      </c>
    </row>
    <row r="321" spans="1:15" ht="15" customHeight="1" x14ac:dyDescent="0.3">
      <c r="A321" s="60" t="s">
        <v>1000</v>
      </c>
      <c r="B321" s="60" t="s">
        <v>583</v>
      </c>
      <c r="C321" s="62">
        <v>46179</v>
      </c>
      <c r="D321" s="63" t="s">
        <v>336</v>
      </c>
      <c r="E321" s="66" t="str">
        <f>IFERROR(INDEX(M_User!$A$12:$J$67,MATCH(D321,M_User!$D$12:$D$67,0),3),"UNMAPPED")</f>
        <v>George Gibson Mmary</v>
      </c>
      <c r="F321" s="65" t="str">
        <f>IFERROR(INDEX(M_User!$A$12:$J$67,MATCH(D321,M_User!$D$12:$D$67,0),5),"UNMAPPED")</f>
        <v>MOS</v>
      </c>
      <c r="G321" s="63" t="s">
        <v>869</v>
      </c>
      <c r="H321" s="69" t="s">
        <v>870</v>
      </c>
      <c r="I321" s="63" t="s">
        <v>252</v>
      </c>
      <c r="J321" s="66" t="str">
        <f>IFERROR(INDEX(M_SKU!$A$18:$J$57,MATCH(I321,M_SKU!$B$18:$B$57,0),1),"UNKNOWN SKU")</f>
        <v>Sprite Zero Pet 300ML (x 12)</v>
      </c>
      <c r="K321" s="63" t="s">
        <v>545</v>
      </c>
      <c r="L321" s="276">
        <v>2</v>
      </c>
      <c r="M321" s="91" cm="1">
        <f t="array" ref="M321">IFERROR(INDEX(M_DepotPrice!$C$10:$C$52,MATCH(1,(M_DepotPrice!$A$10:$A$52=I321)*(M_DepotPrice!$H$10:$H$52=IFERROR(INDEX(M_Depot!$A$7:$A$24,MATCH(F321,M_Depot!$B$7:$B$24,0)),""))*(M_DepotPrice!$G$10:$G$52="Special"),0)),INDEX(M_DepotPrice!$C$10:$C$52,MATCH(1,(M_DepotPrice!$A$10:$A$52=I321)*(M_DepotPrice!$G$10:$G$52="Default"),0)))</f>
        <v>5085</v>
      </c>
      <c r="N321" s="67">
        <f t="shared" si="9"/>
        <v>12000.599999999999</v>
      </c>
      <c r="O321" s="66" t="str">
        <f t="shared" si="8"/>
        <v>MOS100200|PO010|CK5-33360</v>
      </c>
    </row>
    <row r="322" spans="1:15" ht="15" customHeight="1" x14ac:dyDescent="0.3">
      <c r="A322" s="70" t="s">
        <v>1001</v>
      </c>
      <c r="B322" s="70" t="s">
        <v>583</v>
      </c>
      <c r="C322" s="72">
        <v>46179</v>
      </c>
      <c r="D322" s="73" t="s">
        <v>336</v>
      </c>
      <c r="E322" s="76" t="str">
        <f>IFERROR(INDEX(M_User!$A$12:$J$67,MATCH(D322,M_User!$D$12:$D$67,0),3),"UNMAPPED")</f>
        <v>George Gibson Mmary</v>
      </c>
      <c r="F322" s="75" t="str">
        <f>IFERROR(INDEX(M_User!$A$12:$J$67,MATCH(D322,M_User!$D$12:$D$67,0),5),"UNMAPPED")</f>
        <v>MOS</v>
      </c>
      <c r="G322" s="73" t="s">
        <v>869</v>
      </c>
      <c r="H322" s="92" t="s">
        <v>870</v>
      </c>
      <c r="I322" s="73" t="s">
        <v>254</v>
      </c>
      <c r="J322" s="76" t="str">
        <f>IFERROR(INDEX(M_SKU!$A$18:$J$57,MATCH(I322,M_SKU!$B$18:$B$57,0),1),"UNKNOWN SKU")</f>
        <v>Fanta Zero Pet 300ML (x 12)</v>
      </c>
      <c r="K322" s="73" t="s">
        <v>546</v>
      </c>
      <c r="L322" s="276">
        <v>1</v>
      </c>
      <c r="M322" s="94" cm="1">
        <f t="array" ref="M322">IFERROR(INDEX(M_DepotPrice!$C$10:$C$52,MATCH(1,(M_DepotPrice!$A$10:$A$52=I322)*(M_DepotPrice!$H$10:$H$52=IFERROR(INDEX(M_Depot!$A$7:$A$24,MATCH(F322,M_Depot!$B$7:$B$24,0)),""))*(M_DepotPrice!$G$10:$G$52="Special"),0)),INDEX(M_DepotPrice!$C$10:$C$52,MATCH(1,(M_DepotPrice!$A$10:$A$52=I322)*(M_DepotPrice!$G$10:$G$52="Default"),0)))</f>
        <v>5085</v>
      </c>
      <c r="N322" s="95">
        <f t="shared" si="9"/>
        <v>6000.2999999999993</v>
      </c>
      <c r="O322" s="82" t="str">
        <f t="shared" si="8"/>
        <v>MOS100200|PO012|CK5-33369</v>
      </c>
    </row>
    <row r="323" spans="1:15" ht="15" customHeight="1" x14ac:dyDescent="0.3">
      <c r="A323" s="60" t="s">
        <v>1002</v>
      </c>
      <c r="B323" s="60" t="s">
        <v>583</v>
      </c>
      <c r="C323" s="62">
        <v>46179</v>
      </c>
      <c r="D323" s="63" t="s">
        <v>336</v>
      </c>
      <c r="E323" s="66" t="str">
        <f>IFERROR(INDEX(M_User!$A$12:$J$67,MATCH(D323,M_User!$D$12:$D$67,0),3),"UNMAPPED")</f>
        <v>George Gibson Mmary</v>
      </c>
      <c r="F323" s="65" t="str">
        <f>IFERROR(INDEX(M_User!$A$12:$J$67,MATCH(D323,M_User!$D$12:$D$67,0),5),"UNMAPPED")</f>
        <v>MOS</v>
      </c>
      <c r="G323" s="63" t="s">
        <v>783</v>
      </c>
      <c r="H323" s="69" t="s">
        <v>784</v>
      </c>
      <c r="I323" s="63" t="s">
        <v>178</v>
      </c>
      <c r="J323" s="66" t="str">
        <f>IFERROR(INDEX(M_SKU!$A$18:$J$57,MATCH(I323,M_SKU!$B$18:$B$57,0),1),"UNKNOWN SKU")</f>
        <v>Fanta Orange RGB 350ml</v>
      </c>
      <c r="K323" s="63" t="s">
        <v>531</v>
      </c>
      <c r="L323" s="276">
        <v>6.3902000000000001</v>
      </c>
      <c r="M323" s="91" cm="1">
        <f t="array" ref="M323">IFERROR(INDEX(M_DepotPrice!$C$10:$C$52,MATCH(1,(M_DepotPrice!$A$10:$A$52=I323)*(M_DepotPrice!$H$10:$H$52=IFERROR(INDEX(M_Depot!$A$7:$A$24,MATCH(F323,M_Depot!$B$7:$B$24,0)),""))*(M_DepotPrice!$G$10:$G$52="Special"),0)),INDEX(M_DepotPrice!$C$10:$C$52,MATCH(1,(M_DepotPrice!$A$10:$A$52=I323)*(M_DepotPrice!$G$10:$G$52="Default"),0)))</f>
        <v>11780</v>
      </c>
      <c r="N323" s="67">
        <f t="shared" si="9"/>
        <v>88826.336079999994</v>
      </c>
      <c r="O323" s="66" t="str">
        <f t="shared" si="8"/>
        <v>MOS100200|FG002|CK3-33407</v>
      </c>
    </row>
    <row r="324" spans="1:15" ht="15" customHeight="1" x14ac:dyDescent="0.3">
      <c r="A324" s="70" t="s">
        <v>1003</v>
      </c>
      <c r="B324" s="70" t="s">
        <v>583</v>
      </c>
      <c r="C324" s="72">
        <v>46179</v>
      </c>
      <c r="D324" s="73" t="s">
        <v>336</v>
      </c>
      <c r="E324" s="76" t="str">
        <f>IFERROR(INDEX(M_User!$A$12:$J$67,MATCH(D324,M_User!$D$12:$D$67,0),3),"UNMAPPED")</f>
        <v>George Gibson Mmary</v>
      </c>
      <c r="F324" s="75" t="str">
        <f>IFERROR(INDEX(M_User!$A$12:$J$67,MATCH(D324,M_User!$D$12:$D$67,0),5),"UNMAPPED")</f>
        <v>MOS</v>
      </c>
      <c r="G324" s="73" t="s">
        <v>783</v>
      </c>
      <c r="H324" s="92" t="s">
        <v>784</v>
      </c>
      <c r="I324" s="73" t="s">
        <v>181</v>
      </c>
      <c r="J324" s="76" t="str">
        <f>IFERROR(INDEX(M_SKU!$A$18:$J$57,MATCH(I324,M_SKU!$B$18:$B$57,0),1),"UNKNOWN SKU")</f>
        <v>Fanta Passion RGB 350ml</v>
      </c>
      <c r="K324" s="73" t="s">
        <v>550</v>
      </c>
      <c r="L324" s="276">
        <v>3.4325999999999999</v>
      </c>
      <c r="M324" s="94" cm="1">
        <f t="array" ref="M324">IFERROR(INDEX(M_DepotPrice!$C$10:$C$52,MATCH(1,(M_DepotPrice!$A$10:$A$52=I324)*(M_DepotPrice!$H$10:$H$52=IFERROR(INDEX(M_Depot!$A$7:$A$24,MATCH(F324,M_Depot!$B$7:$B$24,0)),""))*(M_DepotPrice!$G$10:$G$52="Special"),0)),INDEX(M_DepotPrice!$C$10:$C$52,MATCH(1,(M_DepotPrice!$A$10:$A$52=I324)*(M_DepotPrice!$G$10:$G$52="Default"),0)))</f>
        <v>11780</v>
      </c>
      <c r="N324" s="95">
        <f t="shared" si="9"/>
        <v>47714.513039999998</v>
      </c>
      <c r="O324" s="82" t="str">
        <f t="shared" si="8"/>
        <v>MOS100200|FG003|CK3-33356</v>
      </c>
    </row>
    <row r="325" spans="1:15" ht="15" customHeight="1" x14ac:dyDescent="0.3">
      <c r="A325" s="60" t="s">
        <v>1004</v>
      </c>
      <c r="B325" s="60" t="s">
        <v>583</v>
      </c>
      <c r="C325" s="62">
        <v>46179</v>
      </c>
      <c r="D325" s="63" t="s">
        <v>336</v>
      </c>
      <c r="E325" s="66" t="str">
        <f>IFERROR(INDEX(M_User!$A$12:$J$67,MATCH(D325,M_User!$D$12:$D$67,0),3),"UNMAPPED")</f>
        <v>George Gibson Mmary</v>
      </c>
      <c r="F325" s="65" t="str">
        <f>IFERROR(INDEX(M_User!$A$12:$J$67,MATCH(D325,M_User!$D$12:$D$67,0),5),"UNMAPPED")</f>
        <v>MOS</v>
      </c>
      <c r="G325" s="63" t="s">
        <v>783</v>
      </c>
      <c r="H325" s="69" t="s">
        <v>784</v>
      </c>
      <c r="I325" s="63" t="s">
        <v>185</v>
      </c>
      <c r="J325" s="66" t="str">
        <f>IFERROR(INDEX(M_SKU!$A$18:$J$57,MATCH(I325,M_SKU!$B$18:$B$57,0),1),"UNKNOWN SKU")</f>
        <v>Fanta Fruit Blast RGB 350 ml</v>
      </c>
      <c r="K325" s="63" t="s">
        <v>534</v>
      </c>
      <c r="L325" s="276">
        <v>1.6567000000000001</v>
      </c>
      <c r="M325" s="91" cm="1">
        <f t="array" ref="M325">IFERROR(INDEX(M_DepotPrice!$C$10:$C$52,MATCH(1,(M_DepotPrice!$A$10:$A$52=I325)*(M_DepotPrice!$H$10:$H$52=IFERROR(INDEX(M_Depot!$A$7:$A$24,MATCH(F325,M_Depot!$B$7:$B$24,0)),""))*(M_DepotPrice!$G$10:$G$52="Special"),0)),INDEX(M_DepotPrice!$C$10:$C$52,MATCH(1,(M_DepotPrice!$A$10:$A$52=I325)*(M_DepotPrice!$G$10:$G$52="Default"),0)))</f>
        <v>11780</v>
      </c>
      <c r="N325" s="67">
        <f t="shared" si="9"/>
        <v>23028.792679999999</v>
      </c>
      <c r="O325" s="66" t="str">
        <f t="shared" si="8"/>
        <v>MOS100200|FG005|CK3-33402</v>
      </c>
    </row>
    <row r="326" spans="1:15" ht="15" customHeight="1" x14ac:dyDescent="0.3">
      <c r="A326" s="70" t="s">
        <v>1005</v>
      </c>
      <c r="B326" s="70" t="s">
        <v>583</v>
      </c>
      <c r="C326" s="72">
        <v>46179</v>
      </c>
      <c r="D326" s="73" t="s">
        <v>336</v>
      </c>
      <c r="E326" s="76" t="str">
        <f>IFERROR(INDEX(M_User!$A$12:$J$67,MATCH(D326,M_User!$D$12:$D$67,0),3),"UNMAPPED")</f>
        <v>George Gibson Mmary</v>
      </c>
      <c r="F326" s="75" t="str">
        <f>IFERROR(INDEX(M_User!$A$12:$J$67,MATCH(D326,M_User!$D$12:$D$67,0),5),"UNMAPPED")</f>
        <v>MOS</v>
      </c>
      <c r="G326" s="73" t="s">
        <v>783</v>
      </c>
      <c r="H326" s="92" t="s">
        <v>784</v>
      </c>
      <c r="I326" s="73" t="s">
        <v>187</v>
      </c>
      <c r="J326" s="76" t="str">
        <f>IFERROR(INDEX(M_SKU!$A$18:$J$57,MATCH(I326,M_SKU!$B$18:$B$57,0),1),"UNKNOWN SKU")</f>
        <v>Sprite 350ml</v>
      </c>
      <c r="K326" s="73" t="s">
        <v>535</v>
      </c>
      <c r="L326" s="276">
        <v>7.5333151848243203</v>
      </c>
      <c r="M326" s="94" cm="1">
        <f t="array" ref="M326">IFERROR(INDEX(M_DepotPrice!$C$10:$C$52,MATCH(1,(M_DepotPrice!$A$10:$A$52=I326)*(M_DepotPrice!$H$10:$H$52=IFERROR(INDEX(M_Depot!$A$7:$A$24,MATCH(F326,M_Depot!$B$7:$B$24,0)),""))*(M_DepotPrice!$G$10:$G$52="Special"),0)),INDEX(M_DepotPrice!$C$10:$C$52,MATCH(1,(M_DepotPrice!$A$10:$A$52=I326)*(M_DepotPrice!$G$10:$G$52="Default"),0)))</f>
        <v>11780</v>
      </c>
      <c r="N326" s="95">
        <f t="shared" si="9"/>
        <v>104716.09439513198</v>
      </c>
      <c r="O326" s="82" t="str">
        <f t="shared" si="8"/>
        <v>MOS100200|FG006|CK3-33414</v>
      </c>
    </row>
    <row r="327" spans="1:15" ht="15" customHeight="1" x14ac:dyDescent="0.3">
      <c r="A327" s="60" t="s">
        <v>1006</v>
      </c>
      <c r="B327" s="60" t="s">
        <v>583</v>
      </c>
      <c r="C327" s="62">
        <v>46179</v>
      </c>
      <c r="D327" s="63" t="s">
        <v>336</v>
      </c>
      <c r="E327" s="66" t="str">
        <f>IFERROR(INDEX(M_User!$A$12:$J$67,MATCH(D327,M_User!$D$12:$D$67,0),3),"UNMAPPED")</f>
        <v>George Gibson Mmary</v>
      </c>
      <c r="F327" s="65" t="str">
        <f>IFERROR(INDEX(M_User!$A$12:$J$67,MATCH(D327,M_User!$D$12:$D$67,0),5),"UNMAPPED")</f>
        <v>MOS</v>
      </c>
      <c r="G327" s="63" t="s">
        <v>783</v>
      </c>
      <c r="H327" s="69" t="s">
        <v>784</v>
      </c>
      <c r="I327" s="63" t="s">
        <v>196</v>
      </c>
      <c r="J327" s="66" t="str">
        <f>IFERROR(INDEX(M_SKU!$A$18:$J$57,MATCH(I327,M_SKU!$B$18:$B$57,0),1),"UNKNOWN SKU")</f>
        <v>Krest Bitter Lemon RGB 300ml</v>
      </c>
      <c r="K327" s="63" t="s">
        <v>538</v>
      </c>
      <c r="L327" s="276">
        <v>1.5225</v>
      </c>
      <c r="M327" s="91" cm="1">
        <f t="array" ref="M327">IFERROR(INDEX(M_DepotPrice!$C$10:$C$52,MATCH(1,(M_DepotPrice!$A$10:$A$52=I327)*(M_DepotPrice!$H$10:$H$52=IFERROR(INDEX(M_Depot!$A$7:$A$24,MATCH(F327,M_Depot!$B$7:$B$24,0)),""))*(M_DepotPrice!$G$10:$G$52="Special"),0)),INDEX(M_DepotPrice!$C$10:$C$52,MATCH(1,(M_DepotPrice!$A$10:$A$52=I327)*(M_DepotPrice!$G$10:$G$52="Default"),0)))</f>
        <v>11780</v>
      </c>
      <c r="N327" s="67">
        <f t="shared" si="9"/>
        <v>21163.358999999997</v>
      </c>
      <c r="O327" s="66" t="str">
        <f t="shared" si="8"/>
        <v>MOS100200|FG009|CK3-33348</v>
      </c>
    </row>
    <row r="328" spans="1:15" ht="15" customHeight="1" x14ac:dyDescent="0.3">
      <c r="A328" s="70" t="s">
        <v>1007</v>
      </c>
      <c r="B328" s="70" t="s">
        <v>583</v>
      </c>
      <c r="C328" s="72">
        <v>46179</v>
      </c>
      <c r="D328" s="73" t="s">
        <v>336</v>
      </c>
      <c r="E328" s="76" t="str">
        <f>IFERROR(INDEX(M_User!$A$12:$J$67,MATCH(D328,M_User!$D$12:$D$67,0),3),"UNMAPPED")</f>
        <v>George Gibson Mmary</v>
      </c>
      <c r="F328" s="75" t="str">
        <f>IFERROR(INDEX(M_User!$A$12:$J$67,MATCH(D328,M_User!$D$12:$D$67,0),5),"UNMAPPED")</f>
        <v>MOS</v>
      </c>
      <c r="G328" s="73" t="s">
        <v>783</v>
      </c>
      <c r="H328" s="92" t="s">
        <v>784</v>
      </c>
      <c r="I328" s="73" t="s">
        <v>199</v>
      </c>
      <c r="J328" s="76" t="str">
        <f>IFERROR(INDEX(M_SKU!$A$18:$J$57,MATCH(I328,M_SKU!$B$18:$B$57,0),1),"UNKNOWN SKU")</f>
        <v>Krest Club Soda RGB 300ml</v>
      </c>
      <c r="K328" s="73" t="s">
        <v>539</v>
      </c>
      <c r="L328" s="276">
        <v>1.2577510797770199</v>
      </c>
      <c r="M328" s="94" cm="1">
        <f t="array" ref="M328">IFERROR(INDEX(M_DepotPrice!$C$10:$C$52,MATCH(1,(M_DepotPrice!$A$10:$A$52=I328)*(M_DepotPrice!$H$10:$H$52=IFERROR(INDEX(M_Depot!$A$7:$A$24,MATCH(F328,M_Depot!$B$7:$B$24,0)),""))*(M_DepotPrice!$G$10:$G$52="Special"),0)),INDEX(M_DepotPrice!$C$10:$C$52,MATCH(1,(M_DepotPrice!$A$10:$A$52=I328)*(M_DepotPrice!$G$10:$G$52="Default"),0)))</f>
        <v>11780</v>
      </c>
      <c r="N328" s="95">
        <f t="shared" si="9"/>
        <v>17483.243109332485</v>
      </c>
      <c r="O328" s="82" t="str">
        <f t="shared" si="8"/>
        <v>MOS100200|FG010|CK3-33301</v>
      </c>
    </row>
    <row r="329" spans="1:15" ht="15" customHeight="1" x14ac:dyDescent="0.3">
      <c r="A329" s="60" t="s">
        <v>1008</v>
      </c>
      <c r="B329" s="60" t="s">
        <v>583</v>
      </c>
      <c r="C329" s="62">
        <v>46179</v>
      </c>
      <c r="D329" s="63" t="s">
        <v>336</v>
      </c>
      <c r="E329" s="66" t="str">
        <f>IFERROR(INDEX(M_User!$A$12:$J$67,MATCH(D329,M_User!$D$12:$D$67,0),3),"UNMAPPED")</f>
        <v>George Gibson Mmary</v>
      </c>
      <c r="F329" s="65" t="str">
        <f>IFERROR(INDEX(M_User!$A$12:$J$67,MATCH(D329,M_User!$D$12:$D$67,0),5),"UNMAPPED")</f>
        <v>MOS</v>
      </c>
      <c r="G329" s="63" t="s">
        <v>783</v>
      </c>
      <c r="H329" s="69" t="s">
        <v>784</v>
      </c>
      <c r="I329" s="63" t="s">
        <v>201</v>
      </c>
      <c r="J329" s="66" t="str">
        <f>IFERROR(INDEX(M_SKU!$A$18:$J$57,MATCH(I329,M_SKU!$B$18:$B$57,0),1),"UNKNOWN SKU")</f>
        <v>Krest Tonic Water RGB 300ml</v>
      </c>
      <c r="K329" s="63" t="s">
        <v>540</v>
      </c>
      <c r="L329" s="276">
        <v>0.56189999999999996</v>
      </c>
      <c r="M329" s="91" cm="1">
        <f t="array" ref="M329">IFERROR(INDEX(M_DepotPrice!$C$10:$C$52,MATCH(1,(M_DepotPrice!$A$10:$A$52=I329)*(M_DepotPrice!$H$10:$H$52=IFERROR(INDEX(M_Depot!$A$7:$A$24,MATCH(F329,M_Depot!$B$7:$B$24,0)),""))*(M_DepotPrice!$G$10:$G$52="Special"),0)),INDEX(M_DepotPrice!$C$10:$C$52,MATCH(1,(M_DepotPrice!$A$10:$A$52=I329)*(M_DepotPrice!$G$10:$G$52="Default"),0)))</f>
        <v>11780</v>
      </c>
      <c r="N329" s="67">
        <f t="shared" si="9"/>
        <v>7810.634759999999</v>
      </c>
      <c r="O329" s="66" t="str">
        <f t="shared" ref="O329:O392" si="10">D329 &amp; "|" &amp; I329 &amp; "|" &amp; K329</f>
        <v>MOS100200|FG011|CK3-33347</v>
      </c>
    </row>
    <row r="330" spans="1:15" ht="15" customHeight="1" x14ac:dyDescent="0.3">
      <c r="A330" s="70" t="s">
        <v>1009</v>
      </c>
      <c r="B330" s="70" t="s">
        <v>583</v>
      </c>
      <c r="C330" s="72">
        <v>46179</v>
      </c>
      <c r="D330" s="73" t="s">
        <v>336</v>
      </c>
      <c r="E330" s="76" t="str">
        <f>IFERROR(INDEX(M_User!$A$12:$J$67,MATCH(D330,M_User!$D$12:$D$67,0),3),"UNMAPPED")</f>
        <v>George Gibson Mmary</v>
      </c>
      <c r="F330" s="75" t="str">
        <f>IFERROR(INDEX(M_User!$A$12:$J$67,MATCH(D330,M_User!$D$12:$D$67,0),5),"UNMAPPED")</f>
        <v>MOS</v>
      </c>
      <c r="G330" s="73" t="s">
        <v>783</v>
      </c>
      <c r="H330" s="92" t="s">
        <v>784</v>
      </c>
      <c r="I330" s="73" t="s">
        <v>203</v>
      </c>
      <c r="J330" s="76" t="str">
        <f>IFERROR(INDEX(M_SKU!$A$18:$J$57,MATCH(I330,M_SKU!$B$18:$B$57,0),1),"UNKNOWN SKU")</f>
        <v>Krest Ginger Ale RGB 300ml</v>
      </c>
      <c r="K330" s="73" t="s">
        <v>541</v>
      </c>
      <c r="L330" s="276">
        <v>0.93959999999999999</v>
      </c>
      <c r="M330" s="94" cm="1">
        <f t="array" ref="M330">IFERROR(INDEX(M_DepotPrice!$C$10:$C$52,MATCH(1,(M_DepotPrice!$A$10:$A$52=I330)*(M_DepotPrice!$H$10:$H$52=IFERROR(INDEX(M_Depot!$A$7:$A$24,MATCH(F330,M_Depot!$B$7:$B$24,0)),""))*(M_DepotPrice!$G$10:$G$52="Special"),0)),INDEX(M_DepotPrice!$C$10:$C$52,MATCH(1,(M_DepotPrice!$A$10:$A$52=I330)*(M_DepotPrice!$G$10:$G$52="Default"),0)))</f>
        <v>11780</v>
      </c>
      <c r="N330" s="95">
        <f t="shared" ref="N330:N393" si="11">(L330*M330)*1.18</f>
        <v>13060.815839999999</v>
      </c>
      <c r="O330" s="82" t="str">
        <f t="shared" si="10"/>
        <v>MOS100200|FG012|CK3-33126</v>
      </c>
    </row>
    <row r="331" spans="1:15" ht="15" customHeight="1" x14ac:dyDescent="0.3">
      <c r="A331" s="60" t="s">
        <v>1010</v>
      </c>
      <c r="B331" s="60" t="s">
        <v>583</v>
      </c>
      <c r="C331" s="62">
        <v>46179</v>
      </c>
      <c r="D331" s="63" t="s">
        <v>336</v>
      </c>
      <c r="E331" s="66" t="str">
        <f>IFERROR(INDEX(M_User!$A$12:$J$67,MATCH(D331,M_User!$D$12:$D$67,0),3),"UNMAPPED")</f>
        <v>George Gibson Mmary</v>
      </c>
      <c r="F331" s="65" t="str">
        <f>IFERROR(INDEX(M_User!$A$12:$J$67,MATCH(D331,M_User!$D$12:$D$67,0),5),"UNMAPPED")</f>
        <v>MOS</v>
      </c>
      <c r="G331" s="63" t="s">
        <v>783</v>
      </c>
      <c r="H331" s="69" t="s">
        <v>784</v>
      </c>
      <c r="I331" s="63" t="s">
        <v>209</v>
      </c>
      <c r="J331" s="66" t="str">
        <f>IFERROR(INDEX(M_SKU!$A$18:$J$57,MATCH(I331,M_SKU!$B$18:$B$57,0),1),"UNKNOWN SKU")</f>
        <v>Sparletta Red Apple RGB 350ml</v>
      </c>
      <c r="K331" s="63" t="s">
        <v>542</v>
      </c>
      <c r="L331" s="276">
        <v>0.70679999999999998</v>
      </c>
      <c r="M331" s="91" cm="1">
        <f t="array" ref="M331">IFERROR(INDEX(M_DepotPrice!$C$10:$C$52,MATCH(1,(M_DepotPrice!$A$10:$A$52=I331)*(M_DepotPrice!$H$10:$H$52=IFERROR(INDEX(M_Depot!$A$7:$A$24,MATCH(F331,M_Depot!$B$7:$B$24,0)),""))*(M_DepotPrice!$G$10:$G$52="Special"),0)),INDEX(M_DepotPrice!$C$10:$C$52,MATCH(1,(M_DepotPrice!$A$10:$A$52=I331)*(M_DepotPrice!$G$10:$G$52="Default"),0)))</f>
        <v>11780</v>
      </c>
      <c r="N331" s="67">
        <f t="shared" si="11"/>
        <v>9824.8027199999979</v>
      </c>
      <c r="O331" s="66" t="str">
        <f t="shared" si="10"/>
        <v>MOS100200|FG024|CK3-32758</v>
      </c>
    </row>
    <row r="332" spans="1:15" ht="15" customHeight="1" x14ac:dyDescent="0.3">
      <c r="A332" s="70" t="s">
        <v>1011</v>
      </c>
      <c r="B332" s="70" t="s">
        <v>583</v>
      </c>
      <c r="C332" s="72">
        <v>46179</v>
      </c>
      <c r="D332" s="73" t="s">
        <v>336</v>
      </c>
      <c r="E332" s="76" t="str">
        <f>IFERROR(INDEX(M_User!$A$12:$J$67,MATCH(D332,M_User!$D$12:$D$67,0),3),"UNMAPPED")</f>
        <v>George Gibson Mmary</v>
      </c>
      <c r="F332" s="75" t="str">
        <f>IFERROR(INDEX(M_User!$A$12:$J$67,MATCH(D332,M_User!$D$12:$D$67,0),5),"UNMAPPED")</f>
        <v>MOS</v>
      </c>
      <c r="G332" s="73" t="s">
        <v>783</v>
      </c>
      <c r="H332" s="92" t="s">
        <v>784</v>
      </c>
      <c r="I332" s="73" t="s">
        <v>211</v>
      </c>
      <c r="J332" s="76" t="str">
        <f>IFERROR(INDEX(M_SKU!$A$18:$J$57,MATCH(I332,M_SKU!$B$18:$B$57,0),1),"UNKNOWN SKU")</f>
        <v>KNMW 500ml</v>
      </c>
      <c r="K332" s="73" t="s">
        <v>543</v>
      </c>
      <c r="L332" s="276">
        <v>60</v>
      </c>
      <c r="M332" s="94" cm="1">
        <f t="array" ref="M332">IFERROR(INDEX(M_DepotPrice!$C$10:$C$52,MATCH(1,(M_DepotPrice!$A$10:$A$52=I332)*(M_DepotPrice!$H$10:$H$52=IFERROR(INDEX(M_Depot!$A$7:$A$24,MATCH(F332,M_Depot!$B$7:$B$24,0)),""))*(M_DepotPrice!$G$10:$G$52="Special"),0)),INDEX(M_DepotPrice!$C$10:$C$52,MATCH(1,(M_DepotPrice!$A$10:$A$52=I332)*(M_DepotPrice!$G$10:$G$52="Default"),0)))</f>
        <v>3559</v>
      </c>
      <c r="N332" s="95">
        <f t="shared" si="11"/>
        <v>251977.19999999998</v>
      </c>
      <c r="O332" s="82" t="str">
        <f t="shared" si="10"/>
        <v>MOS100200|KD001|CK6-986</v>
      </c>
    </row>
    <row r="333" spans="1:15" ht="15" customHeight="1" x14ac:dyDescent="0.3">
      <c r="A333" s="60" t="s">
        <v>1012</v>
      </c>
      <c r="B333" s="60" t="s">
        <v>583</v>
      </c>
      <c r="C333" s="62">
        <v>46179</v>
      </c>
      <c r="D333" s="63" t="s">
        <v>336</v>
      </c>
      <c r="E333" s="66" t="str">
        <f>IFERROR(INDEX(M_User!$A$12:$J$67,MATCH(D333,M_User!$D$12:$D$67,0),3),"UNMAPPED")</f>
        <v>George Gibson Mmary</v>
      </c>
      <c r="F333" s="65" t="str">
        <f>IFERROR(INDEX(M_User!$A$12:$J$67,MATCH(D333,M_User!$D$12:$D$67,0),5),"UNMAPPED")</f>
        <v>MOS</v>
      </c>
      <c r="G333" s="63" t="s">
        <v>783</v>
      </c>
      <c r="H333" s="69" t="s">
        <v>784</v>
      </c>
      <c r="I333" s="63" t="s">
        <v>217</v>
      </c>
      <c r="J333" s="66" t="str">
        <f>IFERROR(INDEX(M_SKU!$A$18:$J$57,MATCH(I333,M_SKU!$B$18:$B$57,0),1),"UNKNOWN SKU")</f>
        <v>KNMW 1500ml</v>
      </c>
      <c r="K333" s="63" t="s">
        <v>551</v>
      </c>
      <c r="L333" s="276">
        <v>20</v>
      </c>
      <c r="M333" s="91" cm="1">
        <f t="array" ref="M333">IFERROR(INDEX(M_DepotPrice!$C$10:$C$52,MATCH(1,(M_DepotPrice!$A$10:$A$52=I333)*(M_DepotPrice!$H$10:$H$52=IFERROR(INDEX(M_Depot!$A$7:$A$24,MATCH(F333,M_Depot!$B$7:$B$24,0)),""))*(M_DepotPrice!$G$10:$G$52="Special"),0)),INDEX(M_DepotPrice!$C$10:$C$52,MATCH(1,(M_DepotPrice!$A$10:$A$52=I333)*(M_DepotPrice!$G$10:$G$52="Default"),0)))</f>
        <v>3983</v>
      </c>
      <c r="N333" s="67">
        <f t="shared" si="11"/>
        <v>93998.799999999988</v>
      </c>
      <c r="O333" s="66" t="str">
        <f t="shared" si="10"/>
        <v>MOS100200|KD003|CK4-842</v>
      </c>
    </row>
    <row r="334" spans="1:15" ht="15" customHeight="1" x14ac:dyDescent="0.3">
      <c r="A334" s="70" t="s">
        <v>1013</v>
      </c>
      <c r="B334" s="70" t="s">
        <v>583</v>
      </c>
      <c r="C334" s="72">
        <v>46179</v>
      </c>
      <c r="D334" s="73" t="s">
        <v>336</v>
      </c>
      <c r="E334" s="76" t="str">
        <f>IFERROR(INDEX(M_User!$A$12:$J$67,MATCH(D334,M_User!$D$12:$D$67,0),3),"UNMAPPED")</f>
        <v>George Gibson Mmary</v>
      </c>
      <c r="F334" s="75" t="str">
        <f>IFERROR(INDEX(M_User!$A$12:$J$67,MATCH(D334,M_User!$D$12:$D$67,0),5),"UNMAPPED")</f>
        <v>MOS</v>
      </c>
      <c r="G334" s="73" t="s">
        <v>783</v>
      </c>
      <c r="H334" s="92" t="s">
        <v>784</v>
      </c>
      <c r="I334" s="73" t="s">
        <v>232</v>
      </c>
      <c r="J334" s="76" t="str">
        <f>IFERROR(INDEX(M_SKU!$A$18:$J$57,MATCH(I334,M_SKU!$B$18:$B$57,0),1),"UNKNOWN SKU")</f>
        <v>Sprite Pet 500ML (x 12)</v>
      </c>
      <c r="K334" s="73" t="s">
        <v>522</v>
      </c>
      <c r="L334" s="276">
        <v>2</v>
      </c>
      <c r="M334" s="94" cm="1">
        <f t="array" ref="M334">IFERROR(INDEX(M_DepotPrice!$C$10:$C$52,MATCH(1,(M_DepotPrice!$A$10:$A$52=I334)*(M_DepotPrice!$H$10:$H$52=IFERROR(INDEX(M_Depot!$A$7:$A$24,MATCH(F334,M_Depot!$B$7:$B$24,0)),""))*(M_DepotPrice!$G$10:$G$52="Special"),0)),INDEX(M_DepotPrice!$C$10:$C$52,MATCH(1,(M_DepotPrice!$A$10:$A$52=I334)*(M_DepotPrice!$G$10:$G$52="Default"),0)))</f>
        <v>8898</v>
      </c>
      <c r="N334" s="95">
        <f t="shared" si="11"/>
        <v>20999.279999999999</v>
      </c>
      <c r="O334" s="82" t="str">
        <f t="shared" si="10"/>
        <v>MOS100200|PH002|CK6-33362</v>
      </c>
    </row>
    <row r="335" spans="1:15" ht="15" customHeight="1" x14ac:dyDescent="0.3">
      <c r="A335" s="60" t="s">
        <v>1014</v>
      </c>
      <c r="B335" s="60" t="s">
        <v>583</v>
      </c>
      <c r="C335" s="62">
        <v>46179</v>
      </c>
      <c r="D335" s="63" t="s">
        <v>336</v>
      </c>
      <c r="E335" s="66" t="str">
        <f>IFERROR(INDEX(M_User!$A$12:$J$67,MATCH(D335,M_User!$D$12:$D$67,0),3),"UNMAPPED")</f>
        <v>George Gibson Mmary</v>
      </c>
      <c r="F335" s="65" t="str">
        <f>IFERROR(INDEX(M_User!$A$12:$J$67,MATCH(D335,M_User!$D$12:$D$67,0),5),"UNMAPPED")</f>
        <v>MOS</v>
      </c>
      <c r="G335" s="63" t="s">
        <v>783</v>
      </c>
      <c r="H335" s="69" t="s">
        <v>784</v>
      </c>
      <c r="I335" s="63" t="s">
        <v>234</v>
      </c>
      <c r="J335" s="66" t="str">
        <f>IFERROR(INDEX(M_SKU!$A$18:$J$57,MATCH(I335,M_SKU!$B$18:$B$57,0),1),"UNKNOWN SKU")</f>
        <v>Fanta Orange Pet 500ML ( x 12)</v>
      </c>
      <c r="K335" s="63" t="s">
        <v>523</v>
      </c>
      <c r="L335" s="276">
        <v>19</v>
      </c>
      <c r="M335" s="91" cm="1">
        <f t="array" ref="M335">IFERROR(INDEX(M_DepotPrice!$C$10:$C$52,MATCH(1,(M_DepotPrice!$A$10:$A$52=I335)*(M_DepotPrice!$H$10:$H$52=IFERROR(INDEX(M_Depot!$A$7:$A$24,MATCH(F335,M_Depot!$B$7:$B$24,0)),""))*(M_DepotPrice!$G$10:$G$52="Special"),0)),INDEX(M_DepotPrice!$C$10:$C$52,MATCH(1,(M_DepotPrice!$A$10:$A$52=I335)*(M_DepotPrice!$G$10:$G$52="Default"),0)))</f>
        <v>8898</v>
      </c>
      <c r="N335" s="67">
        <f t="shared" si="11"/>
        <v>199493.16</v>
      </c>
      <c r="O335" s="66" t="str">
        <f t="shared" si="10"/>
        <v>MOS100200|PH003|CK6-33405</v>
      </c>
    </row>
    <row r="336" spans="1:15" ht="15" customHeight="1" x14ac:dyDescent="0.3">
      <c r="A336" s="70" t="s">
        <v>1015</v>
      </c>
      <c r="B336" s="70" t="s">
        <v>583</v>
      </c>
      <c r="C336" s="72">
        <v>46179</v>
      </c>
      <c r="D336" s="73" t="s">
        <v>336</v>
      </c>
      <c r="E336" s="76" t="str">
        <f>IFERROR(INDEX(M_User!$A$12:$J$67,MATCH(D336,M_User!$D$12:$D$67,0),3),"UNMAPPED")</f>
        <v>George Gibson Mmary</v>
      </c>
      <c r="F336" s="75" t="str">
        <f>IFERROR(INDEX(M_User!$A$12:$J$67,MATCH(D336,M_User!$D$12:$D$67,0),5),"UNMAPPED")</f>
        <v>MOS</v>
      </c>
      <c r="G336" s="73" t="s">
        <v>783</v>
      </c>
      <c r="H336" s="92" t="s">
        <v>784</v>
      </c>
      <c r="I336" s="73" t="s">
        <v>236</v>
      </c>
      <c r="J336" s="76" t="str">
        <f>IFERROR(INDEX(M_SKU!$A$18:$J$57,MATCH(I336,M_SKU!$B$18:$B$57,0),1),"UNKNOWN SKU")</f>
        <v>Fanta Passion Pet 500ML ( x12)</v>
      </c>
      <c r="K336" s="73" t="s">
        <v>524</v>
      </c>
      <c r="L336" s="276">
        <v>2</v>
      </c>
      <c r="M336" s="94" cm="1">
        <f t="array" ref="M336">IFERROR(INDEX(M_DepotPrice!$C$10:$C$52,MATCH(1,(M_DepotPrice!$A$10:$A$52=I336)*(M_DepotPrice!$H$10:$H$52=IFERROR(INDEX(M_Depot!$A$7:$A$24,MATCH(F336,M_Depot!$B$7:$B$24,0)),""))*(M_DepotPrice!$G$10:$G$52="Special"),0)),INDEX(M_DepotPrice!$C$10:$C$52,MATCH(1,(M_DepotPrice!$A$10:$A$52=I336)*(M_DepotPrice!$G$10:$G$52="Default"),0)))</f>
        <v>8898</v>
      </c>
      <c r="N336" s="95">
        <f t="shared" si="11"/>
        <v>20999.279999999999</v>
      </c>
      <c r="O336" s="82" t="str">
        <f t="shared" si="10"/>
        <v>MOS100200|PH004|CK5-33334</v>
      </c>
    </row>
    <row r="337" spans="1:15" ht="15" customHeight="1" x14ac:dyDescent="0.3">
      <c r="A337" s="60" t="s">
        <v>1016</v>
      </c>
      <c r="B337" s="60" t="s">
        <v>583</v>
      </c>
      <c r="C337" s="62">
        <v>46179</v>
      </c>
      <c r="D337" s="63" t="s">
        <v>336</v>
      </c>
      <c r="E337" s="66" t="str">
        <f>IFERROR(INDEX(M_User!$A$12:$J$67,MATCH(D337,M_User!$D$12:$D$67,0),3),"UNMAPPED")</f>
        <v>George Gibson Mmary</v>
      </c>
      <c r="F337" s="65" t="str">
        <f>IFERROR(INDEX(M_User!$A$12:$J$67,MATCH(D337,M_User!$D$12:$D$67,0),5),"UNMAPPED")</f>
        <v>MOS</v>
      </c>
      <c r="G337" s="63" t="s">
        <v>783</v>
      </c>
      <c r="H337" s="69" t="s">
        <v>784</v>
      </c>
      <c r="I337" s="63" t="s">
        <v>254</v>
      </c>
      <c r="J337" s="66" t="str">
        <f>IFERROR(INDEX(M_SKU!$A$18:$J$57,MATCH(I337,M_SKU!$B$18:$B$57,0),1),"UNKNOWN SKU")</f>
        <v>Fanta Zero Pet 300ML (x 12)</v>
      </c>
      <c r="K337" s="63" t="s">
        <v>546</v>
      </c>
      <c r="L337" s="276">
        <v>1</v>
      </c>
      <c r="M337" s="91" cm="1">
        <f t="array" ref="M337">IFERROR(INDEX(M_DepotPrice!$C$10:$C$52,MATCH(1,(M_DepotPrice!$A$10:$A$52=I337)*(M_DepotPrice!$H$10:$H$52=IFERROR(INDEX(M_Depot!$A$7:$A$24,MATCH(F337,M_Depot!$B$7:$B$24,0)),""))*(M_DepotPrice!$G$10:$G$52="Special"),0)),INDEX(M_DepotPrice!$C$10:$C$52,MATCH(1,(M_DepotPrice!$A$10:$A$52=I337)*(M_DepotPrice!$G$10:$G$52="Default"),0)))</f>
        <v>5085</v>
      </c>
      <c r="N337" s="67">
        <f t="shared" si="11"/>
        <v>6000.2999999999993</v>
      </c>
      <c r="O337" s="66" t="str">
        <f t="shared" si="10"/>
        <v>MOS100200|PO012|CK5-33369</v>
      </c>
    </row>
    <row r="338" spans="1:15" ht="15" customHeight="1" x14ac:dyDescent="0.3">
      <c r="A338" s="70" t="s">
        <v>1017</v>
      </c>
      <c r="B338" s="70" t="s">
        <v>583</v>
      </c>
      <c r="C338" s="72">
        <v>46179</v>
      </c>
      <c r="D338" s="73" t="s">
        <v>336</v>
      </c>
      <c r="E338" s="76" t="str">
        <f>IFERROR(INDEX(M_User!$A$12:$J$67,MATCH(D338,M_User!$D$12:$D$67,0),3),"UNMAPPED")</f>
        <v>George Gibson Mmary</v>
      </c>
      <c r="F338" s="75" t="str">
        <f>IFERROR(INDEX(M_User!$A$12:$J$67,MATCH(D338,M_User!$D$12:$D$67,0),5),"UNMAPPED")</f>
        <v>MOS</v>
      </c>
      <c r="G338" s="73" t="s">
        <v>949</v>
      </c>
      <c r="H338" s="92" t="s">
        <v>950</v>
      </c>
      <c r="I338" s="73" t="s">
        <v>170</v>
      </c>
      <c r="J338" s="76" t="str">
        <f>IFERROR(INDEX(M_SKU!$A$18:$J$57,MATCH(I338,M_SKU!$B$18:$B$57,0),1),"UNKNOWN SKU")</f>
        <v>Coke RGB 350ml</v>
      </c>
      <c r="K338" s="73" t="s">
        <v>585</v>
      </c>
      <c r="L338" s="276">
        <v>28.898886399288099</v>
      </c>
      <c r="M338" s="94" cm="1">
        <f t="array" ref="M338">IFERROR(INDEX(M_DepotPrice!$C$10:$C$52,MATCH(1,(M_DepotPrice!$A$10:$A$52=I338)*(M_DepotPrice!$H$10:$H$52=IFERROR(INDEX(M_Depot!$A$7:$A$24,MATCH(F338,M_Depot!$B$7:$B$24,0)),""))*(M_DepotPrice!$G$10:$G$52="Special"),0)),INDEX(M_DepotPrice!$C$10:$C$52,MATCH(1,(M_DepotPrice!$A$10:$A$52=I338)*(M_DepotPrice!$G$10:$G$52="Default"),0)))</f>
        <v>11780</v>
      </c>
      <c r="N338" s="95">
        <f t="shared" si="11"/>
        <v>401706.08050466428</v>
      </c>
      <c r="O338" s="82" t="str">
        <f t="shared" si="10"/>
        <v>MOS100200|FG001|CK3-33410</v>
      </c>
    </row>
    <row r="339" spans="1:15" ht="15" customHeight="1" x14ac:dyDescent="0.3">
      <c r="A339" s="60" t="s">
        <v>1018</v>
      </c>
      <c r="B339" s="60" t="s">
        <v>583</v>
      </c>
      <c r="C339" s="62">
        <v>46179</v>
      </c>
      <c r="D339" s="63" t="s">
        <v>336</v>
      </c>
      <c r="E339" s="66" t="str">
        <f>IFERROR(INDEX(M_User!$A$12:$J$67,MATCH(D339,M_User!$D$12:$D$67,0),3),"UNMAPPED")</f>
        <v>George Gibson Mmary</v>
      </c>
      <c r="F339" s="65" t="str">
        <f>IFERROR(INDEX(M_User!$A$12:$J$67,MATCH(D339,M_User!$D$12:$D$67,0),5),"UNMAPPED")</f>
        <v>MOS</v>
      </c>
      <c r="G339" s="63" t="s">
        <v>949</v>
      </c>
      <c r="H339" s="69" t="s">
        <v>950</v>
      </c>
      <c r="I339" s="63" t="s">
        <v>181</v>
      </c>
      <c r="J339" s="66" t="str">
        <f>IFERROR(INDEX(M_SKU!$A$18:$J$57,MATCH(I339,M_SKU!$B$18:$B$57,0),1),"UNKNOWN SKU")</f>
        <v>Fanta Passion RGB 350ml</v>
      </c>
      <c r="K339" s="63" t="s">
        <v>550</v>
      </c>
      <c r="L339" s="276">
        <v>2.8235000000000001</v>
      </c>
      <c r="M339" s="91" cm="1">
        <f t="array" ref="M339">IFERROR(INDEX(M_DepotPrice!$C$10:$C$52,MATCH(1,(M_DepotPrice!$A$10:$A$52=I339)*(M_DepotPrice!$H$10:$H$52=IFERROR(INDEX(M_Depot!$A$7:$A$24,MATCH(F339,M_Depot!$B$7:$B$24,0)),""))*(M_DepotPrice!$G$10:$G$52="Special"),0)),INDEX(M_DepotPrice!$C$10:$C$52,MATCH(1,(M_DepotPrice!$A$10:$A$52=I339)*(M_DepotPrice!$G$10:$G$52="Default"),0)))</f>
        <v>11780</v>
      </c>
      <c r="N339" s="67">
        <f t="shared" si="11"/>
        <v>39247.779399999999</v>
      </c>
      <c r="O339" s="66" t="str">
        <f t="shared" si="10"/>
        <v>MOS100200|FG003|CK3-33356</v>
      </c>
    </row>
    <row r="340" spans="1:15" ht="15" customHeight="1" x14ac:dyDescent="0.3">
      <c r="A340" s="70" t="s">
        <v>1019</v>
      </c>
      <c r="B340" s="70" t="s">
        <v>583</v>
      </c>
      <c r="C340" s="72">
        <v>46179</v>
      </c>
      <c r="D340" s="73" t="s">
        <v>336</v>
      </c>
      <c r="E340" s="76" t="str">
        <f>IFERROR(INDEX(M_User!$A$12:$J$67,MATCH(D340,M_User!$D$12:$D$67,0),3),"UNMAPPED")</f>
        <v>George Gibson Mmary</v>
      </c>
      <c r="F340" s="75" t="str">
        <f>IFERROR(INDEX(M_User!$A$12:$J$67,MATCH(D340,M_User!$D$12:$D$67,0),5),"UNMAPPED")</f>
        <v>MOS</v>
      </c>
      <c r="G340" s="73" t="s">
        <v>949</v>
      </c>
      <c r="H340" s="92" t="s">
        <v>950</v>
      </c>
      <c r="I340" s="73" t="s">
        <v>183</v>
      </c>
      <c r="J340" s="76" t="str">
        <f>IFERROR(INDEX(M_SKU!$A$18:$J$57,MATCH(I340,M_SKU!$B$18:$B$57,0),1),"UNKNOWN SKU")</f>
        <v>Fanta Pineapple RGB 350ml</v>
      </c>
      <c r="K340" s="73" t="s">
        <v>533</v>
      </c>
      <c r="L340" s="276">
        <v>7.19052363561305</v>
      </c>
      <c r="M340" s="94" cm="1">
        <f t="array" ref="M340">IFERROR(INDEX(M_DepotPrice!$C$10:$C$52,MATCH(1,(M_DepotPrice!$A$10:$A$52=I340)*(M_DepotPrice!$H$10:$H$52=IFERROR(INDEX(M_Depot!$A$7:$A$24,MATCH(F340,M_Depot!$B$7:$B$24,0)),""))*(M_DepotPrice!$G$10:$G$52="Special"),0)),INDEX(M_DepotPrice!$C$10:$C$52,MATCH(1,(M_DepotPrice!$A$10:$A$52=I340)*(M_DepotPrice!$G$10:$G$52="Default"),0)))</f>
        <v>11780</v>
      </c>
      <c r="N340" s="95">
        <f t="shared" si="11"/>
        <v>99951.154744475629</v>
      </c>
      <c r="O340" s="82" t="str">
        <f t="shared" si="10"/>
        <v>MOS100200|FG004|CK3-33385</v>
      </c>
    </row>
    <row r="341" spans="1:15" ht="15" customHeight="1" x14ac:dyDescent="0.3">
      <c r="A341" s="60" t="s">
        <v>1020</v>
      </c>
      <c r="B341" s="60" t="s">
        <v>583</v>
      </c>
      <c r="C341" s="62">
        <v>46179</v>
      </c>
      <c r="D341" s="63" t="s">
        <v>336</v>
      </c>
      <c r="E341" s="66" t="str">
        <f>IFERROR(INDEX(M_User!$A$12:$J$67,MATCH(D341,M_User!$D$12:$D$67,0),3),"UNMAPPED")</f>
        <v>George Gibson Mmary</v>
      </c>
      <c r="F341" s="65" t="str">
        <f>IFERROR(INDEX(M_User!$A$12:$J$67,MATCH(D341,M_User!$D$12:$D$67,0),5),"UNMAPPED")</f>
        <v>MOS</v>
      </c>
      <c r="G341" s="63" t="s">
        <v>949</v>
      </c>
      <c r="H341" s="69" t="s">
        <v>950</v>
      </c>
      <c r="I341" s="63" t="s">
        <v>185</v>
      </c>
      <c r="J341" s="66" t="str">
        <f>IFERROR(INDEX(M_SKU!$A$18:$J$57,MATCH(I341,M_SKU!$B$18:$B$57,0),1),"UNKNOWN SKU")</f>
        <v>Fanta Fruit Blast RGB 350 ml</v>
      </c>
      <c r="K341" s="63" t="s">
        <v>534</v>
      </c>
      <c r="L341" s="276">
        <v>1.6503000000000001</v>
      </c>
      <c r="M341" s="91" cm="1">
        <f t="array" ref="M341">IFERROR(INDEX(M_DepotPrice!$C$10:$C$52,MATCH(1,(M_DepotPrice!$A$10:$A$52=I341)*(M_DepotPrice!$H$10:$H$52=IFERROR(INDEX(M_Depot!$A$7:$A$24,MATCH(F341,M_Depot!$B$7:$B$24,0)),""))*(M_DepotPrice!$G$10:$G$52="Special"),0)),INDEX(M_DepotPrice!$C$10:$C$52,MATCH(1,(M_DepotPrice!$A$10:$A$52=I341)*(M_DepotPrice!$G$10:$G$52="Default"),0)))</f>
        <v>11780</v>
      </c>
      <c r="N341" s="67">
        <f t="shared" si="11"/>
        <v>22939.830119999999</v>
      </c>
      <c r="O341" s="66" t="str">
        <f t="shared" si="10"/>
        <v>MOS100200|FG005|CK3-33402</v>
      </c>
    </row>
    <row r="342" spans="1:15" ht="15" customHeight="1" x14ac:dyDescent="0.3">
      <c r="A342" s="70" t="s">
        <v>1021</v>
      </c>
      <c r="B342" s="70" t="s">
        <v>583</v>
      </c>
      <c r="C342" s="72">
        <v>46179</v>
      </c>
      <c r="D342" s="73" t="s">
        <v>336</v>
      </c>
      <c r="E342" s="76" t="str">
        <f>IFERROR(INDEX(M_User!$A$12:$J$67,MATCH(D342,M_User!$D$12:$D$67,0),3),"UNMAPPED")</f>
        <v>George Gibson Mmary</v>
      </c>
      <c r="F342" s="75" t="str">
        <f>IFERROR(INDEX(M_User!$A$12:$J$67,MATCH(D342,M_User!$D$12:$D$67,0),5),"UNMAPPED")</f>
        <v>MOS</v>
      </c>
      <c r="G342" s="73" t="s">
        <v>949</v>
      </c>
      <c r="H342" s="92" t="s">
        <v>950</v>
      </c>
      <c r="I342" s="73" t="s">
        <v>193</v>
      </c>
      <c r="J342" s="76" t="str">
        <f>IFERROR(INDEX(M_SKU!$A$18:$J$57,MATCH(I342,M_SKU!$B$18:$B$57,0),1),"UNKNOWN SKU")</f>
        <v>Sparletta Pinenut RGB 350ml</v>
      </c>
      <c r="K342" s="73" t="s">
        <v>537</v>
      </c>
      <c r="L342" s="276">
        <v>1.6073999999999999</v>
      </c>
      <c r="M342" s="94" cm="1">
        <f t="array" ref="M342">IFERROR(INDEX(M_DepotPrice!$C$10:$C$52,MATCH(1,(M_DepotPrice!$A$10:$A$52=I342)*(M_DepotPrice!$H$10:$H$52=IFERROR(INDEX(M_Depot!$A$7:$A$24,MATCH(F342,M_Depot!$B$7:$B$24,0)),""))*(M_DepotPrice!$G$10:$G$52="Special"),0)),INDEX(M_DepotPrice!$C$10:$C$52,MATCH(1,(M_DepotPrice!$A$10:$A$52=I342)*(M_DepotPrice!$G$10:$G$52="Default"),0)))</f>
        <v>11780</v>
      </c>
      <c r="N342" s="95">
        <f t="shared" si="11"/>
        <v>22343.502959999998</v>
      </c>
      <c r="O342" s="82" t="str">
        <f t="shared" si="10"/>
        <v>MOS100200|FG008|CK3-33365</v>
      </c>
    </row>
    <row r="343" spans="1:15" ht="15" customHeight="1" x14ac:dyDescent="0.3">
      <c r="A343" s="60" t="s">
        <v>1022</v>
      </c>
      <c r="B343" s="60" t="s">
        <v>583</v>
      </c>
      <c r="C343" s="62">
        <v>46179</v>
      </c>
      <c r="D343" s="63" t="s">
        <v>336</v>
      </c>
      <c r="E343" s="66" t="str">
        <f>IFERROR(INDEX(M_User!$A$12:$J$67,MATCH(D343,M_User!$D$12:$D$67,0),3),"UNMAPPED")</f>
        <v>George Gibson Mmary</v>
      </c>
      <c r="F343" s="65" t="str">
        <f>IFERROR(INDEX(M_User!$A$12:$J$67,MATCH(D343,M_User!$D$12:$D$67,0),5),"UNMAPPED")</f>
        <v>MOS</v>
      </c>
      <c r="G343" s="63" t="s">
        <v>949</v>
      </c>
      <c r="H343" s="69" t="s">
        <v>950</v>
      </c>
      <c r="I343" s="63" t="s">
        <v>196</v>
      </c>
      <c r="J343" s="66" t="str">
        <f>IFERROR(INDEX(M_SKU!$A$18:$J$57,MATCH(I343,M_SKU!$B$18:$B$57,0),1),"UNKNOWN SKU")</f>
        <v>Krest Bitter Lemon RGB 300ml</v>
      </c>
      <c r="K343" s="63" t="s">
        <v>538</v>
      </c>
      <c r="L343" s="276">
        <v>0.82700112839325801</v>
      </c>
      <c r="M343" s="91" cm="1">
        <f t="array" ref="M343">IFERROR(INDEX(M_DepotPrice!$C$10:$C$52,MATCH(1,(M_DepotPrice!$A$10:$A$52=I343)*(M_DepotPrice!$H$10:$H$52=IFERROR(INDEX(M_Depot!$A$7:$A$24,MATCH(F343,M_Depot!$B$7:$B$24,0)),""))*(M_DepotPrice!$G$10:$G$52="Special"),0)),INDEX(M_DepotPrice!$C$10:$C$52,MATCH(1,(M_DepotPrice!$A$10:$A$52=I343)*(M_DepotPrice!$G$10:$G$52="Default"),0)))</f>
        <v>11780</v>
      </c>
      <c r="N343" s="67">
        <f t="shared" si="11"/>
        <v>11495.646485117644</v>
      </c>
      <c r="O343" s="66" t="str">
        <f t="shared" si="10"/>
        <v>MOS100200|FG009|CK3-33348</v>
      </c>
    </row>
    <row r="344" spans="1:15" ht="15" customHeight="1" x14ac:dyDescent="0.3">
      <c r="A344" s="70" t="s">
        <v>1023</v>
      </c>
      <c r="B344" s="70" t="s">
        <v>583</v>
      </c>
      <c r="C344" s="72">
        <v>46179</v>
      </c>
      <c r="D344" s="73" t="s">
        <v>336</v>
      </c>
      <c r="E344" s="76" t="str">
        <f>IFERROR(INDEX(M_User!$A$12:$J$67,MATCH(D344,M_User!$D$12:$D$67,0),3),"UNMAPPED")</f>
        <v>George Gibson Mmary</v>
      </c>
      <c r="F344" s="75" t="str">
        <f>IFERROR(INDEX(M_User!$A$12:$J$67,MATCH(D344,M_User!$D$12:$D$67,0),5),"UNMAPPED")</f>
        <v>MOS</v>
      </c>
      <c r="G344" s="73" t="s">
        <v>949</v>
      </c>
      <c r="H344" s="92" t="s">
        <v>950</v>
      </c>
      <c r="I344" s="73" t="s">
        <v>201</v>
      </c>
      <c r="J344" s="76" t="str">
        <f>IFERROR(INDEX(M_SKU!$A$18:$J$57,MATCH(I344,M_SKU!$B$18:$B$57,0),1),"UNKNOWN SKU")</f>
        <v>Krest Tonic Water RGB 300ml</v>
      </c>
      <c r="K344" s="73" t="s">
        <v>540</v>
      </c>
      <c r="L344" s="276">
        <v>0.73</v>
      </c>
      <c r="M344" s="94" cm="1">
        <f t="array" ref="M344">IFERROR(INDEX(M_DepotPrice!$C$10:$C$52,MATCH(1,(M_DepotPrice!$A$10:$A$52=I344)*(M_DepotPrice!$H$10:$H$52=IFERROR(INDEX(M_Depot!$A$7:$A$24,MATCH(F344,M_Depot!$B$7:$B$24,0)),""))*(M_DepotPrice!$G$10:$G$52="Special"),0)),INDEX(M_DepotPrice!$C$10:$C$52,MATCH(1,(M_DepotPrice!$A$10:$A$52=I344)*(M_DepotPrice!$G$10:$G$52="Default"),0)))</f>
        <v>11780</v>
      </c>
      <c r="N344" s="95">
        <f t="shared" si="11"/>
        <v>10147.291999999999</v>
      </c>
      <c r="O344" s="82" t="str">
        <f t="shared" si="10"/>
        <v>MOS100200|FG011|CK3-33347</v>
      </c>
    </row>
    <row r="345" spans="1:15" ht="15" customHeight="1" x14ac:dyDescent="0.3">
      <c r="A345" s="60" t="s">
        <v>1024</v>
      </c>
      <c r="B345" s="60" t="s">
        <v>583</v>
      </c>
      <c r="C345" s="62">
        <v>46179</v>
      </c>
      <c r="D345" s="63" t="s">
        <v>336</v>
      </c>
      <c r="E345" s="66" t="str">
        <f>IFERROR(INDEX(M_User!$A$12:$J$67,MATCH(D345,M_User!$D$12:$D$67,0),3),"UNMAPPED")</f>
        <v>George Gibson Mmary</v>
      </c>
      <c r="F345" s="65" t="str">
        <f>IFERROR(INDEX(M_User!$A$12:$J$67,MATCH(D345,M_User!$D$12:$D$67,0),5),"UNMAPPED")</f>
        <v>MOS</v>
      </c>
      <c r="G345" s="63" t="s">
        <v>949</v>
      </c>
      <c r="H345" s="69" t="s">
        <v>950</v>
      </c>
      <c r="I345" s="63" t="s">
        <v>229</v>
      </c>
      <c r="J345" s="66" t="str">
        <f>IFERROR(INDEX(M_SKU!$A$18:$J$57,MATCH(I345,M_SKU!$B$18:$B$57,0),1),"UNKNOWN SKU")</f>
        <v>Coke Pet 500ML ( x12)</v>
      </c>
      <c r="K345" s="63" t="s">
        <v>520</v>
      </c>
      <c r="L345" s="276">
        <v>15</v>
      </c>
      <c r="M345" s="91" cm="1">
        <f t="array" ref="M345">IFERROR(INDEX(M_DepotPrice!$C$10:$C$52,MATCH(1,(M_DepotPrice!$A$10:$A$52=I345)*(M_DepotPrice!$H$10:$H$52=IFERROR(INDEX(M_Depot!$A$7:$A$24,MATCH(F345,M_Depot!$B$7:$B$24,0)),""))*(M_DepotPrice!$G$10:$G$52="Special"),0)),INDEX(M_DepotPrice!$C$10:$C$52,MATCH(1,(M_DepotPrice!$A$10:$A$52=I345)*(M_DepotPrice!$G$10:$G$52="Default"),0)))</f>
        <v>8898</v>
      </c>
      <c r="N345" s="67">
        <f t="shared" si="11"/>
        <v>157494.6</v>
      </c>
      <c r="O345" s="66" t="str">
        <f t="shared" si="10"/>
        <v>MOS100200|PH001|CK6-33411</v>
      </c>
    </row>
    <row r="346" spans="1:15" ht="15" customHeight="1" x14ac:dyDescent="0.3">
      <c r="A346" s="70" t="s">
        <v>1025</v>
      </c>
      <c r="B346" s="70" t="s">
        <v>583</v>
      </c>
      <c r="C346" s="72">
        <v>46179</v>
      </c>
      <c r="D346" s="73" t="s">
        <v>336</v>
      </c>
      <c r="E346" s="76" t="str">
        <f>IFERROR(INDEX(M_User!$A$12:$J$67,MATCH(D346,M_User!$D$12:$D$67,0),3),"UNMAPPED")</f>
        <v>George Gibson Mmary</v>
      </c>
      <c r="F346" s="75" t="str">
        <f>IFERROR(INDEX(M_User!$A$12:$J$67,MATCH(D346,M_User!$D$12:$D$67,0),5),"UNMAPPED")</f>
        <v>MOS</v>
      </c>
      <c r="G346" s="73" t="s">
        <v>949</v>
      </c>
      <c r="H346" s="92" t="s">
        <v>950</v>
      </c>
      <c r="I346" s="73" t="s">
        <v>234</v>
      </c>
      <c r="J346" s="76" t="str">
        <f>IFERROR(INDEX(M_SKU!$A$18:$J$57,MATCH(I346,M_SKU!$B$18:$B$57,0),1),"UNKNOWN SKU")</f>
        <v>Fanta Orange Pet 500ML ( x 12)</v>
      </c>
      <c r="K346" s="73" t="s">
        <v>523</v>
      </c>
      <c r="L346" s="276">
        <v>14</v>
      </c>
      <c r="M346" s="94" cm="1">
        <f t="array" ref="M346">IFERROR(INDEX(M_DepotPrice!$C$10:$C$52,MATCH(1,(M_DepotPrice!$A$10:$A$52=I346)*(M_DepotPrice!$H$10:$H$52=IFERROR(INDEX(M_Depot!$A$7:$A$24,MATCH(F346,M_Depot!$B$7:$B$24,0)),""))*(M_DepotPrice!$G$10:$G$52="Special"),0)),INDEX(M_DepotPrice!$C$10:$C$52,MATCH(1,(M_DepotPrice!$A$10:$A$52=I346)*(M_DepotPrice!$G$10:$G$52="Default"),0)))</f>
        <v>8898</v>
      </c>
      <c r="N346" s="95">
        <f t="shared" si="11"/>
        <v>146994.96</v>
      </c>
      <c r="O346" s="82" t="str">
        <f t="shared" si="10"/>
        <v>MOS100200|PH003|CK6-33405</v>
      </c>
    </row>
    <row r="347" spans="1:15" ht="15" customHeight="1" x14ac:dyDescent="0.3">
      <c r="A347" s="60" t="s">
        <v>1026</v>
      </c>
      <c r="B347" s="60" t="s">
        <v>583</v>
      </c>
      <c r="C347" s="62">
        <v>46179</v>
      </c>
      <c r="D347" s="63" t="s">
        <v>336</v>
      </c>
      <c r="E347" s="66" t="str">
        <f>IFERROR(INDEX(M_User!$A$12:$J$67,MATCH(D347,M_User!$D$12:$D$67,0),3),"UNMAPPED")</f>
        <v>George Gibson Mmary</v>
      </c>
      <c r="F347" s="65" t="str">
        <f>IFERROR(INDEX(M_User!$A$12:$J$67,MATCH(D347,M_User!$D$12:$D$67,0),5),"UNMAPPED")</f>
        <v>MOS</v>
      </c>
      <c r="G347" s="63" t="s">
        <v>949</v>
      </c>
      <c r="H347" s="69" t="s">
        <v>950</v>
      </c>
      <c r="I347" s="63" t="s">
        <v>236</v>
      </c>
      <c r="J347" s="66" t="str">
        <f>IFERROR(INDEX(M_SKU!$A$18:$J$57,MATCH(I347,M_SKU!$B$18:$B$57,0),1),"UNKNOWN SKU")</f>
        <v>Fanta Passion Pet 500ML ( x12)</v>
      </c>
      <c r="K347" s="63" t="s">
        <v>524</v>
      </c>
      <c r="L347" s="276">
        <v>2</v>
      </c>
      <c r="M347" s="91" cm="1">
        <f t="array" ref="M347">IFERROR(INDEX(M_DepotPrice!$C$10:$C$52,MATCH(1,(M_DepotPrice!$A$10:$A$52=I347)*(M_DepotPrice!$H$10:$H$52=IFERROR(INDEX(M_Depot!$A$7:$A$24,MATCH(F347,M_Depot!$B$7:$B$24,0)),""))*(M_DepotPrice!$G$10:$G$52="Special"),0)),INDEX(M_DepotPrice!$C$10:$C$52,MATCH(1,(M_DepotPrice!$A$10:$A$52=I347)*(M_DepotPrice!$G$10:$G$52="Default"),0)))</f>
        <v>8898</v>
      </c>
      <c r="N347" s="67">
        <f t="shared" si="11"/>
        <v>20999.279999999999</v>
      </c>
      <c r="O347" s="66" t="str">
        <f t="shared" si="10"/>
        <v>MOS100200|PH004|CK5-33334</v>
      </c>
    </row>
    <row r="348" spans="1:15" ht="15" customHeight="1" x14ac:dyDescent="0.3">
      <c r="A348" s="70" t="s">
        <v>1027</v>
      </c>
      <c r="B348" s="70" t="s">
        <v>583</v>
      </c>
      <c r="C348" s="72">
        <v>46179</v>
      </c>
      <c r="D348" s="73" t="s">
        <v>336</v>
      </c>
      <c r="E348" s="76" t="str">
        <f>IFERROR(INDEX(M_User!$A$12:$J$67,MATCH(D348,M_User!$D$12:$D$67,0),3),"UNMAPPED")</f>
        <v>George Gibson Mmary</v>
      </c>
      <c r="F348" s="75" t="str">
        <f>IFERROR(INDEX(M_User!$A$12:$J$67,MATCH(D348,M_User!$D$12:$D$67,0),5),"UNMAPPED")</f>
        <v>MOS</v>
      </c>
      <c r="G348" s="73" t="s">
        <v>949</v>
      </c>
      <c r="H348" s="92" t="s">
        <v>950</v>
      </c>
      <c r="I348" s="73" t="s">
        <v>242</v>
      </c>
      <c r="J348" s="76" t="str">
        <f>IFERROR(INDEX(M_SKU!$A$18:$J$57,MATCH(I348,M_SKU!$B$18:$B$57,0),1),"UNKNOWN SKU")</f>
        <v>Stoney Tangawizi Pet 500 ml ( x12)</v>
      </c>
      <c r="K348" s="73" t="s">
        <v>525</v>
      </c>
      <c r="L348" s="276">
        <v>1</v>
      </c>
      <c r="M348" s="94" cm="1">
        <f t="array" ref="M348">IFERROR(INDEX(M_DepotPrice!$C$10:$C$52,MATCH(1,(M_DepotPrice!$A$10:$A$52=I348)*(M_DepotPrice!$H$10:$H$52=IFERROR(INDEX(M_Depot!$A$7:$A$24,MATCH(F348,M_Depot!$B$7:$B$24,0)),""))*(M_DepotPrice!$G$10:$G$52="Special"),0)),INDEX(M_DepotPrice!$C$10:$C$52,MATCH(1,(M_DepotPrice!$A$10:$A$52=I348)*(M_DepotPrice!$G$10:$G$52="Default"),0)))</f>
        <v>8898</v>
      </c>
      <c r="N348" s="95">
        <f t="shared" si="11"/>
        <v>10499.64</v>
      </c>
      <c r="O348" s="82" t="str">
        <f t="shared" si="10"/>
        <v>MOS100200|PH007|CK6-33375</v>
      </c>
    </row>
    <row r="349" spans="1:15" ht="15" customHeight="1" x14ac:dyDescent="0.3">
      <c r="A349" s="60" t="s">
        <v>1028</v>
      </c>
      <c r="B349" s="60" t="s">
        <v>583</v>
      </c>
      <c r="C349" s="62">
        <v>46179</v>
      </c>
      <c r="D349" s="63" t="s">
        <v>336</v>
      </c>
      <c r="E349" s="66" t="str">
        <f>IFERROR(INDEX(M_User!$A$12:$J$67,MATCH(D349,M_User!$D$12:$D$67,0),3),"UNMAPPED")</f>
        <v>George Gibson Mmary</v>
      </c>
      <c r="F349" s="65" t="str">
        <f>IFERROR(INDEX(M_User!$A$12:$J$67,MATCH(D349,M_User!$D$12:$D$67,0),5),"UNMAPPED")</f>
        <v>MOS</v>
      </c>
      <c r="G349" s="63" t="s">
        <v>949</v>
      </c>
      <c r="H349" s="69" t="s">
        <v>950</v>
      </c>
      <c r="I349" s="63" t="s">
        <v>244</v>
      </c>
      <c r="J349" s="66" t="str">
        <f>IFERROR(INDEX(M_SKU!$A$18:$J$57,MATCH(I349,M_SKU!$B$18:$B$57,0),1),"UNKNOWN SKU")</f>
        <v>Sparletta Pinenut Pet 500 ml ( x12)</v>
      </c>
      <c r="K349" s="63" t="s">
        <v>526</v>
      </c>
      <c r="L349" s="276">
        <v>2</v>
      </c>
      <c r="M349" s="91" cm="1">
        <f t="array" ref="M349">IFERROR(INDEX(M_DepotPrice!$C$10:$C$52,MATCH(1,(M_DepotPrice!$A$10:$A$52=I349)*(M_DepotPrice!$H$10:$H$52=IFERROR(INDEX(M_Depot!$A$7:$A$24,MATCH(F349,M_Depot!$B$7:$B$24,0)),""))*(M_DepotPrice!$G$10:$G$52="Special"),0)),INDEX(M_DepotPrice!$C$10:$C$52,MATCH(1,(M_DepotPrice!$A$10:$A$52=I349)*(M_DepotPrice!$G$10:$G$52="Default"),0)))</f>
        <v>8898</v>
      </c>
      <c r="N349" s="67">
        <f t="shared" si="11"/>
        <v>20999.279999999999</v>
      </c>
      <c r="O349" s="66" t="str">
        <f t="shared" si="10"/>
        <v>MOS100200|PH008|CK5-33370</v>
      </c>
    </row>
    <row r="350" spans="1:15" ht="15" customHeight="1" x14ac:dyDescent="0.3">
      <c r="A350" s="70" t="s">
        <v>1029</v>
      </c>
      <c r="B350" s="70" t="s">
        <v>583</v>
      </c>
      <c r="C350" s="72">
        <v>46179</v>
      </c>
      <c r="D350" s="73" t="s">
        <v>336</v>
      </c>
      <c r="E350" s="76" t="str">
        <f>IFERROR(INDEX(M_User!$A$12:$J$67,MATCH(D350,M_User!$D$12:$D$67,0),3),"UNMAPPED")</f>
        <v>George Gibson Mmary</v>
      </c>
      <c r="F350" s="75" t="str">
        <f>IFERROR(INDEX(M_User!$A$12:$J$67,MATCH(D350,M_User!$D$12:$D$67,0),5),"UNMAPPED")</f>
        <v>MOS</v>
      </c>
      <c r="G350" s="73" t="s">
        <v>949</v>
      </c>
      <c r="H350" s="92" t="s">
        <v>950</v>
      </c>
      <c r="I350" s="73" t="s">
        <v>252</v>
      </c>
      <c r="J350" s="76" t="str">
        <f>IFERROR(INDEX(M_SKU!$A$18:$J$57,MATCH(I350,M_SKU!$B$18:$B$57,0),1),"UNKNOWN SKU")</f>
        <v>Sprite Zero Pet 300ML (x 12)</v>
      </c>
      <c r="K350" s="73" t="s">
        <v>545</v>
      </c>
      <c r="L350" s="276">
        <v>2</v>
      </c>
      <c r="M350" s="94" cm="1">
        <f t="array" ref="M350">IFERROR(INDEX(M_DepotPrice!$C$10:$C$52,MATCH(1,(M_DepotPrice!$A$10:$A$52=I350)*(M_DepotPrice!$H$10:$H$52=IFERROR(INDEX(M_Depot!$A$7:$A$24,MATCH(F350,M_Depot!$B$7:$B$24,0)),""))*(M_DepotPrice!$G$10:$G$52="Special"),0)),INDEX(M_DepotPrice!$C$10:$C$52,MATCH(1,(M_DepotPrice!$A$10:$A$52=I350)*(M_DepotPrice!$G$10:$G$52="Default"),0)))</f>
        <v>5085</v>
      </c>
      <c r="N350" s="95">
        <f t="shared" si="11"/>
        <v>12000.599999999999</v>
      </c>
      <c r="O350" s="82" t="str">
        <f t="shared" si="10"/>
        <v>MOS100200|PO010|CK5-33360</v>
      </c>
    </row>
    <row r="351" spans="1:15" ht="15" customHeight="1" x14ac:dyDescent="0.3">
      <c r="A351" s="60" t="s">
        <v>1030</v>
      </c>
      <c r="B351" s="60" t="s">
        <v>581</v>
      </c>
      <c r="C351" s="62">
        <v>46179</v>
      </c>
      <c r="D351" s="63" t="s">
        <v>339</v>
      </c>
      <c r="E351" s="66" t="str">
        <f>IFERROR(INDEX(M_User!$A$12:$J$67,MATCH(D351,M_User!$D$12:$D$67,0),3),"UNMAPPED")</f>
        <v>Erick K. Mkama</v>
      </c>
      <c r="F351" s="65" t="str">
        <f>IFERROR(INDEX(M_User!$A$12:$J$67,MATCH(D351,M_User!$D$12:$D$67,0),5),"UNMAPPED")</f>
        <v>MOS</v>
      </c>
      <c r="G351" s="63" t="s">
        <v>869</v>
      </c>
      <c r="H351" s="69" t="s">
        <v>870</v>
      </c>
      <c r="I351" s="63" t="s">
        <v>178</v>
      </c>
      <c r="J351" s="66" t="str">
        <f>IFERROR(INDEX(M_SKU!$A$18:$J$57,MATCH(I351,M_SKU!$B$18:$B$57,0),1),"UNKNOWN SKU")</f>
        <v>Fanta Orange RGB 350ml</v>
      </c>
      <c r="K351" s="63" t="s">
        <v>531</v>
      </c>
      <c r="L351" s="276">
        <v>2.9277000000000002</v>
      </c>
      <c r="M351" s="91" cm="1">
        <f t="array" ref="M351">IFERROR(INDEX(M_DepotPrice!$C$10:$C$52,MATCH(1,(M_DepotPrice!$A$10:$A$52=I351)*(M_DepotPrice!$H$10:$H$52=IFERROR(INDEX(M_Depot!$A$7:$A$24,MATCH(F351,M_Depot!$B$7:$B$24,0)),""))*(M_DepotPrice!$G$10:$G$52="Special"),0)),INDEX(M_DepotPrice!$C$10:$C$52,MATCH(1,(M_DepotPrice!$A$10:$A$52=I351)*(M_DepotPrice!$G$10:$G$52="Default"),0)))</f>
        <v>11780</v>
      </c>
      <c r="N351" s="67">
        <f t="shared" si="11"/>
        <v>40696.201080000006</v>
      </c>
      <c r="O351" s="66" t="str">
        <f t="shared" si="10"/>
        <v>MOS100209|FG002|CK3-33407</v>
      </c>
    </row>
    <row r="352" spans="1:15" ht="15" customHeight="1" x14ac:dyDescent="0.3">
      <c r="A352" s="70" t="s">
        <v>1031</v>
      </c>
      <c r="B352" s="70" t="s">
        <v>581</v>
      </c>
      <c r="C352" s="72">
        <v>46179</v>
      </c>
      <c r="D352" s="73" t="s">
        <v>339</v>
      </c>
      <c r="E352" s="76" t="str">
        <f>IFERROR(INDEX(M_User!$A$12:$J$67,MATCH(D352,M_User!$D$12:$D$67,0),3),"UNMAPPED")</f>
        <v>Erick K. Mkama</v>
      </c>
      <c r="F352" s="75" t="str">
        <f>IFERROR(INDEX(M_User!$A$12:$J$67,MATCH(D352,M_User!$D$12:$D$67,0),5),"UNMAPPED")</f>
        <v>MOS</v>
      </c>
      <c r="G352" s="73" t="s">
        <v>869</v>
      </c>
      <c r="H352" s="92" t="s">
        <v>870</v>
      </c>
      <c r="I352" s="73" t="s">
        <v>181</v>
      </c>
      <c r="J352" s="76" t="str">
        <f>IFERROR(INDEX(M_SKU!$A$18:$J$57,MATCH(I352,M_SKU!$B$18:$B$57,0),1),"UNKNOWN SKU")</f>
        <v>Fanta Passion RGB 350ml</v>
      </c>
      <c r="K352" s="73" t="s">
        <v>550</v>
      </c>
      <c r="L352" s="276">
        <v>2.4716999999999998</v>
      </c>
      <c r="M352" s="94" cm="1">
        <f t="array" ref="M352">IFERROR(INDEX(M_DepotPrice!$C$10:$C$52,MATCH(1,(M_DepotPrice!$A$10:$A$52=I352)*(M_DepotPrice!$H$10:$H$52=IFERROR(INDEX(M_Depot!$A$7:$A$24,MATCH(F352,M_Depot!$B$7:$B$24,0)),""))*(M_DepotPrice!$G$10:$G$52="Special"),0)),INDEX(M_DepotPrice!$C$10:$C$52,MATCH(1,(M_DepotPrice!$A$10:$A$52=I352)*(M_DepotPrice!$G$10:$G$52="Default"),0)))</f>
        <v>11780</v>
      </c>
      <c r="N352" s="95">
        <f t="shared" si="11"/>
        <v>34357.618679999992</v>
      </c>
      <c r="O352" s="82" t="str">
        <f t="shared" si="10"/>
        <v>MOS100209|FG003|CK3-33356</v>
      </c>
    </row>
    <row r="353" spans="1:15" ht="15" customHeight="1" x14ac:dyDescent="0.3">
      <c r="A353" s="60" t="s">
        <v>1032</v>
      </c>
      <c r="B353" s="60" t="s">
        <v>581</v>
      </c>
      <c r="C353" s="62">
        <v>46179</v>
      </c>
      <c r="D353" s="63" t="s">
        <v>339</v>
      </c>
      <c r="E353" s="66" t="str">
        <f>IFERROR(INDEX(M_User!$A$12:$J$67,MATCH(D353,M_User!$D$12:$D$67,0),3),"UNMAPPED")</f>
        <v>Erick K. Mkama</v>
      </c>
      <c r="F353" s="65" t="str">
        <f>IFERROR(INDEX(M_User!$A$12:$J$67,MATCH(D353,M_User!$D$12:$D$67,0),5),"UNMAPPED")</f>
        <v>MOS</v>
      </c>
      <c r="G353" s="63" t="s">
        <v>869</v>
      </c>
      <c r="H353" s="69" t="s">
        <v>870</v>
      </c>
      <c r="I353" s="63" t="s">
        <v>183</v>
      </c>
      <c r="J353" s="66" t="str">
        <f>IFERROR(INDEX(M_SKU!$A$18:$J$57,MATCH(I353,M_SKU!$B$18:$B$57,0),1),"UNKNOWN SKU")</f>
        <v>Fanta Pineapple RGB 350ml</v>
      </c>
      <c r="K353" s="63" t="s">
        <v>533</v>
      </c>
      <c r="L353" s="276">
        <v>2.3184745248960899</v>
      </c>
      <c r="M353" s="91" cm="1">
        <f t="array" ref="M353">IFERROR(INDEX(M_DepotPrice!$C$10:$C$52,MATCH(1,(M_DepotPrice!$A$10:$A$52=I353)*(M_DepotPrice!$H$10:$H$52=IFERROR(INDEX(M_Depot!$A$7:$A$24,MATCH(F353,M_Depot!$B$7:$B$24,0)),""))*(M_DepotPrice!$G$10:$G$52="Special"),0)),INDEX(M_DepotPrice!$C$10:$C$52,MATCH(1,(M_DepotPrice!$A$10:$A$52=I353)*(M_DepotPrice!$G$10:$G$52="Default"),0)))</f>
        <v>11780</v>
      </c>
      <c r="N353" s="67">
        <f t="shared" si="11"/>
        <v>32227.723285865606</v>
      </c>
      <c r="O353" s="66" t="str">
        <f t="shared" si="10"/>
        <v>MOS100209|FG004|CK3-33385</v>
      </c>
    </row>
    <row r="354" spans="1:15" ht="15" customHeight="1" x14ac:dyDescent="0.3">
      <c r="A354" s="70" t="s">
        <v>1033</v>
      </c>
      <c r="B354" s="70" t="s">
        <v>581</v>
      </c>
      <c r="C354" s="72">
        <v>46179</v>
      </c>
      <c r="D354" s="73" t="s">
        <v>339</v>
      </c>
      <c r="E354" s="76" t="str">
        <f>IFERROR(INDEX(M_User!$A$12:$J$67,MATCH(D354,M_User!$D$12:$D$67,0),3),"UNMAPPED")</f>
        <v>Erick K. Mkama</v>
      </c>
      <c r="F354" s="75" t="str">
        <f>IFERROR(INDEX(M_User!$A$12:$J$67,MATCH(D354,M_User!$D$12:$D$67,0),5),"UNMAPPED")</f>
        <v>MOS</v>
      </c>
      <c r="G354" s="73" t="s">
        <v>869</v>
      </c>
      <c r="H354" s="92" t="s">
        <v>870</v>
      </c>
      <c r="I354" s="73" t="s">
        <v>185</v>
      </c>
      <c r="J354" s="76" t="str">
        <f>IFERROR(INDEX(M_SKU!$A$18:$J$57,MATCH(I354,M_SKU!$B$18:$B$57,0),1),"UNKNOWN SKU")</f>
        <v>Fanta Fruit Blast RGB 350 ml</v>
      </c>
      <c r="K354" s="73" t="s">
        <v>534</v>
      </c>
      <c r="L354" s="276">
        <v>1.2887284322196699</v>
      </c>
      <c r="M354" s="94" cm="1">
        <f t="array" ref="M354">IFERROR(INDEX(M_DepotPrice!$C$10:$C$52,MATCH(1,(M_DepotPrice!$A$10:$A$52=I354)*(M_DepotPrice!$H$10:$H$52=IFERROR(INDEX(M_Depot!$A$7:$A$24,MATCH(F354,M_Depot!$B$7:$B$24,0)),""))*(M_DepotPrice!$G$10:$G$52="Special"),0)),INDEX(M_DepotPrice!$C$10:$C$52,MATCH(1,(M_DepotPrice!$A$10:$A$52=I354)*(M_DepotPrice!$G$10:$G$52="Default"),0)))</f>
        <v>11780</v>
      </c>
      <c r="N354" s="95">
        <f t="shared" si="11"/>
        <v>17913.840699226301</v>
      </c>
      <c r="O354" s="82" t="str">
        <f t="shared" si="10"/>
        <v>MOS100209|FG005|CK3-33402</v>
      </c>
    </row>
    <row r="355" spans="1:15" ht="15" customHeight="1" x14ac:dyDescent="0.3">
      <c r="A355" s="60" t="s">
        <v>1034</v>
      </c>
      <c r="B355" s="60" t="s">
        <v>581</v>
      </c>
      <c r="C355" s="62">
        <v>46179</v>
      </c>
      <c r="D355" s="63" t="s">
        <v>339</v>
      </c>
      <c r="E355" s="66" t="str">
        <f>IFERROR(INDEX(M_User!$A$12:$J$67,MATCH(D355,M_User!$D$12:$D$67,0),3),"UNMAPPED")</f>
        <v>Erick K. Mkama</v>
      </c>
      <c r="F355" s="65" t="str">
        <f>IFERROR(INDEX(M_User!$A$12:$J$67,MATCH(D355,M_User!$D$12:$D$67,0),5),"UNMAPPED")</f>
        <v>MOS</v>
      </c>
      <c r="G355" s="63" t="s">
        <v>869</v>
      </c>
      <c r="H355" s="69" t="s">
        <v>870</v>
      </c>
      <c r="I355" s="63" t="s">
        <v>190</v>
      </c>
      <c r="J355" s="66" t="str">
        <f>IFERROR(INDEX(M_SKU!$A$18:$J$57,MATCH(I355,M_SKU!$B$18:$B$57,0),1),"UNKNOWN SKU")</f>
        <v>Stoney Tangawizi RGB 350ml</v>
      </c>
      <c r="K355" s="63" t="s">
        <v>536</v>
      </c>
      <c r="L355" s="276">
        <v>0.63768256430829795</v>
      </c>
      <c r="M355" s="91" cm="1">
        <f t="array" ref="M355">IFERROR(INDEX(M_DepotPrice!$C$10:$C$52,MATCH(1,(M_DepotPrice!$A$10:$A$52=I355)*(M_DepotPrice!$H$10:$H$52=IFERROR(INDEX(M_Depot!$A$7:$A$24,MATCH(F355,M_Depot!$B$7:$B$24,0)),""))*(M_DepotPrice!$G$10:$G$52="Special"),0)),INDEX(M_DepotPrice!$C$10:$C$52,MATCH(1,(M_DepotPrice!$A$10:$A$52=I355)*(M_DepotPrice!$G$10:$G$52="Default"),0)))</f>
        <v>11780</v>
      </c>
      <c r="N355" s="67">
        <f t="shared" si="11"/>
        <v>8864.0427169110644</v>
      </c>
      <c r="O355" s="66" t="str">
        <f t="shared" si="10"/>
        <v>MOS100209|FG007|CK3-33404</v>
      </c>
    </row>
    <row r="356" spans="1:15" ht="15" customHeight="1" x14ac:dyDescent="0.3">
      <c r="A356" s="70" t="s">
        <v>1035</v>
      </c>
      <c r="B356" s="70" t="s">
        <v>581</v>
      </c>
      <c r="C356" s="72">
        <v>46179</v>
      </c>
      <c r="D356" s="73" t="s">
        <v>339</v>
      </c>
      <c r="E356" s="76" t="str">
        <f>IFERROR(INDEX(M_User!$A$12:$J$67,MATCH(D356,M_User!$D$12:$D$67,0),3),"UNMAPPED")</f>
        <v>Erick K. Mkama</v>
      </c>
      <c r="F356" s="75" t="str">
        <f>IFERROR(INDEX(M_User!$A$12:$J$67,MATCH(D356,M_User!$D$12:$D$67,0),5),"UNMAPPED")</f>
        <v>MOS</v>
      </c>
      <c r="G356" s="73" t="s">
        <v>869</v>
      </c>
      <c r="H356" s="92" t="s">
        <v>870</v>
      </c>
      <c r="I356" s="73" t="s">
        <v>193</v>
      </c>
      <c r="J356" s="76" t="str">
        <f>IFERROR(INDEX(M_SKU!$A$18:$J$57,MATCH(I356,M_SKU!$B$18:$B$57,0),1),"UNKNOWN SKU")</f>
        <v>Sparletta Pinenut RGB 350ml</v>
      </c>
      <c r="K356" s="73" t="s">
        <v>580</v>
      </c>
      <c r="L356" s="276">
        <v>0.72337884158799404</v>
      </c>
      <c r="M356" s="94" cm="1">
        <f t="array" ref="M356">IFERROR(INDEX(M_DepotPrice!$C$10:$C$52,MATCH(1,(M_DepotPrice!$A$10:$A$52=I356)*(M_DepotPrice!$H$10:$H$52=IFERROR(INDEX(M_Depot!$A$7:$A$24,MATCH(F356,M_Depot!$B$7:$B$24,0)),""))*(M_DepotPrice!$G$10:$G$52="Special"),0)),INDEX(M_DepotPrice!$C$10:$C$52,MATCH(1,(M_DepotPrice!$A$10:$A$52=I356)*(M_DepotPrice!$G$10:$G$52="Default"),0)))</f>
        <v>11780</v>
      </c>
      <c r="N356" s="95">
        <f t="shared" si="11"/>
        <v>10055.255249609752</v>
      </c>
      <c r="O356" s="82" t="str">
        <f t="shared" si="10"/>
        <v>MOS100209|FG008|CK3-33367</v>
      </c>
    </row>
    <row r="357" spans="1:15" ht="15" customHeight="1" x14ac:dyDescent="0.3">
      <c r="A357" s="60" t="s">
        <v>1036</v>
      </c>
      <c r="B357" s="60" t="s">
        <v>581</v>
      </c>
      <c r="C357" s="62">
        <v>46179</v>
      </c>
      <c r="D357" s="63" t="s">
        <v>339</v>
      </c>
      <c r="E357" s="66" t="str">
        <f>IFERROR(INDEX(M_User!$A$12:$J$67,MATCH(D357,M_User!$D$12:$D$67,0),3),"UNMAPPED")</f>
        <v>Erick K. Mkama</v>
      </c>
      <c r="F357" s="65" t="str">
        <f>IFERROR(INDEX(M_User!$A$12:$J$67,MATCH(D357,M_User!$D$12:$D$67,0),5),"UNMAPPED")</f>
        <v>MOS</v>
      </c>
      <c r="G357" s="63" t="s">
        <v>869</v>
      </c>
      <c r="H357" s="69" t="s">
        <v>870</v>
      </c>
      <c r="I357" s="63" t="s">
        <v>196</v>
      </c>
      <c r="J357" s="66" t="str">
        <f>IFERROR(INDEX(M_SKU!$A$18:$J$57,MATCH(I357,M_SKU!$B$18:$B$57,0),1),"UNKNOWN SKU")</f>
        <v>Krest Bitter Lemon RGB 300ml</v>
      </c>
      <c r="K357" s="63" t="s">
        <v>538</v>
      </c>
      <c r="L357" s="276">
        <v>0.91818357879118695</v>
      </c>
      <c r="M357" s="91" cm="1">
        <f t="array" ref="M357">IFERROR(INDEX(M_DepotPrice!$C$10:$C$52,MATCH(1,(M_DepotPrice!$A$10:$A$52=I357)*(M_DepotPrice!$H$10:$H$52=IFERROR(INDEX(M_Depot!$A$7:$A$24,MATCH(F357,M_Depot!$B$7:$B$24,0)),""))*(M_DepotPrice!$G$10:$G$52="Special"),0)),INDEX(M_DepotPrice!$C$10:$C$52,MATCH(1,(M_DepotPrice!$A$10:$A$52=I357)*(M_DepotPrice!$G$10:$G$52="Default"),0)))</f>
        <v>11780</v>
      </c>
      <c r="N357" s="67">
        <f t="shared" si="11"/>
        <v>12763.119018629015</v>
      </c>
      <c r="O357" s="66" t="str">
        <f t="shared" si="10"/>
        <v>MOS100209|FG009|CK3-33348</v>
      </c>
    </row>
    <row r="358" spans="1:15" ht="15" customHeight="1" x14ac:dyDescent="0.3">
      <c r="A358" s="70" t="s">
        <v>1037</v>
      </c>
      <c r="B358" s="70" t="s">
        <v>581</v>
      </c>
      <c r="C358" s="72">
        <v>46179</v>
      </c>
      <c r="D358" s="73" t="s">
        <v>339</v>
      </c>
      <c r="E358" s="76" t="str">
        <f>IFERROR(INDEX(M_User!$A$12:$J$67,MATCH(D358,M_User!$D$12:$D$67,0),3),"UNMAPPED")</f>
        <v>Erick K. Mkama</v>
      </c>
      <c r="F358" s="75" t="str">
        <f>IFERROR(INDEX(M_User!$A$12:$J$67,MATCH(D358,M_User!$D$12:$D$67,0),5),"UNMAPPED")</f>
        <v>MOS</v>
      </c>
      <c r="G358" s="73" t="s">
        <v>869</v>
      </c>
      <c r="H358" s="92" t="s">
        <v>870</v>
      </c>
      <c r="I358" s="73" t="s">
        <v>199</v>
      </c>
      <c r="J358" s="76" t="str">
        <f>IFERROR(INDEX(M_SKU!$A$18:$J$57,MATCH(I358,M_SKU!$B$18:$B$57,0),1),"UNKNOWN SKU")</f>
        <v>Krest Club Soda RGB 300ml</v>
      </c>
      <c r="K358" s="73" t="s">
        <v>539</v>
      </c>
      <c r="L358" s="276">
        <v>0.70523073961389704</v>
      </c>
      <c r="M358" s="94" cm="1">
        <f t="array" ref="M358">IFERROR(INDEX(M_DepotPrice!$C$10:$C$52,MATCH(1,(M_DepotPrice!$A$10:$A$52=I358)*(M_DepotPrice!$H$10:$H$52=IFERROR(INDEX(M_Depot!$A$7:$A$24,MATCH(F358,M_Depot!$B$7:$B$24,0)),""))*(M_DepotPrice!$G$10:$G$52="Special"),0)),INDEX(M_DepotPrice!$C$10:$C$52,MATCH(1,(M_DepotPrice!$A$10:$A$52=I358)*(M_DepotPrice!$G$10:$G$52="Default"),0)))</f>
        <v>11780</v>
      </c>
      <c r="N358" s="95">
        <f t="shared" si="11"/>
        <v>9802.9893729290143</v>
      </c>
      <c r="O358" s="82" t="str">
        <f t="shared" si="10"/>
        <v>MOS100209|FG010|CK3-33301</v>
      </c>
    </row>
    <row r="359" spans="1:15" ht="15" customHeight="1" x14ac:dyDescent="0.3">
      <c r="A359" s="60" t="s">
        <v>1038</v>
      </c>
      <c r="B359" s="60" t="s">
        <v>581</v>
      </c>
      <c r="C359" s="62">
        <v>46179</v>
      </c>
      <c r="D359" s="63" t="s">
        <v>339</v>
      </c>
      <c r="E359" s="66" t="str">
        <f>IFERROR(INDEX(M_User!$A$12:$J$67,MATCH(D359,M_User!$D$12:$D$67,0),3),"UNMAPPED")</f>
        <v>Erick K. Mkama</v>
      </c>
      <c r="F359" s="65" t="str">
        <f>IFERROR(INDEX(M_User!$A$12:$J$67,MATCH(D359,M_User!$D$12:$D$67,0),5),"UNMAPPED")</f>
        <v>MOS</v>
      </c>
      <c r="G359" s="63" t="s">
        <v>869</v>
      </c>
      <c r="H359" s="69" t="s">
        <v>870</v>
      </c>
      <c r="I359" s="63" t="s">
        <v>203</v>
      </c>
      <c r="J359" s="66" t="str">
        <f>IFERROR(INDEX(M_SKU!$A$18:$J$57,MATCH(I359,M_SKU!$B$18:$B$57,0),1),"UNKNOWN SKU")</f>
        <v>Krest Ginger Ale RGB 300ml</v>
      </c>
      <c r="K359" s="63" t="s">
        <v>541</v>
      </c>
      <c r="L359" s="276">
        <v>1.0054238367653601</v>
      </c>
      <c r="M359" s="91" cm="1">
        <f t="array" ref="M359">IFERROR(INDEX(M_DepotPrice!$C$10:$C$52,MATCH(1,(M_DepotPrice!$A$10:$A$52=I359)*(M_DepotPrice!$H$10:$H$52=IFERROR(INDEX(M_Depot!$A$7:$A$24,MATCH(F359,M_Depot!$B$7:$B$24,0)),""))*(M_DepotPrice!$G$10:$G$52="Special"),0)),INDEX(M_DepotPrice!$C$10:$C$52,MATCH(1,(M_DepotPrice!$A$10:$A$52=I359)*(M_DepotPrice!$G$10:$G$52="Default"),0)))</f>
        <v>11780</v>
      </c>
      <c r="N359" s="67">
        <f t="shared" si="11"/>
        <v>13975.793500573211</v>
      </c>
      <c r="O359" s="66" t="str">
        <f t="shared" si="10"/>
        <v>MOS100209|FG012|CK3-33126</v>
      </c>
    </row>
    <row r="360" spans="1:15" ht="15" customHeight="1" x14ac:dyDescent="0.3">
      <c r="A360" s="70" t="s">
        <v>1039</v>
      </c>
      <c r="B360" s="70" t="s">
        <v>581</v>
      </c>
      <c r="C360" s="72">
        <v>46179</v>
      </c>
      <c r="D360" s="73" t="s">
        <v>339</v>
      </c>
      <c r="E360" s="76" t="str">
        <f>IFERROR(INDEX(M_User!$A$12:$J$67,MATCH(D360,M_User!$D$12:$D$67,0),3),"UNMAPPED")</f>
        <v>Erick K. Mkama</v>
      </c>
      <c r="F360" s="75" t="str">
        <f>IFERROR(INDEX(M_User!$A$12:$J$67,MATCH(D360,M_User!$D$12:$D$67,0),5),"UNMAPPED")</f>
        <v>MOS</v>
      </c>
      <c r="G360" s="73" t="s">
        <v>869</v>
      </c>
      <c r="H360" s="92" t="s">
        <v>870</v>
      </c>
      <c r="I360" s="73" t="s">
        <v>209</v>
      </c>
      <c r="J360" s="76" t="str">
        <f>IFERROR(INDEX(M_SKU!$A$18:$J$57,MATCH(I360,M_SKU!$B$18:$B$57,0),1),"UNKNOWN SKU")</f>
        <v>Sparletta Red Apple RGB 350ml</v>
      </c>
      <c r="K360" s="73" t="s">
        <v>542</v>
      </c>
      <c r="L360" s="276">
        <v>0.38238404946749599</v>
      </c>
      <c r="M360" s="94" cm="1">
        <f t="array" ref="M360">IFERROR(INDEX(M_DepotPrice!$C$10:$C$52,MATCH(1,(M_DepotPrice!$A$10:$A$52=I360)*(M_DepotPrice!$H$10:$H$52=IFERROR(INDEX(M_Depot!$A$7:$A$24,MATCH(F360,M_Depot!$B$7:$B$24,0)),""))*(M_DepotPrice!$G$10:$G$52="Special"),0)),INDEX(M_DepotPrice!$C$10:$C$52,MATCH(1,(M_DepotPrice!$A$10:$A$52=I360)*(M_DepotPrice!$G$10:$G$52="Default"),0)))</f>
        <v>11780</v>
      </c>
      <c r="N360" s="95">
        <f t="shared" si="11"/>
        <v>5315.2912412179812</v>
      </c>
      <c r="O360" s="82" t="str">
        <f t="shared" si="10"/>
        <v>MOS100209|FG024|CK3-32758</v>
      </c>
    </row>
    <row r="361" spans="1:15" ht="15" customHeight="1" x14ac:dyDescent="0.3">
      <c r="A361" s="60" t="s">
        <v>1040</v>
      </c>
      <c r="B361" s="60" t="s">
        <v>581</v>
      </c>
      <c r="C361" s="62">
        <v>46179</v>
      </c>
      <c r="D361" s="63" t="s">
        <v>339</v>
      </c>
      <c r="E361" s="66" t="str">
        <f>IFERROR(INDEX(M_User!$A$12:$J$67,MATCH(D361,M_User!$D$12:$D$67,0),3),"UNMAPPED")</f>
        <v>Erick K. Mkama</v>
      </c>
      <c r="F361" s="65" t="str">
        <f>IFERROR(INDEX(M_User!$A$12:$J$67,MATCH(D361,M_User!$D$12:$D$67,0),5),"UNMAPPED")</f>
        <v>MOS</v>
      </c>
      <c r="G361" s="63" t="s">
        <v>869</v>
      </c>
      <c r="H361" s="69" t="s">
        <v>870</v>
      </c>
      <c r="I361" s="63" t="s">
        <v>211</v>
      </c>
      <c r="J361" s="66" t="str">
        <f>IFERROR(INDEX(M_SKU!$A$18:$J$57,MATCH(I361,M_SKU!$B$18:$B$57,0),1),"UNKNOWN SKU")</f>
        <v>KNMW 500ml</v>
      </c>
      <c r="K361" s="63" t="s">
        <v>543</v>
      </c>
      <c r="L361" s="276">
        <v>14</v>
      </c>
      <c r="M361" s="91" cm="1">
        <f t="array" ref="M361">IFERROR(INDEX(M_DepotPrice!$C$10:$C$52,MATCH(1,(M_DepotPrice!$A$10:$A$52=I361)*(M_DepotPrice!$H$10:$H$52=IFERROR(INDEX(M_Depot!$A$7:$A$24,MATCH(F361,M_Depot!$B$7:$B$24,0)),""))*(M_DepotPrice!$G$10:$G$52="Special"),0)),INDEX(M_DepotPrice!$C$10:$C$52,MATCH(1,(M_DepotPrice!$A$10:$A$52=I361)*(M_DepotPrice!$G$10:$G$52="Default"),0)))</f>
        <v>3559</v>
      </c>
      <c r="N361" s="67">
        <f t="shared" si="11"/>
        <v>58794.68</v>
      </c>
      <c r="O361" s="66" t="str">
        <f t="shared" si="10"/>
        <v>MOS100209|KD001|CK6-986</v>
      </c>
    </row>
    <row r="362" spans="1:15" ht="15" customHeight="1" x14ac:dyDescent="0.3">
      <c r="A362" s="70" t="s">
        <v>1041</v>
      </c>
      <c r="B362" s="70" t="s">
        <v>581</v>
      </c>
      <c r="C362" s="72">
        <v>46179</v>
      </c>
      <c r="D362" s="73" t="s">
        <v>339</v>
      </c>
      <c r="E362" s="76" t="str">
        <f>IFERROR(INDEX(M_User!$A$12:$J$67,MATCH(D362,M_User!$D$12:$D$67,0),3),"UNMAPPED")</f>
        <v>Erick K. Mkama</v>
      </c>
      <c r="F362" s="75" t="str">
        <f>IFERROR(INDEX(M_User!$A$12:$J$67,MATCH(D362,M_User!$D$12:$D$67,0),5),"UNMAPPED")</f>
        <v>MOS</v>
      </c>
      <c r="G362" s="73" t="s">
        <v>869</v>
      </c>
      <c r="H362" s="92" t="s">
        <v>870</v>
      </c>
      <c r="I362" s="73" t="s">
        <v>229</v>
      </c>
      <c r="J362" s="76" t="str">
        <f>IFERROR(INDEX(M_SKU!$A$18:$J$57,MATCH(I362,M_SKU!$B$18:$B$57,0),1),"UNKNOWN SKU")</f>
        <v>Coke Pet 500ML ( x12)</v>
      </c>
      <c r="K362" s="73" t="s">
        <v>520</v>
      </c>
      <c r="L362" s="276">
        <v>20</v>
      </c>
      <c r="M362" s="94" cm="1">
        <f t="array" ref="M362">IFERROR(INDEX(M_DepotPrice!$C$10:$C$52,MATCH(1,(M_DepotPrice!$A$10:$A$52=I362)*(M_DepotPrice!$H$10:$H$52=IFERROR(INDEX(M_Depot!$A$7:$A$24,MATCH(F362,M_Depot!$B$7:$B$24,0)),""))*(M_DepotPrice!$G$10:$G$52="Special"),0)),INDEX(M_DepotPrice!$C$10:$C$52,MATCH(1,(M_DepotPrice!$A$10:$A$52=I362)*(M_DepotPrice!$G$10:$G$52="Default"),0)))</f>
        <v>8898</v>
      </c>
      <c r="N362" s="95">
        <f t="shared" si="11"/>
        <v>209992.8</v>
      </c>
      <c r="O362" s="82" t="str">
        <f t="shared" si="10"/>
        <v>MOS100209|PH001|CK6-33411</v>
      </c>
    </row>
    <row r="363" spans="1:15" ht="15" customHeight="1" x14ac:dyDescent="0.3">
      <c r="A363" s="60" t="s">
        <v>1042</v>
      </c>
      <c r="B363" s="60" t="s">
        <v>581</v>
      </c>
      <c r="C363" s="62">
        <v>46179</v>
      </c>
      <c r="D363" s="63" t="s">
        <v>339</v>
      </c>
      <c r="E363" s="66" t="str">
        <f>IFERROR(INDEX(M_User!$A$12:$J$67,MATCH(D363,M_User!$D$12:$D$67,0),3),"UNMAPPED")</f>
        <v>Erick K. Mkama</v>
      </c>
      <c r="F363" s="65" t="str">
        <f>IFERROR(INDEX(M_User!$A$12:$J$67,MATCH(D363,M_User!$D$12:$D$67,0),5),"UNMAPPED")</f>
        <v>MOS</v>
      </c>
      <c r="G363" s="63" t="s">
        <v>869</v>
      </c>
      <c r="H363" s="69" t="s">
        <v>870</v>
      </c>
      <c r="I363" s="63" t="s">
        <v>232</v>
      </c>
      <c r="J363" s="66" t="str">
        <f>IFERROR(INDEX(M_SKU!$A$18:$J$57,MATCH(I363,M_SKU!$B$18:$B$57,0),1),"UNKNOWN SKU")</f>
        <v>Sprite Pet 500ML (x 12)</v>
      </c>
      <c r="K363" s="63" t="s">
        <v>522</v>
      </c>
      <c r="L363" s="276">
        <v>3</v>
      </c>
      <c r="M363" s="91" cm="1">
        <f t="array" ref="M363">IFERROR(INDEX(M_DepotPrice!$C$10:$C$52,MATCH(1,(M_DepotPrice!$A$10:$A$52=I363)*(M_DepotPrice!$H$10:$H$52=IFERROR(INDEX(M_Depot!$A$7:$A$24,MATCH(F363,M_Depot!$B$7:$B$24,0)),""))*(M_DepotPrice!$G$10:$G$52="Special"),0)),INDEX(M_DepotPrice!$C$10:$C$52,MATCH(1,(M_DepotPrice!$A$10:$A$52=I363)*(M_DepotPrice!$G$10:$G$52="Default"),0)))</f>
        <v>8898</v>
      </c>
      <c r="N363" s="67">
        <f t="shared" si="11"/>
        <v>31498.92</v>
      </c>
      <c r="O363" s="66" t="str">
        <f t="shared" si="10"/>
        <v>MOS100209|PH002|CK6-33362</v>
      </c>
    </row>
    <row r="364" spans="1:15" ht="15" customHeight="1" x14ac:dyDescent="0.3">
      <c r="A364" s="70" t="s">
        <v>1043</v>
      </c>
      <c r="B364" s="70" t="s">
        <v>581</v>
      </c>
      <c r="C364" s="72">
        <v>46179</v>
      </c>
      <c r="D364" s="73" t="s">
        <v>339</v>
      </c>
      <c r="E364" s="76" t="str">
        <f>IFERROR(INDEX(M_User!$A$12:$J$67,MATCH(D364,M_User!$D$12:$D$67,0),3),"UNMAPPED")</f>
        <v>Erick K. Mkama</v>
      </c>
      <c r="F364" s="75" t="str">
        <f>IFERROR(INDEX(M_User!$A$12:$J$67,MATCH(D364,M_User!$D$12:$D$67,0),5),"UNMAPPED")</f>
        <v>MOS</v>
      </c>
      <c r="G364" s="73" t="s">
        <v>869</v>
      </c>
      <c r="H364" s="92" t="s">
        <v>870</v>
      </c>
      <c r="I364" s="73" t="s">
        <v>234</v>
      </c>
      <c r="J364" s="76" t="str">
        <f>IFERROR(INDEX(M_SKU!$A$18:$J$57,MATCH(I364,M_SKU!$B$18:$B$57,0),1),"UNKNOWN SKU")</f>
        <v>Fanta Orange Pet 500ML ( x 12)</v>
      </c>
      <c r="K364" s="73" t="s">
        <v>523</v>
      </c>
      <c r="L364" s="276">
        <v>10</v>
      </c>
      <c r="M364" s="94" cm="1">
        <f t="array" ref="M364">IFERROR(INDEX(M_DepotPrice!$C$10:$C$52,MATCH(1,(M_DepotPrice!$A$10:$A$52=I364)*(M_DepotPrice!$H$10:$H$52=IFERROR(INDEX(M_Depot!$A$7:$A$24,MATCH(F364,M_Depot!$B$7:$B$24,0)),""))*(M_DepotPrice!$G$10:$G$52="Special"),0)),INDEX(M_DepotPrice!$C$10:$C$52,MATCH(1,(M_DepotPrice!$A$10:$A$52=I364)*(M_DepotPrice!$G$10:$G$52="Default"),0)))</f>
        <v>8898</v>
      </c>
      <c r="N364" s="95">
        <f t="shared" si="11"/>
        <v>104996.4</v>
      </c>
      <c r="O364" s="82" t="str">
        <f t="shared" si="10"/>
        <v>MOS100209|PH003|CK6-33405</v>
      </c>
    </row>
    <row r="365" spans="1:15" ht="15" customHeight="1" x14ac:dyDescent="0.3">
      <c r="A365" s="60" t="s">
        <v>1044</v>
      </c>
      <c r="B365" s="60" t="s">
        <v>581</v>
      </c>
      <c r="C365" s="62">
        <v>46179</v>
      </c>
      <c r="D365" s="63" t="s">
        <v>339</v>
      </c>
      <c r="E365" s="66" t="str">
        <f>IFERROR(INDEX(M_User!$A$12:$J$67,MATCH(D365,M_User!$D$12:$D$67,0),3),"UNMAPPED")</f>
        <v>Erick K. Mkama</v>
      </c>
      <c r="F365" s="65" t="str">
        <f>IFERROR(INDEX(M_User!$A$12:$J$67,MATCH(D365,M_User!$D$12:$D$67,0),5),"UNMAPPED")</f>
        <v>MOS</v>
      </c>
      <c r="G365" s="63" t="s">
        <v>869</v>
      </c>
      <c r="H365" s="69" t="s">
        <v>870</v>
      </c>
      <c r="I365" s="63" t="s">
        <v>236</v>
      </c>
      <c r="J365" s="66" t="str">
        <f>IFERROR(INDEX(M_SKU!$A$18:$J$57,MATCH(I365,M_SKU!$B$18:$B$57,0),1),"UNKNOWN SKU")</f>
        <v>Fanta Passion Pet 500ML ( x12)</v>
      </c>
      <c r="K365" s="63" t="s">
        <v>524</v>
      </c>
      <c r="L365" s="276">
        <v>2</v>
      </c>
      <c r="M365" s="91" cm="1">
        <f t="array" ref="M365">IFERROR(INDEX(M_DepotPrice!$C$10:$C$52,MATCH(1,(M_DepotPrice!$A$10:$A$52=I365)*(M_DepotPrice!$H$10:$H$52=IFERROR(INDEX(M_Depot!$A$7:$A$24,MATCH(F365,M_Depot!$B$7:$B$24,0)),""))*(M_DepotPrice!$G$10:$G$52="Special"),0)),INDEX(M_DepotPrice!$C$10:$C$52,MATCH(1,(M_DepotPrice!$A$10:$A$52=I365)*(M_DepotPrice!$G$10:$G$52="Default"),0)))</f>
        <v>8898</v>
      </c>
      <c r="N365" s="67">
        <f t="shared" si="11"/>
        <v>20999.279999999999</v>
      </c>
      <c r="O365" s="66" t="str">
        <f t="shared" si="10"/>
        <v>MOS100209|PH004|CK5-33334</v>
      </c>
    </row>
    <row r="366" spans="1:15" ht="15" customHeight="1" x14ac:dyDescent="0.3">
      <c r="A366" s="70" t="s">
        <v>1045</v>
      </c>
      <c r="B366" s="70" t="s">
        <v>581</v>
      </c>
      <c r="C366" s="72">
        <v>46179</v>
      </c>
      <c r="D366" s="73" t="s">
        <v>339</v>
      </c>
      <c r="E366" s="76" t="str">
        <f>IFERROR(INDEX(M_User!$A$12:$J$67,MATCH(D366,M_User!$D$12:$D$67,0),3),"UNMAPPED")</f>
        <v>Erick K. Mkama</v>
      </c>
      <c r="F366" s="75" t="str">
        <f>IFERROR(INDEX(M_User!$A$12:$J$67,MATCH(D366,M_User!$D$12:$D$67,0),5),"UNMAPPED")</f>
        <v>MOS</v>
      </c>
      <c r="G366" s="73" t="s">
        <v>869</v>
      </c>
      <c r="H366" s="92" t="s">
        <v>870</v>
      </c>
      <c r="I366" s="73" t="s">
        <v>240</v>
      </c>
      <c r="J366" s="76" t="str">
        <f>IFERROR(INDEX(M_SKU!$A$18:$J$57,MATCH(I366,M_SKU!$B$18:$B$57,0),1),"UNKNOWN SKU")</f>
        <v>Fanta Fruit Blast Pet 500ML (x12)</v>
      </c>
      <c r="K366" s="73" t="s">
        <v>553</v>
      </c>
      <c r="L366" s="276">
        <v>1</v>
      </c>
      <c r="M366" s="94" cm="1">
        <f t="array" ref="M366">IFERROR(INDEX(M_DepotPrice!$C$10:$C$52,MATCH(1,(M_DepotPrice!$A$10:$A$52=I366)*(M_DepotPrice!$H$10:$H$52=IFERROR(INDEX(M_Depot!$A$7:$A$24,MATCH(F366,M_Depot!$B$7:$B$24,0)),""))*(M_DepotPrice!$G$10:$G$52="Special"),0)),INDEX(M_DepotPrice!$C$10:$C$52,MATCH(1,(M_DepotPrice!$A$10:$A$52=I366)*(M_DepotPrice!$G$10:$G$52="Default"),0)))</f>
        <v>8898</v>
      </c>
      <c r="N366" s="95">
        <f t="shared" si="11"/>
        <v>10499.64</v>
      </c>
      <c r="O366" s="82" t="str">
        <f t="shared" si="10"/>
        <v>MOS100209|PH006|CK6-33334</v>
      </c>
    </row>
    <row r="367" spans="1:15" ht="15" customHeight="1" x14ac:dyDescent="0.3">
      <c r="A367" s="60" t="s">
        <v>1046</v>
      </c>
      <c r="B367" s="60" t="s">
        <v>581</v>
      </c>
      <c r="C367" s="62">
        <v>46179</v>
      </c>
      <c r="D367" s="63" t="s">
        <v>339</v>
      </c>
      <c r="E367" s="66" t="str">
        <f>IFERROR(INDEX(M_User!$A$12:$J$67,MATCH(D367,M_User!$D$12:$D$67,0),3),"UNMAPPED")</f>
        <v>Erick K. Mkama</v>
      </c>
      <c r="F367" s="65" t="str">
        <f>IFERROR(INDEX(M_User!$A$12:$J$67,MATCH(D367,M_User!$D$12:$D$67,0),5),"UNMAPPED")</f>
        <v>MOS</v>
      </c>
      <c r="G367" s="63" t="s">
        <v>869</v>
      </c>
      <c r="H367" s="69" t="s">
        <v>870</v>
      </c>
      <c r="I367" s="63" t="s">
        <v>244</v>
      </c>
      <c r="J367" s="66" t="str">
        <f>IFERROR(INDEX(M_SKU!$A$18:$J$57,MATCH(I367,M_SKU!$B$18:$B$57,0),1),"UNKNOWN SKU")</f>
        <v>Sparletta Pinenut Pet 500 ml ( x12)</v>
      </c>
      <c r="K367" s="63" t="s">
        <v>526</v>
      </c>
      <c r="L367" s="276">
        <v>1</v>
      </c>
      <c r="M367" s="91" cm="1">
        <f t="array" ref="M367">IFERROR(INDEX(M_DepotPrice!$C$10:$C$52,MATCH(1,(M_DepotPrice!$A$10:$A$52=I367)*(M_DepotPrice!$H$10:$H$52=IFERROR(INDEX(M_Depot!$A$7:$A$24,MATCH(F367,M_Depot!$B$7:$B$24,0)),""))*(M_DepotPrice!$G$10:$G$52="Special"),0)),INDEX(M_DepotPrice!$C$10:$C$52,MATCH(1,(M_DepotPrice!$A$10:$A$52=I367)*(M_DepotPrice!$G$10:$G$52="Default"),0)))</f>
        <v>8898</v>
      </c>
      <c r="N367" s="67">
        <f t="shared" si="11"/>
        <v>10499.64</v>
      </c>
      <c r="O367" s="66" t="str">
        <f t="shared" si="10"/>
        <v>MOS100209|PH008|CK5-33370</v>
      </c>
    </row>
    <row r="368" spans="1:15" ht="15" customHeight="1" x14ac:dyDescent="0.3">
      <c r="A368" s="70" t="s">
        <v>1047</v>
      </c>
      <c r="B368" s="70" t="s">
        <v>581</v>
      </c>
      <c r="C368" s="72">
        <v>46179</v>
      </c>
      <c r="D368" s="73" t="s">
        <v>339</v>
      </c>
      <c r="E368" s="76" t="str">
        <f>IFERROR(INDEX(M_User!$A$12:$J$67,MATCH(D368,M_User!$D$12:$D$67,0),3),"UNMAPPED")</f>
        <v>Erick K. Mkama</v>
      </c>
      <c r="F368" s="75" t="str">
        <f>IFERROR(INDEX(M_User!$A$12:$J$67,MATCH(D368,M_User!$D$12:$D$67,0),5),"UNMAPPED")</f>
        <v>MOS</v>
      </c>
      <c r="G368" s="73" t="s">
        <v>869</v>
      </c>
      <c r="H368" s="92" t="s">
        <v>870</v>
      </c>
      <c r="I368" s="73" t="s">
        <v>246</v>
      </c>
      <c r="J368" s="76" t="str">
        <f>IFERROR(INDEX(M_SKU!$A$18:$J$57,MATCH(I368,M_SKU!$B$18:$B$57,0),1),"UNKNOWN SKU")</f>
        <v>Coke Zero Pet 500ML ( X 12)</v>
      </c>
      <c r="K368" s="73" t="s">
        <v>554</v>
      </c>
      <c r="L368" s="276">
        <v>1</v>
      </c>
      <c r="M368" s="94" cm="1">
        <f t="array" ref="M368">IFERROR(INDEX(M_DepotPrice!$C$10:$C$52,MATCH(1,(M_DepotPrice!$A$10:$A$52=I368)*(M_DepotPrice!$H$10:$H$52=IFERROR(INDEX(M_Depot!$A$7:$A$24,MATCH(F368,M_Depot!$B$7:$B$24,0)),""))*(M_DepotPrice!$G$10:$G$52="Special"),0)),INDEX(M_DepotPrice!$C$10:$C$52,MATCH(1,(M_DepotPrice!$A$10:$A$52=I368)*(M_DepotPrice!$G$10:$G$52="Default"),0)))</f>
        <v>8898</v>
      </c>
      <c r="N368" s="95">
        <f t="shared" si="11"/>
        <v>10499.64</v>
      </c>
      <c r="O368" s="82" t="str">
        <f t="shared" si="10"/>
        <v>MOS100209|PH009|CK6-33241</v>
      </c>
    </row>
    <row r="369" spans="1:15" ht="15" customHeight="1" x14ac:dyDescent="0.3">
      <c r="A369" s="60" t="s">
        <v>1048</v>
      </c>
      <c r="B369" s="60" t="s">
        <v>581</v>
      </c>
      <c r="C369" s="62">
        <v>46179</v>
      </c>
      <c r="D369" s="63" t="s">
        <v>339</v>
      </c>
      <c r="E369" s="66" t="str">
        <f>IFERROR(INDEX(M_User!$A$12:$J$67,MATCH(D369,M_User!$D$12:$D$67,0),3),"UNMAPPED")</f>
        <v>Erick K. Mkama</v>
      </c>
      <c r="F369" s="65" t="str">
        <f>IFERROR(INDEX(M_User!$A$12:$J$67,MATCH(D369,M_User!$D$12:$D$67,0),5),"UNMAPPED")</f>
        <v>MOS</v>
      </c>
      <c r="G369" s="63" t="s">
        <v>869</v>
      </c>
      <c r="H369" s="69" t="s">
        <v>870</v>
      </c>
      <c r="I369" s="63" t="s">
        <v>252</v>
      </c>
      <c r="J369" s="66" t="str">
        <f>IFERROR(INDEX(M_SKU!$A$18:$J$57,MATCH(I369,M_SKU!$B$18:$B$57,0),1),"UNKNOWN SKU")</f>
        <v>Sprite Zero Pet 300ML (x 12)</v>
      </c>
      <c r="K369" s="63" t="s">
        <v>545</v>
      </c>
      <c r="L369" s="276">
        <v>4</v>
      </c>
      <c r="M369" s="91" cm="1">
        <f t="array" ref="M369">IFERROR(INDEX(M_DepotPrice!$C$10:$C$52,MATCH(1,(M_DepotPrice!$A$10:$A$52=I369)*(M_DepotPrice!$H$10:$H$52=IFERROR(INDEX(M_Depot!$A$7:$A$24,MATCH(F369,M_Depot!$B$7:$B$24,0)),""))*(M_DepotPrice!$G$10:$G$52="Special"),0)),INDEX(M_DepotPrice!$C$10:$C$52,MATCH(1,(M_DepotPrice!$A$10:$A$52=I369)*(M_DepotPrice!$G$10:$G$52="Default"),0)))</f>
        <v>5085</v>
      </c>
      <c r="N369" s="67">
        <f t="shared" si="11"/>
        <v>24001.199999999997</v>
      </c>
      <c r="O369" s="66" t="str">
        <f t="shared" si="10"/>
        <v>MOS100209|PO010|CK5-33360</v>
      </c>
    </row>
    <row r="370" spans="1:15" ht="15" customHeight="1" x14ac:dyDescent="0.3">
      <c r="A370" s="70" t="s">
        <v>1049</v>
      </c>
      <c r="B370" s="70" t="s">
        <v>581</v>
      </c>
      <c r="C370" s="72">
        <v>46179</v>
      </c>
      <c r="D370" s="73" t="s">
        <v>339</v>
      </c>
      <c r="E370" s="76" t="str">
        <f>IFERROR(INDEX(M_User!$A$12:$J$67,MATCH(D370,M_User!$D$12:$D$67,0),3),"UNMAPPED")</f>
        <v>Erick K. Mkama</v>
      </c>
      <c r="F370" s="75" t="str">
        <f>IFERROR(INDEX(M_User!$A$12:$J$67,MATCH(D370,M_User!$D$12:$D$67,0),5),"UNMAPPED")</f>
        <v>MOS</v>
      </c>
      <c r="G370" s="73" t="s">
        <v>869</v>
      </c>
      <c r="H370" s="92" t="s">
        <v>870</v>
      </c>
      <c r="I370" s="73" t="s">
        <v>254</v>
      </c>
      <c r="J370" s="76" t="str">
        <f>IFERROR(INDEX(M_SKU!$A$18:$J$57,MATCH(I370,M_SKU!$B$18:$B$57,0),1),"UNKNOWN SKU")</f>
        <v>Fanta Zero Pet 300ML (x 12)</v>
      </c>
      <c r="K370" s="73" t="s">
        <v>546</v>
      </c>
      <c r="L370" s="276">
        <v>3</v>
      </c>
      <c r="M370" s="94" cm="1">
        <f t="array" ref="M370">IFERROR(INDEX(M_DepotPrice!$C$10:$C$52,MATCH(1,(M_DepotPrice!$A$10:$A$52=I370)*(M_DepotPrice!$H$10:$H$52=IFERROR(INDEX(M_Depot!$A$7:$A$24,MATCH(F370,M_Depot!$B$7:$B$24,0)),""))*(M_DepotPrice!$G$10:$G$52="Special"),0)),INDEX(M_DepotPrice!$C$10:$C$52,MATCH(1,(M_DepotPrice!$A$10:$A$52=I370)*(M_DepotPrice!$G$10:$G$52="Default"),0)))</f>
        <v>5085</v>
      </c>
      <c r="N370" s="95">
        <f t="shared" si="11"/>
        <v>18000.899999999998</v>
      </c>
      <c r="O370" s="82" t="str">
        <f t="shared" si="10"/>
        <v>MOS100209|PO012|CK5-33369</v>
      </c>
    </row>
    <row r="371" spans="1:15" ht="15" customHeight="1" x14ac:dyDescent="0.3">
      <c r="A371" s="60" t="s">
        <v>1050</v>
      </c>
      <c r="B371" s="60" t="s">
        <v>581</v>
      </c>
      <c r="C371" s="62">
        <v>46179</v>
      </c>
      <c r="D371" s="63" t="s">
        <v>339</v>
      </c>
      <c r="E371" s="66" t="str">
        <f>IFERROR(INDEX(M_User!$A$12:$J$67,MATCH(D371,M_User!$D$12:$D$67,0),3),"UNMAPPED")</f>
        <v>Erick K. Mkama</v>
      </c>
      <c r="F371" s="65" t="str">
        <f>IFERROR(INDEX(M_User!$A$12:$J$67,MATCH(D371,M_User!$D$12:$D$67,0),5),"UNMAPPED")</f>
        <v>MOS</v>
      </c>
      <c r="G371" s="63" t="s">
        <v>869</v>
      </c>
      <c r="H371" s="69" t="s">
        <v>870</v>
      </c>
      <c r="I371" s="63" t="s">
        <v>261</v>
      </c>
      <c r="J371" s="66" t="str">
        <f>IFERROR(INDEX(M_SKU!$A$18:$J$57,MATCH(I371,M_SKU!$B$18:$B$57,0),1),"UNKNOWN SKU")</f>
        <v>Sparletta Pine Apple Pet 300ML (x 12)</v>
      </c>
      <c r="K371" s="63" t="s">
        <v>547</v>
      </c>
      <c r="L371" s="276">
        <v>4</v>
      </c>
      <c r="M371" s="91" cm="1">
        <f t="array" ref="M371">IFERROR(INDEX(M_DepotPrice!$C$10:$C$52,MATCH(1,(M_DepotPrice!$A$10:$A$52=I371)*(M_DepotPrice!$H$10:$H$52=IFERROR(INDEX(M_Depot!$A$7:$A$24,MATCH(F371,M_Depot!$B$7:$B$24,0)),""))*(M_DepotPrice!$G$10:$G$52="Special"),0)),INDEX(M_DepotPrice!$C$10:$C$52,MATCH(1,(M_DepotPrice!$A$10:$A$52=I371)*(M_DepotPrice!$G$10:$G$52="Default"),0)))</f>
        <v>5085</v>
      </c>
      <c r="N371" s="67">
        <f t="shared" si="11"/>
        <v>24001.199999999997</v>
      </c>
      <c r="O371" s="66" t="str">
        <f t="shared" si="10"/>
        <v>MOS100209|PO015|CK5-33366</v>
      </c>
    </row>
    <row r="372" spans="1:15" ht="15" customHeight="1" x14ac:dyDescent="0.3">
      <c r="A372" s="70" t="s">
        <v>1051</v>
      </c>
      <c r="B372" s="70" t="s">
        <v>581</v>
      </c>
      <c r="C372" s="72">
        <v>46179</v>
      </c>
      <c r="D372" s="73" t="s">
        <v>339</v>
      </c>
      <c r="E372" s="76" t="str">
        <f>IFERROR(INDEX(M_User!$A$12:$J$67,MATCH(D372,M_User!$D$12:$D$67,0),3),"UNMAPPED")</f>
        <v>Erick K. Mkama</v>
      </c>
      <c r="F372" s="75" t="str">
        <f>IFERROR(INDEX(M_User!$A$12:$J$67,MATCH(D372,M_User!$D$12:$D$67,0),5),"UNMAPPED")</f>
        <v>MOS</v>
      </c>
      <c r="G372" s="73" t="s">
        <v>812</v>
      </c>
      <c r="H372" s="92" t="s">
        <v>813</v>
      </c>
      <c r="I372" s="73" t="s">
        <v>170</v>
      </c>
      <c r="J372" s="76" t="str">
        <f>IFERROR(INDEX(M_SKU!$A$18:$J$57,MATCH(I372,M_SKU!$B$18:$B$57,0),1),"UNKNOWN SKU")</f>
        <v>Coke RGB 350ml</v>
      </c>
      <c r="K372" s="73" t="s">
        <v>530</v>
      </c>
      <c r="L372" s="276">
        <v>14.3757</v>
      </c>
      <c r="M372" s="94" cm="1">
        <f t="array" ref="M372">IFERROR(INDEX(M_DepotPrice!$C$10:$C$52,MATCH(1,(M_DepotPrice!$A$10:$A$52=I372)*(M_DepotPrice!$H$10:$H$52=IFERROR(INDEX(M_Depot!$A$7:$A$24,MATCH(F372,M_Depot!$B$7:$B$24,0)),""))*(M_DepotPrice!$G$10:$G$52="Special"),0)),INDEX(M_DepotPrice!$C$10:$C$52,MATCH(1,(M_DepotPrice!$A$10:$A$52=I372)*(M_DepotPrice!$G$10:$G$52="Default"),0)))</f>
        <v>11780</v>
      </c>
      <c r="N372" s="95">
        <f t="shared" si="11"/>
        <v>199827.98028000002</v>
      </c>
      <c r="O372" s="82" t="str">
        <f t="shared" si="10"/>
        <v>MOS100209|FG001|CK3-33409</v>
      </c>
    </row>
    <row r="373" spans="1:15" ht="15" customHeight="1" x14ac:dyDescent="0.3">
      <c r="A373" s="60" t="s">
        <v>1052</v>
      </c>
      <c r="B373" s="60" t="s">
        <v>581</v>
      </c>
      <c r="C373" s="62">
        <v>46179</v>
      </c>
      <c r="D373" s="63" t="s">
        <v>339</v>
      </c>
      <c r="E373" s="66" t="str">
        <f>IFERROR(INDEX(M_User!$A$12:$J$67,MATCH(D373,M_User!$D$12:$D$67,0),3),"UNMAPPED")</f>
        <v>Erick K. Mkama</v>
      </c>
      <c r="F373" s="65" t="str">
        <f>IFERROR(INDEX(M_User!$A$12:$J$67,MATCH(D373,M_User!$D$12:$D$67,0),5),"UNMAPPED")</f>
        <v>MOS</v>
      </c>
      <c r="G373" s="63" t="s">
        <v>812</v>
      </c>
      <c r="H373" s="69" t="s">
        <v>813</v>
      </c>
      <c r="I373" s="63" t="s">
        <v>178</v>
      </c>
      <c r="J373" s="66" t="str">
        <f>IFERROR(INDEX(M_SKU!$A$18:$J$57,MATCH(I373,M_SKU!$B$18:$B$57,0),1),"UNKNOWN SKU")</f>
        <v>Fanta Orange RGB 350ml</v>
      </c>
      <c r="K373" s="63" t="s">
        <v>531</v>
      </c>
      <c r="L373" s="276">
        <v>3.5985999999999998</v>
      </c>
      <c r="M373" s="91" cm="1">
        <f t="array" ref="M373">IFERROR(INDEX(M_DepotPrice!$C$10:$C$52,MATCH(1,(M_DepotPrice!$A$10:$A$52=I373)*(M_DepotPrice!$H$10:$H$52=IFERROR(INDEX(M_Depot!$A$7:$A$24,MATCH(F373,M_Depot!$B$7:$B$24,0)),""))*(M_DepotPrice!$G$10:$G$52="Special"),0)),INDEX(M_DepotPrice!$C$10:$C$52,MATCH(1,(M_DepotPrice!$A$10:$A$52=I373)*(M_DepotPrice!$G$10:$G$52="Default"),0)))</f>
        <v>11780</v>
      </c>
      <c r="N373" s="67">
        <f t="shared" si="11"/>
        <v>50021.979439999988</v>
      </c>
      <c r="O373" s="66" t="str">
        <f t="shared" si="10"/>
        <v>MOS100209|FG002|CK3-33407</v>
      </c>
    </row>
    <row r="374" spans="1:15" ht="15" customHeight="1" x14ac:dyDescent="0.3">
      <c r="A374" s="70" t="s">
        <v>1053</v>
      </c>
      <c r="B374" s="70" t="s">
        <v>581</v>
      </c>
      <c r="C374" s="72">
        <v>46179</v>
      </c>
      <c r="D374" s="73" t="s">
        <v>339</v>
      </c>
      <c r="E374" s="76" t="str">
        <f>IFERROR(INDEX(M_User!$A$12:$J$67,MATCH(D374,M_User!$D$12:$D$67,0),3),"UNMAPPED")</f>
        <v>Erick K. Mkama</v>
      </c>
      <c r="F374" s="75" t="str">
        <f>IFERROR(INDEX(M_User!$A$12:$J$67,MATCH(D374,M_User!$D$12:$D$67,0),5),"UNMAPPED")</f>
        <v>MOS</v>
      </c>
      <c r="G374" s="73" t="s">
        <v>812</v>
      </c>
      <c r="H374" s="92" t="s">
        <v>813</v>
      </c>
      <c r="I374" s="73" t="s">
        <v>181</v>
      </c>
      <c r="J374" s="76" t="str">
        <f>IFERROR(INDEX(M_SKU!$A$18:$J$57,MATCH(I374,M_SKU!$B$18:$B$57,0),1),"UNKNOWN SKU")</f>
        <v>Fanta Passion RGB 350ml</v>
      </c>
      <c r="K374" s="73" t="s">
        <v>550</v>
      </c>
      <c r="L374" s="276">
        <v>2.12160608485194</v>
      </c>
      <c r="M374" s="94" cm="1">
        <f t="array" ref="M374">IFERROR(INDEX(M_DepotPrice!$C$10:$C$52,MATCH(1,(M_DepotPrice!$A$10:$A$52=I374)*(M_DepotPrice!$H$10:$H$52=IFERROR(INDEX(M_Depot!$A$7:$A$24,MATCH(F374,M_Depot!$B$7:$B$24,0)),""))*(M_DepotPrice!$G$10:$G$52="Special"),0)),INDEX(M_DepotPrice!$C$10:$C$52,MATCH(1,(M_DepotPrice!$A$10:$A$52=I374)*(M_DepotPrice!$G$10:$G$52="Default"),0)))</f>
        <v>11780</v>
      </c>
      <c r="N374" s="95">
        <f t="shared" si="11"/>
        <v>29491.173221875906</v>
      </c>
      <c r="O374" s="82" t="str">
        <f t="shared" si="10"/>
        <v>MOS100209|FG003|CK3-33356</v>
      </c>
    </row>
    <row r="375" spans="1:15" ht="15" customHeight="1" x14ac:dyDescent="0.3">
      <c r="A375" s="60" t="s">
        <v>1054</v>
      </c>
      <c r="B375" s="60" t="s">
        <v>581</v>
      </c>
      <c r="C375" s="62">
        <v>46179</v>
      </c>
      <c r="D375" s="63" t="s">
        <v>339</v>
      </c>
      <c r="E375" s="66" t="str">
        <f>IFERROR(INDEX(M_User!$A$12:$J$67,MATCH(D375,M_User!$D$12:$D$67,0),3),"UNMAPPED")</f>
        <v>Erick K. Mkama</v>
      </c>
      <c r="F375" s="65" t="str">
        <f>IFERROR(INDEX(M_User!$A$12:$J$67,MATCH(D375,M_User!$D$12:$D$67,0),5),"UNMAPPED")</f>
        <v>MOS</v>
      </c>
      <c r="G375" s="63" t="s">
        <v>812</v>
      </c>
      <c r="H375" s="69" t="s">
        <v>813</v>
      </c>
      <c r="I375" s="63" t="s">
        <v>183</v>
      </c>
      <c r="J375" s="66" t="str">
        <f>IFERROR(INDEX(M_SKU!$A$18:$J$57,MATCH(I375,M_SKU!$B$18:$B$57,0),1),"UNKNOWN SKU")</f>
        <v>Fanta Pineapple RGB 350ml</v>
      </c>
      <c r="K375" s="63" t="s">
        <v>533</v>
      </c>
      <c r="L375" s="276">
        <v>2.4508000000000001</v>
      </c>
      <c r="M375" s="91" cm="1">
        <f t="array" ref="M375">IFERROR(INDEX(M_DepotPrice!$C$10:$C$52,MATCH(1,(M_DepotPrice!$A$10:$A$52=I375)*(M_DepotPrice!$H$10:$H$52=IFERROR(INDEX(M_Depot!$A$7:$A$24,MATCH(F375,M_Depot!$B$7:$B$24,0)),""))*(M_DepotPrice!$G$10:$G$52="Special"),0)),INDEX(M_DepotPrice!$C$10:$C$52,MATCH(1,(M_DepotPrice!$A$10:$A$52=I375)*(M_DepotPrice!$G$10:$G$52="Default"),0)))</f>
        <v>11780</v>
      </c>
      <c r="N375" s="67">
        <f t="shared" si="11"/>
        <v>34067.100320000005</v>
      </c>
      <c r="O375" s="66" t="str">
        <f t="shared" si="10"/>
        <v>MOS100209|FG004|CK3-33385</v>
      </c>
    </row>
    <row r="376" spans="1:15" ht="15" customHeight="1" x14ac:dyDescent="0.3">
      <c r="A376" s="70" t="s">
        <v>1055</v>
      </c>
      <c r="B376" s="70" t="s">
        <v>581</v>
      </c>
      <c r="C376" s="72">
        <v>46179</v>
      </c>
      <c r="D376" s="73" t="s">
        <v>339</v>
      </c>
      <c r="E376" s="76" t="str">
        <f>IFERROR(INDEX(M_User!$A$12:$J$67,MATCH(D376,M_User!$D$12:$D$67,0),3),"UNMAPPED")</f>
        <v>Erick K. Mkama</v>
      </c>
      <c r="F376" s="75" t="str">
        <f>IFERROR(INDEX(M_User!$A$12:$J$67,MATCH(D376,M_User!$D$12:$D$67,0),5),"UNMAPPED")</f>
        <v>MOS</v>
      </c>
      <c r="G376" s="73" t="s">
        <v>812</v>
      </c>
      <c r="H376" s="92" t="s">
        <v>813</v>
      </c>
      <c r="I376" s="73" t="s">
        <v>185</v>
      </c>
      <c r="J376" s="76" t="str">
        <f>IFERROR(INDEX(M_SKU!$A$18:$J$57,MATCH(I376,M_SKU!$B$18:$B$57,0),1),"UNKNOWN SKU")</f>
        <v>Fanta Fruit Blast RGB 350 ml</v>
      </c>
      <c r="K376" s="73" t="s">
        <v>534</v>
      </c>
      <c r="L376" s="276">
        <v>1.5837000000000001</v>
      </c>
      <c r="M376" s="94" cm="1">
        <f t="array" ref="M376">IFERROR(INDEX(M_DepotPrice!$C$10:$C$52,MATCH(1,(M_DepotPrice!$A$10:$A$52=I376)*(M_DepotPrice!$H$10:$H$52=IFERROR(INDEX(M_Depot!$A$7:$A$24,MATCH(F376,M_Depot!$B$7:$B$24,0)),""))*(M_DepotPrice!$G$10:$G$52="Special"),0)),INDEX(M_DepotPrice!$C$10:$C$52,MATCH(1,(M_DepotPrice!$A$10:$A$52=I376)*(M_DepotPrice!$G$10:$G$52="Default"),0)))</f>
        <v>11780</v>
      </c>
      <c r="N376" s="95">
        <f t="shared" si="11"/>
        <v>22014.063480000001</v>
      </c>
      <c r="O376" s="82" t="str">
        <f t="shared" si="10"/>
        <v>MOS100209|FG005|CK3-33402</v>
      </c>
    </row>
    <row r="377" spans="1:15" ht="15" customHeight="1" x14ac:dyDescent="0.3">
      <c r="A377" s="60" t="s">
        <v>1056</v>
      </c>
      <c r="B377" s="60" t="s">
        <v>581</v>
      </c>
      <c r="C377" s="62">
        <v>46179</v>
      </c>
      <c r="D377" s="63" t="s">
        <v>339</v>
      </c>
      <c r="E377" s="66" t="str">
        <f>IFERROR(INDEX(M_User!$A$12:$J$67,MATCH(D377,M_User!$D$12:$D$67,0),3),"UNMAPPED")</f>
        <v>Erick K. Mkama</v>
      </c>
      <c r="F377" s="65" t="str">
        <f>IFERROR(INDEX(M_User!$A$12:$J$67,MATCH(D377,M_User!$D$12:$D$67,0),5),"UNMAPPED")</f>
        <v>MOS</v>
      </c>
      <c r="G377" s="63" t="s">
        <v>812</v>
      </c>
      <c r="H377" s="69" t="s">
        <v>813</v>
      </c>
      <c r="I377" s="63" t="s">
        <v>187</v>
      </c>
      <c r="J377" s="66" t="str">
        <f>IFERROR(INDEX(M_SKU!$A$18:$J$57,MATCH(I377,M_SKU!$B$18:$B$57,0),1),"UNKNOWN SKU")</f>
        <v>Sprite 350ml</v>
      </c>
      <c r="K377" s="63" t="s">
        <v>535</v>
      </c>
      <c r="L377" s="276">
        <v>4.1152906670698099</v>
      </c>
      <c r="M377" s="91" cm="1">
        <f t="array" ref="M377">IFERROR(INDEX(M_DepotPrice!$C$10:$C$52,MATCH(1,(M_DepotPrice!$A$10:$A$52=I377)*(M_DepotPrice!$H$10:$H$52=IFERROR(INDEX(M_Depot!$A$7:$A$24,MATCH(F377,M_Depot!$B$7:$B$24,0)),""))*(M_DepotPrice!$G$10:$G$52="Special"),0)),INDEX(M_DepotPrice!$C$10:$C$52,MATCH(1,(M_DepotPrice!$A$10:$A$52=I377)*(M_DepotPrice!$G$10:$G$52="Default"),0)))</f>
        <v>11780</v>
      </c>
      <c r="N377" s="67">
        <f t="shared" si="11"/>
        <v>57204.186388537179</v>
      </c>
      <c r="O377" s="66" t="str">
        <f t="shared" si="10"/>
        <v>MOS100209|FG006|CK3-33414</v>
      </c>
    </row>
    <row r="378" spans="1:15" ht="15" customHeight="1" x14ac:dyDescent="0.3">
      <c r="A378" s="70" t="s">
        <v>1057</v>
      </c>
      <c r="B378" s="70" t="s">
        <v>581</v>
      </c>
      <c r="C378" s="72">
        <v>46179</v>
      </c>
      <c r="D378" s="73" t="s">
        <v>339</v>
      </c>
      <c r="E378" s="76" t="str">
        <f>IFERROR(INDEX(M_User!$A$12:$J$67,MATCH(D378,M_User!$D$12:$D$67,0),3),"UNMAPPED")</f>
        <v>Erick K. Mkama</v>
      </c>
      <c r="F378" s="75" t="str">
        <f>IFERROR(INDEX(M_User!$A$12:$J$67,MATCH(D378,M_User!$D$12:$D$67,0),5),"UNMAPPED")</f>
        <v>MOS</v>
      </c>
      <c r="G378" s="73" t="s">
        <v>812</v>
      </c>
      <c r="H378" s="92" t="s">
        <v>813</v>
      </c>
      <c r="I378" s="73" t="s">
        <v>190</v>
      </c>
      <c r="J378" s="76" t="str">
        <f>IFERROR(INDEX(M_SKU!$A$18:$J$57,MATCH(I378,M_SKU!$B$18:$B$57,0),1),"UNKNOWN SKU")</f>
        <v>Stoney Tangawizi RGB 350ml</v>
      </c>
      <c r="K378" s="73" t="s">
        <v>536</v>
      </c>
      <c r="L378" s="276">
        <v>0.66800000000000004</v>
      </c>
      <c r="M378" s="94" cm="1">
        <f t="array" ref="M378">IFERROR(INDEX(M_DepotPrice!$C$10:$C$52,MATCH(1,(M_DepotPrice!$A$10:$A$52=I378)*(M_DepotPrice!$H$10:$H$52=IFERROR(INDEX(M_Depot!$A$7:$A$24,MATCH(F378,M_Depot!$B$7:$B$24,0)),""))*(M_DepotPrice!$G$10:$G$52="Special"),0)),INDEX(M_DepotPrice!$C$10:$C$52,MATCH(1,(M_DepotPrice!$A$10:$A$52=I378)*(M_DepotPrice!$G$10:$G$52="Default"),0)))</f>
        <v>11780</v>
      </c>
      <c r="N378" s="95">
        <f t="shared" si="11"/>
        <v>9285.467200000001</v>
      </c>
      <c r="O378" s="82" t="str">
        <f t="shared" si="10"/>
        <v>MOS100209|FG007|CK3-33404</v>
      </c>
    </row>
    <row r="379" spans="1:15" ht="15" customHeight="1" x14ac:dyDescent="0.3">
      <c r="A379" s="60" t="s">
        <v>1058</v>
      </c>
      <c r="B379" s="60" t="s">
        <v>581</v>
      </c>
      <c r="C379" s="62">
        <v>46179</v>
      </c>
      <c r="D379" s="63" t="s">
        <v>339</v>
      </c>
      <c r="E379" s="66" t="str">
        <f>IFERROR(INDEX(M_User!$A$12:$J$67,MATCH(D379,M_User!$D$12:$D$67,0),3),"UNMAPPED")</f>
        <v>Erick K. Mkama</v>
      </c>
      <c r="F379" s="65" t="str">
        <f>IFERROR(INDEX(M_User!$A$12:$J$67,MATCH(D379,M_User!$D$12:$D$67,0),5),"UNMAPPED")</f>
        <v>MOS</v>
      </c>
      <c r="G379" s="63" t="s">
        <v>812</v>
      </c>
      <c r="H379" s="69" t="s">
        <v>813</v>
      </c>
      <c r="I379" s="63" t="s">
        <v>193</v>
      </c>
      <c r="J379" s="66" t="str">
        <f>IFERROR(INDEX(M_SKU!$A$18:$J$57,MATCH(I379,M_SKU!$B$18:$B$57,0),1),"UNKNOWN SKU")</f>
        <v>Sparletta Pinenut RGB 350ml</v>
      </c>
      <c r="K379" s="63" t="s">
        <v>580</v>
      </c>
      <c r="L379" s="276">
        <v>0.62170000000000003</v>
      </c>
      <c r="M379" s="91" cm="1">
        <f t="array" ref="M379">IFERROR(INDEX(M_DepotPrice!$C$10:$C$52,MATCH(1,(M_DepotPrice!$A$10:$A$52=I379)*(M_DepotPrice!$H$10:$H$52=IFERROR(INDEX(M_Depot!$A$7:$A$24,MATCH(F379,M_Depot!$B$7:$B$24,0)),""))*(M_DepotPrice!$G$10:$G$52="Special"),0)),INDEX(M_DepotPrice!$C$10:$C$52,MATCH(1,(M_DepotPrice!$A$10:$A$52=I379)*(M_DepotPrice!$G$10:$G$52="Default"),0)))</f>
        <v>11780</v>
      </c>
      <c r="N379" s="67">
        <f t="shared" si="11"/>
        <v>8641.8786799999998</v>
      </c>
      <c r="O379" s="66" t="str">
        <f t="shared" si="10"/>
        <v>MOS100209|FG008|CK3-33367</v>
      </c>
    </row>
    <row r="380" spans="1:15" ht="15" customHeight="1" x14ac:dyDescent="0.3">
      <c r="A380" s="70" t="s">
        <v>1059</v>
      </c>
      <c r="B380" s="70" t="s">
        <v>581</v>
      </c>
      <c r="C380" s="72">
        <v>46179</v>
      </c>
      <c r="D380" s="73" t="s">
        <v>339</v>
      </c>
      <c r="E380" s="76" t="str">
        <f>IFERROR(INDEX(M_User!$A$12:$J$67,MATCH(D380,M_User!$D$12:$D$67,0),3),"UNMAPPED")</f>
        <v>Erick K. Mkama</v>
      </c>
      <c r="F380" s="75" t="str">
        <f>IFERROR(INDEX(M_User!$A$12:$J$67,MATCH(D380,M_User!$D$12:$D$67,0),5),"UNMAPPED")</f>
        <v>MOS</v>
      </c>
      <c r="G380" s="73" t="s">
        <v>812</v>
      </c>
      <c r="H380" s="92" t="s">
        <v>813</v>
      </c>
      <c r="I380" s="73" t="s">
        <v>196</v>
      </c>
      <c r="J380" s="76" t="str">
        <f>IFERROR(INDEX(M_SKU!$A$18:$J$57,MATCH(I380,M_SKU!$B$18:$B$57,0),1),"UNKNOWN SKU")</f>
        <v>Krest Bitter Lemon RGB 300ml</v>
      </c>
      <c r="K380" s="73" t="s">
        <v>538</v>
      </c>
      <c r="L380" s="276">
        <v>0.83299999999999996</v>
      </c>
      <c r="M380" s="94" cm="1">
        <f t="array" ref="M380">IFERROR(INDEX(M_DepotPrice!$C$10:$C$52,MATCH(1,(M_DepotPrice!$A$10:$A$52=I380)*(M_DepotPrice!$H$10:$H$52=IFERROR(INDEX(M_Depot!$A$7:$A$24,MATCH(F380,M_Depot!$B$7:$B$24,0)),""))*(M_DepotPrice!$G$10:$G$52="Special"),0)),INDEX(M_DepotPrice!$C$10:$C$52,MATCH(1,(M_DepotPrice!$A$10:$A$52=I380)*(M_DepotPrice!$G$10:$G$52="Default"),0)))</f>
        <v>11780</v>
      </c>
      <c r="N380" s="95">
        <f t="shared" si="11"/>
        <v>11579.0332</v>
      </c>
      <c r="O380" s="82" t="str">
        <f t="shared" si="10"/>
        <v>MOS100209|FG009|CK3-33348</v>
      </c>
    </row>
    <row r="381" spans="1:15" ht="15" customHeight="1" x14ac:dyDescent="0.3">
      <c r="A381" s="60" t="s">
        <v>1060</v>
      </c>
      <c r="B381" s="60" t="s">
        <v>581</v>
      </c>
      <c r="C381" s="62">
        <v>46179</v>
      </c>
      <c r="D381" s="63" t="s">
        <v>339</v>
      </c>
      <c r="E381" s="66" t="str">
        <f>IFERROR(INDEX(M_User!$A$12:$J$67,MATCH(D381,M_User!$D$12:$D$67,0),3),"UNMAPPED")</f>
        <v>Erick K. Mkama</v>
      </c>
      <c r="F381" s="65" t="str">
        <f>IFERROR(INDEX(M_User!$A$12:$J$67,MATCH(D381,M_User!$D$12:$D$67,0),5),"UNMAPPED")</f>
        <v>MOS</v>
      </c>
      <c r="G381" s="63" t="s">
        <v>812</v>
      </c>
      <c r="H381" s="69" t="s">
        <v>813</v>
      </c>
      <c r="I381" s="63" t="s">
        <v>199</v>
      </c>
      <c r="J381" s="66" t="str">
        <f>IFERROR(INDEX(M_SKU!$A$18:$J$57,MATCH(I381,M_SKU!$B$18:$B$57,0),1),"UNKNOWN SKU")</f>
        <v>Krest Club Soda RGB 300ml</v>
      </c>
      <c r="K381" s="63" t="s">
        <v>539</v>
      </c>
      <c r="L381" s="276">
        <v>0.628</v>
      </c>
      <c r="M381" s="91" cm="1">
        <f t="array" ref="M381">IFERROR(INDEX(M_DepotPrice!$C$10:$C$52,MATCH(1,(M_DepotPrice!$A$10:$A$52=I381)*(M_DepotPrice!$H$10:$H$52=IFERROR(INDEX(M_Depot!$A$7:$A$24,MATCH(F381,M_Depot!$B$7:$B$24,0)),""))*(M_DepotPrice!$G$10:$G$52="Special"),0)),INDEX(M_DepotPrice!$C$10:$C$52,MATCH(1,(M_DepotPrice!$A$10:$A$52=I381)*(M_DepotPrice!$G$10:$G$52="Default"),0)))</f>
        <v>11780</v>
      </c>
      <c r="N381" s="67">
        <f t="shared" si="11"/>
        <v>8729.4511999999995</v>
      </c>
      <c r="O381" s="66" t="str">
        <f t="shared" si="10"/>
        <v>MOS100209|FG010|CK3-33301</v>
      </c>
    </row>
    <row r="382" spans="1:15" ht="15" customHeight="1" x14ac:dyDescent="0.3">
      <c r="A382" s="70" t="s">
        <v>1061</v>
      </c>
      <c r="B382" s="70" t="s">
        <v>581</v>
      </c>
      <c r="C382" s="72">
        <v>46179</v>
      </c>
      <c r="D382" s="73" t="s">
        <v>339</v>
      </c>
      <c r="E382" s="76" t="str">
        <f>IFERROR(INDEX(M_User!$A$12:$J$67,MATCH(D382,M_User!$D$12:$D$67,0),3),"UNMAPPED")</f>
        <v>Erick K. Mkama</v>
      </c>
      <c r="F382" s="75" t="str">
        <f>IFERROR(INDEX(M_User!$A$12:$J$67,MATCH(D382,M_User!$D$12:$D$67,0),5),"UNMAPPED")</f>
        <v>MOS</v>
      </c>
      <c r="G382" s="73" t="s">
        <v>812</v>
      </c>
      <c r="H382" s="92" t="s">
        <v>813</v>
      </c>
      <c r="I382" s="73" t="s">
        <v>201</v>
      </c>
      <c r="J382" s="76" t="str">
        <f>IFERROR(INDEX(M_SKU!$A$18:$J$57,MATCH(I382,M_SKU!$B$18:$B$57,0),1),"UNKNOWN SKU")</f>
        <v>Krest Tonic Water RGB 300ml</v>
      </c>
      <c r="K382" s="73" t="s">
        <v>540</v>
      </c>
      <c r="L382" s="276">
        <v>1.423</v>
      </c>
      <c r="M382" s="94" cm="1">
        <f t="array" ref="M382">IFERROR(INDEX(M_DepotPrice!$C$10:$C$52,MATCH(1,(M_DepotPrice!$A$10:$A$52=I382)*(M_DepotPrice!$H$10:$H$52=IFERROR(INDEX(M_Depot!$A$7:$A$24,MATCH(F382,M_Depot!$B$7:$B$24,0)),""))*(M_DepotPrice!$G$10:$G$52="Special"),0)),INDEX(M_DepotPrice!$C$10:$C$52,MATCH(1,(M_DepotPrice!$A$10:$A$52=I382)*(M_DepotPrice!$G$10:$G$52="Default"),0)))</f>
        <v>11780</v>
      </c>
      <c r="N382" s="95">
        <f t="shared" si="11"/>
        <v>19780.269199999999</v>
      </c>
      <c r="O382" s="82" t="str">
        <f t="shared" si="10"/>
        <v>MOS100209|FG011|CK3-33347</v>
      </c>
    </row>
    <row r="383" spans="1:15" ht="15" customHeight="1" x14ac:dyDescent="0.3">
      <c r="A383" s="60" t="s">
        <v>1062</v>
      </c>
      <c r="B383" s="60" t="s">
        <v>581</v>
      </c>
      <c r="C383" s="62">
        <v>46179</v>
      </c>
      <c r="D383" s="63" t="s">
        <v>339</v>
      </c>
      <c r="E383" s="66" t="str">
        <f>IFERROR(INDEX(M_User!$A$12:$J$67,MATCH(D383,M_User!$D$12:$D$67,0),3),"UNMAPPED")</f>
        <v>Erick K. Mkama</v>
      </c>
      <c r="F383" s="65" t="str">
        <f>IFERROR(INDEX(M_User!$A$12:$J$67,MATCH(D383,M_User!$D$12:$D$67,0),5),"UNMAPPED")</f>
        <v>MOS</v>
      </c>
      <c r="G383" s="63" t="s">
        <v>812</v>
      </c>
      <c r="H383" s="69" t="s">
        <v>813</v>
      </c>
      <c r="I383" s="63" t="s">
        <v>203</v>
      </c>
      <c r="J383" s="66" t="str">
        <f>IFERROR(INDEX(M_SKU!$A$18:$J$57,MATCH(I383,M_SKU!$B$18:$B$57,0),1),"UNKNOWN SKU")</f>
        <v>Krest Ginger Ale RGB 300ml</v>
      </c>
      <c r="K383" s="63" t="s">
        <v>541</v>
      </c>
      <c r="L383" s="276">
        <v>0.72570000000000001</v>
      </c>
      <c r="M383" s="91" cm="1">
        <f t="array" ref="M383">IFERROR(INDEX(M_DepotPrice!$C$10:$C$52,MATCH(1,(M_DepotPrice!$A$10:$A$52=I383)*(M_DepotPrice!$H$10:$H$52=IFERROR(INDEX(M_Depot!$A$7:$A$24,MATCH(F383,M_Depot!$B$7:$B$24,0)),""))*(M_DepotPrice!$G$10:$G$52="Special"),0)),INDEX(M_DepotPrice!$C$10:$C$52,MATCH(1,(M_DepotPrice!$A$10:$A$52=I383)*(M_DepotPrice!$G$10:$G$52="Default"),0)))</f>
        <v>11780</v>
      </c>
      <c r="N383" s="67">
        <f t="shared" si="11"/>
        <v>10087.520280000001</v>
      </c>
      <c r="O383" s="66" t="str">
        <f t="shared" si="10"/>
        <v>MOS100209|FG012|CK3-33126</v>
      </c>
    </row>
    <row r="384" spans="1:15" ht="15" customHeight="1" x14ac:dyDescent="0.3">
      <c r="A384" s="70" t="s">
        <v>1063</v>
      </c>
      <c r="B384" s="70" t="s">
        <v>581</v>
      </c>
      <c r="C384" s="72">
        <v>46179</v>
      </c>
      <c r="D384" s="73" t="s">
        <v>339</v>
      </c>
      <c r="E384" s="76" t="str">
        <f>IFERROR(INDEX(M_User!$A$12:$J$67,MATCH(D384,M_User!$D$12:$D$67,0),3),"UNMAPPED")</f>
        <v>Erick K. Mkama</v>
      </c>
      <c r="F384" s="75" t="str">
        <f>IFERROR(INDEX(M_User!$A$12:$J$67,MATCH(D384,M_User!$D$12:$D$67,0),5),"UNMAPPED")</f>
        <v>MOS</v>
      </c>
      <c r="G384" s="73" t="s">
        <v>812</v>
      </c>
      <c r="H384" s="92" t="s">
        <v>813</v>
      </c>
      <c r="I384" s="73" t="s">
        <v>209</v>
      </c>
      <c r="J384" s="76" t="str">
        <f>IFERROR(INDEX(M_SKU!$A$18:$J$57,MATCH(I384,M_SKU!$B$18:$B$57,0),1),"UNKNOWN SKU")</f>
        <v>Sparletta Red Apple RGB 350ml</v>
      </c>
      <c r="K384" s="73" t="s">
        <v>542</v>
      </c>
      <c r="L384" s="276">
        <v>0.69789999999999996</v>
      </c>
      <c r="M384" s="94" cm="1">
        <f t="array" ref="M384">IFERROR(INDEX(M_DepotPrice!$C$10:$C$52,MATCH(1,(M_DepotPrice!$A$10:$A$52=I384)*(M_DepotPrice!$H$10:$H$52=IFERROR(INDEX(M_Depot!$A$7:$A$24,MATCH(F384,M_Depot!$B$7:$B$24,0)),""))*(M_DepotPrice!$G$10:$G$52="Special"),0)),INDEX(M_DepotPrice!$C$10:$C$52,MATCH(1,(M_DepotPrice!$A$10:$A$52=I384)*(M_DepotPrice!$G$10:$G$52="Default"),0)))</f>
        <v>11780</v>
      </c>
      <c r="N384" s="95">
        <f t="shared" si="11"/>
        <v>9701.0891599999977</v>
      </c>
      <c r="O384" s="82" t="str">
        <f t="shared" si="10"/>
        <v>MOS100209|FG024|CK3-32758</v>
      </c>
    </row>
    <row r="385" spans="1:15" ht="15" customHeight="1" x14ac:dyDescent="0.3">
      <c r="A385" s="60" t="s">
        <v>1064</v>
      </c>
      <c r="B385" s="60" t="s">
        <v>581</v>
      </c>
      <c r="C385" s="62">
        <v>46179</v>
      </c>
      <c r="D385" s="63" t="s">
        <v>339</v>
      </c>
      <c r="E385" s="66" t="str">
        <f>IFERROR(INDEX(M_User!$A$12:$J$67,MATCH(D385,M_User!$D$12:$D$67,0),3),"UNMAPPED")</f>
        <v>Erick K. Mkama</v>
      </c>
      <c r="F385" s="65" t="str">
        <f>IFERROR(INDEX(M_User!$A$12:$J$67,MATCH(D385,M_User!$D$12:$D$67,0),5),"UNMAPPED")</f>
        <v>MOS</v>
      </c>
      <c r="G385" s="63" t="s">
        <v>812</v>
      </c>
      <c r="H385" s="69" t="s">
        <v>813</v>
      </c>
      <c r="I385" s="63" t="s">
        <v>211</v>
      </c>
      <c r="J385" s="66" t="str">
        <f>IFERROR(INDEX(M_SKU!$A$18:$J$57,MATCH(I385,M_SKU!$B$18:$B$57,0),1),"UNKNOWN SKU")</f>
        <v>KNMW 500ml</v>
      </c>
      <c r="K385" s="63" t="s">
        <v>543</v>
      </c>
      <c r="L385" s="276">
        <v>9</v>
      </c>
      <c r="M385" s="91" cm="1">
        <f t="array" ref="M385">IFERROR(INDEX(M_DepotPrice!$C$10:$C$52,MATCH(1,(M_DepotPrice!$A$10:$A$52=I385)*(M_DepotPrice!$H$10:$H$52=IFERROR(INDEX(M_Depot!$A$7:$A$24,MATCH(F385,M_Depot!$B$7:$B$24,0)),""))*(M_DepotPrice!$G$10:$G$52="Special"),0)),INDEX(M_DepotPrice!$C$10:$C$52,MATCH(1,(M_DepotPrice!$A$10:$A$52=I385)*(M_DepotPrice!$G$10:$G$52="Default"),0)))</f>
        <v>3559</v>
      </c>
      <c r="N385" s="67">
        <f t="shared" si="11"/>
        <v>37796.579999999994</v>
      </c>
      <c r="O385" s="66" t="str">
        <f t="shared" si="10"/>
        <v>MOS100209|KD001|CK6-986</v>
      </c>
    </row>
    <row r="386" spans="1:15" ht="15" customHeight="1" x14ac:dyDescent="0.3">
      <c r="A386" s="70" t="s">
        <v>1065</v>
      </c>
      <c r="B386" s="70" t="s">
        <v>581</v>
      </c>
      <c r="C386" s="72">
        <v>46179</v>
      </c>
      <c r="D386" s="73" t="s">
        <v>339</v>
      </c>
      <c r="E386" s="76" t="str">
        <f>IFERROR(INDEX(M_User!$A$12:$J$67,MATCH(D386,M_User!$D$12:$D$67,0),3),"UNMAPPED")</f>
        <v>Erick K. Mkama</v>
      </c>
      <c r="F386" s="75" t="str">
        <f>IFERROR(INDEX(M_User!$A$12:$J$67,MATCH(D386,M_User!$D$12:$D$67,0),5),"UNMAPPED")</f>
        <v>MOS</v>
      </c>
      <c r="G386" s="73" t="s">
        <v>812</v>
      </c>
      <c r="H386" s="92" t="s">
        <v>813</v>
      </c>
      <c r="I386" s="73" t="s">
        <v>217</v>
      </c>
      <c r="J386" s="76" t="str">
        <f>IFERROR(INDEX(M_SKU!$A$18:$J$57,MATCH(I386,M_SKU!$B$18:$B$57,0),1),"UNKNOWN SKU")</f>
        <v>KNMW 1500ml</v>
      </c>
      <c r="K386" s="73" t="s">
        <v>551</v>
      </c>
      <c r="L386" s="276">
        <v>38</v>
      </c>
      <c r="M386" s="94" cm="1">
        <f t="array" ref="M386">IFERROR(INDEX(M_DepotPrice!$C$10:$C$52,MATCH(1,(M_DepotPrice!$A$10:$A$52=I386)*(M_DepotPrice!$H$10:$H$52=IFERROR(INDEX(M_Depot!$A$7:$A$24,MATCH(F386,M_Depot!$B$7:$B$24,0)),""))*(M_DepotPrice!$G$10:$G$52="Special"),0)),INDEX(M_DepotPrice!$C$10:$C$52,MATCH(1,(M_DepotPrice!$A$10:$A$52=I386)*(M_DepotPrice!$G$10:$G$52="Default"),0)))</f>
        <v>3983</v>
      </c>
      <c r="N386" s="95">
        <f t="shared" si="11"/>
        <v>178597.72</v>
      </c>
      <c r="O386" s="82" t="str">
        <f t="shared" si="10"/>
        <v>MOS100209|KD003|CK4-842</v>
      </c>
    </row>
    <row r="387" spans="1:15" ht="15" customHeight="1" x14ac:dyDescent="0.3">
      <c r="A387" s="60" t="s">
        <v>1066</v>
      </c>
      <c r="B387" s="60" t="s">
        <v>581</v>
      </c>
      <c r="C387" s="62">
        <v>46179</v>
      </c>
      <c r="D387" s="63" t="s">
        <v>339</v>
      </c>
      <c r="E387" s="66" t="str">
        <f>IFERROR(INDEX(M_User!$A$12:$J$67,MATCH(D387,M_User!$D$12:$D$67,0),3),"UNMAPPED")</f>
        <v>Erick K. Mkama</v>
      </c>
      <c r="F387" s="65" t="str">
        <f>IFERROR(INDEX(M_User!$A$12:$J$67,MATCH(D387,M_User!$D$12:$D$67,0),5),"UNMAPPED")</f>
        <v>MOS</v>
      </c>
      <c r="G387" s="63" t="s">
        <v>812</v>
      </c>
      <c r="H387" s="69" t="s">
        <v>813</v>
      </c>
      <c r="I387" s="63" t="s">
        <v>232</v>
      </c>
      <c r="J387" s="66" t="str">
        <f>IFERROR(INDEX(M_SKU!$A$18:$J$57,MATCH(I387,M_SKU!$B$18:$B$57,0),1),"UNKNOWN SKU")</f>
        <v>Sprite Pet 500ML (x 12)</v>
      </c>
      <c r="K387" s="63" t="s">
        <v>522</v>
      </c>
      <c r="L387" s="276">
        <v>3</v>
      </c>
      <c r="M387" s="91" cm="1">
        <f t="array" ref="M387">IFERROR(INDEX(M_DepotPrice!$C$10:$C$52,MATCH(1,(M_DepotPrice!$A$10:$A$52=I387)*(M_DepotPrice!$H$10:$H$52=IFERROR(INDEX(M_Depot!$A$7:$A$24,MATCH(F387,M_Depot!$B$7:$B$24,0)),""))*(M_DepotPrice!$G$10:$G$52="Special"),0)),INDEX(M_DepotPrice!$C$10:$C$52,MATCH(1,(M_DepotPrice!$A$10:$A$52=I387)*(M_DepotPrice!$G$10:$G$52="Default"),0)))</f>
        <v>8898</v>
      </c>
      <c r="N387" s="67">
        <f t="shared" si="11"/>
        <v>31498.92</v>
      </c>
      <c r="O387" s="66" t="str">
        <f t="shared" si="10"/>
        <v>MOS100209|PH002|CK6-33362</v>
      </c>
    </row>
    <row r="388" spans="1:15" ht="15" customHeight="1" x14ac:dyDescent="0.3">
      <c r="A388" s="70" t="s">
        <v>1067</v>
      </c>
      <c r="B388" s="70" t="s">
        <v>581</v>
      </c>
      <c r="C388" s="72">
        <v>46179</v>
      </c>
      <c r="D388" s="73" t="s">
        <v>339</v>
      </c>
      <c r="E388" s="76" t="str">
        <f>IFERROR(INDEX(M_User!$A$12:$J$67,MATCH(D388,M_User!$D$12:$D$67,0),3),"UNMAPPED")</f>
        <v>Erick K. Mkama</v>
      </c>
      <c r="F388" s="75" t="str">
        <f>IFERROR(INDEX(M_User!$A$12:$J$67,MATCH(D388,M_User!$D$12:$D$67,0),5),"UNMAPPED")</f>
        <v>MOS</v>
      </c>
      <c r="G388" s="73" t="s">
        <v>812</v>
      </c>
      <c r="H388" s="92" t="s">
        <v>813</v>
      </c>
      <c r="I388" s="73" t="s">
        <v>236</v>
      </c>
      <c r="J388" s="76" t="str">
        <f>IFERROR(INDEX(M_SKU!$A$18:$J$57,MATCH(I388,M_SKU!$B$18:$B$57,0),1),"UNKNOWN SKU")</f>
        <v>Fanta Passion Pet 500ML ( x12)</v>
      </c>
      <c r="K388" s="73" t="s">
        <v>524</v>
      </c>
      <c r="L388" s="276">
        <v>3</v>
      </c>
      <c r="M388" s="94" cm="1">
        <f t="array" ref="M388">IFERROR(INDEX(M_DepotPrice!$C$10:$C$52,MATCH(1,(M_DepotPrice!$A$10:$A$52=I388)*(M_DepotPrice!$H$10:$H$52=IFERROR(INDEX(M_Depot!$A$7:$A$24,MATCH(F388,M_Depot!$B$7:$B$24,0)),""))*(M_DepotPrice!$G$10:$G$52="Special"),0)),INDEX(M_DepotPrice!$C$10:$C$52,MATCH(1,(M_DepotPrice!$A$10:$A$52=I388)*(M_DepotPrice!$G$10:$G$52="Default"),0)))</f>
        <v>8898</v>
      </c>
      <c r="N388" s="95">
        <f t="shared" si="11"/>
        <v>31498.92</v>
      </c>
      <c r="O388" s="82" t="str">
        <f t="shared" si="10"/>
        <v>MOS100209|PH004|CK5-33334</v>
      </c>
    </row>
    <row r="389" spans="1:15" ht="15" customHeight="1" x14ac:dyDescent="0.3">
      <c r="A389" s="60" t="s">
        <v>1068</v>
      </c>
      <c r="B389" s="60" t="s">
        <v>581</v>
      </c>
      <c r="C389" s="62">
        <v>46179</v>
      </c>
      <c r="D389" s="63" t="s">
        <v>339</v>
      </c>
      <c r="E389" s="66" t="str">
        <f>IFERROR(INDEX(M_User!$A$12:$J$67,MATCH(D389,M_User!$D$12:$D$67,0),3),"UNMAPPED")</f>
        <v>Erick K. Mkama</v>
      </c>
      <c r="F389" s="65" t="str">
        <f>IFERROR(INDEX(M_User!$A$12:$J$67,MATCH(D389,M_User!$D$12:$D$67,0),5),"UNMAPPED")</f>
        <v>MOS</v>
      </c>
      <c r="G389" s="63" t="s">
        <v>812</v>
      </c>
      <c r="H389" s="69" t="s">
        <v>813</v>
      </c>
      <c r="I389" s="63" t="s">
        <v>240</v>
      </c>
      <c r="J389" s="66" t="str">
        <f>IFERROR(INDEX(M_SKU!$A$18:$J$57,MATCH(I389,M_SKU!$B$18:$B$57,0),1),"UNKNOWN SKU")</f>
        <v>Fanta Fruit Blast Pet 500ML (x12)</v>
      </c>
      <c r="K389" s="63" t="s">
        <v>553</v>
      </c>
      <c r="L389" s="276">
        <v>1</v>
      </c>
      <c r="M389" s="91" cm="1">
        <f t="array" ref="M389">IFERROR(INDEX(M_DepotPrice!$C$10:$C$52,MATCH(1,(M_DepotPrice!$A$10:$A$52=I389)*(M_DepotPrice!$H$10:$H$52=IFERROR(INDEX(M_Depot!$A$7:$A$24,MATCH(F389,M_Depot!$B$7:$B$24,0)),""))*(M_DepotPrice!$G$10:$G$52="Special"),0)),INDEX(M_DepotPrice!$C$10:$C$52,MATCH(1,(M_DepotPrice!$A$10:$A$52=I389)*(M_DepotPrice!$G$10:$G$52="Default"),0)))</f>
        <v>8898</v>
      </c>
      <c r="N389" s="67">
        <f t="shared" si="11"/>
        <v>10499.64</v>
      </c>
      <c r="O389" s="66" t="str">
        <f t="shared" si="10"/>
        <v>MOS100209|PH006|CK6-33334</v>
      </c>
    </row>
    <row r="390" spans="1:15" ht="15" customHeight="1" x14ac:dyDescent="0.3">
      <c r="A390" s="70" t="s">
        <v>1069</v>
      </c>
      <c r="B390" s="70" t="s">
        <v>581</v>
      </c>
      <c r="C390" s="72">
        <v>46179</v>
      </c>
      <c r="D390" s="73" t="s">
        <v>339</v>
      </c>
      <c r="E390" s="76" t="str">
        <f>IFERROR(INDEX(M_User!$A$12:$J$67,MATCH(D390,M_User!$D$12:$D$67,0),3),"UNMAPPED")</f>
        <v>Erick K. Mkama</v>
      </c>
      <c r="F390" s="75" t="str">
        <f>IFERROR(INDEX(M_User!$A$12:$J$67,MATCH(D390,M_User!$D$12:$D$67,0),5),"UNMAPPED")</f>
        <v>MOS</v>
      </c>
      <c r="G390" s="73" t="s">
        <v>812</v>
      </c>
      <c r="H390" s="92" t="s">
        <v>813</v>
      </c>
      <c r="I390" s="73" t="s">
        <v>242</v>
      </c>
      <c r="J390" s="76" t="str">
        <f>IFERROR(INDEX(M_SKU!$A$18:$J$57,MATCH(I390,M_SKU!$B$18:$B$57,0),1),"UNKNOWN SKU")</f>
        <v>Stoney Tangawizi Pet 500 ml ( x12)</v>
      </c>
      <c r="K390" s="73" t="s">
        <v>525</v>
      </c>
      <c r="L390" s="276">
        <v>1</v>
      </c>
      <c r="M390" s="94" cm="1">
        <f t="array" ref="M390">IFERROR(INDEX(M_DepotPrice!$C$10:$C$52,MATCH(1,(M_DepotPrice!$A$10:$A$52=I390)*(M_DepotPrice!$H$10:$H$52=IFERROR(INDEX(M_Depot!$A$7:$A$24,MATCH(F390,M_Depot!$B$7:$B$24,0)),""))*(M_DepotPrice!$G$10:$G$52="Special"),0)),INDEX(M_DepotPrice!$C$10:$C$52,MATCH(1,(M_DepotPrice!$A$10:$A$52=I390)*(M_DepotPrice!$G$10:$G$52="Default"),0)))</f>
        <v>8898</v>
      </c>
      <c r="N390" s="95">
        <f t="shared" si="11"/>
        <v>10499.64</v>
      </c>
      <c r="O390" s="82" t="str">
        <f t="shared" si="10"/>
        <v>MOS100209|PH007|CK6-33375</v>
      </c>
    </row>
    <row r="391" spans="1:15" ht="15" customHeight="1" x14ac:dyDescent="0.3">
      <c r="A391" s="60" t="s">
        <v>1070</v>
      </c>
      <c r="B391" s="60" t="s">
        <v>581</v>
      </c>
      <c r="C391" s="62">
        <v>46179</v>
      </c>
      <c r="D391" s="63" t="s">
        <v>339</v>
      </c>
      <c r="E391" s="66" t="str">
        <f>IFERROR(INDEX(M_User!$A$12:$J$67,MATCH(D391,M_User!$D$12:$D$67,0),3),"UNMAPPED")</f>
        <v>Erick K. Mkama</v>
      </c>
      <c r="F391" s="65" t="str">
        <f>IFERROR(INDEX(M_User!$A$12:$J$67,MATCH(D391,M_User!$D$12:$D$67,0),5),"UNMAPPED")</f>
        <v>MOS</v>
      </c>
      <c r="G391" s="63" t="s">
        <v>812</v>
      </c>
      <c r="H391" s="69" t="s">
        <v>813</v>
      </c>
      <c r="I391" s="63" t="s">
        <v>244</v>
      </c>
      <c r="J391" s="66" t="str">
        <f>IFERROR(INDEX(M_SKU!$A$18:$J$57,MATCH(I391,M_SKU!$B$18:$B$57,0),1),"UNKNOWN SKU")</f>
        <v>Sparletta Pinenut Pet 500 ml ( x12)</v>
      </c>
      <c r="K391" s="63" t="s">
        <v>526</v>
      </c>
      <c r="L391" s="276">
        <v>2</v>
      </c>
      <c r="M391" s="91" cm="1">
        <f t="array" ref="M391">IFERROR(INDEX(M_DepotPrice!$C$10:$C$52,MATCH(1,(M_DepotPrice!$A$10:$A$52=I391)*(M_DepotPrice!$H$10:$H$52=IFERROR(INDEX(M_Depot!$A$7:$A$24,MATCH(F391,M_Depot!$B$7:$B$24,0)),""))*(M_DepotPrice!$G$10:$G$52="Special"),0)),INDEX(M_DepotPrice!$C$10:$C$52,MATCH(1,(M_DepotPrice!$A$10:$A$52=I391)*(M_DepotPrice!$G$10:$G$52="Default"),0)))</f>
        <v>8898</v>
      </c>
      <c r="N391" s="67">
        <f t="shared" si="11"/>
        <v>20999.279999999999</v>
      </c>
      <c r="O391" s="66" t="str">
        <f t="shared" si="10"/>
        <v>MOS100209|PH008|CK5-33370</v>
      </c>
    </row>
    <row r="392" spans="1:15" ht="15" customHeight="1" x14ac:dyDescent="0.3">
      <c r="A392" s="70" t="s">
        <v>1071</v>
      </c>
      <c r="B392" s="70" t="s">
        <v>581</v>
      </c>
      <c r="C392" s="72">
        <v>46179</v>
      </c>
      <c r="D392" s="73" t="s">
        <v>339</v>
      </c>
      <c r="E392" s="76" t="str">
        <f>IFERROR(INDEX(M_User!$A$12:$J$67,MATCH(D392,M_User!$D$12:$D$67,0),3),"UNMAPPED")</f>
        <v>Erick K. Mkama</v>
      </c>
      <c r="F392" s="75" t="str">
        <f>IFERROR(INDEX(M_User!$A$12:$J$67,MATCH(D392,M_User!$D$12:$D$67,0),5),"UNMAPPED")</f>
        <v>MOS</v>
      </c>
      <c r="G392" s="73" t="s">
        <v>812</v>
      </c>
      <c r="H392" s="92" t="s">
        <v>813</v>
      </c>
      <c r="I392" s="73" t="s">
        <v>246</v>
      </c>
      <c r="J392" s="76" t="str">
        <f>IFERROR(INDEX(M_SKU!$A$18:$J$57,MATCH(I392,M_SKU!$B$18:$B$57,0),1),"UNKNOWN SKU")</f>
        <v>Coke Zero Pet 500ML ( X 12)</v>
      </c>
      <c r="K392" s="73" t="s">
        <v>554</v>
      </c>
      <c r="L392" s="276">
        <v>2</v>
      </c>
      <c r="M392" s="94" cm="1">
        <f t="array" ref="M392">IFERROR(INDEX(M_DepotPrice!$C$10:$C$52,MATCH(1,(M_DepotPrice!$A$10:$A$52=I392)*(M_DepotPrice!$H$10:$H$52=IFERROR(INDEX(M_Depot!$A$7:$A$24,MATCH(F392,M_Depot!$B$7:$B$24,0)),""))*(M_DepotPrice!$G$10:$G$52="Special"),0)),INDEX(M_DepotPrice!$C$10:$C$52,MATCH(1,(M_DepotPrice!$A$10:$A$52=I392)*(M_DepotPrice!$G$10:$G$52="Default"),0)))</f>
        <v>8898</v>
      </c>
      <c r="N392" s="95">
        <f t="shared" si="11"/>
        <v>20999.279999999999</v>
      </c>
      <c r="O392" s="82" t="str">
        <f t="shared" si="10"/>
        <v>MOS100209|PH009|CK6-33241</v>
      </c>
    </row>
    <row r="393" spans="1:15" ht="15" customHeight="1" x14ac:dyDescent="0.3">
      <c r="A393" s="60" t="s">
        <v>1072</v>
      </c>
      <c r="B393" s="60" t="s">
        <v>581</v>
      </c>
      <c r="C393" s="62">
        <v>46179</v>
      </c>
      <c r="D393" s="63" t="s">
        <v>339</v>
      </c>
      <c r="E393" s="66" t="str">
        <f>IFERROR(INDEX(M_User!$A$12:$J$67,MATCH(D393,M_User!$D$12:$D$67,0),3),"UNMAPPED")</f>
        <v>Erick K. Mkama</v>
      </c>
      <c r="F393" s="65" t="str">
        <f>IFERROR(INDEX(M_User!$A$12:$J$67,MATCH(D393,M_User!$D$12:$D$67,0),5),"UNMAPPED")</f>
        <v>MOS</v>
      </c>
      <c r="G393" s="63" t="s">
        <v>812</v>
      </c>
      <c r="H393" s="69" t="s">
        <v>813</v>
      </c>
      <c r="I393" s="63" t="s">
        <v>252</v>
      </c>
      <c r="J393" s="66" t="str">
        <f>IFERROR(INDEX(M_SKU!$A$18:$J$57,MATCH(I393,M_SKU!$B$18:$B$57,0),1),"UNKNOWN SKU")</f>
        <v>Sprite Zero Pet 300ML (x 12)</v>
      </c>
      <c r="K393" s="63" t="s">
        <v>545</v>
      </c>
      <c r="L393" s="276">
        <v>4</v>
      </c>
      <c r="M393" s="91" cm="1">
        <f t="array" ref="M393">IFERROR(INDEX(M_DepotPrice!$C$10:$C$52,MATCH(1,(M_DepotPrice!$A$10:$A$52=I393)*(M_DepotPrice!$H$10:$H$52=IFERROR(INDEX(M_Depot!$A$7:$A$24,MATCH(F393,M_Depot!$B$7:$B$24,0)),""))*(M_DepotPrice!$G$10:$G$52="Special"),0)),INDEX(M_DepotPrice!$C$10:$C$52,MATCH(1,(M_DepotPrice!$A$10:$A$52=I393)*(M_DepotPrice!$G$10:$G$52="Default"),0)))</f>
        <v>5085</v>
      </c>
      <c r="N393" s="67">
        <f t="shared" si="11"/>
        <v>24001.199999999997</v>
      </c>
      <c r="O393" s="66" t="str">
        <f t="shared" ref="O393:O456" si="12">D393 &amp; "|" &amp; I393 &amp; "|" &amp; K393</f>
        <v>MOS100209|PO010|CK5-33360</v>
      </c>
    </row>
    <row r="394" spans="1:15" ht="15" customHeight="1" x14ac:dyDescent="0.3">
      <c r="A394" s="70" t="s">
        <v>1073</v>
      </c>
      <c r="B394" s="70" t="s">
        <v>581</v>
      </c>
      <c r="C394" s="72">
        <v>46179</v>
      </c>
      <c r="D394" s="73" t="s">
        <v>339</v>
      </c>
      <c r="E394" s="76" t="str">
        <f>IFERROR(INDEX(M_User!$A$12:$J$67,MATCH(D394,M_User!$D$12:$D$67,0),3),"UNMAPPED")</f>
        <v>Erick K. Mkama</v>
      </c>
      <c r="F394" s="75" t="str">
        <f>IFERROR(INDEX(M_User!$A$12:$J$67,MATCH(D394,M_User!$D$12:$D$67,0),5),"UNMAPPED")</f>
        <v>MOS</v>
      </c>
      <c r="G394" s="73" t="s">
        <v>812</v>
      </c>
      <c r="H394" s="92" t="s">
        <v>813</v>
      </c>
      <c r="I394" s="73" t="s">
        <v>254</v>
      </c>
      <c r="J394" s="76" t="str">
        <f>IFERROR(INDEX(M_SKU!$A$18:$J$57,MATCH(I394,M_SKU!$B$18:$B$57,0),1),"UNKNOWN SKU")</f>
        <v>Fanta Zero Pet 300ML (x 12)</v>
      </c>
      <c r="K394" s="73" t="s">
        <v>546</v>
      </c>
      <c r="L394" s="276">
        <v>2</v>
      </c>
      <c r="M394" s="94" cm="1">
        <f t="array" ref="M394">IFERROR(INDEX(M_DepotPrice!$C$10:$C$52,MATCH(1,(M_DepotPrice!$A$10:$A$52=I394)*(M_DepotPrice!$H$10:$H$52=IFERROR(INDEX(M_Depot!$A$7:$A$24,MATCH(F394,M_Depot!$B$7:$B$24,0)),""))*(M_DepotPrice!$G$10:$G$52="Special"),0)),INDEX(M_DepotPrice!$C$10:$C$52,MATCH(1,(M_DepotPrice!$A$10:$A$52=I394)*(M_DepotPrice!$G$10:$G$52="Default"),0)))</f>
        <v>5085</v>
      </c>
      <c r="N394" s="95">
        <f t="shared" ref="N394:N457" si="13">(L394*M394)*1.18</f>
        <v>12000.599999999999</v>
      </c>
      <c r="O394" s="82" t="str">
        <f t="shared" si="12"/>
        <v>MOS100209|PO012|CK5-33369</v>
      </c>
    </row>
    <row r="395" spans="1:15" ht="15" customHeight="1" x14ac:dyDescent="0.3">
      <c r="A395" s="60" t="s">
        <v>1074</v>
      </c>
      <c r="B395" s="60" t="s">
        <v>581</v>
      </c>
      <c r="C395" s="62">
        <v>46179</v>
      </c>
      <c r="D395" s="63" t="s">
        <v>339</v>
      </c>
      <c r="E395" s="66" t="str">
        <f>IFERROR(INDEX(M_User!$A$12:$J$67,MATCH(D395,M_User!$D$12:$D$67,0),3),"UNMAPPED")</f>
        <v>Erick K. Mkama</v>
      </c>
      <c r="F395" s="65" t="str">
        <f>IFERROR(INDEX(M_User!$A$12:$J$67,MATCH(D395,M_User!$D$12:$D$67,0),5),"UNMAPPED")</f>
        <v>MOS</v>
      </c>
      <c r="G395" s="63" t="s">
        <v>812</v>
      </c>
      <c r="H395" s="69" t="s">
        <v>813</v>
      </c>
      <c r="I395" s="63" t="s">
        <v>261</v>
      </c>
      <c r="J395" s="66" t="str">
        <f>IFERROR(INDEX(M_SKU!$A$18:$J$57,MATCH(I395,M_SKU!$B$18:$B$57,0),1),"UNKNOWN SKU")</f>
        <v>Sparletta Pine Apple Pet 300ML (x 12)</v>
      </c>
      <c r="K395" s="63" t="s">
        <v>547</v>
      </c>
      <c r="L395" s="276">
        <v>4</v>
      </c>
      <c r="M395" s="91" cm="1">
        <f t="array" ref="M395">IFERROR(INDEX(M_DepotPrice!$C$10:$C$52,MATCH(1,(M_DepotPrice!$A$10:$A$52=I395)*(M_DepotPrice!$H$10:$H$52=IFERROR(INDEX(M_Depot!$A$7:$A$24,MATCH(F395,M_Depot!$B$7:$B$24,0)),""))*(M_DepotPrice!$G$10:$G$52="Special"),0)),INDEX(M_DepotPrice!$C$10:$C$52,MATCH(1,(M_DepotPrice!$A$10:$A$52=I395)*(M_DepotPrice!$G$10:$G$52="Default"),0)))</f>
        <v>5085</v>
      </c>
      <c r="N395" s="67">
        <f t="shared" si="13"/>
        <v>24001.199999999997</v>
      </c>
      <c r="O395" s="66" t="str">
        <f t="shared" si="12"/>
        <v>MOS100209|PO015|CK5-33366</v>
      </c>
    </row>
    <row r="396" spans="1:15" ht="15" customHeight="1" x14ac:dyDescent="0.3">
      <c r="A396" s="70" t="s">
        <v>1075</v>
      </c>
      <c r="B396" s="70" t="s">
        <v>581</v>
      </c>
      <c r="C396" s="72">
        <v>46179</v>
      </c>
      <c r="D396" s="73" t="s">
        <v>339</v>
      </c>
      <c r="E396" s="76" t="str">
        <f>IFERROR(INDEX(M_User!$A$12:$J$67,MATCH(D396,M_User!$D$12:$D$67,0),3),"UNMAPPED")</f>
        <v>Erick K. Mkama</v>
      </c>
      <c r="F396" s="75" t="str">
        <f>IFERROR(INDEX(M_User!$A$12:$J$67,MATCH(D396,M_User!$D$12:$D$67,0),5),"UNMAPPED")</f>
        <v>MOS</v>
      </c>
      <c r="G396" s="73" t="s">
        <v>949</v>
      </c>
      <c r="H396" s="92" t="s">
        <v>950</v>
      </c>
      <c r="I396" s="73" t="s">
        <v>170</v>
      </c>
      <c r="J396" s="76" t="str">
        <f>IFERROR(INDEX(M_SKU!$A$18:$J$57,MATCH(I396,M_SKU!$B$18:$B$57,0),1),"UNKNOWN SKU")</f>
        <v>Coke RGB 350ml</v>
      </c>
      <c r="K396" s="73" t="s">
        <v>530</v>
      </c>
      <c r="L396" s="276">
        <v>16.384448033819201</v>
      </c>
      <c r="M396" s="94" cm="1">
        <f t="array" ref="M396">IFERROR(INDEX(M_DepotPrice!$C$10:$C$52,MATCH(1,(M_DepotPrice!$A$10:$A$52=I396)*(M_DepotPrice!$H$10:$H$52=IFERROR(INDEX(M_Depot!$A$7:$A$24,MATCH(F396,M_Depot!$B$7:$B$24,0)),""))*(M_DepotPrice!$G$10:$G$52="Special"),0)),INDEX(M_DepotPrice!$C$10:$C$52,MATCH(1,(M_DepotPrice!$A$10:$A$52=I396)*(M_DepotPrice!$G$10:$G$52="Default"),0)))</f>
        <v>11780</v>
      </c>
      <c r="N396" s="95">
        <f t="shared" si="13"/>
        <v>227750.38144930042</v>
      </c>
      <c r="O396" s="82" t="str">
        <f t="shared" si="12"/>
        <v>MOS100209|FG001|CK3-33409</v>
      </c>
    </row>
    <row r="397" spans="1:15" ht="15" customHeight="1" x14ac:dyDescent="0.3">
      <c r="A397" s="60" t="s">
        <v>1076</v>
      </c>
      <c r="B397" s="60" t="s">
        <v>581</v>
      </c>
      <c r="C397" s="62">
        <v>46179</v>
      </c>
      <c r="D397" s="63" t="s">
        <v>339</v>
      </c>
      <c r="E397" s="66" t="str">
        <f>IFERROR(INDEX(M_User!$A$12:$J$67,MATCH(D397,M_User!$D$12:$D$67,0),3),"UNMAPPED")</f>
        <v>Erick K. Mkama</v>
      </c>
      <c r="F397" s="65" t="str">
        <f>IFERROR(INDEX(M_User!$A$12:$J$67,MATCH(D397,M_User!$D$12:$D$67,0),5),"UNMAPPED")</f>
        <v>MOS</v>
      </c>
      <c r="G397" s="63" t="s">
        <v>949</v>
      </c>
      <c r="H397" s="69" t="s">
        <v>950</v>
      </c>
      <c r="I397" s="63" t="s">
        <v>178</v>
      </c>
      <c r="J397" s="66" t="str">
        <f>IFERROR(INDEX(M_SKU!$A$18:$J$57,MATCH(I397,M_SKU!$B$18:$B$57,0),1),"UNKNOWN SKU")</f>
        <v>Fanta Orange RGB 350ml</v>
      </c>
      <c r="K397" s="63" t="s">
        <v>531</v>
      </c>
      <c r="L397" s="276">
        <v>4.8726786714694503</v>
      </c>
      <c r="M397" s="91" cm="1">
        <f t="array" ref="M397">IFERROR(INDEX(M_DepotPrice!$C$10:$C$52,MATCH(1,(M_DepotPrice!$A$10:$A$52=I397)*(M_DepotPrice!$H$10:$H$52=IFERROR(INDEX(M_Depot!$A$7:$A$24,MATCH(F397,M_Depot!$B$7:$B$24,0)),""))*(M_DepotPrice!$G$10:$G$52="Special"),0)),INDEX(M_DepotPrice!$C$10:$C$52,MATCH(1,(M_DepotPrice!$A$10:$A$52=I397)*(M_DepotPrice!$G$10:$G$52="Default"),0)))</f>
        <v>11780</v>
      </c>
      <c r="N397" s="67">
        <f t="shared" si="13"/>
        <v>67732.18260489394</v>
      </c>
      <c r="O397" s="66" t="str">
        <f t="shared" si="12"/>
        <v>MOS100209|FG002|CK3-33407</v>
      </c>
    </row>
    <row r="398" spans="1:15" ht="15" customHeight="1" x14ac:dyDescent="0.3">
      <c r="A398" s="70" t="s">
        <v>1077</v>
      </c>
      <c r="B398" s="70" t="s">
        <v>581</v>
      </c>
      <c r="C398" s="72">
        <v>46179</v>
      </c>
      <c r="D398" s="73" t="s">
        <v>339</v>
      </c>
      <c r="E398" s="76" t="str">
        <f>IFERROR(INDEX(M_User!$A$12:$J$67,MATCH(D398,M_User!$D$12:$D$67,0),3),"UNMAPPED")</f>
        <v>Erick K. Mkama</v>
      </c>
      <c r="F398" s="75" t="str">
        <f>IFERROR(INDEX(M_User!$A$12:$J$67,MATCH(D398,M_User!$D$12:$D$67,0),5),"UNMAPPED")</f>
        <v>MOS</v>
      </c>
      <c r="G398" s="73" t="s">
        <v>949</v>
      </c>
      <c r="H398" s="92" t="s">
        <v>950</v>
      </c>
      <c r="I398" s="73" t="s">
        <v>181</v>
      </c>
      <c r="J398" s="76" t="str">
        <f>IFERROR(INDEX(M_SKU!$A$18:$J$57,MATCH(I398,M_SKU!$B$18:$B$57,0),1),"UNKNOWN SKU")</f>
        <v>Fanta Passion RGB 350ml</v>
      </c>
      <c r="K398" s="73" t="s">
        <v>550</v>
      </c>
      <c r="L398" s="276">
        <v>2.2364999999999999</v>
      </c>
      <c r="M398" s="94" cm="1">
        <f t="array" ref="M398">IFERROR(INDEX(M_DepotPrice!$C$10:$C$52,MATCH(1,(M_DepotPrice!$A$10:$A$52=I398)*(M_DepotPrice!$H$10:$H$52=IFERROR(INDEX(M_Depot!$A$7:$A$24,MATCH(F398,M_Depot!$B$7:$B$24,0)),""))*(M_DepotPrice!$G$10:$G$52="Special"),0)),INDEX(M_DepotPrice!$C$10:$C$52,MATCH(1,(M_DepotPrice!$A$10:$A$52=I398)*(M_DepotPrice!$G$10:$G$52="Default"),0)))</f>
        <v>11780</v>
      </c>
      <c r="N398" s="95">
        <f t="shared" si="13"/>
        <v>31088.244599999995</v>
      </c>
      <c r="O398" s="82" t="str">
        <f t="shared" si="12"/>
        <v>MOS100209|FG003|CK3-33356</v>
      </c>
    </row>
    <row r="399" spans="1:15" ht="15" customHeight="1" x14ac:dyDescent="0.3">
      <c r="A399" s="60" t="s">
        <v>1078</v>
      </c>
      <c r="B399" s="60" t="s">
        <v>581</v>
      </c>
      <c r="C399" s="62">
        <v>46179</v>
      </c>
      <c r="D399" s="63" t="s">
        <v>339</v>
      </c>
      <c r="E399" s="66" t="str">
        <f>IFERROR(INDEX(M_User!$A$12:$J$67,MATCH(D399,M_User!$D$12:$D$67,0),3),"UNMAPPED")</f>
        <v>Erick K. Mkama</v>
      </c>
      <c r="F399" s="65" t="str">
        <f>IFERROR(INDEX(M_User!$A$12:$J$67,MATCH(D399,M_User!$D$12:$D$67,0),5),"UNMAPPED")</f>
        <v>MOS</v>
      </c>
      <c r="G399" s="63" t="s">
        <v>949</v>
      </c>
      <c r="H399" s="69" t="s">
        <v>950</v>
      </c>
      <c r="I399" s="63" t="s">
        <v>183</v>
      </c>
      <c r="J399" s="66" t="str">
        <f>IFERROR(INDEX(M_SKU!$A$18:$J$57,MATCH(I399,M_SKU!$B$18:$B$57,0),1),"UNKNOWN SKU")</f>
        <v>Fanta Pineapple RGB 350ml</v>
      </c>
      <c r="K399" s="63" t="s">
        <v>533</v>
      </c>
      <c r="L399" s="276">
        <v>1.704</v>
      </c>
      <c r="M399" s="91" cm="1">
        <f t="array" ref="M399">IFERROR(INDEX(M_DepotPrice!$C$10:$C$52,MATCH(1,(M_DepotPrice!$A$10:$A$52=I399)*(M_DepotPrice!$H$10:$H$52=IFERROR(INDEX(M_Depot!$A$7:$A$24,MATCH(F399,M_Depot!$B$7:$B$24,0)),""))*(M_DepotPrice!$G$10:$G$52="Special"),0)),INDEX(M_DepotPrice!$C$10:$C$52,MATCH(1,(M_DepotPrice!$A$10:$A$52=I399)*(M_DepotPrice!$G$10:$G$52="Default"),0)))</f>
        <v>11780</v>
      </c>
      <c r="N399" s="67">
        <f t="shared" si="13"/>
        <v>23686.281599999998</v>
      </c>
      <c r="O399" s="66" t="str">
        <f t="shared" si="12"/>
        <v>MOS100209|FG004|CK3-33385</v>
      </c>
    </row>
    <row r="400" spans="1:15" ht="15" customHeight="1" x14ac:dyDescent="0.3">
      <c r="A400" s="70" t="s">
        <v>1079</v>
      </c>
      <c r="B400" s="70" t="s">
        <v>581</v>
      </c>
      <c r="C400" s="72">
        <v>46179</v>
      </c>
      <c r="D400" s="73" t="s">
        <v>339</v>
      </c>
      <c r="E400" s="76" t="str">
        <f>IFERROR(INDEX(M_User!$A$12:$J$67,MATCH(D400,M_User!$D$12:$D$67,0),3),"UNMAPPED")</f>
        <v>Erick K. Mkama</v>
      </c>
      <c r="F400" s="75" t="str">
        <f>IFERROR(INDEX(M_User!$A$12:$J$67,MATCH(D400,M_User!$D$12:$D$67,0),5),"UNMAPPED")</f>
        <v>MOS</v>
      </c>
      <c r="G400" s="73" t="s">
        <v>949</v>
      </c>
      <c r="H400" s="92" t="s">
        <v>950</v>
      </c>
      <c r="I400" s="73" t="s">
        <v>185</v>
      </c>
      <c r="J400" s="76" t="str">
        <f>IFERROR(INDEX(M_SKU!$A$18:$J$57,MATCH(I400,M_SKU!$B$18:$B$57,0),1),"UNKNOWN SKU")</f>
        <v>Fanta Fruit Blast RGB 350 ml</v>
      </c>
      <c r="K400" s="73" t="s">
        <v>534</v>
      </c>
      <c r="L400" s="276">
        <v>1.3985000000000001</v>
      </c>
      <c r="M400" s="94" cm="1">
        <f t="array" ref="M400">IFERROR(INDEX(M_DepotPrice!$C$10:$C$52,MATCH(1,(M_DepotPrice!$A$10:$A$52=I400)*(M_DepotPrice!$H$10:$H$52=IFERROR(INDEX(M_Depot!$A$7:$A$24,MATCH(F400,M_Depot!$B$7:$B$24,0)),""))*(M_DepotPrice!$G$10:$G$52="Special"),0)),INDEX(M_DepotPrice!$C$10:$C$52,MATCH(1,(M_DepotPrice!$A$10:$A$52=I400)*(M_DepotPrice!$G$10:$G$52="Default"),0)))</f>
        <v>11780</v>
      </c>
      <c r="N400" s="95">
        <f t="shared" si="13"/>
        <v>19439.7094</v>
      </c>
      <c r="O400" s="82" t="str">
        <f t="shared" si="12"/>
        <v>MOS100209|FG005|CK3-33402</v>
      </c>
    </row>
    <row r="401" spans="1:15" ht="15" customHeight="1" x14ac:dyDescent="0.3">
      <c r="A401" s="60" t="s">
        <v>1080</v>
      </c>
      <c r="B401" s="60" t="s">
        <v>581</v>
      </c>
      <c r="C401" s="62">
        <v>46179</v>
      </c>
      <c r="D401" s="63" t="s">
        <v>339</v>
      </c>
      <c r="E401" s="66" t="str">
        <f>IFERROR(INDEX(M_User!$A$12:$J$67,MATCH(D401,M_User!$D$12:$D$67,0),3),"UNMAPPED")</f>
        <v>Erick K. Mkama</v>
      </c>
      <c r="F401" s="65" t="str">
        <f>IFERROR(INDEX(M_User!$A$12:$J$67,MATCH(D401,M_User!$D$12:$D$67,0),5),"UNMAPPED")</f>
        <v>MOS</v>
      </c>
      <c r="G401" s="63" t="s">
        <v>949</v>
      </c>
      <c r="H401" s="69" t="s">
        <v>950</v>
      </c>
      <c r="I401" s="63" t="s">
        <v>187</v>
      </c>
      <c r="J401" s="66" t="str">
        <f>IFERROR(INDEX(M_SKU!$A$18:$J$57,MATCH(I401,M_SKU!$B$18:$B$57,0),1),"UNKNOWN SKU")</f>
        <v>Sprite 350ml</v>
      </c>
      <c r="K401" s="63" t="s">
        <v>535</v>
      </c>
      <c r="L401" s="276">
        <v>4.2930000000000001</v>
      </c>
      <c r="M401" s="91" cm="1">
        <f t="array" ref="M401">IFERROR(INDEX(M_DepotPrice!$C$10:$C$52,MATCH(1,(M_DepotPrice!$A$10:$A$52=I401)*(M_DepotPrice!$H$10:$H$52=IFERROR(INDEX(M_Depot!$A$7:$A$24,MATCH(F401,M_Depot!$B$7:$B$24,0)),""))*(M_DepotPrice!$G$10:$G$52="Special"),0)),INDEX(M_DepotPrice!$C$10:$C$52,MATCH(1,(M_DepotPrice!$A$10:$A$52=I401)*(M_DepotPrice!$G$10:$G$52="Default"),0)))</f>
        <v>11780</v>
      </c>
      <c r="N401" s="67">
        <f t="shared" si="13"/>
        <v>59674.417199999996</v>
      </c>
      <c r="O401" s="66" t="str">
        <f t="shared" si="12"/>
        <v>MOS100209|FG006|CK3-33414</v>
      </c>
    </row>
    <row r="402" spans="1:15" ht="15" customHeight="1" x14ac:dyDescent="0.3">
      <c r="A402" s="70" t="s">
        <v>1081</v>
      </c>
      <c r="B402" s="70" t="s">
        <v>581</v>
      </c>
      <c r="C402" s="72">
        <v>46179</v>
      </c>
      <c r="D402" s="73" t="s">
        <v>339</v>
      </c>
      <c r="E402" s="76" t="str">
        <f>IFERROR(INDEX(M_User!$A$12:$J$67,MATCH(D402,M_User!$D$12:$D$67,0),3),"UNMAPPED")</f>
        <v>Erick K. Mkama</v>
      </c>
      <c r="F402" s="75" t="str">
        <f>IFERROR(INDEX(M_User!$A$12:$J$67,MATCH(D402,M_User!$D$12:$D$67,0),5),"UNMAPPED")</f>
        <v>MOS</v>
      </c>
      <c r="G402" s="73" t="s">
        <v>949</v>
      </c>
      <c r="H402" s="92" t="s">
        <v>950</v>
      </c>
      <c r="I402" s="73" t="s">
        <v>190</v>
      </c>
      <c r="J402" s="76" t="str">
        <f>IFERROR(INDEX(M_SKU!$A$18:$J$57,MATCH(I402,M_SKU!$B$18:$B$57,0),1),"UNKNOWN SKU")</f>
        <v>Stoney Tangawizi RGB 350ml</v>
      </c>
      <c r="K402" s="73" t="s">
        <v>536</v>
      </c>
      <c r="L402" s="276">
        <v>0.98670000000000002</v>
      </c>
      <c r="M402" s="94" cm="1">
        <f t="array" ref="M402">IFERROR(INDEX(M_DepotPrice!$C$10:$C$52,MATCH(1,(M_DepotPrice!$A$10:$A$52=I402)*(M_DepotPrice!$H$10:$H$52=IFERROR(INDEX(M_Depot!$A$7:$A$24,MATCH(F402,M_Depot!$B$7:$B$24,0)),""))*(M_DepotPrice!$G$10:$G$52="Special"),0)),INDEX(M_DepotPrice!$C$10:$C$52,MATCH(1,(M_DepotPrice!$A$10:$A$52=I402)*(M_DepotPrice!$G$10:$G$52="Default"),0)))</f>
        <v>11780</v>
      </c>
      <c r="N402" s="95">
        <f t="shared" si="13"/>
        <v>13715.52468</v>
      </c>
      <c r="O402" s="82" t="str">
        <f t="shared" si="12"/>
        <v>MOS100209|FG007|CK3-33404</v>
      </c>
    </row>
    <row r="403" spans="1:15" ht="15" customHeight="1" x14ac:dyDescent="0.3">
      <c r="A403" s="60" t="s">
        <v>1082</v>
      </c>
      <c r="B403" s="60" t="s">
        <v>581</v>
      </c>
      <c r="C403" s="62">
        <v>46179</v>
      </c>
      <c r="D403" s="63" t="s">
        <v>339</v>
      </c>
      <c r="E403" s="66" t="str">
        <f>IFERROR(INDEX(M_User!$A$12:$J$67,MATCH(D403,M_User!$D$12:$D$67,0),3),"UNMAPPED")</f>
        <v>Erick K. Mkama</v>
      </c>
      <c r="F403" s="65" t="str">
        <f>IFERROR(INDEX(M_User!$A$12:$J$67,MATCH(D403,M_User!$D$12:$D$67,0),5),"UNMAPPED")</f>
        <v>MOS</v>
      </c>
      <c r="G403" s="63" t="s">
        <v>949</v>
      </c>
      <c r="H403" s="69" t="s">
        <v>950</v>
      </c>
      <c r="I403" s="63" t="s">
        <v>193</v>
      </c>
      <c r="J403" s="66" t="str">
        <f>IFERROR(INDEX(M_SKU!$A$18:$J$57,MATCH(I403,M_SKU!$B$18:$B$57,0),1),"UNKNOWN SKU")</f>
        <v>Sparletta Pinenut RGB 350ml</v>
      </c>
      <c r="K403" s="63" t="s">
        <v>580</v>
      </c>
      <c r="L403" s="276">
        <v>0.9274</v>
      </c>
      <c r="M403" s="91" cm="1">
        <f t="array" ref="M403">IFERROR(INDEX(M_DepotPrice!$C$10:$C$52,MATCH(1,(M_DepotPrice!$A$10:$A$52=I403)*(M_DepotPrice!$H$10:$H$52=IFERROR(INDEX(M_Depot!$A$7:$A$24,MATCH(F403,M_Depot!$B$7:$B$24,0)),""))*(M_DepotPrice!$G$10:$G$52="Special"),0)),INDEX(M_DepotPrice!$C$10:$C$52,MATCH(1,(M_DepotPrice!$A$10:$A$52=I403)*(M_DepotPrice!$G$10:$G$52="Default"),0)))</f>
        <v>11780</v>
      </c>
      <c r="N403" s="67">
        <f t="shared" si="13"/>
        <v>12891.230960000001</v>
      </c>
      <c r="O403" s="66" t="str">
        <f t="shared" si="12"/>
        <v>MOS100209|FG008|CK3-33367</v>
      </c>
    </row>
    <row r="404" spans="1:15" ht="15" customHeight="1" x14ac:dyDescent="0.3">
      <c r="A404" s="70" t="s">
        <v>1083</v>
      </c>
      <c r="B404" s="70" t="s">
        <v>581</v>
      </c>
      <c r="C404" s="72">
        <v>46179</v>
      </c>
      <c r="D404" s="73" t="s">
        <v>339</v>
      </c>
      <c r="E404" s="76" t="str">
        <f>IFERROR(INDEX(M_User!$A$12:$J$67,MATCH(D404,M_User!$D$12:$D$67,0),3),"UNMAPPED")</f>
        <v>Erick K. Mkama</v>
      </c>
      <c r="F404" s="75" t="str">
        <f>IFERROR(INDEX(M_User!$A$12:$J$67,MATCH(D404,M_User!$D$12:$D$67,0),5),"UNMAPPED")</f>
        <v>MOS</v>
      </c>
      <c r="G404" s="73" t="s">
        <v>949</v>
      </c>
      <c r="H404" s="92" t="s">
        <v>950</v>
      </c>
      <c r="I404" s="73" t="s">
        <v>196</v>
      </c>
      <c r="J404" s="76" t="str">
        <f>IFERROR(INDEX(M_SKU!$A$18:$J$57,MATCH(I404,M_SKU!$B$18:$B$57,0),1),"UNKNOWN SKU")</f>
        <v>Krest Bitter Lemon RGB 300ml</v>
      </c>
      <c r="K404" s="73" t="s">
        <v>538</v>
      </c>
      <c r="L404" s="276">
        <v>0.63619999999999999</v>
      </c>
      <c r="M404" s="94" cm="1">
        <f t="array" ref="M404">IFERROR(INDEX(M_DepotPrice!$C$10:$C$52,MATCH(1,(M_DepotPrice!$A$10:$A$52=I404)*(M_DepotPrice!$H$10:$H$52=IFERROR(INDEX(M_Depot!$A$7:$A$24,MATCH(F404,M_Depot!$B$7:$B$24,0)),""))*(M_DepotPrice!$G$10:$G$52="Special"),0)),INDEX(M_DepotPrice!$C$10:$C$52,MATCH(1,(M_DepotPrice!$A$10:$A$52=I404)*(M_DepotPrice!$G$10:$G$52="Default"),0)))</f>
        <v>11780</v>
      </c>
      <c r="N404" s="95">
        <f t="shared" si="13"/>
        <v>8843.4344799999999</v>
      </c>
      <c r="O404" s="82" t="str">
        <f t="shared" si="12"/>
        <v>MOS100209|FG009|CK3-33348</v>
      </c>
    </row>
    <row r="405" spans="1:15" ht="15" customHeight="1" x14ac:dyDescent="0.3">
      <c r="A405" s="60" t="s">
        <v>1084</v>
      </c>
      <c r="B405" s="60" t="s">
        <v>581</v>
      </c>
      <c r="C405" s="62">
        <v>46179</v>
      </c>
      <c r="D405" s="63" t="s">
        <v>339</v>
      </c>
      <c r="E405" s="66" t="str">
        <f>IFERROR(INDEX(M_User!$A$12:$J$67,MATCH(D405,M_User!$D$12:$D$67,0),3),"UNMAPPED")</f>
        <v>Erick K. Mkama</v>
      </c>
      <c r="F405" s="65" t="str">
        <f>IFERROR(INDEX(M_User!$A$12:$J$67,MATCH(D405,M_User!$D$12:$D$67,0),5),"UNMAPPED")</f>
        <v>MOS</v>
      </c>
      <c r="G405" s="63" t="s">
        <v>949</v>
      </c>
      <c r="H405" s="69" t="s">
        <v>950</v>
      </c>
      <c r="I405" s="63" t="s">
        <v>199</v>
      </c>
      <c r="J405" s="66" t="str">
        <f>IFERROR(INDEX(M_SKU!$A$18:$J$57,MATCH(I405,M_SKU!$B$18:$B$57,0),1),"UNKNOWN SKU")</f>
        <v>Krest Club Soda RGB 300ml</v>
      </c>
      <c r="K405" s="63" t="s">
        <v>539</v>
      </c>
      <c r="L405" s="276">
        <v>0.3735</v>
      </c>
      <c r="M405" s="91" cm="1">
        <f t="array" ref="M405">IFERROR(INDEX(M_DepotPrice!$C$10:$C$52,MATCH(1,(M_DepotPrice!$A$10:$A$52=I405)*(M_DepotPrice!$H$10:$H$52=IFERROR(INDEX(M_Depot!$A$7:$A$24,MATCH(F405,M_Depot!$B$7:$B$24,0)),""))*(M_DepotPrice!$G$10:$G$52="Special"),0)),INDEX(M_DepotPrice!$C$10:$C$52,MATCH(1,(M_DepotPrice!$A$10:$A$52=I405)*(M_DepotPrice!$G$10:$G$52="Default"),0)))</f>
        <v>11780</v>
      </c>
      <c r="N405" s="67">
        <f t="shared" si="13"/>
        <v>5191.7993999999999</v>
      </c>
      <c r="O405" s="66" t="str">
        <f t="shared" si="12"/>
        <v>MOS100209|FG010|CK3-33301</v>
      </c>
    </row>
    <row r="406" spans="1:15" ht="15" customHeight="1" x14ac:dyDescent="0.3">
      <c r="A406" s="70" t="s">
        <v>1085</v>
      </c>
      <c r="B406" s="70" t="s">
        <v>581</v>
      </c>
      <c r="C406" s="72">
        <v>46179</v>
      </c>
      <c r="D406" s="73" t="s">
        <v>339</v>
      </c>
      <c r="E406" s="76" t="str">
        <f>IFERROR(INDEX(M_User!$A$12:$J$67,MATCH(D406,M_User!$D$12:$D$67,0),3),"UNMAPPED")</f>
        <v>Erick K. Mkama</v>
      </c>
      <c r="F406" s="75" t="str">
        <f>IFERROR(INDEX(M_User!$A$12:$J$67,MATCH(D406,M_User!$D$12:$D$67,0),5),"UNMAPPED")</f>
        <v>MOS</v>
      </c>
      <c r="G406" s="73" t="s">
        <v>949</v>
      </c>
      <c r="H406" s="92" t="s">
        <v>950</v>
      </c>
      <c r="I406" s="73" t="s">
        <v>201</v>
      </c>
      <c r="J406" s="76" t="str">
        <f>IFERROR(INDEX(M_SKU!$A$18:$J$57,MATCH(I406,M_SKU!$B$18:$B$57,0),1),"UNKNOWN SKU")</f>
        <v>Krest Tonic Water RGB 300ml</v>
      </c>
      <c r="K406" s="73" t="s">
        <v>540</v>
      </c>
      <c r="L406" s="276">
        <v>0.97562083699715696</v>
      </c>
      <c r="M406" s="94" cm="1">
        <f t="array" ref="M406">IFERROR(INDEX(M_DepotPrice!$C$10:$C$52,MATCH(1,(M_DepotPrice!$A$10:$A$52=I406)*(M_DepotPrice!$H$10:$H$52=IFERROR(INDEX(M_Depot!$A$7:$A$24,MATCH(F406,M_Depot!$B$7:$B$24,0)),""))*(M_DepotPrice!$G$10:$G$52="Special"),0)),INDEX(M_DepotPrice!$C$10:$C$52,MATCH(1,(M_DepotPrice!$A$10:$A$52=I406)*(M_DepotPrice!$G$10:$G$52="Default"),0)))</f>
        <v>11780</v>
      </c>
      <c r="N406" s="95">
        <f t="shared" si="13"/>
        <v>13561.519882595281</v>
      </c>
      <c r="O406" s="82" t="str">
        <f t="shared" si="12"/>
        <v>MOS100209|FG011|CK3-33347</v>
      </c>
    </row>
    <row r="407" spans="1:15" ht="15" customHeight="1" x14ac:dyDescent="0.3">
      <c r="A407" s="60" t="s">
        <v>1086</v>
      </c>
      <c r="B407" s="60" t="s">
        <v>581</v>
      </c>
      <c r="C407" s="62">
        <v>46179</v>
      </c>
      <c r="D407" s="63" t="s">
        <v>339</v>
      </c>
      <c r="E407" s="66" t="str">
        <f>IFERROR(INDEX(M_User!$A$12:$J$67,MATCH(D407,M_User!$D$12:$D$67,0),3),"UNMAPPED")</f>
        <v>Erick K. Mkama</v>
      </c>
      <c r="F407" s="65" t="str">
        <f>IFERROR(INDEX(M_User!$A$12:$J$67,MATCH(D407,M_User!$D$12:$D$67,0),5),"UNMAPPED")</f>
        <v>MOS</v>
      </c>
      <c r="G407" s="63" t="s">
        <v>949</v>
      </c>
      <c r="H407" s="69" t="s">
        <v>950</v>
      </c>
      <c r="I407" s="63" t="s">
        <v>209</v>
      </c>
      <c r="J407" s="66" t="str">
        <f>IFERROR(INDEX(M_SKU!$A$18:$J$57,MATCH(I407,M_SKU!$B$18:$B$57,0),1),"UNKNOWN SKU")</f>
        <v>Sparletta Red Apple RGB 350ml</v>
      </c>
      <c r="K407" s="63" t="s">
        <v>542</v>
      </c>
      <c r="L407" s="276">
        <v>0.69159999999999999</v>
      </c>
      <c r="M407" s="91" cm="1">
        <f t="array" ref="M407">IFERROR(INDEX(M_DepotPrice!$C$10:$C$52,MATCH(1,(M_DepotPrice!$A$10:$A$52=I407)*(M_DepotPrice!$H$10:$H$52=IFERROR(INDEX(M_Depot!$A$7:$A$24,MATCH(F407,M_Depot!$B$7:$B$24,0)),""))*(M_DepotPrice!$G$10:$G$52="Special"),0)),INDEX(M_DepotPrice!$C$10:$C$52,MATCH(1,(M_DepotPrice!$A$10:$A$52=I407)*(M_DepotPrice!$G$10:$G$52="Default"),0)))</f>
        <v>11780</v>
      </c>
      <c r="N407" s="67">
        <f t="shared" si="13"/>
        <v>9613.5166399999998</v>
      </c>
      <c r="O407" s="66" t="str">
        <f t="shared" si="12"/>
        <v>MOS100209|FG024|CK3-32758</v>
      </c>
    </row>
    <row r="408" spans="1:15" ht="15" customHeight="1" x14ac:dyDescent="0.3">
      <c r="A408" s="70" t="s">
        <v>1087</v>
      </c>
      <c r="B408" s="70" t="s">
        <v>581</v>
      </c>
      <c r="C408" s="72">
        <v>46179</v>
      </c>
      <c r="D408" s="73" t="s">
        <v>339</v>
      </c>
      <c r="E408" s="76" t="str">
        <f>IFERROR(INDEX(M_User!$A$12:$J$67,MATCH(D408,M_User!$D$12:$D$67,0),3),"UNMAPPED")</f>
        <v>Erick K. Mkama</v>
      </c>
      <c r="F408" s="75" t="str">
        <f>IFERROR(INDEX(M_User!$A$12:$J$67,MATCH(D408,M_User!$D$12:$D$67,0),5),"UNMAPPED")</f>
        <v>MOS</v>
      </c>
      <c r="G408" s="73" t="s">
        <v>949</v>
      </c>
      <c r="H408" s="92" t="s">
        <v>950</v>
      </c>
      <c r="I408" s="73" t="s">
        <v>211</v>
      </c>
      <c r="J408" s="76" t="str">
        <f>IFERROR(INDEX(M_SKU!$A$18:$J$57,MATCH(I408,M_SKU!$B$18:$B$57,0),1),"UNKNOWN SKU")</f>
        <v>KNMW 500ml</v>
      </c>
      <c r="K408" s="73" t="s">
        <v>543</v>
      </c>
      <c r="L408" s="276">
        <v>16</v>
      </c>
      <c r="M408" s="94" cm="1">
        <f t="array" ref="M408">IFERROR(INDEX(M_DepotPrice!$C$10:$C$52,MATCH(1,(M_DepotPrice!$A$10:$A$52=I408)*(M_DepotPrice!$H$10:$H$52=IFERROR(INDEX(M_Depot!$A$7:$A$24,MATCH(F408,M_Depot!$B$7:$B$24,0)),""))*(M_DepotPrice!$G$10:$G$52="Special"),0)),INDEX(M_DepotPrice!$C$10:$C$52,MATCH(1,(M_DepotPrice!$A$10:$A$52=I408)*(M_DepotPrice!$G$10:$G$52="Default"),0)))</f>
        <v>3559</v>
      </c>
      <c r="N408" s="95">
        <f t="shared" si="13"/>
        <v>67193.919999999998</v>
      </c>
      <c r="O408" s="82" t="str">
        <f t="shared" si="12"/>
        <v>MOS100209|KD001|CK6-986</v>
      </c>
    </row>
    <row r="409" spans="1:15" ht="15" customHeight="1" x14ac:dyDescent="0.3">
      <c r="A409" s="60" t="s">
        <v>1088</v>
      </c>
      <c r="B409" s="60" t="s">
        <v>581</v>
      </c>
      <c r="C409" s="62">
        <v>46179</v>
      </c>
      <c r="D409" s="63" t="s">
        <v>339</v>
      </c>
      <c r="E409" s="66" t="str">
        <f>IFERROR(INDEX(M_User!$A$12:$J$67,MATCH(D409,M_User!$D$12:$D$67,0),3),"UNMAPPED")</f>
        <v>Erick K. Mkama</v>
      </c>
      <c r="F409" s="65" t="str">
        <f>IFERROR(INDEX(M_User!$A$12:$J$67,MATCH(D409,M_User!$D$12:$D$67,0),5),"UNMAPPED")</f>
        <v>MOS</v>
      </c>
      <c r="G409" s="63" t="s">
        <v>949</v>
      </c>
      <c r="H409" s="69" t="s">
        <v>950</v>
      </c>
      <c r="I409" s="63" t="s">
        <v>217</v>
      </c>
      <c r="J409" s="66" t="str">
        <f>IFERROR(INDEX(M_SKU!$A$18:$J$57,MATCH(I409,M_SKU!$B$18:$B$57,0),1),"UNKNOWN SKU")</f>
        <v>KNMW 1500ml</v>
      </c>
      <c r="K409" s="63" t="s">
        <v>551</v>
      </c>
      <c r="L409" s="276">
        <v>43</v>
      </c>
      <c r="M409" s="91" cm="1">
        <f t="array" ref="M409">IFERROR(INDEX(M_DepotPrice!$C$10:$C$52,MATCH(1,(M_DepotPrice!$A$10:$A$52=I409)*(M_DepotPrice!$H$10:$H$52=IFERROR(INDEX(M_Depot!$A$7:$A$24,MATCH(F409,M_Depot!$B$7:$B$24,0)),""))*(M_DepotPrice!$G$10:$G$52="Special"),0)),INDEX(M_DepotPrice!$C$10:$C$52,MATCH(1,(M_DepotPrice!$A$10:$A$52=I409)*(M_DepotPrice!$G$10:$G$52="Default"),0)))</f>
        <v>3983</v>
      </c>
      <c r="N409" s="67">
        <f t="shared" si="13"/>
        <v>202097.41999999998</v>
      </c>
      <c r="O409" s="66" t="str">
        <f t="shared" si="12"/>
        <v>MOS100209|KD003|CK4-842</v>
      </c>
    </row>
    <row r="410" spans="1:15" ht="15" customHeight="1" x14ac:dyDescent="0.3">
      <c r="A410" s="70" t="s">
        <v>1089</v>
      </c>
      <c r="B410" s="70" t="s">
        <v>581</v>
      </c>
      <c r="C410" s="72">
        <v>46179</v>
      </c>
      <c r="D410" s="73" t="s">
        <v>339</v>
      </c>
      <c r="E410" s="76" t="str">
        <f>IFERROR(INDEX(M_User!$A$12:$J$67,MATCH(D410,M_User!$D$12:$D$67,0),3),"UNMAPPED")</f>
        <v>Erick K. Mkama</v>
      </c>
      <c r="F410" s="75" t="str">
        <f>IFERROR(INDEX(M_User!$A$12:$J$67,MATCH(D410,M_User!$D$12:$D$67,0),5),"UNMAPPED")</f>
        <v>MOS</v>
      </c>
      <c r="G410" s="73" t="s">
        <v>949</v>
      </c>
      <c r="H410" s="92" t="s">
        <v>950</v>
      </c>
      <c r="I410" s="73" t="s">
        <v>229</v>
      </c>
      <c r="J410" s="76" t="str">
        <f>IFERROR(INDEX(M_SKU!$A$18:$J$57,MATCH(I410,M_SKU!$B$18:$B$57,0),1),"UNKNOWN SKU")</f>
        <v>Coke Pet 500ML ( x12)</v>
      </c>
      <c r="K410" s="73" t="s">
        <v>520</v>
      </c>
      <c r="L410" s="276">
        <v>25</v>
      </c>
      <c r="M410" s="94" cm="1">
        <f t="array" ref="M410">IFERROR(INDEX(M_DepotPrice!$C$10:$C$52,MATCH(1,(M_DepotPrice!$A$10:$A$52=I410)*(M_DepotPrice!$H$10:$H$52=IFERROR(INDEX(M_Depot!$A$7:$A$24,MATCH(F410,M_Depot!$B$7:$B$24,0)),""))*(M_DepotPrice!$G$10:$G$52="Special"),0)),INDEX(M_DepotPrice!$C$10:$C$52,MATCH(1,(M_DepotPrice!$A$10:$A$52=I410)*(M_DepotPrice!$G$10:$G$52="Default"),0)))</f>
        <v>8898</v>
      </c>
      <c r="N410" s="95">
        <f t="shared" si="13"/>
        <v>262491</v>
      </c>
      <c r="O410" s="82" t="str">
        <f t="shared" si="12"/>
        <v>MOS100209|PH001|CK6-33411</v>
      </c>
    </row>
    <row r="411" spans="1:15" ht="15" customHeight="1" x14ac:dyDescent="0.3">
      <c r="A411" s="60" t="s">
        <v>1090</v>
      </c>
      <c r="B411" s="60" t="s">
        <v>581</v>
      </c>
      <c r="C411" s="62">
        <v>46179</v>
      </c>
      <c r="D411" s="63" t="s">
        <v>339</v>
      </c>
      <c r="E411" s="66" t="str">
        <f>IFERROR(INDEX(M_User!$A$12:$J$67,MATCH(D411,M_User!$D$12:$D$67,0),3),"UNMAPPED")</f>
        <v>Erick K. Mkama</v>
      </c>
      <c r="F411" s="65" t="str">
        <f>IFERROR(INDEX(M_User!$A$12:$J$67,MATCH(D411,M_User!$D$12:$D$67,0),5),"UNMAPPED")</f>
        <v>MOS</v>
      </c>
      <c r="G411" s="63" t="s">
        <v>949</v>
      </c>
      <c r="H411" s="69" t="s">
        <v>950</v>
      </c>
      <c r="I411" s="63" t="s">
        <v>232</v>
      </c>
      <c r="J411" s="66" t="str">
        <f>IFERROR(INDEX(M_SKU!$A$18:$J$57,MATCH(I411,M_SKU!$B$18:$B$57,0),1),"UNKNOWN SKU")</f>
        <v>Sprite Pet 500ML (x 12)</v>
      </c>
      <c r="K411" s="63" t="s">
        <v>522</v>
      </c>
      <c r="L411" s="276">
        <v>2</v>
      </c>
      <c r="M411" s="91" cm="1">
        <f t="array" ref="M411">IFERROR(INDEX(M_DepotPrice!$C$10:$C$52,MATCH(1,(M_DepotPrice!$A$10:$A$52=I411)*(M_DepotPrice!$H$10:$H$52=IFERROR(INDEX(M_Depot!$A$7:$A$24,MATCH(F411,M_Depot!$B$7:$B$24,0)),""))*(M_DepotPrice!$G$10:$G$52="Special"),0)),INDEX(M_DepotPrice!$C$10:$C$52,MATCH(1,(M_DepotPrice!$A$10:$A$52=I411)*(M_DepotPrice!$G$10:$G$52="Default"),0)))</f>
        <v>8898</v>
      </c>
      <c r="N411" s="67">
        <f t="shared" si="13"/>
        <v>20999.279999999999</v>
      </c>
      <c r="O411" s="66" t="str">
        <f t="shared" si="12"/>
        <v>MOS100209|PH002|CK6-33362</v>
      </c>
    </row>
    <row r="412" spans="1:15" ht="15" customHeight="1" x14ac:dyDescent="0.3">
      <c r="A412" s="70" t="s">
        <v>1091</v>
      </c>
      <c r="B412" s="70" t="s">
        <v>581</v>
      </c>
      <c r="C412" s="72">
        <v>46179</v>
      </c>
      <c r="D412" s="73" t="s">
        <v>339</v>
      </c>
      <c r="E412" s="76" t="str">
        <f>IFERROR(INDEX(M_User!$A$12:$J$67,MATCH(D412,M_User!$D$12:$D$67,0),3),"UNMAPPED")</f>
        <v>Erick K. Mkama</v>
      </c>
      <c r="F412" s="75" t="str">
        <f>IFERROR(INDEX(M_User!$A$12:$J$67,MATCH(D412,M_User!$D$12:$D$67,0),5),"UNMAPPED")</f>
        <v>MOS</v>
      </c>
      <c r="G412" s="73" t="s">
        <v>949</v>
      </c>
      <c r="H412" s="92" t="s">
        <v>950</v>
      </c>
      <c r="I412" s="73" t="s">
        <v>234</v>
      </c>
      <c r="J412" s="76" t="str">
        <f>IFERROR(INDEX(M_SKU!$A$18:$J$57,MATCH(I412,M_SKU!$B$18:$B$57,0),1),"UNKNOWN SKU")</f>
        <v>Fanta Orange Pet 500ML ( x 12)</v>
      </c>
      <c r="K412" s="73" t="s">
        <v>523</v>
      </c>
      <c r="L412" s="276">
        <v>14</v>
      </c>
      <c r="M412" s="94" cm="1">
        <f t="array" ref="M412">IFERROR(INDEX(M_DepotPrice!$C$10:$C$52,MATCH(1,(M_DepotPrice!$A$10:$A$52=I412)*(M_DepotPrice!$H$10:$H$52=IFERROR(INDEX(M_Depot!$A$7:$A$24,MATCH(F412,M_Depot!$B$7:$B$24,0)),""))*(M_DepotPrice!$G$10:$G$52="Special"),0)),INDEX(M_DepotPrice!$C$10:$C$52,MATCH(1,(M_DepotPrice!$A$10:$A$52=I412)*(M_DepotPrice!$G$10:$G$52="Default"),0)))</f>
        <v>8898</v>
      </c>
      <c r="N412" s="95">
        <f t="shared" si="13"/>
        <v>146994.96</v>
      </c>
      <c r="O412" s="82" t="str">
        <f t="shared" si="12"/>
        <v>MOS100209|PH003|CK6-33405</v>
      </c>
    </row>
    <row r="413" spans="1:15" ht="15" customHeight="1" x14ac:dyDescent="0.3">
      <c r="A413" s="60" t="s">
        <v>1092</v>
      </c>
      <c r="B413" s="60" t="s">
        <v>581</v>
      </c>
      <c r="C413" s="62">
        <v>46179</v>
      </c>
      <c r="D413" s="63" t="s">
        <v>339</v>
      </c>
      <c r="E413" s="66" t="str">
        <f>IFERROR(INDEX(M_User!$A$12:$J$67,MATCH(D413,M_User!$D$12:$D$67,0),3),"UNMAPPED")</f>
        <v>Erick K. Mkama</v>
      </c>
      <c r="F413" s="65" t="str">
        <f>IFERROR(INDEX(M_User!$A$12:$J$67,MATCH(D413,M_User!$D$12:$D$67,0),5),"UNMAPPED")</f>
        <v>MOS</v>
      </c>
      <c r="G413" s="63" t="s">
        <v>949</v>
      </c>
      <c r="H413" s="69" t="s">
        <v>950</v>
      </c>
      <c r="I413" s="63" t="s">
        <v>236</v>
      </c>
      <c r="J413" s="66" t="str">
        <f>IFERROR(INDEX(M_SKU!$A$18:$J$57,MATCH(I413,M_SKU!$B$18:$B$57,0),1),"UNKNOWN SKU")</f>
        <v>Fanta Passion Pet 500ML ( x12)</v>
      </c>
      <c r="K413" s="63" t="s">
        <v>524</v>
      </c>
      <c r="L413" s="276">
        <v>2</v>
      </c>
      <c r="M413" s="91" cm="1">
        <f t="array" ref="M413">IFERROR(INDEX(M_DepotPrice!$C$10:$C$52,MATCH(1,(M_DepotPrice!$A$10:$A$52=I413)*(M_DepotPrice!$H$10:$H$52=IFERROR(INDEX(M_Depot!$A$7:$A$24,MATCH(F413,M_Depot!$B$7:$B$24,0)),""))*(M_DepotPrice!$G$10:$G$52="Special"),0)),INDEX(M_DepotPrice!$C$10:$C$52,MATCH(1,(M_DepotPrice!$A$10:$A$52=I413)*(M_DepotPrice!$G$10:$G$52="Default"),0)))</f>
        <v>8898</v>
      </c>
      <c r="N413" s="67">
        <f t="shared" si="13"/>
        <v>20999.279999999999</v>
      </c>
      <c r="O413" s="66" t="str">
        <f t="shared" si="12"/>
        <v>MOS100209|PH004|CK5-33334</v>
      </c>
    </row>
    <row r="414" spans="1:15" ht="15" customHeight="1" x14ac:dyDescent="0.3">
      <c r="A414" s="70" t="s">
        <v>1093</v>
      </c>
      <c r="B414" s="70" t="s">
        <v>581</v>
      </c>
      <c r="C414" s="72">
        <v>46179</v>
      </c>
      <c r="D414" s="73" t="s">
        <v>339</v>
      </c>
      <c r="E414" s="76" t="str">
        <f>IFERROR(INDEX(M_User!$A$12:$J$67,MATCH(D414,M_User!$D$12:$D$67,0),3),"UNMAPPED")</f>
        <v>Erick K. Mkama</v>
      </c>
      <c r="F414" s="75" t="str">
        <f>IFERROR(INDEX(M_User!$A$12:$J$67,MATCH(D414,M_User!$D$12:$D$67,0),5),"UNMAPPED")</f>
        <v>MOS</v>
      </c>
      <c r="G414" s="73" t="s">
        <v>949</v>
      </c>
      <c r="H414" s="92" t="s">
        <v>950</v>
      </c>
      <c r="I414" s="73" t="s">
        <v>240</v>
      </c>
      <c r="J414" s="76" t="str">
        <f>IFERROR(INDEX(M_SKU!$A$18:$J$57,MATCH(I414,M_SKU!$B$18:$B$57,0),1),"UNKNOWN SKU")</f>
        <v>Fanta Fruit Blast Pet 500ML (x12)</v>
      </c>
      <c r="K414" s="73" t="s">
        <v>553</v>
      </c>
      <c r="L414" s="276">
        <v>2</v>
      </c>
      <c r="M414" s="94" cm="1">
        <f t="array" ref="M414">IFERROR(INDEX(M_DepotPrice!$C$10:$C$52,MATCH(1,(M_DepotPrice!$A$10:$A$52=I414)*(M_DepotPrice!$H$10:$H$52=IFERROR(INDEX(M_Depot!$A$7:$A$24,MATCH(F414,M_Depot!$B$7:$B$24,0)),""))*(M_DepotPrice!$G$10:$G$52="Special"),0)),INDEX(M_DepotPrice!$C$10:$C$52,MATCH(1,(M_DepotPrice!$A$10:$A$52=I414)*(M_DepotPrice!$G$10:$G$52="Default"),0)))</f>
        <v>8898</v>
      </c>
      <c r="N414" s="95">
        <f t="shared" si="13"/>
        <v>20999.279999999999</v>
      </c>
      <c r="O414" s="82" t="str">
        <f t="shared" si="12"/>
        <v>MOS100209|PH006|CK6-33334</v>
      </c>
    </row>
    <row r="415" spans="1:15" ht="15" customHeight="1" x14ac:dyDescent="0.3">
      <c r="A415" s="60" t="s">
        <v>1094</v>
      </c>
      <c r="B415" s="60" t="s">
        <v>581</v>
      </c>
      <c r="C415" s="62">
        <v>46179</v>
      </c>
      <c r="D415" s="63" t="s">
        <v>339</v>
      </c>
      <c r="E415" s="66" t="str">
        <f>IFERROR(INDEX(M_User!$A$12:$J$67,MATCH(D415,M_User!$D$12:$D$67,0),3),"UNMAPPED")</f>
        <v>Erick K. Mkama</v>
      </c>
      <c r="F415" s="65" t="str">
        <f>IFERROR(INDEX(M_User!$A$12:$J$67,MATCH(D415,M_User!$D$12:$D$67,0),5),"UNMAPPED")</f>
        <v>MOS</v>
      </c>
      <c r="G415" s="63" t="s">
        <v>949</v>
      </c>
      <c r="H415" s="69" t="s">
        <v>950</v>
      </c>
      <c r="I415" s="63" t="s">
        <v>242</v>
      </c>
      <c r="J415" s="66" t="str">
        <f>IFERROR(INDEX(M_SKU!$A$18:$J$57,MATCH(I415,M_SKU!$B$18:$B$57,0),1),"UNKNOWN SKU")</f>
        <v>Stoney Tangawizi Pet 500 ml ( x12)</v>
      </c>
      <c r="K415" s="63" t="s">
        <v>525</v>
      </c>
      <c r="L415" s="276">
        <v>1</v>
      </c>
      <c r="M415" s="91" cm="1">
        <f t="array" ref="M415">IFERROR(INDEX(M_DepotPrice!$C$10:$C$52,MATCH(1,(M_DepotPrice!$A$10:$A$52=I415)*(M_DepotPrice!$H$10:$H$52=IFERROR(INDEX(M_Depot!$A$7:$A$24,MATCH(F415,M_Depot!$B$7:$B$24,0)),""))*(M_DepotPrice!$G$10:$G$52="Special"),0)),INDEX(M_DepotPrice!$C$10:$C$52,MATCH(1,(M_DepotPrice!$A$10:$A$52=I415)*(M_DepotPrice!$G$10:$G$52="Default"),0)))</f>
        <v>8898</v>
      </c>
      <c r="N415" s="67">
        <f t="shared" si="13"/>
        <v>10499.64</v>
      </c>
      <c r="O415" s="66" t="str">
        <f t="shared" si="12"/>
        <v>MOS100209|PH007|CK6-33375</v>
      </c>
    </row>
    <row r="416" spans="1:15" ht="15" customHeight="1" x14ac:dyDescent="0.3">
      <c r="A416" s="70" t="s">
        <v>1095</v>
      </c>
      <c r="B416" s="70" t="s">
        <v>581</v>
      </c>
      <c r="C416" s="72">
        <v>46179</v>
      </c>
      <c r="D416" s="73" t="s">
        <v>339</v>
      </c>
      <c r="E416" s="76" t="str">
        <f>IFERROR(INDEX(M_User!$A$12:$J$67,MATCH(D416,M_User!$D$12:$D$67,0),3),"UNMAPPED")</f>
        <v>Erick K. Mkama</v>
      </c>
      <c r="F416" s="75" t="str">
        <f>IFERROR(INDEX(M_User!$A$12:$J$67,MATCH(D416,M_User!$D$12:$D$67,0),5),"UNMAPPED")</f>
        <v>MOS</v>
      </c>
      <c r="G416" s="73" t="s">
        <v>949</v>
      </c>
      <c r="H416" s="92" t="s">
        <v>950</v>
      </c>
      <c r="I416" s="73" t="s">
        <v>246</v>
      </c>
      <c r="J416" s="76" t="str">
        <f>IFERROR(INDEX(M_SKU!$A$18:$J$57,MATCH(I416,M_SKU!$B$18:$B$57,0),1),"UNKNOWN SKU")</f>
        <v>Coke Zero Pet 500ML ( X 12)</v>
      </c>
      <c r="K416" s="73" t="s">
        <v>554</v>
      </c>
      <c r="L416" s="276">
        <v>1</v>
      </c>
      <c r="M416" s="94" cm="1">
        <f t="array" ref="M416">IFERROR(INDEX(M_DepotPrice!$C$10:$C$52,MATCH(1,(M_DepotPrice!$A$10:$A$52=I416)*(M_DepotPrice!$H$10:$H$52=IFERROR(INDEX(M_Depot!$A$7:$A$24,MATCH(F416,M_Depot!$B$7:$B$24,0)),""))*(M_DepotPrice!$G$10:$G$52="Special"),0)),INDEX(M_DepotPrice!$C$10:$C$52,MATCH(1,(M_DepotPrice!$A$10:$A$52=I416)*(M_DepotPrice!$G$10:$G$52="Default"),0)))</f>
        <v>8898</v>
      </c>
      <c r="N416" s="95">
        <f t="shared" si="13"/>
        <v>10499.64</v>
      </c>
      <c r="O416" s="82" t="str">
        <f t="shared" si="12"/>
        <v>MOS100209|PH009|CK6-33241</v>
      </c>
    </row>
    <row r="417" spans="1:15" ht="15" customHeight="1" x14ac:dyDescent="0.3">
      <c r="A417" s="60" t="s">
        <v>1096</v>
      </c>
      <c r="B417" s="60" t="s">
        <v>581</v>
      </c>
      <c r="C417" s="62">
        <v>46179</v>
      </c>
      <c r="D417" s="63" t="s">
        <v>339</v>
      </c>
      <c r="E417" s="66" t="str">
        <f>IFERROR(INDEX(M_User!$A$12:$J$67,MATCH(D417,M_User!$D$12:$D$67,0),3),"UNMAPPED")</f>
        <v>Erick K. Mkama</v>
      </c>
      <c r="F417" s="65" t="str">
        <f>IFERROR(INDEX(M_User!$A$12:$J$67,MATCH(D417,M_User!$D$12:$D$67,0),5),"UNMAPPED")</f>
        <v>MOS</v>
      </c>
      <c r="G417" s="63" t="s">
        <v>949</v>
      </c>
      <c r="H417" s="69" t="s">
        <v>950</v>
      </c>
      <c r="I417" s="63" t="s">
        <v>254</v>
      </c>
      <c r="J417" s="66" t="str">
        <f>IFERROR(INDEX(M_SKU!$A$18:$J$57,MATCH(I417,M_SKU!$B$18:$B$57,0),1),"UNKNOWN SKU")</f>
        <v>Fanta Zero Pet 300ML (x 12)</v>
      </c>
      <c r="K417" s="63" t="s">
        <v>546</v>
      </c>
      <c r="L417" s="276">
        <v>3</v>
      </c>
      <c r="M417" s="91" cm="1">
        <f t="array" ref="M417">IFERROR(INDEX(M_DepotPrice!$C$10:$C$52,MATCH(1,(M_DepotPrice!$A$10:$A$52=I417)*(M_DepotPrice!$H$10:$H$52=IFERROR(INDEX(M_Depot!$A$7:$A$24,MATCH(F417,M_Depot!$B$7:$B$24,0)),""))*(M_DepotPrice!$G$10:$G$52="Special"),0)),INDEX(M_DepotPrice!$C$10:$C$52,MATCH(1,(M_DepotPrice!$A$10:$A$52=I417)*(M_DepotPrice!$G$10:$G$52="Default"),0)))</f>
        <v>5085</v>
      </c>
      <c r="N417" s="67">
        <f t="shared" si="13"/>
        <v>18000.899999999998</v>
      </c>
      <c r="O417" s="66" t="str">
        <f t="shared" si="12"/>
        <v>MOS100209|PO012|CK5-33369</v>
      </c>
    </row>
    <row r="418" spans="1:15" ht="15" customHeight="1" x14ac:dyDescent="0.3">
      <c r="A418" s="70" t="s">
        <v>1097</v>
      </c>
      <c r="B418" s="70" t="s">
        <v>581</v>
      </c>
      <c r="C418" s="72">
        <v>46179</v>
      </c>
      <c r="D418" s="73" t="s">
        <v>339</v>
      </c>
      <c r="E418" s="76" t="str">
        <f>IFERROR(INDEX(M_User!$A$12:$J$67,MATCH(D418,M_User!$D$12:$D$67,0),3),"UNMAPPED")</f>
        <v>Erick K. Mkama</v>
      </c>
      <c r="F418" s="75" t="str">
        <f>IFERROR(INDEX(M_User!$A$12:$J$67,MATCH(D418,M_User!$D$12:$D$67,0),5),"UNMAPPED")</f>
        <v>MOS</v>
      </c>
      <c r="G418" s="73" t="s">
        <v>949</v>
      </c>
      <c r="H418" s="92" t="s">
        <v>950</v>
      </c>
      <c r="I418" s="73" t="s">
        <v>261</v>
      </c>
      <c r="J418" s="76" t="str">
        <f>IFERROR(INDEX(M_SKU!$A$18:$J$57,MATCH(I418,M_SKU!$B$18:$B$57,0),1),"UNKNOWN SKU")</f>
        <v>Sparletta Pine Apple Pet 300ML (x 12)</v>
      </c>
      <c r="K418" s="73" t="s">
        <v>547</v>
      </c>
      <c r="L418" s="276">
        <v>3</v>
      </c>
      <c r="M418" s="94" cm="1">
        <f t="array" ref="M418">IFERROR(INDEX(M_DepotPrice!$C$10:$C$52,MATCH(1,(M_DepotPrice!$A$10:$A$52=I418)*(M_DepotPrice!$H$10:$H$52=IFERROR(INDEX(M_Depot!$A$7:$A$24,MATCH(F418,M_Depot!$B$7:$B$24,0)),""))*(M_DepotPrice!$G$10:$G$52="Special"),0)),INDEX(M_DepotPrice!$C$10:$C$52,MATCH(1,(M_DepotPrice!$A$10:$A$52=I418)*(M_DepotPrice!$G$10:$G$52="Default"),0)))</f>
        <v>5085</v>
      </c>
      <c r="N418" s="95">
        <f t="shared" si="13"/>
        <v>18000.899999999998</v>
      </c>
      <c r="O418" s="82" t="str">
        <f t="shared" si="12"/>
        <v>MOS100209|PO015|CK5-33366</v>
      </c>
    </row>
    <row r="419" spans="1:15" ht="15" customHeight="1" x14ac:dyDescent="0.3">
      <c r="A419" s="60" t="s">
        <v>1098</v>
      </c>
      <c r="B419" s="60" t="s">
        <v>568</v>
      </c>
      <c r="C419" s="62">
        <v>46179</v>
      </c>
      <c r="D419" s="63" t="s">
        <v>412</v>
      </c>
      <c r="E419" s="66" t="str">
        <f>IFERROR(INDEX(M_User!$A$12:$J$67,MATCH(D419,M_User!$D$12:$D$67,0),3),"UNMAPPED")</f>
        <v>Jonas Steven Michael</v>
      </c>
      <c r="F419" s="65" t="str">
        <f>IFERROR(INDEX(M_User!$A$12:$J$67,MATCH(D419,M_User!$D$12:$D$67,0),5),"UNMAPPED")</f>
        <v>MOS</v>
      </c>
      <c r="G419" s="63" t="s">
        <v>840</v>
      </c>
      <c r="H419" s="69" t="s">
        <v>841</v>
      </c>
      <c r="I419" s="63" t="s">
        <v>170</v>
      </c>
      <c r="J419" s="66" t="str">
        <f>IFERROR(INDEX(M_SKU!$A$18:$J$57,MATCH(I419,M_SKU!$B$18:$B$57,0),1),"UNKNOWN SKU")</f>
        <v>Coke RGB 350ml</v>
      </c>
      <c r="K419" s="63" t="s">
        <v>530</v>
      </c>
      <c r="L419" s="276">
        <v>16.870200000000001</v>
      </c>
      <c r="M419" s="91" cm="1">
        <f t="array" ref="M419">IFERROR(INDEX(M_DepotPrice!$C$10:$C$52,MATCH(1,(M_DepotPrice!$A$10:$A$52=I419)*(M_DepotPrice!$H$10:$H$52=IFERROR(INDEX(M_Depot!$A$7:$A$24,MATCH(F419,M_Depot!$B$7:$B$24,0)),""))*(M_DepotPrice!$G$10:$G$52="Special"),0)),INDEX(M_DepotPrice!$C$10:$C$52,MATCH(1,(M_DepotPrice!$A$10:$A$52=I419)*(M_DepotPrice!$G$10:$G$52="Default"),0)))</f>
        <v>11780</v>
      </c>
      <c r="N419" s="67">
        <f t="shared" si="13"/>
        <v>234502.52807999999</v>
      </c>
      <c r="O419" s="66" t="str">
        <f t="shared" si="12"/>
        <v>MOS100501|FG001|CK3-33409</v>
      </c>
    </row>
    <row r="420" spans="1:15" ht="15" customHeight="1" x14ac:dyDescent="0.3">
      <c r="A420" s="70" t="s">
        <v>1099</v>
      </c>
      <c r="B420" s="70" t="s">
        <v>568</v>
      </c>
      <c r="C420" s="72">
        <v>46179</v>
      </c>
      <c r="D420" s="73" t="s">
        <v>412</v>
      </c>
      <c r="E420" s="76" t="str">
        <f>IFERROR(INDEX(M_User!$A$12:$J$67,MATCH(D420,M_User!$D$12:$D$67,0),3),"UNMAPPED")</f>
        <v>Jonas Steven Michael</v>
      </c>
      <c r="F420" s="75" t="str">
        <f>IFERROR(INDEX(M_User!$A$12:$J$67,MATCH(D420,M_User!$D$12:$D$67,0),5),"UNMAPPED")</f>
        <v>MOS</v>
      </c>
      <c r="G420" s="73" t="s">
        <v>840</v>
      </c>
      <c r="H420" s="92" t="s">
        <v>841</v>
      </c>
      <c r="I420" s="73" t="s">
        <v>178</v>
      </c>
      <c r="J420" s="76" t="str">
        <f>IFERROR(INDEX(M_SKU!$A$18:$J$57,MATCH(I420,M_SKU!$B$18:$B$57,0),1),"UNKNOWN SKU")</f>
        <v>Fanta Orange RGB 350ml</v>
      </c>
      <c r="K420" s="73" t="s">
        <v>531</v>
      </c>
      <c r="L420" s="276">
        <v>5.0018000000000002</v>
      </c>
      <c r="M420" s="94" cm="1">
        <f t="array" ref="M420">IFERROR(INDEX(M_DepotPrice!$C$10:$C$52,MATCH(1,(M_DepotPrice!$A$10:$A$52=I420)*(M_DepotPrice!$H$10:$H$52=IFERROR(INDEX(M_Depot!$A$7:$A$24,MATCH(F420,M_Depot!$B$7:$B$24,0)),""))*(M_DepotPrice!$G$10:$G$52="Special"),0)),INDEX(M_DepotPrice!$C$10:$C$52,MATCH(1,(M_DepotPrice!$A$10:$A$52=I420)*(M_DepotPrice!$G$10:$G$52="Default"),0)))</f>
        <v>11780</v>
      </c>
      <c r="N420" s="95">
        <f t="shared" si="13"/>
        <v>69527.02072</v>
      </c>
      <c r="O420" s="82" t="str">
        <f t="shared" si="12"/>
        <v>MOS100501|FG002|CK3-33407</v>
      </c>
    </row>
    <row r="421" spans="1:15" ht="15" customHeight="1" x14ac:dyDescent="0.3">
      <c r="A421" s="60" t="s">
        <v>1100</v>
      </c>
      <c r="B421" s="60" t="s">
        <v>568</v>
      </c>
      <c r="C421" s="62">
        <v>46179</v>
      </c>
      <c r="D421" s="63" t="s">
        <v>412</v>
      </c>
      <c r="E421" s="66" t="str">
        <f>IFERROR(INDEX(M_User!$A$12:$J$67,MATCH(D421,M_User!$D$12:$D$67,0),3),"UNMAPPED")</f>
        <v>Jonas Steven Michael</v>
      </c>
      <c r="F421" s="65" t="str">
        <f>IFERROR(INDEX(M_User!$A$12:$J$67,MATCH(D421,M_User!$D$12:$D$67,0),5),"UNMAPPED")</f>
        <v>MOS</v>
      </c>
      <c r="G421" s="63" t="s">
        <v>840</v>
      </c>
      <c r="H421" s="69" t="s">
        <v>841</v>
      </c>
      <c r="I421" s="63" t="s">
        <v>185</v>
      </c>
      <c r="J421" s="66" t="str">
        <f>IFERROR(INDEX(M_SKU!$A$18:$J$57,MATCH(I421,M_SKU!$B$18:$B$57,0),1),"UNKNOWN SKU")</f>
        <v>Fanta Fruit Blast RGB 350 ml</v>
      </c>
      <c r="K421" s="63" t="s">
        <v>534</v>
      </c>
      <c r="L421" s="276">
        <v>1.2850999999999999</v>
      </c>
      <c r="M421" s="91" cm="1">
        <f t="array" ref="M421">IFERROR(INDEX(M_DepotPrice!$C$10:$C$52,MATCH(1,(M_DepotPrice!$A$10:$A$52=I421)*(M_DepotPrice!$H$10:$H$52=IFERROR(INDEX(M_Depot!$A$7:$A$24,MATCH(F421,M_Depot!$B$7:$B$24,0)),""))*(M_DepotPrice!$G$10:$G$52="Special"),0)),INDEX(M_DepotPrice!$C$10:$C$52,MATCH(1,(M_DepotPrice!$A$10:$A$52=I421)*(M_DepotPrice!$G$10:$G$52="Default"),0)))</f>
        <v>11780</v>
      </c>
      <c r="N421" s="67">
        <f t="shared" si="13"/>
        <v>17863.404039999998</v>
      </c>
      <c r="O421" s="66" t="str">
        <f t="shared" si="12"/>
        <v>MOS100501|FG005|CK3-33402</v>
      </c>
    </row>
    <row r="422" spans="1:15" ht="15" customHeight="1" x14ac:dyDescent="0.3">
      <c r="A422" s="70" t="s">
        <v>1101</v>
      </c>
      <c r="B422" s="70" t="s">
        <v>568</v>
      </c>
      <c r="C422" s="72">
        <v>46179</v>
      </c>
      <c r="D422" s="73" t="s">
        <v>412</v>
      </c>
      <c r="E422" s="76" t="str">
        <f>IFERROR(INDEX(M_User!$A$12:$J$67,MATCH(D422,M_User!$D$12:$D$67,0),3),"UNMAPPED")</f>
        <v>Jonas Steven Michael</v>
      </c>
      <c r="F422" s="75" t="str">
        <f>IFERROR(INDEX(M_User!$A$12:$J$67,MATCH(D422,M_User!$D$12:$D$67,0),5),"UNMAPPED")</f>
        <v>MOS</v>
      </c>
      <c r="G422" s="73" t="s">
        <v>840</v>
      </c>
      <c r="H422" s="92" t="s">
        <v>841</v>
      </c>
      <c r="I422" s="73" t="s">
        <v>187</v>
      </c>
      <c r="J422" s="76" t="str">
        <f>IFERROR(INDEX(M_SKU!$A$18:$J$57,MATCH(I422,M_SKU!$B$18:$B$57,0),1),"UNKNOWN SKU")</f>
        <v>Sprite 350ml</v>
      </c>
      <c r="K422" s="73" t="s">
        <v>535</v>
      </c>
      <c r="L422" s="276">
        <v>6.1661999999999999</v>
      </c>
      <c r="M422" s="94" cm="1">
        <f t="array" ref="M422">IFERROR(INDEX(M_DepotPrice!$C$10:$C$52,MATCH(1,(M_DepotPrice!$A$10:$A$52=I422)*(M_DepotPrice!$H$10:$H$52=IFERROR(INDEX(M_Depot!$A$7:$A$24,MATCH(F422,M_Depot!$B$7:$B$24,0)),""))*(M_DepotPrice!$G$10:$G$52="Special"),0)),INDEX(M_DepotPrice!$C$10:$C$52,MATCH(1,(M_DepotPrice!$A$10:$A$52=I422)*(M_DepotPrice!$G$10:$G$52="Default"),0)))</f>
        <v>11780</v>
      </c>
      <c r="N422" s="95">
        <f t="shared" si="13"/>
        <v>85712.646479999996</v>
      </c>
      <c r="O422" s="82" t="str">
        <f t="shared" si="12"/>
        <v>MOS100501|FG006|CK3-33414</v>
      </c>
    </row>
    <row r="423" spans="1:15" ht="15" customHeight="1" x14ac:dyDescent="0.3">
      <c r="A423" s="60" t="s">
        <v>1102</v>
      </c>
      <c r="B423" s="60" t="s">
        <v>568</v>
      </c>
      <c r="C423" s="62">
        <v>46179</v>
      </c>
      <c r="D423" s="63" t="s">
        <v>412</v>
      </c>
      <c r="E423" s="66" t="str">
        <f>IFERROR(INDEX(M_User!$A$12:$J$67,MATCH(D423,M_User!$D$12:$D$67,0),3),"UNMAPPED")</f>
        <v>Jonas Steven Michael</v>
      </c>
      <c r="F423" s="65" t="str">
        <f>IFERROR(INDEX(M_User!$A$12:$J$67,MATCH(D423,M_User!$D$12:$D$67,0),5),"UNMAPPED")</f>
        <v>MOS</v>
      </c>
      <c r="G423" s="63" t="s">
        <v>840</v>
      </c>
      <c r="H423" s="69" t="s">
        <v>841</v>
      </c>
      <c r="I423" s="63" t="s">
        <v>190</v>
      </c>
      <c r="J423" s="66" t="str">
        <f>IFERROR(INDEX(M_SKU!$A$18:$J$57,MATCH(I423,M_SKU!$B$18:$B$57,0),1),"UNKNOWN SKU")</f>
        <v>Stoney Tangawizi RGB 350ml</v>
      </c>
      <c r="K423" s="63" t="s">
        <v>536</v>
      </c>
      <c r="L423" s="276">
        <v>1.8452</v>
      </c>
      <c r="M423" s="91" cm="1">
        <f t="array" ref="M423">IFERROR(INDEX(M_DepotPrice!$C$10:$C$52,MATCH(1,(M_DepotPrice!$A$10:$A$52=I423)*(M_DepotPrice!$H$10:$H$52=IFERROR(INDEX(M_Depot!$A$7:$A$24,MATCH(F423,M_Depot!$B$7:$B$24,0)),""))*(M_DepotPrice!$G$10:$G$52="Special"),0)),INDEX(M_DepotPrice!$C$10:$C$52,MATCH(1,(M_DepotPrice!$A$10:$A$52=I423)*(M_DepotPrice!$G$10:$G$52="Default"),0)))</f>
        <v>11780</v>
      </c>
      <c r="N423" s="67">
        <f t="shared" si="13"/>
        <v>25649.018079999998</v>
      </c>
      <c r="O423" s="66" t="str">
        <f t="shared" si="12"/>
        <v>MOS100501|FG007|CK3-33404</v>
      </c>
    </row>
    <row r="424" spans="1:15" ht="15" customHeight="1" x14ac:dyDescent="0.3">
      <c r="A424" s="70" t="s">
        <v>1103</v>
      </c>
      <c r="B424" s="70" t="s">
        <v>568</v>
      </c>
      <c r="C424" s="72">
        <v>46179</v>
      </c>
      <c r="D424" s="73" t="s">
        <v>412</v>
      </c>
      <c r="E424" s="76" t="str">
        <f>IFERROR(INDEX(M_User!$A$12:$J$67,MATCH(D424,M_User!$D$12:$D$67,0),3),"UNMAPPED")</f>
        <v>Jonas Steven Michael</v>
      </c>
      <c r="F424" s="75" t="str">
        <f>IFERROR(INDEX(M_User!$A$12:$J$67,MATCH(D424,M_User!$D$12:$D$67,0),5),"UNMAPPED")</f>
        <v>MOS</v>
      </c>
      <c r="G424" s="73" t="s">
        <v>840</v>
      </c>
      <c r="H424" s="92" t="s">
        <v>841</v>
      </c>
      <c r="I424" s="73" t="s">
        <v>193</v>
      </c>
      <c r="J424" s="76" t="str">
        <f>IFERROR(INDEX(M_SKU!$A$18:$J$57,MATCH(I424,M_SKU!$B$18:$B$57,0),1),"UNKNOWN SKU")</f>
        <v>Sparletta Pinenut RGB 350ml</v>
      </c>
      <c r="K424" s="73" t="s">
        <v>537</v>
      </c>
      <c r="L424" s="276">
        <v>2.0813000000000001</v>
      </c>
      <c r="M424" s="94" cm="1">
        <f t="array" ref="M424">IFERROR(INDEX(M_DepotPrice!$C$10:$C$52,MATCH(1,(M_DepotPrice!$A$10:$A$52=I424)*(M_DepotPrice!$H$10:$H$52=IFERROR(INDEX(M_Depot!$A$7:$A$24,MATCH(F424,M_Depot!$B$7:$B$24,0)),""))*(M_DepotPrice!$G$10:$G$52="Special"),0)),INDEX(M_DepotPrice!$C$10:$C$52,MATCH(1,(M_DepotPrice!$A$10:$A$52=I424)*(M_DepotPrice!$G$10:$G$52="Default"),0)))</f>
        <v>11780</v>
      </c>
      <c r="N424" s="95">
        <f t="shared" si="13"/>
        <v>28930.902520000003</v>
      </c>
      <c r="O424" s="82" t="str">
        <f t="shared" si="12"/>
        <v>MOS100501|FG008|CK3-33365</v>
      </c>
    </row>
    <row r="425" spans="1:15" ht="15" customHeight="1" x14ac:dyDescent="0.3">
      <c r="A425" s="60" t="s">
        <v>1104</v>
      </c>
      <c r="B425" s="60" t="s">
        <v>568</v>
      </c>
      <c r="C425" s="62">
        <v>46179</v>
      </c>
      <c r="D425" s="63" t="s">
        <v>412</v>
      </c>
      <c r="E425" s="66" t="str">
        <f>IFERROR(INDEX(M_User!$A$12:$J$67,MATCH(D425,M_User!$D$12:$D$67,0),3),"UNMAPPED")</f>
        <v>Jonas Steven Michael</v>
      </c>
      <c r="F425" s="65" t="str">
        <f>IFERROR(INDEX(M_User!$A$12:$J$67,MATCH(D425,M_User!$D$12:$D$67,0),5),"UNMAPPED")</f>
        <v>MOS</v>
      </c>
      <c r="G425" s="63" t="s">
        <v>840</v>
      </c>
      <c r="H425" s="69" t="s">
        <v>841</v>
      </c>
      <c r="I425" s="63" t="s">
        <v>196</v>
      </c>
      <c r="J425" s="66" t="str">
        <f>IFERROR(INDEX(M_SKU!$A$18:$J$57,MATCH(I425,M_SKU!$B$18:$B$57,0),1),"UNKNOWN SKU")</f>
        <v>Krest Bitter Lemon RGB 300ml</v>
      </c>
      <c r="K425" s="63" t="s">
        <v>538</v>
      </c>
      <c r="L425" s="276">
        <v>0.57279999999999998</v>
      </c>
      <c r="M425" s="91" cm="1">
        <f t="array" ref="M425">IFERROR(INDEX(M_DepotPrice!$C$10:$C$52,MATCH(1,(M_DepotPrice!$A$10:$A$52=I425)*(M_DepotPrice!$H$10:$H$52=IFERROR(INDEX(M_Depot!$A$7:$A$24,MATCH(F425,M_Depot!$B$7:$B$24,0)),""))*(M_DepotPrice!$G$10:$G$52="Special"),0)),INDEX(M_DepotPrice!$C$10:$C$52,MATCH(1,(M_DepotPrice!$A$10:$A$52=I425)*(M_DepotPrice!$G$10:$G$52="Default"),0)))</f>
        <v>11780</v>
      </c>
      <c r="N425" s="67">
        <f t="shared" si="13"/>
        <v>7962.1491199999991</v>
      </c>
      <c r="O425" s="66" t="str">
        <f t="shared" si="12"/>
        <v>MOS100501|FG009|CK3-33348</v>
      </c>
    </row>
    <row r="426" spans="1:15" ht="15" customHeight="1" x14ac:dyDescent="0.3">
      <c r="A426" s="70" t="s">
        <v>1105</v>
      </c>
      <c r="B426" s="70" t="s">
        <v>568</v>
      </c>
      <c r="C426" s="72">
        <v>46179</v>
      </c>
      <c r="D426" s="73" t="s">
        <v>412</v>
      </c>
      <c r="E426" s="76" t="str">
        <f>IFERROR(INDEX(M_User!$A$12:$J$67,MATCH(D426,M_User!$D$12:$D$67,0),3),"UNMAPPED")</f>
        <v>Jonas Steven Michael</v>
      </c>
      <c r="F426" s="75" t="str">
        <f>IFERROR(INDEX(M_User!$A$12:$J$67,MATCH(D426,M_User!$D$12:$D$67,0),5),"UNMAPPED")</f>
        <v>MOS</v>
      </c>
      <c r="G426" s="73" t="s">
        <v>840</v>
      </c>
      <c r="H426" s="92" t="s">
        <v>841</v>
      </c>
      <c r="I426" s="73" t="s">
        <v>199</v>
      </c>
      <c r="J426" s="76" t="str">
        <f>IFERROR(INDEX(M_SKU!$A$18:$J$57,MATCH(I426,M_SKU!$B$18:$B$57,0),1),"UNKNOWN SKU")</f>
        <v>Krest Club Soda RGB 300ml</v>
      </c>
      <c r="K426" s="73" t="s">
        <v>539</v>
      </c>
      <c r="L426" s="276">
        <v>1.0336717466901999</v>
      </c>
      <c r="M426" s="94" cm="1">
        <f t="array" ref="M426">IFERROR(INDEX(M_DepotPrice!$C$10:$C$52,MATCH(1,(M_DepotPrice!$A$10:$A$52=I426)*(M_DepotPrice!$H$10:$H$52=IFERROR(INDEX(M_Depot!$A$7:$A$24,MATCH(F426,M_Depot!$B$7:$B$24,0)),""))*(M_DepotPrice!$G$10:$G$52="Special"),0)),INDEX(M_DepotPrice!$C$10:$C$52,MATCH(1,(M_DepotPrice!$A$10:$A$52=I426)*(M_DepotPrice!$G$10:$G$52="Default"),0)))</f>
        <v>11780</v>
      </c>
      <c r="N426" s="95">
        <f t="shared" si="13"/>
        <v>14368.450747692455</v>
      </c>
      <c r="O426" s="82" t="str">
        <f t="shared" si="12"/>
        <v>MOS100501|FG010|CK3-33301</v>
      </c>
    </row>
    <row r="427" spans="1:15" ht="15" customHeight="1" x14ac:dyDescent="0.3">
      <c r="A427" s="60" t="s">
        <v>1106</v>
      </c>
      <c r="B427" s="60" t="s">
        <v>568</v>
      </c>
      <c r="C427" s="62">
        <v>46179</v>
      </c>
      <c r="D427" s="63" t="s">
        <v>412</v>
      </c>
      <c r="E427" s="66" t="str">
        <f>IFERROR(INDEX(M_User!$A$12:$J$67,MATCH(D427,M_User!$D$12:$D$67,0),3),"UNMAPPED")</f>
        <v>Jonas Steven Michael</v>
      </c>
      <c r="F427" s="65" t="str">
        <f>IFERROR(INDEX(M_User!$A$12:$J$67,MATCH(D427,M_User!$D$12:$D$67,0),5),"UNMAPPED")</f>
        <v>MOS</v>
      </c>
      <c r="G427" s="63" t="s">
        <v>840</v>
      </c>
      <c r="H427" s="69" t="s">
        <v>841</v>
      </c>
      <c r="I427" s="63" t="s">
        <v>229</v>
      </c>
      <c r="J427" s="66" t="str">
        <f>IFERROR(INDEX(M_SKU!$A$18:$J$57,MATCH(I427,M_SKU!$B$18:$B$57,0),1),"UNKNOWN SKU")</f>
        <v>Coke Pet 500ML ( x12)</v>
      </c>
      <c r="K427" s="63" t="s">
        <v>520</v>
      </c>
      <c r="L427" s="276">
        <v>10</v>
      </c>
      <c r="M427" s="91" cm="1">
        <f t="array" ref="M427">IFERROR(INDEX(M_DepotPrice!$C$10:$C$52,MATCH(1,(M_DepotPrice!$A$10:$A$52=I427)*(M_DepotPrice!$H$10:$H$52=IFERROR(INDEX(M_Depot!$A$7:$A$24,MATCH(F427,M_Depot!$B$7:$B$24,0)),""))*(M_DepotPrice!$G$10:$G$52="Special"),0)),INDEX(M_DepotPrice!$C$10:$C$52,MATCH(1,(M_DepotPrice!$A$10:$A$52=I427)*(M_DepotPrice!$G$10:$G$52="Default"),0)))</f>
        <v>8898</v>
      </c>
      <c r="N427" s="67">
        <f t="shared" si="13"/>
        <v>104996.4</v>
      </c>
      <c r="O427" s="66" t="str">
        <f t="shared" si="12"/>
        <v>MOS100501|PH001|CK6-33411</v>
      </c>
    </row>
    <row r="428" spans="1:15" ht="15" customHeight="1" x14ac:dyDescent="0.3">
      <c r="A428" s="70" t="s">
        <v>1107</v>
      </c>
      <c r="B428" s="70" t="s">
        <v>568</v>
      </c>
      <c r="C428" s="72">
        <v>46179</v>
      </c>
      <c r="D428" s="73" t="s">
        <v>412</v>
      </c>
      <c r="E428" s="76" t="str">
        <f>IFERROR(INDEX(M_User!$A$12:$J$67,MATCH(D428,M_User!$D$12:$D$67,0),3),"UNMAPPED")</f>
        <v>Jonas Steven Michael</v>
      </c>
      <c r="F428" s="75" t="str">
        <f>IFERROR(INDEX(M_User!$A$12:$J$67,MATCH(D428,M_User!$D$12:$D$67,0),5),"UNMAPPED")</f>
        <v>MOS</v>
      </c>
      <c r="G428" s="73" t="s">
        <v>840</v>
      </c>
      <c r="H428" s="92" t="s">
        <v>841</v>
      </c>
      <c r="I428" s="73" t="s">
        <v>232</v>
      </c>
      <c r="J428" s="76" t="str">
        <f>IFERROR(INDEX(M_SKU!$A$18:$J$57,MATCH(I428,M_SKU!$B$18:$B$57,0),1),"UNKNOWN SKU")</f>
        <v>Sprite Pet 500ML (x 12)</v>
      </c>
      <c r="K428" s="73" t="s">
        <v>522</v>
      </c>
      <c r="L428" s="276">
        <v>2</v>
      </c>
      <c r="M428" s="94" cm="1">
        <f t="array" ref="M428">IFERROR(INDEX(M_DepotPrice!$C$10:$C$52,MATCH(1,(M_DepotPrice!$A$10:$A$52=I428)*(M_DepotPrice!$H$10:$H$52=IFERROR(INDEX(M_Depot!$A$7:$A$24,MATCH(F428,M_Depot!$B$7:$B$24,0)),""))*(M_DepotPrice!$G$10:$G$52="Special"),0)),INDEX(M_DepotPrice!$C$10:$C$52,MATCH(1,(M_DepotPrice!$A$10:$A$52=I428)*(M_DepotPrice!$G$10:$G$52="Default"),0)))</f>
        <v>8898</v>
      </c>
      <c r="N428" s="95">
        <f t="shared" si="13"/>
        <v>20999.279999999999</v>
      </c>
      <c r="O428" s="82" t="str">
        <f t="shared" si="12"/>
        <v>MOS100501|PH002|CK6-33362</v>
      </c>
    </row>
    <row r="429" spans="1:15" ht="15" customHeight="1" x14ac:dyDescent="0.3">
      <c r="A429" s="60" t="s">
        <v>1108</v>
      </c>
      <c r="B429" s="60" t="s">
        <v>568</v>
      </c>
      <c r="C429" s="62">
        <v>46179</v>
      </c>
      <c r="D429" s="63" t="s">
        <v>412</v>
      </c>
      <c r="E429" s="66" t="str">
        <f>IFERROR(INDEX(M_User!$A$12:$J$67,MATCH(D429,M_User!$D$12:$D$67,0),3),"UNMAPPED")</f>
        <v>Jonas Steven Michael</v>
      </c>
      <c r="F429" s="65" t="str">
        <f>IFERROR(INDEX(M_User!$A$12:$J$67,MATCH(D429,M_User!$D$12:$D$67,0),5),"UNMAPPED")</f>
        <v>MOS</v>
      </c>
      <c r="G429" s="63" t="s">
        <v>840</v>
      </c>
      <c r="H429" s="69" t="s">
        <v>841</v>
      </c>
      <c r="I429" s="63" t="s">
        <v>242</v>
      </c>
      <c r="J429" s="66" t="str">
        <f>IFERROR(INDEX(M_SKU!$A$18:$J$57,MATCH(I429,M_SKU!$B$18:$B$57,0),1),"UNKNOWN SKU")</f>
        <v>Stoney Tangawizi Pet 500 ml ( x12)</v>
      </c>
      <c r="K429" s="63" t="s">
        <v>525</v>
      </c>
      <c r="L429" s="276">
        <v>1</v>
      </c>
      <c r="M429" s="91" cm="1">
        <f t="array" ref="M429">IFERROR(INDEX(M_DepotPrice!$C$10:$C$52,MATCH(1,(M_DepotPrice!$A$10:$A$52=I429)*(M_DepotPrice!$H$10:$H$52=IFERROR(INDEX(M_Depot!$A$7:$A$24,MATCH(F429,M_Depot!$B$7:$B$24,0)),""))*(M_DepotPrice!$G$10:$G$52="Special"),0)),INDEX(M_DepotPrice!$C$10:$C$52,MATCH(1,(M_DepotPrice!$A$10:$A$52=I429)*(M_DepotPrice!$G$10:$G$52="Default"),0)))</f>
        <v>8898</v>
      </c>
      <c r="N429" s="67">
        <f t="shared" si="13"/>
        <v>10499.64</v>
      </c>
      <c r="O429" s="66" t="str">
        <f t="shared" si="12"/>
        <v>MOS100501|PH007|CK6-33375</v>
      </c>
    </row>
    <row r="430" spans="1:15" ht="15" customHeight="1" x14ac:dyDescent="0.3">
      <c r="A430" s="70" t="s">
        <v>1109</v>
      </c>
      <c r="B430" s="70" t="s">
        <v>568</v>
      </c>
      <c r="C430" s="72">
        <v>46179</v>
      </c>
      <c r="D430" s="73" t="s">
        <v>412</v>
      </c>
      <c r="E430" s="76" t="str">
        <f>IFERROR(INDEX(M_User!$A$12:$J$67,MATCH(D430,M_User!$D$12:$D$67,0),3),"UNMAPPED")</f>
        <v>Jonas Steven Michael</v>
      </c>
      <c r="F430" s="75" t="str">
        <f>IFERROR(INDEX(M_User!$A$12:$J$67,MATCH(D430,M_User!$D$12:$D$67,0),5),"UNMAPPED")</f>
        <v>MOS</v>
      </c>
      <c r="G430" s="73" t="s">
        <v>840</v>
      </c>
      <c r="H430" s="92" t="s">
        <v>841</v>
      </c>
      <c r="I430" s="73" t="s">
        <v>244</v>
      </c>
      <c r="J430" s="76" t="str">
        <f>IFERROR(INDEX(M_SKU!$A$18:$J$57,MATCH(I430,M_SKU!$B$18:$B$57,0),1),"UNKNOWN SKU")</f>
        <v>Sparletta Pinenut Pet 500 ml ( x12)</v>
      </c>
      <c r="K430" s="73" t="s">
        <v>526</v>
      </c>
      <c r="L430" s="276">
        <v>2</v>
      </c>
      <c r="M430" s="94" cm="1">
        <f t="array" ref="M430">IFERROR(INDEX(M_DepotPrice!$C$10:$C$52,MATCH(1,(M_DepotPrice!$A$10:$A$52=I430)*(M_DepotPrice!$H$10:$H$52=IFERROR(INDEX(M_Depot!$A$7:$A$24,MATCH(F430,M_Depot!$B$7:$B$24,0)),""))*(M_DepotPrice!$G$10:$G$52="Special"),0)),INDEX(M_DepotPrice!$C$10:$C$52,MATCH(1,(M_DepotPrice!$A$10:$A$52=I430)*(M_DepotPrice!$G$10:$G$52="Default"),0)))</f>
        <v>8898</v>
      </c>
      <c r="N430" s="95">
        <f t="shared" si="13"/>
        <v>20999.279999999999</v>
      </c>
      <c r="O430" s="82" t="str">
        <f t="shared" si="12"/>
        <v>MOS100501|PH008|CK5-33370</v>
      </c>
    </row>
    <row r="431" spans="1:15" ht="15" customHeight="1" x14ac:dyDescent="0.3">
      <c r="A431" s="60" t="s">
        <v>1110</v>
      </c>
      <c r="B431" s="60" t="s">
        <v>568</v>
      </c>
      <c r="C431" s="62">
        <v>46179</v>
      </c>
      <c r="D431" s="63" t="s">
        <v>412</v>
      </c>
      <c r="E431" s="66" t="str">
        <f>IFERROR(INDEX(M_User!$A$12:$J$67,MATCH(D431,M_User!$D$12:$D$67,0),3),"UNMAPPED")</f>
        <v>Jonas Steven Michael</v>
      </c>
      <c r="F431" s="65" t="str">
        <f>IFERROR(INDEX(M_User!$A$12:$J$67,MATCH(D431,M_User!$D$12:$D$67,0),5),"UNMAPPED")</f>
        <v>MOS</v>
      </c>
      <c r="G431" s="63" t="s">
        <v>840</v>
      </c>
      <c r="H431" s="69" t="s">
        <v>841</v>
      </c>
      <c r="I431" s="63" t="s">
        <v>254</v>
      </c>
      <c r="J431" s="66" t="str">
        <f>IFERROR(INDEX(M_SKU!$A$18:$J$57,MATCH(I431,M_SKU!$B$18:$B$57,0),1),"UNKNOWN SKU")</f>
        <v>Fanta Zero Pet 300ML (x 12)</v>
      </c>
      <c r="K431" s="63" t="s">
        <v>546</v>
      </c>
      <c r="L431" s="276">
        <v>1</v>
      </c>
      <c r="M431" s="91" cm="1">
        <f t="array" ref="M431">IFERROR(INDEX(M_DepotPrice!$C$10:$C$52,MATCH(1,(M_DepotPrice!$A$10:$A$52=I431)*(M_DepotPrice!$H$10:$H$52=IFERROR(INDEX(M_Depot!$A$7:$A$24,MATCH(F431,M_Depot!$B$7:$B$24,0)),""))*(M_DepotPrice!$G$10:$G$52="Special"),0)),INDEX(M_DepotPrice!$C$10:$C$52,MATCH(1,(M_DepotPrice!$A$10:$A$52=I431)*(M_DepotPrice!$G$10:$G$52="Default"),0)))</f>
        <v>5085</v>
      </c>
      <c r="N431" s="67">
        <f t="shared" si="13"/>
        <v>6000.2999999999993</v>
      </c>
      <c r="O431" s="66" t="str">
        <f t="shared" si="12"/>
        <v>MOS100501|PO012|CK5-33369</v>
      </c>
    </row>
    <row r="432" spans="1:15" ht="15" customHeight="1" x14ac:dyDescent="0.3">
      <c r="A432" s="70" t="s">
        <v>1111</v>
      </c>
      <c r="B432" s="70" t="s">
        <v>568</v>
      </c>
      <c r="C432" s="72">
        <v>46179</v>
      </c>
      <c r="D432" s="73" t="s">
        <v>412</v>
      </c>
      <c r="E432" s="76" t="str">
        <f>IFERROR(INDEX(M_User!$A$12:$J$67,MATCH(D432,M_User!$D$12:$D$67,0),3),"UNMAPPED")</f>
        <v>Jonas Steven Michael</v>
      </c>
      <c r="F432" s="75" t="str">
        <f>IFERROR(INDEX(M_User!$A$12:$J$67,MATCH(D432,M_User!$D$12:$D$67,0),5),"UNMAPPED")</f>
        <v>MOS</v>
      </c>
      <c r="G432" s="73" t="s">
        <v>840</v>
      </c>
      <c r="H432" s="92" t="s">
        <v>841</v>
      </c>
      <c r="I432" s="73" t="s">
        <v>256</v>
      </c>
      <c r="J432" s="76" t="str">
        <f>IFERROR(INDEX(M_SKU!$A$18:$J$57,MATCH(I432,M_SKU!$B$18:$B$57,0),1),"UNKNOWN SKU")</f>
        <v>Sparletta Red Apple Pet 300ML(x 12)</v>
      </c>
      <c r="K432" s="73" t="s">
        <v>555</v>
      </c>
      <c r="L432" s="276">
        <v>1</v>
      </c>
      <c r="M432" s="94" cm="1">
        <f t="array" ref="M432">IFERROR(INDEX(M_DepotPrice!$C$10:$C$52,MATCH(1,(M_DepotPrice!$A$10:$A$52=I432)*(M_DepotPrice!$H$10:$H$52=IFERROR(INDEX(M_Depot!$A$7:$A$24,MATCH(F432,M_Depot!$B$7:$B$24,0)),""))*(M_DepotPrice!$G$10:$G$52="Special"),0)),INDEX(M_DepotPrice!$C$10:$C$52,MATCH(1,(M_DepotPrice!$A$10:$A$52=I432)*(M_DepotPrice!$G$10:$G$52="Default"),0)))</f>
        <v>5085</v>
      </c>
      <c r="N432" s="95">
        <f t="shared" si="13"/>
        <v>6000.2999999999993</v>
      </c>
      <c r="O432" s="82" t="str">
        <f t="shared" si="12"/>
        <v>MOS100501|PO013|CK5-33368</v>
      </c>
    </row>
    <row r="433" spans="1:15" ht="15" customHeight="1" x14ac:dyDescent="0.3">
      <c r="A433" s="60" t="s">
        <v>1112</v>
      </c>
      <c r="B433" s="60" t="s">
        <v>568</v>
      </c>
      <c r="C433" s="62">
        <v>46179</v>
      </c>
      <c r="D433" s="63" t="s">
        <v>412</v>
      </c>
      <c r="E433" s="66" t="str">
        <f>IFERROR(INDEX(M_User!$A$12:$J$67,MATCH(D433,M_User!$D$12:$D$67,0),3),"UNMAPPED")</f>
        <v>Jonas Steven Michael</v>
      </c>
      <c r="F433" s="65" t="str">
        <f>IFERROR(INDEX(M_User!$A$12:$J$67,MATCH(D433,M_User!$D$12:$D$67,0),5),"UNMAPPED")</f>
        <v>MOS</v>
      </c>
      <c r="G433" s="63" t="s">
        <v>756</v>
      </c>
      <c r="H433" s="69" t="s">
        <v>757</v>
      </c>
      <c r="I433" s="63" t="s">
        <v>170</v>
      </c>
      <c r="J433" s="66" t="str">
        <f>IFERROR(INDEX(M_SKU!$A$18:$J$57,MATCH(I433,M_SKU!$B$18:$B$57,0),1),"UNKNOWN SKU")</f>
        <v>Coke RGB 350ml</v>
      </c>
      <c r="K433" s="63" t="s">
        <v>530</v>
      </c>
      <c r="L433" s="276">
        <v>18.097200000000001</v>
      </c>
      <c r="M433" s="91" cm="1">
        <f t="array" ref="M433">IFERROR(INDEX(M_DepotPrice!$C$10:$C$52,MATCH(1,(M_DepotPrice!$A$10:$A$52=I433)*(M_DepotPrice!$H$10:$H$52=IFERROR(INDEX(M_Depot!$A$7:$A$24,MATCH(F433,M_Depot!$B$7:$B$24,0)),""))*(M_DepotPrice!$G$10:$G$52="Special"),0)),INDEX(M_DepotPrice!$C$10:$C$52,MATCH(1,(M_DepotPrice!$A$10:$A$52=I433)*(M_DepotPrice!$G$10:$G$52="Default"),0)))</f>
        <v>11780</v>
      </c>
      <c r="N433" s="67">
        <f t="shared" si="13"/>
        <v>251558.31887999998</v>
      </c>
      <c r="O433" s="66" t="str">
        <f t="shared" si="12"/>
        <v>MOS100501|FG001|CK3-33409</v>
      </c>
    </row>
    <row r="434" spans="1:15" ht="15" customHeight="1" x14ac:dyDescent="0.3">
      <c r="A434" s="70" t="s">
        <v>1113</v>
      </c>
      <c r="B434" s="70" t="s">
        <v>568</v>
      </c>
      <c r="C434" s="72">
        <v>46179</v>
      </c>
      <c r="D434" s="73" t="s">
        <v>412</v>
      </c>
      <c r="E434" s="76" t="str">
        <f>IFERROR(INDEX(M_User!$A$12:$J$67,MATCH(D434,M_User!$D$12:$D$67,0),3),"UNMAPPED")</f>
        <v>Jonas Steven Michael</v>
      </c>
      <c r="F434" s="75" t="str">
        <f>IFERROR(INDEX(M_User!$A$12:$J$67,MATCH(D434,M_User!$D$12:$D$67,0),5),"UNMAPPED")</f>
        <v>MOS</v>
      </c>
      <c r="G434" s="73" t="s">
        <v>756</v>
      </c>
      <c r="H434" s="92" t="s">
        <v>757</v>
      </c>
      <c r="I434" s="73" t="s">
        <v>178</v>
      </c>
      <c r="J434" s="76" t="str">
        <f>IFERROR(INDEX(M_SKU!$A$18:$J$57,MATCH(I434,M_SKU!$B$18:$B$57,0),1),"UNKNOWN SKU")</f>
        <v>Fanta Orange RGB 350ml</v>
      </c>
      <c r="K434" s="73" t="s">
        <v>531</v>
      </c>
      <c r="L434" s="276">
        <v>5.6645000000000003</v>
      </c>
      <c r="M434" s="94" cm="1">
        <f t="array" ref="M434">IFERROR(INDEX(M_DepotPrice!$C$10:$C$52,MATCH(1,(M_DepotPrice!$A$10:$A$52=I434)*(M_DepotPrice!$H$10:$H$52=IFERROR(INDEX(M_Depot!$A$7:$A$24,MATCH(F434,M_Depot!$B$7:$B$24,0)),""))*(M_DepotPrice!$G$10:$G$52="Special"),0)),INDEX(M_DepotPrice!$C$10:$C$52,MATCH(1,(M_DepotPrice!$A$10:$A$52=I434)*(M_DepotPrice!$G$10:$G$52="Default"),0)))</f>
        <v>11780</v>
      </c>
      <c r="N434" s="95">
        <f t="shared" si="13"/>
        <v>78738.815799999997</v>
      </c>
      <c r="O434" s="82" t="str">
        <f t="shared" si="12"/>
        <v>MOS100501|FG002|CK3-33407</v>
      </c>
    </row>
    <row r="435" spans="1:15" ht="15" customHeight="1" x14ac:dyDescent="0.3">
      <c r="A435" s="60" t="s">
        <v>1114</v>
      </c>
      <c r="B435" s="60" t="s">
        <v>568</v>
      </c>
      <c r="C435" s="62">
        <v>46179</v>
      </c>
      <c r="D435" s="63" t="s">
        <v>412</v>
      </c>
      <c r="E435" s="66" t="str">
        <f>IFERROR(INDEX(M_User!$A$12:$J$67,MATCH(D435,M_User!$D$12:$D$67,0),3),"UNMAPPED")</f>
        <v>Jonas Steven Michael</v>
      </c>
      <c r="F435" s="65" t="str">
        <f>IFERROR(INDEX(M_User!$A$12:$J$67,MATCH(D435,M_User!$D$12:$D$67,0),5),"UNMAPPED")</f>
        <v>MOS</v>
      </c>
      <c r="G435" s="63" t="s">
        <v>756</v>
      </c>
      <c r="H435" s="69" t="s">
        <v>757</v>
      </c>
      <c r="I435" s="63" t="s">
        <v>183</v>
      </c>
      <c r="J435" s="66" t="str">
        <f>IFERROR(INDEX(M_SKU!$A$18:$J$57,MATCH(I435,M_SKU!$B$18:$B$57,0),1),"UNKNOWN SKU")</f>
        <v>Fanta Pineapple RGB 350ml</v>
      </c>
      <c r="K435" s="63" t="s">
        <v>533</v>
      </c>
      <c r="L435" s="276">
        <v>3.8914</v>
      </c>
      <c r="M435" s="91" cm="1">
        <f t="array" ref="M435">IFERROR(INDEX(M_DepotPrice!$C$10:$C$52,MATCH(1,(M_DepotPrice!$A$10:$A$52=I435)*(M_DepotPrice!$H$10:$H$52=IFERROR(INDEX(M_Depot!$A$7:$A$24,MATCH(F435,M_Depot!$B$7:$B$24,0)),""))*(M_DepotPrice!$G$10:$G$52="Special"),0)),INDEX(M_DepotPrice!$C$10:$C$52,MATCH(1,(M_DepotPrice!$A$10:$A$52=I435)*(M_DepotPrice!$G$10:$G$52="Default"),0)))</f>
        <v>11780</v>
      </c>
      <c r="N435" s="67">
        <f t="shared" si="13"/>
        <v>54092.016560000004</v>
      </c>
      <c r="O435" s="66" t="str">
        <f t="shared" si="12"/>
        <v>MOS100501|FG004|CK3-33385</v>
      </c>
    </row>
    <row r="436" spans="1:15" ht="15" customHeight="1" x14ac:dyDescent="0.3">
      <c r="A436" s="70" t="s">
        <v>1115</v>
      </c>
      <c r="B436" s="70" t="s">
        <v>568</v>
      </c>
      <c r="C436" s="72">
        <v>46179</v>
      </c>
      <c r="D436" s="73" t="s">
        <v>412</v>
      </c>
      <c r="E436" s="76" t="str">
        <f>IFERROR(INDEX(M_User!$A$12:$J$67,MATCH(D436,M_User!$D$12:$D$67,0),3),"UNMAPPED")</f>
        <v>Jonas Steven Michael</v>
      </c>
      <c r="F436" s="75" t="str">
        <f>IFERROR(INDEX(M_User!$A$12:$J$67,MATCH(D436,M_User!$D$12:$D$67,0),5),"UNMAPPED")</f>
        <v>MOS</v>
      </c>
      <c r="G436" s="73" t="s">
        <v>756</v>
      </c>
      <c r="H436" s="92" t="s">
        <v>757</v>
      </c>
      <c r="I436" s="73" t="s">
        <v>187</v>
      </c>
      <c r="J436" s="76" t="str">
        <f>IFERROR(INDEX(M_SKU!$A$18:$J$57,MATCH(I436,M_SKU!$B$18:$B$57,0),1),"UNKNOWN SKU")</f>
        <v>Sprite 350ml</v>
      </c>
      <c r="K436" s="73" t="s">
        <v>535</v>
      </c>
      <c r="L436" s="276">
        <v>3.9229062880393899</v>
      </c>
      <c r="M436" s="94" cm="1">
        <f t="array" ref="M436">IFERROR(INDEX(M_DepotPrice!$C$10:$C$52,MATCH(1,(M_DepotPrice!$A$10:$A$52=I436)*(M_DepotPrice!$H$10:$H$52=IFERROR(INDEX(M_Depot!$A$7:$A$24,MATCH(F436,M_Depot!$B$7:$B$24,0)),""))*(M_DepotPrice!$G$10:$G$52="Special"),0)),INDEX(M_DepotPrice!$C$10:$C$52,MATCH(1,(M_DepotPrice!$A$10:$A$52=I436)*(M_DepotPrice!$G$10:$G$52="Default"),0)))</f>
        <v>11780</v>
      </c>
      <c r="N436" s="95">
        <f t="shared" si="13"/>
        <v>54529.966566262738</v>
      </c>
      <c r="O436" s="82" t="str">
        <f t="shared" si="12"/>
        <v>MOS100501|FG006|CK3-33414</v>
      </c>
    </row>
    <row r="437" spans="1:15" ht="15" customHeight="1" x14ac:dyDescent="0.3">
      <c r="A437" s="60" t="s">
        <v>1116</v>
      </c>
      <c r="B437" s="60" t="s">
        <v>568</v>
      </c>
      <c r="C437" s="62">
        <v>46179</v>
      </c>
      <c r="D437" s="63" t="s">
        <v>412</v>
      </c>
      <c r="E437" s="66" t="str">
        <f>IFERROR(INDEX(M_User!$A$12:$J$67,MATCH(D437,M_User!$D$12:$D$67,0),3),"UNMAPPED")</f>
        <v>Jonas Steven Michael</v>
      </c>
      <c r="F437" s="65" t="str">
        <f>IFERROR(INDEX(M_User!$A$12:$J$67,MATCH(D437,M_User!$D$12:$D$67,0),5),"UNMAPPED")</f>
        <v>MOS</v>
      </c>
      <c r="G437" s="63" t="s">
        <v>756</v>
      </c>
      <c r="H437" s="69" t="s">
        <v>757</v>
      </c>
      <c r="I437" s="63" t="s">
        <v>190</v>
      </c>
      <c r="J437" s="66" t="str">
        <f>IFERROR(INDEX(M_SKU!$A$18:$J$57,MATCH(I437,M_SKU!$B$18:$B$57,0),1),"UNKNOWN SKU")</f>
        <v>Stoney Tangawizi RGB 350ml</v>
      </c>
      <c r="K437" s="63" t="s">
        <v>536</v>
      </c>
      <c r="L437" s="276">
        <v>1.2149508576883801</v>
      </c>
      <c r="M437" s="91" cm="1">
        <f t="array" ref="M437">IFERROR(INDEX(M_DepotPrice!$C$10:$C$52,MATCH(1,(M_DepotPrice!$A$10:$A$52=I437)*(M_DepotPrice!$H$10:$H$52=IFERROR(INDEX(M_Depot!$A$7:$A$24,MATCH(F437,M_Depot!$B$7:$B$24,0)),""))*(M_DepotPrice!$G$10:$G$52="Special"),0)),INDEX(M_DepotPrice!$C$10:$C$52,MATCH(1,(M_DepotPrice!$A$10:$A$52=I437)*(M_DepotPrice!$G$10:$G$52="Default"),0)))</f>
        <v>11780</v>
      </c>
      <c r="N437" s="67">
        <f t="shared" si="13"/>
        <v>16888.302902211559</v>
      </c>
      <c r="O437" s="66" t="str">
        <f t="shared" si="12"/>
        <v>MOS100501|FG007|CK3-33404</v>
      </c>
    </row>
    <row r="438" spans="1:15" ht="15" customHeight="1" x14ac:dyDescent="0.3">
      <c r="A438" s="70" t="s">
        <v>1117</v>
      </c>
      <c r="B438" s="70" t="s">
        <v>568</v>
      </c>
      <c r="C438" s="72">
        <v>46179</v>
      </c>
      <c r="D438" s="73" t="s">
        <v>412</v>
      </c>
      <c r="E438" s="76" t="str">
        <f>IFERROR(INDEX(M_User!$A$12:$J$67,MATCH(D438,M_User!$D$12:$D$67,0),3),"UNMAPPED")</f>
        <v>Jonas Steven Michael</v>
      </c>
      <c r="F438" s="75" t="str">
        <f>IFERROR(INDEX(M_User!$A$12:$J$67,MATCH(D438,M_User!$D$12:$D$67,0),5),"UNMAPPED")</f>
        <v>MOS</v>
      </c>
      <c r="G438" s="73" t="s">
        <v>756</v>
      </c>
      <c r="H438" s="92" t="s">
        <v>757</v>
      </c>
      <c r="I438" s="73" t="s">
        <v>234</v>
      </c>
      <c r="J438" s="76" t="str">
        <f>IFERROR(INDEX(M_SKU!$A$18:$J$57,MATCH(I438,M_SKU!$B$18:$B$57,0),1),"UNKNOWN SKU")</f>
        <v>Fanta Orange Pet 500ML ( x 12)</v>
      </c>
      <c r="K438" s="73" t="s">
        <v>523</v>
      </c>
      <c r="L438" s="276">
        <v>10</v>
      </c>
      <c r="M438" s="94" cm="1">
        <f t="array" ref="M438">IFERROR(INDEX(M_DepotPrice!$C$10:$C$52,MATCH(1,(M_DepotPrice!$A$10:$A$52=I438)*(M_DepotPrice!$H$10:$H$52=IFERROR(INDEX(M_Depot!$A$7:$A$24,MATCH(F438,M_Depot!$B$7:$B$24,0)),""))*(M_DepotPrice!$G$10:$G$52="Special"),0)),INDEX(M_DepotPrice!$C$10:$C$52,MATCH(1,(M_DepotPrice!$A$10:$A$52=I438)*(M_DepotPrice!$G$10:$G$52="Default"),0)))</f>
        <v>8898</v>
      </c>
      <c r="N438" s="95">
        <f t="shared" si="13"/>
        <v>104996.4</v>
      </c>
      <c r="O438" s="82" t="str">
        <f t="shared" si="12"/>
        <v>MOS100501|PH003|CK6-33405</v>
      </c>
    </row>
    <row r="439" spans="1:15" ht="15" customHeight="1" x14ac:dyDescent="0.3">
      <c r="A439" s="60" t="s">
        <v>1118</v>
      </c>
      <c r="B439" s="60" t="s">
        <v>568</v>
      </c>
      <c r="C439" s="62">
        <v>46179</v>
      </c>
      <c r="D439" s="63" t="s">
        <v>412</v>
      </c>
      <c r="E439" s="66" t="str">
        <f>IFERROR(INDEX(M_User!$A$12:$J$67,MATCH(D439,M_User!$D$12:$D$67,0),3),"UNMAPPED")</f>
        <v>Jonas Steven Michael</v>
      </c>
      <c r="F439" s="65" t="str">
        <f>IFERROR(INDEX(M_User!$A$12:$J$67,MATCH(D439,M_User!$D$12:$D$67,0),5),"UNMAPPED")</f>
        <v>MOS</v>
      </c>
      <c r="G439" s="63" t="s">
        <v>756</v>
      </c>
      <c r="H439" s="69" t="s">
        <v>757</v>
      </c>
      <c r="I439" s="63" t="s">
        <v>244</v>
      </c>
      <c r="J439" s="66" t="str">
        <f>IFERROR(INDEX(M_SKU!$A$18:$J$57,MATCH(I439,M_SKU!$B$18:$B$57,0),1),"UNKNOWN SKU")</f>
        <v>Sparletta Pinenut Pet 500 ml ( x12)</v>
      </c>
      <c r="K439" s="63" t="s">
        <v>526</v>
      </c>
      <c r="L439" s="276">
        <v>1</v>
      </c>
      <c r="M439" s="91" cm="1">
        <f t="array" ref="M439">IFERROR(INDEX(M_DepotPrice!$C$10:$C$52,MATCH(1,(M_DepotPrice!$A$10:$A$52=I439)*(M_DepotPrice!$H$10:$H$52=IFERROR(INDEX(M_Depot!$A$7:$A$24,MATCH(F439,M_Depot!$B$7:$B$24,0)),""))*(M_DepotPrice!$G$10:$G$52="Special"),0)),INDEX(M_DepotPrice!$C$10:$C$52,MATCH(1,(M_DepotPrice!$A$10:$A$52=I439)*(M_DepotPrice!$G$10:$G$52="Default"),0)))</f>
        <v>8898</v>
      </c>
      <c r="N439" s="67">
        <f t="shared" si="13"/>
        <v>10499.64</v>
      </c>
      <c r="O439" s="66" t="str">
        <f t="shared" si="12"/>
        <v>MOS100501|PH008|CK5-33370</v>
      </c>
    </row>
    <row r="440" spans="1:15" ht="15" customHeight="1" x14ac:dyDescent="0.3">
      <c r="A440" s="70" t="s">
        <v>1119</v>
      </c>
      <c r="B440" s="70" t="s">
        <v>568</v>
      </c>
      <c r="C440" s="72">
        <v>46179</v>
      </c>
      <c r="D440" s="73" t="s">
        <v>412</v>
      </c>
      <c r="E440" s="76" t="str">
        <f>IFERROR(INDEX(M_User!$A$12:$J$67,MATCH(D440,M_User!$D$12:$D$67,0),3),"UNMAPPED")</f>
        <v>Jonas Steven Michael</v>
      </c>
      <c r="F440" s="75" t="str">
        <f>IFERROR(INDEX(M_User!$A$12:$J$67,MATCH(D440,M_User!$D$12:$D$67,0),5),"UNMAPPED")</f>
        <v>MOS</v>
      </c>
      <c r="G440" s="73" t="s">
        <v>756</v>
      </c>
      <c r="H440" s="92" t="s">
        <v>757</v>
      </c>
      <c r="I440" s="73" t="s">
        <v>252</v>
      </c>
      <c r="J440" s="76" t="str">
        <f>IFERROR(INDEX(M_SKU!$A$18:$J$57,MATCH(I440,M_SKU!$B$18:$B$57,0),1),"UNKNOWN SKU")</f>
        <v>Sprite Zero Pet 300ML (x 12)</v>
      </c>
      <c r="K440" s="73" t="s">
        <v>545</v>
      </c>
      <c r="L440" s="276">
        <v>1</v>
      </c>
      <c r="M440" s="94" cm="1">
        <f t="array" ref="M440">IFERROR(INDEX(M_DepotPrice!$C$10:$C$52,MATCH(1,(M_DepotPrice!$A$10:$A$52=I440)*(M_DepotPrice!$H$10:$H$52=IFERROR(INDEX(M_Depot!$A$7:$A$24,MATCH(F440,M_Depot!$B$7:$B$24,0)),""))*(M_DepotPrice!$G$10:$G$52="Special"),0)),INDEX(M_DepotPrice!$C$10:$C$52,MATCH(1,(M_DepotPrice!$A$10:$A$52=I440)*(M_DepotPrice!$G$10:$G$52="Default"),0)))</f>
        <v>5085</v>
      </c>
      <c r="N440" s="95">
        <f t="shared" si="13"/>
        <v>6000.2999999999993</v>
      </c>
      <c r="O440" s="82" t="str">
        <f t="shared" si="12"/>
        <v>MOS100501|PO010|CK5-33360</v>
      </c>
    </row>
    <row r="441" spans="1:15" ht="15" customHeight="1" x14ac:dyDescent="0.3">
      <c r="A441" s="60" t="s">
        <v>1120</v>
      </c>
      <c r="B441" s="60" t="s">
        <v>568</v>
      </c>
      <c r="C441" s="62">
        <v>46179</v>
      </c>
      <c r="D441" s="63" t="s">
        <v>412</v>
      </c>
      <c r="E441" s="66" t="str">
        <f>IFERROR(INDEX(M_User!$A$12:$J$67,MATCH(D441,M_User!$D$12:$D$67,0),3),"UNMAPPED")</f>
        <v>Jonas Steven Michael</v>
      </c>
      <c r="F441" s="65" t="str">
        <f>IFERROR(INDEX(M_User!$A$12:$J$67,MATCH(D441,M_User!$D$12:$D$67,0),5),"UNMAPPED")</f>
        <v>MOS</v>
      </c>
      <c r="G441" s="63" t="s">
        <v>904</v>
      </c>
      <c r="H441" s="69" t="s">
        <v>905</v>
      </c>
      <c r="I441" s="63" t="s">
        <v>178</v>
      </c>
      <c r="J441" s="66" t="str">
        <f>IFERROR(INDEX(M_SKU!$A$18:$J$57,MATCH(I441,M_SKU!$B$18:$B$57,0),1),"UNKNOWN SKU")</f>
        <v>Fanta Orange RGB 350ml</v>
      </c>
      <c r="K441" s="63" t="s">
        <v>531</v>
      </c>
      <c r="L441" s="276">
        <v>8.2782</v>
      </c>
      <c r="M441" s="91" cm="1">
        <f t="array" ref="M441">IFERROR(INDEX(M_DepotPrice!$C$10:$C$52,MATCH(1,(M_DepotPrice!$A$10:$A$52=I441)*(M_DepotPrice!$H$10:$H$52=IFERROR(INDEX(M_Depot!$A$7:$A$24,MATCH(F441,M_Depot!$B$7:$B$24,0)),""))*(M_DepotPrice!$G$10:$G$52="Special"),0)),INDEX(M_DepotPrice!$C$10:$C$52,MATCH(1,(M_DepotPrice!$A$10:$A$52=I441)*(M_DepotPrice!$G$10:$G$52="Default"),0)))</f>
        <v>11780</v>
      </c>
      <c r="N441" s="67">
        <f t="shared" si="13"/>
        <v>115070.29127999999</v>
      </c>
      <c r="O441" s="66" t="str">
        <f t="shared" si="12"/>
        <v>MOS100501|FG002|CK3-33407</v>
      </c>
    </row>
    <row r="442" spans="1:15" ht="15" customHeight="1" x14ac:dyDescent="0.3">
      <c r="A442" s="70" t="s">
        <v>1121</v>
      </c>
      <c r="B442" s="70" t="s">
        <v>568</v>
      </c>
      <c r="C442" s="72">
        <v>46179</v>
      </c>
      <c r="D442" s="73" t="s">
        <v>412</v>
      </c>
      <c r="E442" s="76" t="str">
        <f>IFERROR(INDEX(M_User!$A$12:$J$67,MATCH(D442,M_User!$D$12:$D$67,0),3),"UNMAPPED")</f>
        <v>Jonas Steven Michael</v>
      </c>
      <c r="F442" s="75" t="str">
        <f>IFERROR(INDEX(M_User!$A$12:$J$67,MATCH(D442,M_User!$D$12:$D$67,0),5),"UNMAPPED")</f>
        <v>MOS</v>
      </c>
      <c r="G442" s="73" t="s">
        <v>904</v>
      </c>
      <c r="H442" s="92" t="s">
        <v>905</v>
      </c>
      <c r="I442" s="73" t="s">
        <v>183</v>
      </c>
      <c r="J442" s="76" t="str">
        <f>IFERROR(INDEX(M_SKU!$A$18:$J$57,MATCH(I442,M_SKU!$B$18:$B$57,0),1),"UNKNOWN SKU")</f>
        <v>Fanta Pineapple RGB 350ml</v>
      </c>
      <c r="K442" s="73" t="s">
        <v>533</v>
      </c>
      <c r="L442" s="276">
        <v>4.4272840183034896</v>
      </c>
      <c r="M442" s="94" cm="1">
        <f t="array" ref="M442">IFERROR(INDEX(M_DepotPrice!$C$10:$C$52,MATCH(1,(M_DepotPrice!$A$10:$A$52=I442)*(M_DepotPrice!$H$10:$H$52=IFERROR(INDEX(M_Depot!$A$7:$A$24,MATCH(F442,M_Depot!$B$7:$B$24,0)),""))*(M_DepotPrice!$G$10:$G$52="Special"),0)),INDEX(M_DepotPrice!$C$10:$C$52,MATCH(1,(M_DepotPrice!$A$10:$A$52=I442)*(M_DepotPrice!$G$10:$G$52="Default"),0)))</f>
        <v>11780</v>
      </c>
      <c r="N442" s="95">
        <f t="shared" si="13"/>
        <v>61541.018768025824</v>
      </c>
      <c r="O442" s="82" t="str">
        <f t="shared" si="12"/>
        <v>MOS100501|FG004|CK3-33385</v>
      </c>
    </row>
    <row r="443" spans="1:15" ht="15" customHeight="1" x14ac:dyDescent="0.3">
      <c r="A443" s="60" t="s">
        <v>1122</v>
      </c>
      <c r="B443" s="60" t="s">
        <v>568</v>
      </c>
      <c r="C443" s="62">
        <v>46179</v>
      </c>
      <c r="D443" s="63" t="s">
        <v>412</v>
      </c>
      <c r="E443" s="66" t="str">
        <f>IFERROR(INDEX(M_User!$A$12:$J$67,MATCH(D443,M_User!$D$12:$D$67,0),3),"UNMAPPED")</f>
        <v>Jonas Steven Michael</v>
      </c>
      <c r="F443" s="65" t="str">
        <f>IFERROR(INDEX(M_User!$A$12:$J$67,MATCH(D443,M_User!$D$12:$D$67,0),5),"UNMAPPED")</f>
        <v>MOS</v>
      </c>
      <c r="G443" s="63" t="s">
        <v>904</v>
      </c>
      <c r="H443" s="69" t="s">
        <v>905</v>
      </c>
      <c r="I443" s="63" t="s">
        <v>185</v>
      </c>
      <c r="J443" s="66" t="str">
        <f>IFERROR(INDEX(M_SKU!$A$18:$J$57,MATCH(I443,M_SKU!$B$18:$B$57,0),1),"UNKNOWN SKU")</f>
        <v>Fanta Fruit Blast RGB 350 ml</v>
      </c>
      <c r="K443" s="63" t="s">
        <v>534</v>
      </c>
      <c r="L443" s="276">
        <v>0.78900000000000003</v>
      </c>
      <c r="M443" s="91" cm="1">
        <f t="array" ref="M443">IFERROR(INDEX(M_DepotPrice!$C$10:$C$52,MATCH(1,(M_DepotPrice!$A$10:$A$52=I443)*(M_DepotPrice!$H$10:$H$52=IFERROR(INDEX(M_Depot!$A$7:$A$24,MATCH(F443,M_Depot!$B$7:$B$24,0)),""))*(M_DepotPrice!$G$10:$G$52="Special"),0)),INDEX(M_DepotPrice!$C$10:$C$52,MATCH(1,(M_DepotPrice!$A$10:$A$52=I443)*(M_DepotPrice!$G$10:$G$52="Default"),0)))</f>
        <v>11780</v>
      </c>
      <c r="N443" s="67">
        <f t="shared" si="13"/>
        <v>10967.4156</v>
      </c>
      <c r="O443" s="66" t="str">
        <f t="shared" si="12"/>
        <v>MOS100501|FG005|CK3-33402</v>
      </c>
    </row>
    <row r="444" spans="1:15" ht="15" customHeight="1" x14ac:dyDescent="0.3">
      <c r="A444" s="70" t="s">
        <v>1123</v>
      </c>
      <c r="B444" s="70" t="s">
        <v>568</v>
      </c>
      <c r="C444" s="72">
        <v>46179</v>
      </c>
      <c r="D444" s="73" t="s">
        <v>412</v>
      </c>
      <c r="E444" s="76" t="str">
        <f>IFERROR(INDEX(M_User!$A$12:$J$67,MATCH(D444,M_User!$D$12:$D$67,0),3),"UNMAPPED")</f>
        <v>Jonas Steven Michael</v>
      </c>
      <c r="F444" s="75" t="str">
        <f>IFERROR(INDEX(M_User!$A$12:$J$67,MATCH(D444,M_User!$D$12:$D$67,0),5),"UNMAPPED")</f>
        <v>MOS</v>
      </c>
      <c r="G444" s="73" t="s">
        <v>904</v>
      </c>
      <c r="H444" s="92" t="s">
        <v>905</v>
      </c>
      <c r="I444" s="73" t="s">
        <v>187</v>
      </c>
      <c r="J444" s="76" t="str">
        <f>IFERROR(INDEX(M_SKU!$A$18:$J$57,MATCH(I444,M_SKU!$B$18:$B$57,0),1),"UNKNOWN SKU")</f>
        <v>Sprite 350ml</v>
      </c>
      <c r="K444" s="73" t="s">
        <v>535</v>
      </c>
      <c r="L444" s="276">
        <v>5.5446</v>
      </c>
      <c r="M444" s="94" cm="1">
        <f t="array" ref="M444">IFERROR(INDEX(M_DepotPrice!$C$10:$C$52,MATCH(1,(M_DepotPrice!$A$10:$A$52=I444)*(M_DepotPrice!$H$10:$H$52=IFERROR(INDEX(M_Depot!$A$7:$A$24,MATCH(F444,M_Depot!$B$7:$B$24,0)),""))*(M_DepotPrice!$G$10:$G$52="Special"),0)),INDEX(M_DepotPrice!$C$10:$C$52,MATCH(1,(M_DepotPrice!$A$10:$A$52=I444)*(M_DepotPrice!$G$10:$G$52="Default"),0)))</f>
        <v>11780</v>
      </c>
      <c r="N444" s="95">
        <f t="shared" si="13"/>
        <v>77072.15784</v>
      </c>
      <c r="O444" s="82" t="str">
        <f t="shared" si="12"/>
        <v>MOS100501|FG006|CK3-33414</v>
      </c>
    </row>
    <row r="445" spans="1:15" ht="15" customHeight="1" x14ac:dyDescent="0.3">
      <c r="A445" s="60" t="s">
        <v>1124</v>
      </c>
      <c r="B445" s="60" t="s">
        <v>568</v>
      </c>
      <c r="C445" s="62">
        <v>46179</v>
      </c>
      <c r="D445" s="63" t="s">
        <v>412</v>
      </c>
      <c r="E445" s="66" t="str">
        <f>IFERROR(INDEX(M_User!$A$12:$J$67,MATCH(D445,M_User!$D$12:$D$67,0),3),"UNMAPPED")</f>
        <v>Jonas Steven Michael</v>
      </c>
      <c r="F445" s="65" t="str">
        <f>IFERROR(INDEX(M_User!$A$12:$J$67,MATCH(D445,M_User!$D$12:$D$67,0),5),"UNMAPPED")</f>
        <v>MOS</v>
      </c>
      <c r="G445" s="63" t="s">
        <v>904</v>
      </c>
      <c r="H445" s="69" t="s">
        <v>905</v>
      </c>
      <c r="I445" s="63" t="s">
        <v>193</v>
      </c>
      <c r="J445" s="66" t="str">
        <f>IFERROR(INDEX(M_SKU!$A$18:$J$57,MATCH(I445,M_SKU!$B$18:$B$57,0),1),"UNKNOWN SKU")</f>
        <v>Sparletta Pinenut RGB 350ml</v>
      </c>
      <c r="K445" s="63" t="s">
        <v>537</v>
      </c>
      <c r="L445" s="276">
        <v>2.0144533315788999</v>
      </c>
      <c r="M445" s="91" cm="1">
        <f t="array" ref="M445">IFERROR(INDEX(M_DepotPrice!$C$10:$C$52,MATCH(1,(M_DepotPrice!$A$10:$A$52=I445)*(M_DepotPrice!$H$10:$H$52=IFERROR(INDEX(M_Depot!$A$7:$A$24,MATCH(F445,M_Depot!$B$7:$B$24,0)),""))*(M_DepotPrice!$G$10:$G$52="Special"),0)),INDEX(M_DepotPrice!$C$10:$C$52,MATCH(1,(M_DepotPrice!$A$10:$A$52=I445)*(M_DepotPrice!$G$10:$G$52="Default"),0)))</f>
        <v>11780</v>
      </c>
      <c r="N445" s="67">
        <f t="shared" si="13"/>
        <v>28001.707090279338</v>
      </c>
      <c r="O445" s="66" t="str">
        <f t="shared" si="12"/>
        <v>MOS100501|FG008|CK3-33365</v>
      </c>
    </row>
    <row r="446" spans="1:15" ht="15" customHeight="1" x14ac:dyDescent="0.3">
      <c r="A446" s="70" t="s">
        <v>1125</v>
      </c>
      <c r="B446" s="70" t="s">
        <v>568</v>
      </c>
      <c r="C446" s="72">
        <v>46179</v>
      </c>
      <c r="D446" s="73" t="s">
        <v>412</v>
      </c>
      <c r="E446" s="76" t="str">
        <f>IFERROR(INDEX(M_User!$A$12:$J$67,MATCH(D446,M_User!$D$12:$D$67,0),3),"UNMAPPED")</f>
        <v>Jonas Steven Michael</v>
      </c>
      <c r="F446" s="75" t="str">
        <f>IFERROR(INDEX(M_User!$A$12:$J$67,MATCH(D446,M_User!$D$12:$D$67,0),5),"UNMAPPED")</f>
        <v>MOS</v>
      </c>
      <c r="G446" s="73" t="s">
        <v>904</v>
      </c>
      <c r="H446" s="92" t="s">
        <v>905</v>
      </c>
      <c r="I446" s="73" t="s">
        <v>196</v>
      </c>
      <c r="J446" s="76" t="str">
        <f>IFERROR(INDEX(M_SKU!$A$18:$J$57,MATCH(I446,M_SKU!$B$18:$B$57,0),1),"UNKNOWN SKU")</f>
        <v>Krest Bitter Lemon RGB 300ml</v>
      </c>
      <c r="K446" s="73" t="s">
        <v>538</v>
      </c>
      <c r="L446" s="276">
        <v>0.73089999999999999</v>
      </c>
      <c r="M446" s="94" cm="1">
        <f t="array" ref="M446">IFERROR(INDEX(M_DepotPrice!$C$10:$C$52,MATCH(1,(M_DepotPrice!$A$10:$A$52=I446)*(M_DepotPrice!$H$10:$H$52=IFERROR(INDEX(M_Depot!$A$7:$A$24,MATCH(F446,M_Depot!$B$7:$B$24,0)),""))*(M_DepotPrice!$G$10:$G$52="Special"),0)),INDEX(M_DepotPrice!$C$10:$C$52,MATCH(1,(M_DepotPrice!$A$10:$A$52=I446)*(M_DepotPrice!$G$10:$G$52="Default"),0)))</f>
        <v>11780</v>
      </c>
      <c r="N446" s="95">
        <f t="shared" si="13"/>
        <v>10159.80236</v>
      </c>
      <c r="O446" s="82" t="str">
        <f t="shared" si="12"/>
        <v>MOS100501|FG009|CK3-33348</v>
      </c>
    </row>
    <row r="447" spans="1:15" ht="15" customHeight="1" x14ac:dyDescent="0.3">
      <c r="A447" s="60" t="s">
        <v>1126</v>
      </c>
      <c r="B447" s="60" t="s">
        <v>568</v>
      </c>
      <c r="C447" s="62">
        <v>46179</v>
      </c>
      <c r="D447" s="63" t="s">
        <v>412</v>
      </c>
      <c r="E447" s="66" t="str">
        <f>IFERROR(INDEX(M_User!$A$12:$J$67,MATCH(D447,M_User!$D$12:$D$67,0),3),"UNMAPPED")</f>
        <v>Jonas Steven Michael</v>
      </c>
      <c r="F447" s="65" t="str">
        <f>IFERROR(INDEX(M_User!$A$12:$J$67,MATCH(D447,M_User!$D$12:$D$67,0),5),"UNMAPPED")</f>
        <v>MOS</v>
      </c>
      <c r="G447" s="63" t="s">
        <v>904</v>
      </c>
      <c r="H447" s="69" t="s">
        <v>905</v>
      </c>
      <c r="I447" s="63" t="s">
        <v>199</v>
      </c>
      <c r="J447" s="66" t="str">
        <f>IFERROR(INDEX(M_SKU!$A$18:$J$57,MATCH(I447,M_SKU!$B$18:$B$57,0),1),"UNKNOWN SKU")</f>
        <v>Krest Club Soda RGB 300ml</v>
      </c>
      <c r="K447" s="63" t="s">
        <v>539</v>
      </c>
      <c r="L447" s="276">
        <v>0.47570000000000001</v>
      </c>
      <c r="M447" s="91" cm="1">
        <f t="array" ref="M447">IFERROR(INDEX(M_DepotPrice!$C$10:$C$52,MATCH(1,(M_DepotPrice!$A$10:$A$52=I447)*(M_DepotPrice!$H$10:$H$52=IFERROR(INDEX(M_Depot!$A$7:$A$24,MATCH(F447,M_Depot!$B$7:$B$24,0)),""))*(M_DepotPrice!$G$10:$G$52="Special"),0)),INDEX(M_DepotPrice!$C$10:$C$52,MATCH(1,(M_DepotPrice!$A$10:$A$52=I447)*(M_DepotPrice!$G$10:$G$52="Default"),0)))</f>
        <v>11780</v>
      </c>
      <c r="N447" s="67">
        <f t="shared" si="13"/>
        <v>6612.4202799999994</v>
      </c>
      <c r="O447" s="66" t="str">
        <f t="shared" si="12"/>
        <v>MOS100501|FG010|CK3-33301</v>
      </c>
    </row>
    <row r="448" spans="1:15" ht="15" customHeight="1" x14ac:dyDescent="0.3">
      <c r="A448" s="70" t="s">
        <v>1127</v>
      </c>
      <c r="B448" s="70" t="s">
        <v>568</v>
      </c>
      <c r="C448" s="72">
        <v>46179</v>
      </c>
      <c r="D448" s="73" t="s">
        <v>412</v>
      </c>
      <c r="E448" s="76" t="str">
        <f>IFERROR(INDEX(M_User!$A$12:$J$67,MATCH(D448,M_User!$D$12:$D$67,0),3),"UNMAPPED")</f>
        <v>Jonas Steven Michael</v>
      </c>
      <c r="F448" s="75" t="str">
        <f>IFERROR(INDEX(M_User!$A$12:$J$67,MATCH(D448,M_User!$D$12:$D$67,0),5),"UNMAPPED")</f>
        <v>MOS</v>
      </c>
      <c r="G448" s="73" t="s">
        <v>904</v>
      </c>
      <c r="H448" s="92" t="s">
        <v>905</v>
      </c>
      <c r="I448" s="73" t="s">
        <v>236</v>
      </c>
      <c r="J448" s="76" t="str">
        <f>IFERROR(INDEX(M_SKU!$A$18:$J$57,MATCH(I448,M_SKU!$B$18:$B$57,0),1),"UNKNOWN SKU")</f>
        <v>Fanta Passion Pet 500ML ( x12)</v>
      </c>
      <c r="K448" s="73" t="s">
        <v>524</v>
      </c>
      <c r="L448" s="276">
        <v>3</v>
      </c>
      <c r="M448" s="94" cm="1">
        <f t="array" ref="M448">IFERROR(INDEX(M_DepotPrice!$C$10:$C$52,MATCH(1,(M_DepotPrice!$A$10:$A$52=I448)*(M_DepotPrice!$H$10:$H$52=IFERROR(INDEX(M_Depot!$A$7:$A$24,MATCH(F448,M_Depot!$B$7:$B$24,0)),""))*(M_DepotPrice!$G$10:$G$52="Special"),0)),INDEX(M_DepotPrice!$C$10:$C$52,MATCH(1,(M_DepotPrice!$A$10:$A$52=I448)*(M_DepotPrice!$G$10:$G$52="Default"),0)))</f>
        <v>8898</v>
      </c>
      <c r="N448" s="95">
        <f t="shared" si="13"/>
        <v>31498.92</v>
      </c>
      <c r="O448" s="82" t="str">
        <f t="shared" si="12"/>
        <v>MOS100501|PH004|CK5-33334</v>
      </c>
    </row>
    <row r="449" spans="1:15" ht="15" customHeight="1" x14ac:dyDescent="0.3">
      <c r="A449" s="60" t="s">
        <v>1128</v>
      </c>
      <c r="B449" s="60" t="s">
        <v>568</v>
      </c>
      <c r="C449" s="62">
        <v>46179</v>
      </c>
      <c r="D449" s="63" t="s">
        <v>412</v>
      </c>
      <c r="E449" s="66" t="str">
        <f>IFERROR(INDEX(M_User!$A$12:$J$67,MATCH(D449,M_User!$D$12:$D$67,0),3),"UNMAPPED")</f>
        <v>Jonas Steven Michael</v>
      </c>
      <c r="F449" s="65" t="str">
        <f>IFERROR(INDEX(M_User!$A$12:$J$67,MATCH(D449,M_User!$D$12:$D$67,0),5),"UNMAPPED")</f>
        <v>MOS</v>
      </c>
      <c r="G449" s="63" t="s">
        <v>904</v>
      </c>
      <c r="H449" s="69" t="s">
        <v>905</v>
      </c>
      <c r="I449" s="63" t="s">
        <v>261</v>
      </c>
      <c r="J449" s="66" t="str">
        <f>IFERROR(INDEX(M_SKU!$A$18:$J$57,MATCH(I449,M_SKU!$B$18:$B$57,0),1),"UNKNOWN SKU")</f>
        <v>Sparletta Pine Apple Pet 300ML (x 12)</v>
      </c>
      <c r="K449" s="63" t="s">
        <v>547</v>
      </c>
      <c r="L449" s="276">
        <v>2</v>
      </c>
      <c r="M449" s="91" cm="1">
        <f t="array" ref="M449">IFERROR(INDEX(M_DepotPrice!$C$10:$C$52,MATCH(1,(M_DepotPrice!$A$10:$A$52=I449)*(M_DepotPrice!$H$10:$H$52=IFERROR(INDEX(M_Depot!$A$7:$A$24,MATCH(F449,M_Depot!$B$7:$B$24,0)),""))*(M_DepotPrice!$G$10:$G$52="Special"),0)),INDEX(M_DepotPrice!$C$10:$C$52,MATCH(1,(M_DepotPrice!$A$10:$A$52=I449)*(M_DepotPrice!$G$10:$G$52="Default"),0)))</f>
        <v>5085</v>
      </c>
      <c r="N449" s="67">
        <f t="shared" si="13"/>
        <v>12000.599999999999</v>
      </c>
      <c r="O449" s="66" t="str">
        <f t="shared" si="12"/>
        <v>MOS100501|PO015|CK5-33366</v>
      </c>
    </row>
    <row r="450" spans="1:15" ht="15" customHeight="1" x14ac:dyDescent="0.3">
      <c r="A450" s="70" t="s">
        <v>1129</v>
      </c>
      <c r="B450" s="70" t="s">
        <v>568</v>
      </c>
      <c r="C450" s="72">
        <v>46179</v>
      </c>
      <c r="D450" s="73" t="s">
        <v>412</v>
      </c>
      <c r="E450" s="76" t="str">
        <f>IFERROR(INDEX(M_User!$A$12:$J$67,MATCH(D450,M_User!$D$12:$D$67,0),3),"UNMAPPED")</f>
        <v>Jonas Steven Michael</v>
      </c>
      <c r="F450" s="75" t="str">
        <f>IFERROR(INDEX(M_User!$A$12:$J$67,MATCH(D450,M_User!$D$12:$D$67,0),5),"UNMAPPED")</f>
        <v>MOS</v>
      </c>
      <c r="G450" s="73" t="s">
        <v>869</v>
      </c>
      <c r="H450" s="92" t="s">
        <v>870</v>
      </c>
      <c r="I450" s="73" t="s">
        <v>170</v>
      </c>
      <c r="J450" s="76" t="str">
        <f>IFERROR(INDEX(M_SKU!$A$18:$J$57,MATCH(I450,M_SKU!$B$18:$B$57,0),1),"UNKNOWN SKU")</f>
        <v>Coke RGB 350ml</v>
      </c>
      <c r="K450" s="73" t="s">
        <v>530</v>
      </c>
      <c r="L450" s="276">
        <v>8.3927648250491593</v>
      </c>
      <c r="M450" s="94" cm="1">
        <f t="array" ref="M450">IFERROR(INDEX(M_DepotPrice!$C$10:$C$52,MATCH(1,(M_DepotPrice!$A$10:$A$52=I450)*(M_DepotPrice!$H$10:$H$52=IFERROR(INDEX(M_Depot!$A$7:$A$24,MATCH(F450,M_Depot!$B$7:$B$24,0)),""))*(M_DepotPrice!$G$10:$G$52="Special"),0)),INDEX(M_DepotPrice!$C$10:$C$52,MATCH(1,(M_DepotPrice!$A$10:$A$52=I450)*(M_DepotPrice!$G$10:$G$52="Default"),0)))</f>
        <v>11780</v>
      </c>
      <c r="N450" s="95">
        <f t="shared" si="13"/>
        <v>116662.78817411333</v>
      </c>
      <c r="O450" s="82" t="str">
        <f t="shared" si="12"/>
        <v>MOS100501|FG001|CK3-33409</v>
      </c>
    </row>
    <row r="451" spans="1:15" ht="15" customHeight="1" x14ac:dyDescent="0.3">
      <c r="A451" s="60" t="s">
        <v>1130</v>
      </c>
      <c r="B451" s="60" t="s">
        <v>568</v>
      </c>
      <c r="C451" s="62">
        <v>46179</v>
      </c>
      <c r="D451" s="63" t="s">
        <v>412</v>
      </c>
      <c r="E451" s="66" t="str">
        <f>IFERROR(INDEX(M_User!$A$12:$J$67,MATCH(D451,M_User!$D$12:$D$67,0),3),"UNMAPPED")</f>
        <v>Jonas Steven Michael</v>
      </c>
      <c r="F451" s="65" t="str">
        <f>IFERROR(INDEX(M_User!$A$12:$J$67,MATCH(D451,M_User!$D$12:$D$67,0),5),"UNMAPPED")</f>
        <v>MOS</v>
      </c>
      <c r="G451" s="63" t="s">
        <v>869</v>
      </c>
      <c r="H451" s="69" t="s">
        <v>870</v>
      </c>
      <c r="I451" s="63" t="s">
        <v>181</v>
      </c>
      <c r="J451" s="66" t="str">
        <f>IFERROR(INDEX(M_SKU!$A$18:$J$57,MATCH(I451,M_SKU!$B$18:$B$57,0),1),"UNKNOWN SKU")</f>
        <v>Fanta Passion RGB 350ml</v>
      </c>
      <c r="K451" s="63" t="s">
        <v>550</v>
      </c>
      <c r="L451" s="276">
        <v>6.9204999999999997</v>
      </c>
      <c r="M451" s="91" cm="1">
        <f t="array" ref="M451">IFERROR(INDEX(M_DepotPrice!$C$10:$C$52,MATCH(1,(M_DepotPrice!$A$10:$A$52=I451)*(M_DepotPrice!$H$10:$H$52=IFERROR(INDEX(M_Depot!$A$7:$A$24,MATCH(F451,M_Depot!$B$7:$B$24,0)),""))*(M_DepotPrice!$G$10:$G$52="Special"),0)),INDEX(M_DepotPrice!$C$10:$C$52,MATCH(1,(M_DepotPrice!$A$10:$A$52=I451)*(M_DepotPrice!$G$10:$G$52="Default"),0)))</f>
        <v>11780</v>
      </c>
      <c r="N451" s="67">
        <f t="shared" si="13"/>
        <v>96197.718199999988</v>
      </c>
      <c r="O451" s="66" t="str">
        <f t="shared" si="12"/>
        <v>MOS100501|FG003|CK3-33356</v>
      </c>
    </row>
    <row r="452" spans="1:15" ht="15" customHeight="1" x14ac:dyDescent="0.3">
      <c r="A452" s="70" t="s">
        <v>1131</v>
      </c>
      <c r="B452" s="70" t="s">
        <v>568</v>
      </c>
      <c r="C452" s="72">
        <v>46179</v>
      </c>
      <c r="D452" s="73" t="s">
        <v>412</v>
      </c>
      <c r="E452" s="76" t="str">
        <f>IFERROR(INDEX(M_User!$A$12:$J$67,MATCH(D452,M_User!$D$12:$D$67,0),3),"UNMAPPED")</f>
        <v>Jonas Steven Michael</v>
      </c>
      <c r="F452" s="75" t="str">
        <f>IFERROR(INDEX(M_User!$A$12:$J$67,MATCH(D452,M_User!$D$12:$D$67,0),5),"UNMAPPED")</f>
        <v>MOS</v>
      </c>
      <c r="G452" s="73" t="s">
        <v>869</v>
      </c>
      <c r="H452" s="92" t="s">
        <v>870</v>
      </c>
      <c r="I452" s="73" t="s">
        <v>183</v>
      </c>
      <c r="J452" s="76" t="str">
        <f>IFERROR(INDEX(M_SKU!$A$18:$J$57,MATCH(I452,M_SKU!$B$18:$B$57,0),1),"UNKNOWN SKU")</f>
        <v>Fanta Pineapple RGB 350ml</v>
      </c>
      <c r="K452" s="73" t="s">
        <v>533</v>
      </c>
      <c r="L452" s="276">
        <v>4.415</v>
      </c>
      <c r="M452" s="94" cm="1">
        <f t="array" ref="M452">IFERROR(INDEX(M_DepotPrice!$C$10:$C$52,MATCH(1,(M_DepotPrice!$A$10:$A$52=I452)*(M_DepotPrice!$H$10:$H$52=IFERROR(INDEX(M_Depot!$A$7:$A$24,MATCH(F452,M_Depot!$B$7:$B$24,0)),""))*(M_DepotPrice!$G$10:$G$52="Special"),0)),INDEX(M_DepotPrice!$C$10:$C$52,MATCH(1,(M_DepotPrice!$A$10:$A$52=I452)*(M_DepotPrice!$G$10:$G$52="Default"),0)))</f>
        <v>11780</v>
      </c>
      <c r="N452" s="95">
        <f t="shared" si="13"/>
        <v>61370.265999999996</v>
      </c>
      <c r="O452" s="82" t="str">
        <f t="shared" si="12"/>
        <v>MOS100501|FG004|CK3-33385</v>
      </c>
    </row>
    <row r="453" spans="1:15" ht="15" customHeight="1" x14ac:dyDescent="0.3">
      <c r="A453" s="60" t="s">
        <v>1132</v>
      </c>
      <c r="B453" s="60" t="s">
        <v>568</v>
      </c>
      <c r="C453" s="62">
        <v>46179</v>
      </c>
      <c r="D453" s="63" t="s">
        <v>412</v>
      </c>
      <c r="E453" s="66" t="str">
        <f>IFERROR(INDEX(M_User!$A$12:$J$67,MATCH(D453,M_User!$D$12:$D$67,0),3),"UNMAPPED")</f>
        <v>Jonas Steven Michael</v>
      </c>
      <c r="F453" s="65" t="str">
        <f>IFERROR(INDEX(M_User!$A$12:$J$67,MATCH(D453,M_User!$D$12:$D$67,0),5),"UNMAPPED")</f>
        <v>MOS</v>
      </c>
      <c r="G453" s="63" t="s">
        <v>869</v>
      </c>
      <c r="H453" s="69" t="s">
        <v>870</v>
      </c>
      <c r="I453" s="63" t="s">
        <v>196</v>
      </c>
      <c r="J453" s="66" t="str">
        <f>IFERROR(INDEX(M_SKU!$A$18:$J$57,MATCH(I453,M_SKU!$B$18:$B$57,0),1),"UNKNOWN SKU")</f>
        <v>Krest Bitter Lemon RGB 300ml</v>
      </c>
      <c r="K453" s="63" t="s">
        <v>538</v>
      </c>
      <c r="L453" s="276">
        <v>0.59440000000000004</v>
      </c>
      <c r="M453" s="91" cm="1">
        <f t="array" ref="M453">IFERROR(INDEX(M_DepotPrice!$C$10:$C$52,MATCH(1,(M_DepotPrice!$A$10:$A$52=I453)*(M_DepotPrice!$H$10:$H$52=IFERROR(INDEX(M_Depot!$A$7:$A$24,MATCH(F453,M_Depot!$B$7:$B$24,0)),""))*(M_DepotPrice!$G$10:$G$52="Special"),0)),INDEX(M_DepotPrice!$C$10:$C$52,MATCH(1,(M_DepotPrice!$A$10:$A$52=I453)*(M_DepotPrice!$G$10:$G$52="Default"),0)))</f>
        <v>11780</v>
      </c>
      <c r="N453" s="67">
        <f t="shared" si="13"/>
        <v>8262.3977599999998</v>
      </c>
      <c r="O453" s="66" t="str">
        <f t="shared" si="12"/>
        <v>MOS100501|FG009|CK3-33348</v>
      </c>
    </row>
    <row r="454" spans="1:15" ht="15" customHeight="1" x14ac:dyDescent="0.3">
      <c r="A454" s="70" t="s">
        <v>1133</v>
      </c>
      <c r="B454" s="70" t="s">
        <v>568</v>
      </c>
      <c r="C454" s="72">
        <v>46179</v>
      </c>
      <c r="D454" s="73" t="s">
        <v>412</v>
      </c>
      <c r="E454" s="76" t="str">
        <f>IFERROR(INDEX(M_User!$A$12:$J$67,MATCH(D454,M_User!$D$12:$D$67,0),3),"UNMAPPED")</f>
        <v>Jonas Steven Michael</v>
      </c>
      <c r="F454" s="75" t="str">
        <f>IFERROR(INDEX(M_User!$A$12:$J$67,MATCH(D454,M_User!$D$12:$D$67,0),5),"UNMAPPED")</f>
        <v>MOS</v>
      </c>
      <c r="G454" s="73" t="s">
        <v>869</v>
      </c>
      <c r="H454" s="92" t="s">
        <v>870</v>
      </c>
      <c r="I454" s="73" t="s">
        <v>209</v>
      </c>
      <c r="J454" s="76" t="str">
        <f>IFERROR(INDEX(M_SKU!$A$18:$J$57,MATCH(I454,M_SKU!$B$18:$B$57,0),1),"UNKNOWN SKU")</f>
        <v>Sparletta Red Apple RGB 350ml</v>
      </c>
      <c r="K454" s="73" t="s">
        <v>542</v>
      </c>
      <c r="L454" s="276">
        <v>0.70450000000000002</v>
      </c>
      <c r="M454" s="94" cm="1">
        <f t="array" ref="M454">IFERROR(INDEX(M_DepotPrice!$C$10:$C$52,MATCH(1,(M_DepotPrice!$A$10:$A$52=I454)*(M_DepotPrice!$H$10:$H$52=IFERROR(INDEX(M_Depot!$A$7:$A$24,MATCH(F454,M_Depot!$B$7:$B$24,0)),""))*(M_DepotPrice!$G$10:$G$52="Special"),0)),INDEX(M_DepotPrice!$C$10:$C$52,MATCH(1,(M_DepotPrice!$A$10:$A$52=I454)*(M_DepotPrice!$G$10:$G$52="Default"),0)))</f>
        <v>11780</v>
      </c>
      <c r="N454" s="95">
        <f t="shared" si="13"/>
        <v>9792.8317999999999</v>
      </c>
      <c r="O454" s="82" t="str">
        <f t="shared" si="12"/>
        <v>MOS100501|FG024|CK3-32758</v>
      </c>
    </row>
    <row r="455" spans="1:15" ht="15" customHeight="1" x14ac:dyDescent="0.3">
      <c r="A455" s="60" t="s">
        <v>1134</v>
      </c>
      <c r="B455" s="60" t="s">
        <v>568</v>
      </c>
      <c r="C455" s="62">
        <v>46179</v>
      </c>
      <c r="D455" s="63" t="s">
        <v>412</v>
      </c>
      <c r="E455" s="66" t="str">
        <f>IFERROR(INDEX(M_User!$A$12:$J$67,MATCH(D455,M_User!$D$12:$D$67,0),3),"UNMAPPED")</f>
        <v>Jonas Steven Michael</v>
      </c>
      <c r="F455" s="65" t="str">
        <f>IFERROR(INDEX(M_User!$A$12:$J$67,MATCH(D455,M_User!$D$12:$D$67,0),5),"UNMAPPED")</f>
        <v>MOS</v>
      </c>
      <c r="G455" s="63" t="s">
        <v>869</v>
      </c>
      <c r="H455" s="69" t="s">
        <v>870</v>
      </c>
      <c r="I455" s="63" t="s">
        <v>211</v>
      </c>
      <c r="J455" s="66" t="str">
        <f>IFERROR(INDEX(M_SKU!$A$18:$J$57,MATCH(I455,M_SKU!$B$18:$B$57,0),1),"UNKNOWN SKU")</f>
        <v>KNMW 500ml</v>
      </c>
      <c r="K455" s="63" t="s">
        <v>543</v>
      </c>
      <c r="L455" s="276">
        <v>67</v>
      </c>
      <c r="M455" s="91" cm="1">
        <f t="array" ref="M455">IFERROR(INDEX(M_DepotPrice!$C$10:$C$52,MATCH(1,(M_DepotPrice!$A$10:$A$52=I455)*(M_DepotPrice!$H$10:$H$52=IFERROR(INDEX(M_Depot!$A$7:$A$24,MATCH(F455,M_Depot!$B$7:$B$24,0)),""))*(M_DepotPrice!$G$10:$G$52="Special"),0)),INDEX(M_DepotPrice!$C$10:$C$52,MATCH(1,(M_DepotPrice!$A$10:$A$52=I455)*(M_DepotPrice!$G$10:$G$52="Default"),0)))</f>
        <v>3559</v>
      </c>
      <c r="N455" s="67">
        <f t="shared" si="13"/>
        <v>281374.53999999998</v>
      </c>
      <c r="O455" s="66" t="str">
        <f t="shared" si="12"/>
        <v>MOS100501|KD001|CK6-986</v>
      </c>
    </row>
    <row r="456" spans="1:15" ht="15" customHeight="1" x14ac:dyDescent="0.3">
      <c r="A456" s="70" t="s">
        <v>1135</v>
      </c>
      <c r="B456" s="70" t="s">
        <v>568</v>
      </c>
      <c r="C456" s="72">
        <v>46179</v>
      </c>
      <c r="D456" s="73" t="s">
        <v>412</v>
      </c>
      <c r="E456" s="76" t="str">
        <f>IFERROR(INDEX(M_User!$A$12:$J$67,MATCH(D456,M_User!$D$12:$D$67,0),3),"UNMAPPED")</f>
        <v>Jonas Steven Michael</v>
      </c>
      <c r="F456" s="75" t="str">
        <f>IFERROR(INDEX(M_User!$A$12:$J$67,MATCH(D456,M_User!$D$12:$D$67,0),5),"UNMAPPED")</f>
        <v>MOS</v>
      </c>
      <c r="G456" s="73" t="s">
        <v>869</v>
      </c>
      <c r="H456" s="92" t="s">
        <v>870</v>
      </c>
      <c r="I456" s="73" t="s">
        <v>229</v>
      </c>
      <c r="J456" s="76" t="str">
        <f>IFERROR(INDEX(M_SKU!$A$18:$J$57,MATCH(I456,M_SKU!$B$18:$B$57,0),1),"UNKNOWN SKU")</f>
        <v>Coke Pet 500ML ( x12)</v>
      </c>
      <c r="K456" s="73" t="s">
        <v>520</v>
      </c>
      <c r="L456" s="276">
        <v>6</v>
      </c>
      <c r="M456" s="94" cm="1">
        <f t="array" ref="M456">IFERROR(INDEX(M_DepotPrice!$C$10:$C$52,MATCH(1,(M_DepotPrice!$A$10:$A$52=I456)*(M_DepotPrice!$H$10:$H$52=IFERROR(INDEX(M_Depot!$A$7:$A$24,MATCH(F456,M_Depot!$B$7:$B$24,0)),""))*(M_DepotPrice!$G$10:$G$52="Special"),0)),INDEX(M_DepotPrice!$C$10:$C$52,MATCH(1,(M_DepotPrice!$A$10:$A$52=I456)*(M_DepotPrice!$G$10:$G$52="Default"),0)))</f>
        <v>8898</v>
      </c>
      <c r="N456" s="95">
        <f t="shared" si="13"/>
        <v>62997.84</v>
      </c>
      <c r="O456" s="82" t="str">
        <f t="shared" si="12"/>
        <v>MOS100501|PH001|CK6-33411</v>
      </c>
    </row>
    <row r="457" spans="1:15" ht="15" customHeight="1" x14ac:dyDescent="0.3">
      <c r="A457" s="60" t="s">
        <v>1136</v>
      </c>
      <c r="B457" s="60" t="s">
        <v>568</v>
      </c>
      <c r="C457" s="62">
        <v>46179</v>
      </c>
      <c r="D457" s="63" t="s">
        <v>412</v>
      </c>
      <c r="E457" s="66" t="str">
        <f>IFERROR(INDEX(M_User!$A$12:$J$67,MATCH(D457,M_User!$D$12:$D$67,0),3),"UNMAPPED")</f>
        <v>Jonas Steven Michael</v>
      </c>
      <c r="F457" s="65" t="str">
        <f>IFERROR(INDEX(M_User!$A$12:$J$67,MATCH(D457,M_User!$D$12:$D$67,0),5),"UNMAPPED")</f>
        <v>MOS</v>
      </c>
      <c r="G457" s="63" t="s">
        <v>869</v>
      </c>
      <c r="H457" s="69" t="s">
        <v>870</v>
      </c>
      <c r="I457" s="63" t="s">
        <v>236</v>
      </c>
      <c r="J457" s="66" t="str">
        <f>IFERROR(INDEX(M_SKU!$A$18:$J$57,MATCH(I457,M_SKU!$B$18:$B$57,0),1),"UNKNOWN SKU")</f>
        <v>Fanta Passion Pet 500ML ( x12)</v>
      </c>
      <c r="K457" s="63" t="s">
        <v>524</v>
      </c>
      <c r="L457" s="276">
        <v>4</v>
      </c>
      <c r="M457" s="91" cm="1">
        <f t="array" ref="M457">IFERROR(INDEX(M_DepotPrice!$C$10:$C$52,MATCH(1,(M_DepotPrice!$A$10:$A$52=I457)*(M_DepotPrice!$H$10:$H$52=IFERROR(INDEX(M_Depot!$A$7:$A$24,MATCH(F457,M_Depot!$B$7:$B$24,0)),""))*(M_DepotPrice!$G$10:$G$52="Special"),0)),INDEX(M_DepotPrice!$C$10:$C$52,MATCH(1,(M_DepotPrice!$A$10:$A$52=I457)*(M_DepotPrice!$G$10:$G$52="Default"),0)))</f>
        <v>8898</v>
      </c>
      <c r="N457" s="67">
        <f t="shared" si="13"/>
        <v>41998.559999999998</v>
      </c>
      <c r="O457" s="66" t="str">
        <f t="shared" ref="O457:O520" si="14">D457 &amp; "|" &amp; I457 &amp; "|" &amp; K457</f>
        <v>MOS100501|PH004|CK5-33334</v>
      </c>
    </row>
    <row r="458" spans="1:15" ht="15" customHeight="1" x14ac:dyDescent="0.3">
      <c r="A458" s="70" t="s">
        <v>1137</v>
      </c>
      <c r="B458" s="70" t="s">
        <v>568</v>
      </c>
      <c r="C458" s="72">
        <v>46179</v>
      </c>
      <c r="D458" s="73" t="s">
        <v>412</v>
      </c>
      <c r="E458" s="76" t="str">
        <f>IFERROR(INDEX(M_User!$A$12:$J$67,MATCH(D458,M_User!$D$12:$D$67,0),3),"UNMAPPED")</f>
        <v>Jonas Steven Michael</v>
      </c>
      <c r="F458" s="75" t="str">
        <f>IFERROR(INDEX(M_User!$A$12:$J$67,MATCH(D458,M_User!$D$12:$D$67,0),5),"UNMAPPED")</f>
        <v>MOS</v>
      </c>
      <c r="G458" s="73" t="s">
        <v>869</v>
      </c>
      <c r="H458" s="92" t="s">
        <v>870</v>
      </c>
      <c r="I458" s="73" t="s">
        <v>242</v>
      </c>
      <c r="J458" s="76" t="str">
        <f>IFERROR(INDEX(M_SKU!$A$18:$J$57,MATCH(I458,M_SKU!$B$18:$B$57,0),1),"UNKNOWN SKU")</f>
        <v>Stoney Tangawizi Pet 500 ml ( x12)</v>
      </c>
      <c r="K458" s="73" t="s">
        <v>525</v>
      </c>
      <c r="L458" s="276">
        <v>1</v>
      </c>
      <c r="M458" s="94" cm="1">
        <f t="array" ref="M458">IFERROR(INDEX(M_DepotPrice!$C$10:$C$52,MATCH(1,(M_DepotPrice!$A$10:$A$52=I458)*(M_DepotPrice!$H$10:$H$52=IFERROR(INDEX(M_Depot!$A$7:$A$24,MATCH(F458,M_Depot!$B$7:$B$24,0)),""))*(M_DepotPrice!$G$10:$G$52="Special"),0)),INDEX(M_DepotPrice!$C$10:$C$52,MATCH(1,(M_DepotPrice!$A$10:$A$52=I458)*(M_DepotPrice!$G$10:$G$52="Default"),0)))</f>
        <v>8898</v>
      </c>
      <c r="N458" s="95">
        <f t="shared" ref="N458:N521" si="15">(L458*M458)*1.18</f>
        <v>10499.64</v>
      </c>
      <c r="O458" s="82" t="str">
        <f t="shared" si="14"/>
        <v>MOS100501|PH007|CK6-33375</v>
      </c>
    </row>
    <row r="459" spans="1:15" ht="15" customHeight="1" x14ac:dyDescent="0.3">
      <c r="A459" s="60" t="s">
        <v>1138</v>
      </c>
      <c r="B459" s="60" t="s">
        <v>568</v>
      </c>
      <c r="C459" s="62">
        <v>46179</v>
      </c>
      <c r="D459" s="63" t="s">
        <v>412</v>
      </c>
      <c r="E459" s="66" t="str">
        <f>IFERROR(INDEX(M_User!$A$12:$J$67,MATCH(D459,M_User!$D$12:$D$67,0),3),"UNMAPPED")</f>
        <v>Jonas Steven Michael</v>
      </c>
      <c r="F459" s="65" t="str">
        <f>IFERROR(INDEX(M_User!$A$12:$J$67,MATCH(D459,M_User!$D$12:$D$67,0),5),"UNMAPPED")</f>
        <v>MOS</v>
      </c>
      <c r="G459" s="63" t="s">
        <v>869</v>
      </c>
      <c r="H459" s="69" t="s">
        <v>870</v>
      </c>
      <c r="I459" s="63" t="s">
        <v>252</v>
      </c>
      <c r="J459" s="66" t="str">
        <f>IFERROR(INDEX(M_SKU!$A$18:$J$57,MATCH(I459,M_SKU!$B$18:$B$57,0),1),"UNKNOWN SKU")</f>
        <v>Sprite Zero Pet 300ML (x 12)</v>
      </c>
      <c r="K459" s="63" t="s">
        <v>545</v>
      </c>
      <c r="L459" s="276">
        <v>1</v>
      </c>
      <c r="M459" s="91" cm="1">
        <f t="array" ref="M459">IFERROR(INDEX(M_DepotPrice!$C$10:$C$52,MATCH(1,(M_DepotPrice!$A$10:$A$52=I459)*(M_DepotPrice!$H$10:$H$52=IFERROR(INDEX(M_Depot!$A$7:$A$24,MATCH(F459,M_Depot!$B$7:$B$24,0)),""))*(M_DepotPrice!$G$10:$G$52="Special"),0)),INDEX(M_DepotPrice!$C$10:$C$52,MATCH(1,(M_DepotPrice!$A$10:$A$52=I459)*(M_DepotPrice!$G$10:$G$52="Default"),0)))</f>
        <v>5085</v>
      </c>
      <c r="N459" s="67">
        <f t="shared" si="15"/>
        <v>6000.2999999999993</v>
      </c>
      <c r="O459" s="66" t="str">
        <f t="shared" si="14"/>
        <v>MOS100501|PO010|CK5-33360</v>
      </c>
    </row>
    <row r="460" spans="1:15" ht="15" customHeight="1" x14ac:dyDescent="0.3">
      <c r="A460" s="70" t="s">
        <v>1139</v>
      </c>
      <c r="B460" s="70" t="s">
        <v>568</v>
      </c>
      <c r="C460" s="72">
        <v>46179</v>
      </c>
      <c r="D460" s="73" t="s">
        <v>412</v>
      </c>
      <c r="E460" s="76" t="str">
        <f>IFERROR(INDEX(M_User!$A$12:$J$67,MATCH(D460,M_User!$D$12:$D$67,0),3),"UNMAPPED")</f>
        <v>Jonas Steven Michael</v>
      </c>
      <c r="F460" s="75" t="str">
        <f>IFERROR(INDEX(M_User!$A$12:$J$67,MATCH(D460,M_User!$D$12:$D$67,0),5),"UNMAPPED")</f>
        <v>MOS</v>
      </c>
      <c r="G460" s="73" t="s">
        <v>869</v>
      </c>
      <c r="H460" s="92" t="s">
        <v>870</v>
      </c>
      <c r="I460" s="73" t="s">
        <v>254</v>
      </c>
      <c r="J460" s="76" t="str">
        <f>IFERROR(INDEX(M_SKU!$A$18:$J$57,MATCH(I460,M_SKU!$B$18:$B$57,0),1),"UNKNOWN SKU")</f>
        <v>Fanta Zero Pet 300ML (x 12)</v>
      </c>
      <c r="K460" s="73" t="s">
        <v>546</v>
      </c>
      <c r="L460" s="276">
        <v>1</v>
      </c>
      <c r="M460" s="94" cm="1">
        <f t="array" ref="M460">IFERROR(INDEX(M_DepotPrice!$C$10:$C$52,MATCH(1,(M_DepotPrice!$A$10:$A$52=I460)*(M_DepotPrice!$H$10:$H$52=IFERROR(INDEX(M_Depot!$A$7:$A$24,MATCH(F460,M_Depot!$B$7:$B$24,0)),""))*(M_DepotPrice!$G$10:$G$52="Special"),0)),INDEX(M_DepotPrice!$C$10:$C$52,MATCH(1,(M_DepotPrice!$A$10:$A$52=I460)*(M_DepotPrice!$G$10:$G$52="Default"),0)))</f>
        <v>5085</v>
      </c>
      <c r="N460" s="95">
        <f t="shared" si="15"/>
        <v>6000.2999999999993</v>
      </c>
      <c r="O460" s="82" t="str">
        <f t="shared" si="14"/>
        <v>MOS100501|PO012|CK5-33369</v>
      </c>
    </row>
    <row r="461" spans="1:15" ht="15" customHeight="1" x14ac:dyDescent="0.3">
      <c r="A461" s="60" t="s">
        <v>1140</v>
      </c>
      <c r="B461" s="60" t="s">
        <v>568</v>
      </c>
      <c r="C461" s="62">
        <v>46179</v>
      </c>
      <c r="D461" s="63" t="s">
        <v>412</v>
      </c>
      <c r="E461" s="66" t="str">
        <f>IFERROR(INDEX(M_User!$A$12:$J$67,MATCH(D461,M_User!$D$12:$D$67,0),3),"UNMAPPED")</f>
        <v>Jonas Steven Michael</v>
      </c>
      <c r="F461" s="65" t="str">
        <f>IFERROR(INDEX(M_User!$A$12:$J$67,MATCH(D461,M_User!$D$12:$D$67,0),5),"UNMAPPED")</f>
        <v>MOS</v>
      </c>
      <c r="G461" s="63" t="s">
        <v>869</v>
      </c>
      <c r="H461" s="69" t="s">
        <v>870</v>
      </c>
      <c r="I461" s="63" t="s">
        <v>256</v>
      </c>
      <c r="J461" s="66" t="str">
        <f>IFERROR(INDEX(M_SKU!$A$18:$J$57,MATCH(I461,M_SKU!$B$18:$B$57,0),1),"UNKNOWN SKU")</f>
        <v>Sparletta Red Apple Pet 300ML(x 12)</v>
      </c>
      <c r="K461" s="63" t="s">
        <v>555</v>
      </c>
      <c r="L461" s="276">
        <v>1</v>
      </c>
      <c r="M461" s="91" cm="1">
        <f t="array" ref="M461">IFERROR(INDEX(M_DepotPrice!$C$10:$C$52,MATCH(1,(M_DepotPrice!$A$10:$A$52=I461)*(M_DepotPrice!$H$10:$H$52=IFERROR(INDEX(M_Depot!$A$7:$A$24,MATCH(F461,M_Depot!$B$7:$B$24,0)),""))*(M_DepotPrice!$G$10:$G$52="Special"),0)),INDEX(M_DepotPrice!$C$10:$C$52,MATCH(1,(M_DepotPrice!$A$10:$A$52=I461)*(M_DepotPrice!$G$10:$G$52="Default"),0)))</f>
        <v>5085</v>
      </c>
      <c r="N461" s="67">
        <f t="shared" si="15"/>
        <v>6000.2999999999993</v>
      </c>
      <c r="O461" s="66" t="str">
        <f t="shared" si="14"/>
        <v>MOS100501|PO013|CK5-33368</v>
      </c>
    </row>
    <row r="462" spans="1:15" ht="15" customHeight="1" x14ac:dyDescent="0.3">
      <c r="A462" s="70" t="s">
        <v>1141</v>
      </c>
      <c r="B462" s="70" t="s">
        <v>568</v>
      </c>
      <c r="C462" s="72">
        <v>46179</v>
      </c>
      <c r="D462" s="73" t="s">
        <v>412</v>
      </c>
      <c r="E462" s="76" t="str">
        <f>IFERROR(INDEX(M_User!$A$12:$J$67,MATCH(D462,M_User!$D$12:$D$67,0),3),"UNMAPPED")</f>
        <v>Jonas Steven Michael</v>
      </c>
      <c r="F462" s="75" t="str">
        <f>IFERROR(INDEX(M_User!$A$12:$J$67,MATCH(D462,M_User!$D$12:$D$67,0),5),"UNMAPPED")</f>
        <v>MOS</v>
      </c>
      <c r="G462" s="73" t="s">
        <v>869</v>
      </c>
      <c r="H462" s="92" t="s">
        <v>870</v>
      </c>
      <c r="I462" s="73" t="s">
        <v>261</v>
      </c>
      <c r="J462" s="76" t="str">
        <f>IFERROR(INDEX(M_SKU!$A$18:$J$57,MATCH(I462,M_SKU!$B$18:$B$57,0),1),"UNKNOWN SKU")</f>
        <v>Sparletta Pine Apple Pet 300ML (x 12)</v>
      </c>
      <c r="K462" s="73" t="s">
        <v>547</v>
      </c>
      <c r="L462" s="276">
        <v>2</v>
      </c>
      <c r="M462" s="94" cm="1">
        <f t="array" ref="M462">IFERROR(INDEX(M_DepotPrice!$C$10:$C$52,MATCH(1,(M_DepotPrice!$A$10:$A$52=I462)*(M_DepotPrice!$H$10:$H$52=IFERROR(INDEX(M_Depot!$A$7:$A$24,MATCH(F462,M_Depot!$B$7:$B$24,0)),""))*(M_DepotPrice!$G$10:$G$52="Special"),0)),INDEX(M_DepotPrice!$C$10:$C$52,MATCH(1,(M_DepotPrice!$A$10:$A$52=I462)*(M_DepotPrice!$G$10:$G$52="Default"),0)))</f>
        <v>5085</v>
      </c>
      <c r="N462" s="95">
        <f t="shared" si="15"/>
        <v>12000.599999999999</v>
      </c>
      <c r="O462" s="82" t="str">
        <f t="shared" si="14"/>
        <v>MOS100501|PO015|CK5-33366</v>
      </c>
    </row>
    <row r="463" spans="1:15" ht="15" customHeight="1" x14ac:dyDescent="0.3">
      <c r="A463" s="60" t="s">
        <v>1142</v>
      </c>
      <c r="B463" s="60" t="s">
        <v>568</v>
      </c>
      <c r="C463" s="62">
        <v>46179</v>
      </c>
      <c r="D463" s="63" t="s">
        <v>412</v>
      </c>
      <c r="E463" s="66" t="str">
        <f>IFERROR(INDEX(M_User!$A$12:$J$67,MATCH(D463,M_User!$D$12:$D$67,0),3),"UNMAPPED")</f>
        <v>Jonas Steven Michael</v>
      </c>
      <c r="F463" s="65" t="str">
        <f>IFERROR(INDEX(M_User!$A$12:$J$67,MATCH(D463,M_User!$D$12:$D$67,0),5),"UNMAPPED")</f>
        <v>MOS</v>
      </c>
      <c r="G463" s="63" t="s">
        <v>797</v>
      </c>
      <c r="H463" s="69" t="s">
        <v>798</v>
      </c>
      <c r="I463" s="63" t="s">
        <v>170</v>
      </c>
      <c r="J463" s="66" t="str">
        <f>IFERROR(INDEX(M_SKU!$A$18:$J$57,MATCH(I463,M_SKU!$B$18:$B$57,0),1),"UNKNOWN SKU")</f>
        <v>Coke RGB 350ml</v>
      </c>
      <c r="K463" s="63" t="s">
        <v>530</v>
      </c>
      <c r="L463" s="276">
        <v>13.494300000000001</v>
      </c>
      <c r="M463" s="91" cm="1">
        <f t="array" ref="M463">IFERROR(INDEX(M_DepotPrice!$C$10:$C$52,MATCH(1,(M_DepotPrice!$A$10:$A$52=I463)*(M_DepotPrice!$H$10:$H$52=IFERROR(INDEX(M_Depot!$A$7:$A$24,MATCH(F463,M_Depot!$B$7:$B$24,0)),""))*(M_DepotPrice!$G$10:$G$52="Special"),0)),INDEX(M_DepotPrice!$C$10:$C$52,MATCH(1,(M_DepotPrice!$A$10:$A$52=I463)*(M_DepotPrice!$G$10:$G$52="Default"),0)))</f>
        <v>11780</v>
      </c>
      <c r="N463" s="67">
        <f t="shared" si="15"/>
        <v>187576.16772000003</v>
      </c>
      <c r="O463" s="66" t="str">
        <f t="shared" si="14"/>
        <v>MOS100501|FG001|CK3-33409</v>
      </c>
    </row>
    <row r="464" spans="1:15" ht="15" customHeight="1" x14ac:dyDescent="0.3">
      <c r="A464" s="70" t="s">
        <v>1143</v>
      </c>
      <c r="B464" s="70" t="s">
        <v>568</v>
      </c>
      <c r="C464" s="72">
        <v>46179</v>
      </c>
      <c r="D464" s="73" t="s">
        <v>412</v>
      </c>
      <c r="E464" s="76" t="str">
        <f>IFERROR(INDEX(M_User!$A$12:$J$67,MATCH(D464,M_User!$D$12:$D$67,0),3),"UNMAPPED")</f>
        <v>Jonas Steven Michael</v>
      </c>
      <c r="F464" s="75" t="str">
        <f>IFERROR(INDEX(M_User!$A$12:$J$67,MATCH(D464,M_User!$D$12:$D$67,0),5),"UNMAPPED")</f>
        <v>MOS</v>
      </c>
      <c r="G464" s="73" t="s">
        <v>797</v>
      </c>
      <c r="H464" s="92" t="s">
        <v>798</v>
      </c>
      <c r="I464" s="73" t="s">
        <v>178</v>
      </c>
      <c r="J464" s="76" t="str">
        <f>IFERROR(INDEX(M_SKU!$A$18:$J$57,MATCH(I464,M_SKU!$B$18:$B$57,0),1),"UNKNOWN SKU")</f>
        <v>Fanta Orange RGB 350ml</v>
      </c>
      <c r="K464" s="73" t="s">
        <v>531</v>
      </c>
      <c r="L464" s="276">
        <v>3.2664264551026498</v>
      </c>
      <c r="M464" s="94" cm="1">
        <f t="array" ref="M464">IFERROR(INDEX(M_DepotPrice!$C$10:$C$52,MATCH(1,(M_DepotPrice!$A$10:$A$52=I464)*(M_DepotPrice!$H$10:$H$52=IFERROR(INDEX(M_Depot!$A$7:$A$24,MATCH(F464,M_Depot!$B$7:$B$24,0)),""))*(M_DepotPrice!$G$10:$G$52="Special"),0)),INDEX(M_DepotPrice!$C$10:$C$52,MATCH(1,(M_DepotPrice!$A$10:$A$52=I464)*(M_DepotPrice!$G$10:$G$52="Default"),0)))</f>
        <v>11780</v>
      </c>
      <c r="N464" s="95">
        <f t="shared" si="15"/>
        <v>45404.63429650887</v>
      </c>
      <c r="O464" s="82" t="str">
        <f t="shared" si="14"/>
        <v>MOS100501|FG002|CK3-33407</v>
      </c>
    </row>
    <row r="465" spans="1:15" ht="15" customHeight="1" x14ac:dyDescent="0.3">
      <c r="A465" s="60" t="s">
        <v>1144</v>
      </c>
      <c r="B465" s="60" t="s">
        <v>568</v>
      </c>
      <c r="C465" s="62">
        <v>46179</v>
      </c>
      <c r="D465" s="63" t="s">
        <v>412</v>
      </c>
      <c r="E465" s="66" t="str">
        <f>IFERROR(INDEX(M_User!$A$12:$J$67,MATCH(D465,M_User!$D$12:$D$67,0),3),"UNMAPPED")</f>
        <v>Jonas Steven Michael</v>
      </c>
      <c r="F465" s="65" t="str">
        <f>IFERROR(INDEX(M_User!$A$12:$J$67,MATCH(D465,M_User!$D$12:$D$67,0),5),"UNMAPPED")</f>
        <v>MOS</v>
      </c>
      <c r="G465" s="63" t="s">
        <v>797</v>
      </c>
      <c r="H465" s="69" t="s">
        <v>798</v>
      </c>
      <c r="I465" s="63" t="s">
        <v>185</v>
      </c>
      <c r="J465" s="66" t="str">
        <f>IFERROR(INDEX(M_SKU!$A$18:$J$57,MATCH(I465,M_SKU!$B$18:$B$57,0),1),"UNKNOWN SKU")</f>
        <v>Fanta Fruit Blast RGB 350 ml</v>
      </c>
      <c r="K465" s="63" t="s">
        <v>534</v>
      </c>
      <c r="L465" s="276">
        <v>1.64584815963903</v>
      </c>
      <c r="M465" s="91" cm="1">
        <f t="array" ref="M465">IFERROR(INDEX(M_DepotPrice!$C$10:$C$52,MATCH(1,(M_DepotPrice!$A$10:$A$52=I465)*(M_DepotPrice!$H$10:$H$52=IFERROR(INDEX(M_Depot!$A$7:$A$24,MATCH(F465,M_Depot!$B$7:$B$24,0)),""))*(M_DepotPrice!$G$10:$G$52="Special"),0)),INDEX(M_DepotPrice!$C$10:$C$52,MATCH(1,(M_DepotPrice!$A$10:$A$52=I465)*(M_DepotPrice!$G$10:$G$52="Default"),0)))</f>
        <v>11780</v>
      </c>
      <c r="N465" s="67">
        <f t="shared" si="15"/>
        <v>22877.947758246373</v>
      </c>
      <c r="O465" s="66" t="str">
        <f t="shared" si="14"/>
        <v>MOS100501|FG005|CK3-33402</v>
      </c>
    </row>
    <row r="466" spans="1:15" ht="15" customHeight="1" x14ac:dyDescent="0.3">
      <c r="A466" s="70" t="s">
        <v>1145</v>
      </c>
      <c r="B466" s="70" t="s">
        <v>568</v>
      </c>
      <c r="C466" s="72">
        <v>46179</v>
      </c>
      <c r="D466" s="73" t="s">
        <v>412</v>
      </c>
      <c r="E466" s="76" t="str">
        <f>IFERROR(INDEX(M_User!$A$12:$J$67,MATCH(D466,M_User!$D$12:$D$67,0),3),"UNMAPPED")</f>
        <v>Jonas Steven Michael</v>
      </c>
      <c r="F466" s="75" t="str">
        <f>IFERROR(INDEX(M_User!$A$12:$J$67,MATCH(D466,M_User!$D$12:$D$67,0),5),"UNMAPPED")</f>
        <v>MOS</v>
      </c>
      <c r="G466" s="73" t="s">
        <v>797</v>
      </c>
      <c r="H466" s="92" t="s">
        <v>798</v>
      </c>
      <c r="I466" s="73" t="s">
        <v>190</v>
      </c>
      <c r="J466" s="76" t="str">
        <f>IFERROR(INDEX(M_SKU!$A$18:$J$57,MATCH(I466,M_SKU!$B$18:$B$57,0),1),"UNKNOWN SKU")</f>
        <v>Stoney Tangawizi RGB 350ml</v>
      </c>
      <c r="K466" s="73" t="s">
        <v>536</v>
      </c>
      <c r="L466" s="276">
        <v>1.7121</v>
      </c>
      <c r="M466" s="94" cm="1">
        <f t="array" ref="M466">IFERROR(INDEX(M_DepotPrice!$C$10:$C$52,MATCH(1,(M_DepotPrice!$A$10:$A$52=I466)*(M_DepotPrice!$H$10:$H$52=IFERROR(INDEX(M_Depot!$A$7:$A$24,MATCH(F466,M_Depot!$B$7:$B$24,0)),""))*(M_DepotPrice!$G$10:$G$52="Special"),0)),INDEX(M_DepotPrice!$C$10:$C$52,MATCH(1,(M_DepotPrice!$A$10:$A$52=I466)*(M_DepotPrice!$G$10:$G$52="Default"),0)))</f>
        <v>11780</v>
      </c>
      <c r="N466" s="95">
        <f t="shared" si="15"/>
        <v>23798.87484</v>
      </c>
      <c r="O466" s="82" t="str">
        <f t="shared" si="14"/>
        <v>MOS100501|FG007|CK3-33404</v>
      </c>
    </row>
    <row r="467" spans="1:15" ht="15" customHeight="1" x14ac:dyDescent="0.3">
      <c r="A467" s="60" t="s">
        <v>1146</v>
      </c>
      <c r="B467" s="60" t="s">
        <v>568</v>
      </c>
      <c r="C467" s="62">
        <v>46179</v>
      </c>
      <c r="D467" s="63" t="s">
        <v>412</v>
      </c>
      <c r="E467" s="66" t="str">
        <f>IFERROR(INDEX(M_User!$A$12:$J$67,MATCH(D467,M_User!$D$12:$D$67,0),3),"UNMAPPED")</f>
        <v>Jonas Steven Michael</v>
      </c>
      <c r="F467" s="65" t="str">
        <f>IFERROR(INDEX(M_User!$A$12:$J$67,MATCH(D467,M_User!$D$12:$D$67,0),5),"UNMAPPED")</f>
        <v>MOS</v>
      </c>
      <c r="G467" s="63" t="s">
        <v>797</v>
      </c>
      <c r="H467" s="69" t="s">
        <v>798</v>
      </c>
      <c r="I467" s="63" t="s">
        <v>196</v>
      </c>
      <c r="J467" s="66" t="str">
        <f>IFERROR(INDEX(M_SKU!$A$18:$J$57,MATCH(I467,M_SKU!$B$18:$B$57,0),1),"UNKNOWN SKU")</f>
        <v>Krest Bitter Lemon RGB 300ml</v>
      </c>
      <c r="K467" s="63" t="s">
        <v>538</v>
      </c>
      <c r="L467" s="276">
        <v>0.38440098636970399</v>
      </c>
      <c r="M467" s="91" cm="1">
        <f t="array" ref="M467">IFERROR(INDEX(M_DepotPrice!$C$10:$C$52,MATCH(1,(M_DepotPrice!$A$10:$A$52=I467)*(M_DepotPrice!$H$10:$H$52=IFERROR(INDEX(M_Depot!$A$7:$A$24,MATCH(F467,M_Depot!$B$7:$B$24,0)),""))*(M_DepotPrice!$G$10:$G$52="Special"),0)),INDEX(M_DepotPrice!$C$10:$C$52,MATCH(1,(M_DepotPrice!$A$10:$A$52=I467)*(M_DepotPrice!$G$10:$G$52="Default"),0)))</f>
        <v>11780</v>
      </c>
      <c r="N467" s="67">
        <f t="shared" si="15"/>
        <v>5343.3274709334328</v>
      </c>
      <c r="O467" s="66" t="str">
        <f t="shared" si="14"/>
        <v>MOS100501|FG009|CK3-33348</v>
      </c>
    </row>
    <row r="468" spans="1:15" ht="15" customHeight="1" x14ac:dyDescent="0.3">
      <c r="A468" s="70" t="s">
        <v>1147</v>
      </c>
      <c r="B468" s="70" t="s">
        <v>568</v>
      </c>
      <c r="C468" s="72">
        <v>46179</v>
      </c>
      <c r="D468" s="73" t="s">
        <v>412</v>
      </c>
      <c r="E468" s="76" t="str">
        <f>IFERROR(INDEX(M_User!$A$12:$J$67,MATCH(D468,M_User!$D$12:$D$67,0),3),"UNMAPPED")</f>
        <v>Jonas Steven Michael</v>
      </c>
      <c r="F468" s="75" t="str">
        <f>IFERROR(INDEX(M_User!$A$12:$J$67,MATCH(D468,M_User!$D$12:$D$67,0),5),"UNMAPPED")</f>
        <v>MOS</v>
      </c>
      <c r="G468" s="73" t="s">
        <v>797</v>
      </c>
      <c r="H468" s="92" t="s">
        <v>798</v>
      </c>
      <c r="I468" s="73" t="s">
        <v>201</v>
      </c>
      <c r="J468" s="76" t="str">
        <f>IFERROR(INDEX(M_SKU!$A$18:$J$57,MATCH(I468,M_SKU!$B$18:$B$57,0),1),"UNKNOWN SKU")</f>
        <v>Krest Tonic Water RGB 300ml</v>
      </c>
      <c r="K468" s="73" t="s">
        <v>540</v>
      </c>
      <c r="L468" s="276">
        <v>1.7343</v>
      </c>
      <c r="M468" s="94" cm="1">
        <f t="array" ref="M468">IFERROR(INDEX(M_DepotPrice!$C$10:$C$52,MATCH(1,(M_DepotPrice!$A$10:$A$52=I468)*(M_DepotPrice!$H$10:$H$52=IFERROR(INDEX(M_Depot!$A$7:$A$24,MATCH(F468,M_Depot!$B$7:$B$24,0)),""))*(M_DepotPrice!$G$10:$G$52="Special"),0)),INDEX(M_DepotPrice!$C$10:$C$52,MATCH(1,(M_DepotPrice!$A$10:$A$52=I468)*(M_DepotPrice!$G$10:$G$52="Default"),0)))</f>
        <v>11780</v>
      </c>
      <c r="N468" s="95">
        <f t="shared" si="15"/>
        <v>24107.46372</v>
      </c>
      <c r="O468" s="82" t="str">
        <f t="shared" si="14"/>
        <v>MOS100501|FG011|CK3-33347</v>
      </c>
    </row>
    <row r="469" spans="1:15" ht="15" customHeight="1" x14ac:dyDescent="0.3">
      <c r="A469" s="60" t="s">
        <v>1148</v>
      </c>
      <c r="B469" s="60" t="s">
        <v>568</v>
      </c>
      <c r="C469" s="62">
        <v>46179</v>
      </c>
      <c r="D469" s="63" t="s">
        <v>412</v>
      </c>
      <c r="E469" s="66" t="str">
        <f>IFERROR(INDEX(M_User!$A$12:$J$67,MATCH(D469,M_User!$D$12:$D$67,0),3),"UNMAPPED")</f>
        <v>Jonas Steven Michael</v>
      </c>
      <c r="F469" s="65" t="str">
        <f>IFERROR(INDEX(M_User!$A$12:$J$67,MATCH(D469,M_User!$D$12:$D$67,0),5),"UNMAPPED")</f>
        <v>MOS</v>
      </c>
      <c r="G469" s="63" t="s">
        <v>797</v>
      </c>
      <c r="H469" s="69" t="s">
        <v>798</v>
      </c>
      <c r="I469" s="63" t="s">
        <v>203</v>
      </c>
      <c r="J469" s="66" t="str">
        <f>IFERROR(INDEX(M_SKU!$A$18:$J$57,MATCH(I469,M_SKU!$B$18:$B$57,0),1),"UNKNOWN SKU")</f>
        <v>Krest Ginger Ale RGB 300ml</v>
      </c>
      <c r="K469" s="63" t="s">
        <v>541</v>
      </c>
      <c r="L469" s="276">
        <v>1.0857228768312099</v>
      </c>
      <c r="M469" s="91" cm="1">
        <f t="array" ref="M469">IFERROR(INDEX(M_DepotPrice!$C$10:$C$52,MATCH(1,(M_DepotPrice!$A$10:$A$52=I469)*(M_DepotPrice!$H$10:$H$52=IFERROR(INDEX(M_Depot!$A$7:$A$24,MATCH(F469,M_Depot!$B$7:$B$24,0)),""))*(M_DepotPrice!$G$10:$G$52="Special"),0)),INDEX(M_DepotPrice!$C$10:$C$52,MATCH(1,(M_DepotPrice!$A$10:$A$52=I469)*(M_DepotPrice!$G$10:$G$52="Default"),0)))</f>
        <v>11780</v>
      </c>
      <c r="N469" s="67">
        <f t="shared" si="15"/>
        <v>15091.982277104549</v>
      </c>
      <c r="O469" s="66" t="str">
        <f t="shared" si="14"/>
        <v>MOS100501|FG012|CK3-33126</v>
      </c>
    </row>
    <row r="470" spans="1:15" ht="15" customHeight="1" x14ac:dyDescent="0.3">
      <c r="A470" s="70" t="s">
        <v>1149</v>
      </c>
      <c r="B470" s="70" t="s">
        <v>568</v>
      </c>
      <c r="C470" s="72">
        <v>46179</v>
      </c>
      <c r="D470" s="73" t="s">
        <v>412</v>
      </c>
      <c r="E470" s="76" t="str">
        <f>IFERROR(INDEX(M_User!$A$12:$J$67,MATCH(D470,M_User!$D$12:$D$67,0),3),"UNMAPPED")</f>
        <v>Jonas Steven Michael</v>
      </c>
      <c r="F470" s="75" t="str">
        <f>IFERROR(INDEX(M_User!$A$12:$J$67,MATCH(D470,M_User!$D$12:$D$67,0),5),"UNMAPPED")</f>
        <v>MOS</v>
      </c>
      <c r="G470" s="73" t="s">
        <v>797</v>
      </c>
      <c r="H470" s="92" t="s">
        <v>798</v>
      </c>
      <c r="I470" s="73" t="s">
        <v>217</v>
      </c>
      <c r="J470" s="76" t="str">
        <f>IFERROR(INDEX(M_SKU!$A$18:$J$57,MATCH(I470,M_SKU!$B$18:$B$57,0),1),"UNKNOWN SKU")</f>
        <v>KNMW 1500ml</v>
      </c>
      <c r="K470" s="73" t="s">
        <v>551</v>
      </c>
      <c r="L470" s="276">
        <v>50</v>
      </c>
      <c r="M470" s="94" cm="1">
        <f t="array" ref="M470">IFERROR(INDEX(M_DepotPrice!$C$10:$C$52,MATCH(1,(M_DepotPrice!$A$10:$A$52=I470)*(M_DepotPrice!$H$10:$H$52=IFERROR(INDEX(M_Depot!$A$7:$A$24,MATCH(F470,M_Depot!$B$7:$B$24,0)),""))*(M_DepotPrice!$G$10:$G$52="Special"),0)),INDEX(M_DepotPrice!$C$10:$C$52,MATCH(1,(M_DepotPrice!$A$10:$A$52=I470)*(M_DepotPrice!$G$10:$G$52="Default"),0)))</f>
        <v>3983</v>
      </c>
      <c r="N470" s="95">
        <f t="shared" si="15"/>
        <v>234997</v>
      </c>
      <c r="O470" s="82" t="str">
        <f t="shared" si="14"/>
        <v>MOS100501|KD003|CK4-842</v>
      </c>
    </row>
    <row r="471" spans="1:15" ht="15" customHeight="1" x14ac:dyDescent="0.3">
      <c r="A471" s="60" t="s">
        <v>1150</v>
      </c>
      <c r="B471" s="60" t="s">
        <v>568</v>
      </c>
      <c r="C471" s="62">
        <v>46179</v>
      </c>
      <c r="D471" s="63" t="s">
        <v>412</v>
      </c>
      <c r="E471" s="66" t="str">
        <f>IFERROR(INDEX(M_User!$A$12:$J$67,MATCH(D471,M_User!$D$12:$D$67,0),3),"UNMAPPED")</f>
        <v>Jonas Steven Michael</v>
      </c>
      <c r="F471" s="65" t="str">
        <f>IFERROR(INDEX(M_User!$A$12:$J$67,MATCH(D471,M_User!$D$12:$D$67,0),5),"UNMAPPED")</f>
        <v>MOS</v>
      </c>
      <c r="G471" s="63" t="s">
        <v>797</v>
      </c>
      <c r="H471" s="69" t="s">
        <v>798</v>
      </c>
      <c r="I471" s="63" t="s">
        <v>229</v>
      </c>
      <c r="J471" s="66" t="str">
        <f>IFERROR(INDEX(M_SKU!$A$18:$J$57,MATCH(I471,M_SKU!$B$18:$B$57,0),1),"UNKNOWN SKU")</f>
        <v>Coke Pet 500ML ( x12)</v>
      </c>
      <c r="K471" s="63" t="s">
        <v>520</v>
      </c>
      <c r="L471" s="276">
        <v>10</v>
      </c>
      <c r="M471" s="91" cm="1">
        <f t="array" ref="M471">IFERROR(INDEX(M_DepotPrice!$C$10:$C$52,MATCH(1,(M_DepotPrice!$A$10:$A$52=I471)*(M_DepotPrice!$H$10:$H$52=IFERROR(INDEX(M_Depot!$A$7:$A$24,MATCH(F471,M_Depot!$B$7:$B$24,0)),""))*(M_DepotPrice!$G$10:$G$52="Special"),0)),INDEX(M_DepotPrice!$C$10:$C$52,MATCH(1,(M_DepotPrice!$A$10:$A$52=I471)*(M_DepotPrice!$G$10:$G$52="Default"),0)))</f>
        <v>8898</v>
      </c>
      <c r="N471" s="67">
        <f t="shared" si="15"/>
        <v>104996.4</v>
      </c>
      <c r="O471" s="66" t="str">
        <f t="shared" si="14"/>
        <v>MOS100501|PH001|CK6-33411</v>
      </c>
    </row>
    <row r="472" spans="1:15" ht="15" customHeight="1" x14ac:dyDescent="0.3">
      <c r="A472" s="70" t="s">
        <v>1151</v>
      </c>
      <c r="B472" s="70" t="s">
        <v>568</v>
      </c>
      <c r="C472" s="72">
        <v>46179</v>
      </c>
      <c r="D472" s="73" t="s">
        <v>412</v>
      </c>
      <c r="E472" s="76" t="str">
        <f>IFERROR(INDEX(M_User!$A$12:$J$67,MATCH(D472,M_User!$D$12:$D$67,0),3),"UNMAPPED")</f>
        <v>Jonas Steven Michael</v>
      </c>
      <c r="F472" s="75" t="str">
        <f>IFERROR(INDEX(M_User!$A$12:$J$67,MATCH(D472,M_User!$D$12:$D$67,0),5),"UNMAPPED")</f>
        <v>MOS</v>
      </c>
      <c r="G472" s="73" t="s">
        <v>797</v>
      </c>
      <c r="H472" s="92" t="s">
        <v>798</v>
      </c>
      <c r="I472" s="73" t="s">
        <v>232</v>
      </c>
      <c r="J472" s="76" t="str">
        <f>IFERROR(INDEX(M_SKU!$A$18:$J$57,MATCH(I472,M_SKU!$B$18:$B$57,0),1),"UNKNOWN SKU")</f>
        <v>Sprite Pet 500ML (x 12)</v>
      </c>
      <c r="K472" s="73" t="s">
        <v>522</v>
      </c>
      <c r="L472" s="276">
        <v>3</v>
      </c>
      <c r="M472" s="94" cm="1">
        <f t="array" ref="M472">IFERROR(INDEX(M_DepotPrice!$C$10:$C$52,MATCH(1,(M_DepotPrice!$A$10:$A$52=I472)*(M_DepotPrice!$H$10:$H$52=IFERROR(INDEX(M_Depot!$A$7:$A$24,MATCH(F472,M_Depot!$B$7:$B$24,0)),""))*(M_DepotPrice!$G$10:$G$52="Special"),0)),INDEX(M_DepotPrice!$C$10:$C$52,MATCH(1,(M_DepotPrice!$A$10:$A$52=I472)*(M_DepotPrice!$G$10:$G$52="Default"),0)))</f>
        <v>8898</v>
      </c>
      <c r="N472" s="95">
        <f t="shared" si="15"/>
        <v>31498.92</v>
      </c>
      <c r="O472" s="82" t="str">
        <f t="shared" si="14"/>
        <v>MOS100501|PH002|CK6-33362</v>
      </c>
    </row>
    <row r="473" spans="1:15" ht="15" customHeight="1" x14ac:dyDescent="0.3">
      <c r="A473" s="60" t="s">
        <v>1152</v>
      </c>
      <c r="B473" s="60" t="s">
        <v>568</v>
      </c>
      <c r="C473" s="62">
        <v>46179</v>
      </c>
      <c r="D473" s="63" t="s">
        <v>412</v>
      </c>
      <c r="E473" s="66" t="str">
        <f>IFERROR(INDEX(M_User!$A$12:$J$67,MATCH(D473,M_User!$D$12:$D$67,0),3),"UNMAPPED")</f>
        <v>Jonas Steven Michael</v>
      </c>
      <c r="F473" s="65" t="str">
        <f>IFERROR(INDEX(M_User!$A$12:$J$67,MATCH(D473,M_User!$D$12:$D$67,0),5),"UNMAPPED")</f>
        <v>MOS</v>
      </c>
      <c r="G473" s="63" t="s">
        <v>797</v>
      </c>
      <c r="H473" s="69" t="s">
        <v>798</v>
      </c>
      <c r="I473" s="63" t="s">
        <v>234</v>
      </c>
      <c r="J473" s="66" t="str">
        <f>IFERROR(INDEX(M_SKU!$A$18:$J$57,MATCH(I473,M_SKU!$B$18:$B$57,0),1),"UNKNOWN SKU")</f>
        <v>Fanta Orange Pet 500ML ( x 12)</v>
      </c>
      <c r="K473" s="63" t="s">
        <v>523</v>
      </c>
      <c r="L473" s="276">
        <v>6</v>
      </c>
      <c r="M473" s="91" cm="1">
        <f t="array" ref="M473">IFERROR(INDEX(M_DepotPrice!$C$10:$C$52,MATCH(1,(M_DepotPrice!$A$10:$A$52=I473)*(M_DepotPrice!$H$10:$H$52=IFERROR(INDEX(M_Depot!$A$7:$A$24,MATCH(F473,M_Depot!$B$7:$B$24,0)),""))*(M_DepotPrice!$G$10:$G$52="Special"),0)),INDEX(M_DepotPrice!$C$10:$C$52,MATCH(1,(M_DepotPrice!$A$10:$A$52=I473)*(M_DepotPrice!$G$10:$G$52="Default"),0)))</f>
        <v>8898</v>
      </c>
      <c r="N473" s="67">
        <f t="shared" si="15"/>
        <v>62997.84</v>
      </c>
      <c r="O473" s="66" t="str">
        <f t="shared" si="14"/>
        <v>MOS100501|PH003|CK6-33405</v>
      </c>
    </row>
    <row r="474" spans="1:15" ht="15" customHeight="1" x14ac:dyDescent="0.3">
      <c r="A474" s="70" t="s">
        <v>1153</v>
      </c>
      <c r="B474" s="70" t="s">
        <v>568</v>
      </c>
      <c r="C474" s="72">
        <v>46179</v>
      </c>
      <c r="D474" s="73" t="s">
        <v>412</v>
      </c>
      <c r="E474" s="76" t="str">
        <f>IFERROR(INDEX(M_User!$A$12:$J$67,MATCH(D474,M_User!$D$12:$D$67,0),3),"UNMAPPED")</f>
        <v>Jonas Steven Michael</v>
      </c>
      <c r="F474" s="75" t="str">
        <f>IFERROR(INDEX(M_User!$A$12:$J$67,MATCH(D474,M_User!$D$12:$D$67,0),5),"UNMAPPED")</f>
        <v>MOS</v>
      </c>
      <c r="G474" s="73" t="s">
        <v>797</v>
      </c>
      <c r="H474" s="92" t="s">
        <v>798</v>
      </c>
      <c r="I474" s="73" t="s">
        <v>242</v>
      </c>
      <c r="J474" s="76" t="str">
        <f>IFERROR(INDEX(M_SKU!$A$18:$J$57,MATCH(I474,M_SKU!$B$18:$B$57,0),1),"UNKNOWN SKU")</f>
        <v>Stoney Tangawizi Pet 500 ml ( x12)</v>
      </c>
      <c r="K474" s="73" t="s">
        <v>525</v>
      </c>
      <c r="L474" s="276">
        <v>2</v>
      </c>
      <c r="M474" s="94" cm="1">
        <f t="array" ref="M474">IFERROR(INDEX(M_DepotPrice!$C$10:$C$52,MATCH(1,(M_DepotPrice!$A$10:$A$52=I474)*(M_DepotPrice!$H$10:$H$52=IFERROR(INDEX(M_Depot!$A$7:$A$24,MATCH(F474,M_Depot!$B$7:$B$24,0)),""))*(M_DepotPrice!$G$10:$G$52="Special"),0)),INDEX(M_DepotPrice!$C$10:$C$52,MATCH(1,(M_DepotPrice!$A$10:$A$52=I474)*(M_DepotPrice!$G$10:$G$52="Default"),0)))</f>
        <v>8898</v>
      </c>
      <c r="N474" s="95">
        <f t="shared" si="15"/>
        <v>20999.279999999999</v>
      </c>
      <c r="O474" s="82" t="str">
        <f t="shared" si="14"/>
        <v>MOS100501|PH007|CK6-33375</v>
      </c>
    </row>
    <row r="475" spans="1:15" ht="15" customHeight="1" x14ac:dyDescent="0.3">
      <c r="A475" s="60" t="s">
        <v>1154</v>
      </c>
      <c r="B475" s="60" t="s">
        <v>568</v>
      </c>
      <c r="C475" s="62">
        <v>46179</v>
      </c>
      <c r="D475" s="63" t="s">
        <v>412</v>
      </c>
      <c r="E475" s="66" t="str">
        <f>IFERROR(INDEX(M_User!$A$12:$J$67,MATCH(D475,M_User!$D$12:$D$67,0),3),"UNMAPPED")</f>
        <v>Jonas Steven Michael</v>
      </c>
      <c r="F475" s="65" t="str">
        <f>IFERROR(INDEX(M_User!$A$12:$J$67,MATCH(D475,M_User!$D$12:$D$67,0),5),"UNMAPPED")</f>
        <v>MOS</v>
      </c>
      <c r="G475" s="63" t="s">
        <v>797</v>
      </c>
      <c r="H475" s="69" t="s">
        <v>798</v>
      </c>
      <c r="I475" s="63" t="s">
        <v>244</v>
      </c>
      <c r="J475" s="66" t="str">
        <f>IFERROR(INDEX(M_SKU!$A$18:$J$57,MATCH(I475,M_SKU!$B$18:$B$57,0),1),"UNKNOWN SKU")</f>
        <v>Sparletta Pinenut Pet 500 ml ( x12)</v>
      </c>
      <c r="K475" s="63" t="s">
        <v>526</v>
      </c>
      <c r="L475" s="276">
        <v>1</v>
      </c>
      <c r="M475" s="91" cm="1">
        <f t="array" ref="M475">IFERROR(INDEX(M_DepotPrice!$C$10:$C$52,MATCH(1,(M_DepotPrice!$A$10:$A$52=I475)*(M_DepotPrice!$H$10:$H$52=IFERROR(INDEX(M_Depot!$A$7:$A$24,MATCH(F475,M_Depot!$B$7:$B$24,0)),""))*(M_DepotPrice!$G$10:$G$52="Special"),0)),INDEX(M_DepotPrice!$C$10:$C$52,MATCH(1,(M_DepotPrice!$A$10:$A$52=I475)*(M_DepotPrice!$G$10:$G$52="Default"),0)))</f>
        <v>8898</v>
      </c>
      <c r="N475" s="67">
        <f t="shared" si="15"/>
        <v>10499.64</v>
      </c>
      <c r="O475" s="66" t="str">
        <f t="shared" si="14"/>
        <v>MOS100501|PH008|CK5-33370</v>
      </c>
    </row>
    <row r="476" spans="1:15" ht="15" customHeight="1" x14ac:dyDescent="0.3">
      <c r="A476" s="70" t="s">
        <v>1155</v>
      </c>
      <c r="B476" s="70" t="s">
        <v>568</v>
      </c>
      <c r="C476" s="72">
        <v>46179</v>
      </c>
      <c r="D476" s="73" t="s">
        <v>412</v>
      </c>
      <c r="E476" s="76" t="str">
        <f>IFERROR(INDEX(M_User!$A$12:$J$67,MATCH(D476,M_User!$D$12:$D$67,0),3),"UNMAPPED")</f>
        <v>Jonas Steven Michael</v>
      </c>
      <c r="F476" s="75" t="str">
        <f>IFERROR(INDEX(M_User!$A$12:$J$67,MATCH(D476,M_User!$D$12:$D$67,0),5),"UNMAPPED")</f>
        <v>MOS</v>
      </c>
      <c r="G476" s="73" t="s">
        <v>797</v>
      </c>
      <c r="H476" s="92" t="s">
        <v>798</v>
      </c>
      <c r="I476" s="73" t="s">
        <v>254</v>
      </c>
      <c r="J476" s="76" t="str">
        <f>IFERROR(INDEX(M_SKU!$A$18:$J$57,MATCH(I476,M_SKU!$B$18:$B$57,0),1),"UNKNOWN SKU")</f>
        <v>Fanta Zero Pet 300ML (x 12)</v>
      </c>
      <c r="K476" s="73" t="s">
        <v>546</v>
      </c>
      <c r="L476" s="276">
        <v>1</v>
      </c>
      <c r="M476" s="94" cm="1">
        <f t="array" ref="M476">IFERROR(INDEX(M_DepotPrice!$C$10:$C$52,MATCH(1,(M_DepotPrice!$A$10:$A$52=I476)*(M_DepotPrice!$H$10:$H$52=IFERROR(INDEX(M_Depot!$A$7:$A$24,MATCH(F476,M_Depot!$B$7:$B$24,0)),""))*(M_DepotPrice!$G$10:$G$52="Special"),0)),INDEX(M_DepotPrice!$C$10:$C$52,MATCH(1,(M_DepotPrice!$A$10:$A$52=I476)*(M_DepotPrice!$G$10:$G$52="Default"),0)))</f>
        <v>5085</v>
      </c>
      <c r="N476" s="95">
        <f t="shared" si="15"/>
        <v>6000.2999999999993</v>
      </c>
      <c r="O476" s="82" t="str">
        <f t="shared" si="14"/>
        <v>MOS100501|PO012|CK5-33369</v>
      </c>
    </row>
    <row r="477" spans="1:15" ht="15" customHeight="1" x14ac:dyDescent="0.3">
      <c r="A477" s="60" t="s">
        <v>1156</v>
      </c>
      <c r="B477" s="60" t="s">
        <v>568</v>
      </c>
      <c r="C477" s="62">
        <v>46179</v>
      </c>
      <c r="D477" s="63" t="s">
        <v>412</v>
      </c>
      <c r="E477" s="66" t="str">
        <f>IFERROR(INDEX(M_User!$A$12:$J$67,MATCH(D477,M_User!$D$12:$D$67,0),3),"UNMAPPED")</f>
        <v>Jonas Steven Michael</v>
      </c>
      <c r="F477" s="65" t="str">
        <f>IFERROR(INDEX(M_User!$A$12:$J$67,MATCH(D477,M_User!$D$12:$D$67,0),5),"UNMAPPED")</f>
        <v>MOS</v>
      </c>
      <c r="G477" s="63" t="s">
        <v>797</v>
      </c>
      <c r="H477" s="69" t="s">
        <v>798</v>
      </c>
      <c r="I477" s="63" t="s">
        <v>261</v>
      </c>
      <c r="J477" s="66" t="str">
        <f>IFERROR(INDEX(M_SKU!$A$18:$J$57,MATCH(I477,M_SKU!$B$18:$B$57,0),1),"UNKNOWN SKU")</f>
        <v>Sparletta Pine Apple Pet 300ML (x 12)</v>
      </c>
      <c r="K477" s="63" t="s">
        <v>547</v>
      </c>
      <c r="L477" s="276">
        <v>2</v>
      </c>
      <c r="M477" s="91" cm="1">
        <f t="array" ref="M477">IFERROR(INDEX(M_DepotPrice!$C$10:$C$52,MATCH(1,(M_DepotPrice!$A$10:$A$52=I477)*(M_DepotPrice!$H$10:$H$52=IFERROR(INDEX(M_Depot!$A$7:$A$24,MATCH(F477,M_Depot!$B$7:$B$24,0)),""))*(M_DepotPrice!$G$10:$G$52="Special"),0)),INDEX(M_DepotPrice!$C$10:$C$52,MATCH(1,(M_DepotPrice!$A$10:$A$52=I477)*(M_DepotPrice!$G$10:$G$52="Default"),0)))</f>
        <v>5085</v>
      </c>
      <c r="N477" s="67">
        <f t="shared" si="15"/>
        <v>12000.599999999999</v>
      </c>
      <c r="O477" s="66" t="str">
        <f t="shared" si="14"/>
        <v>MOS100501|PO015|CK5-33366</v>
      </c>
    </row>
    <row r="478" spans="1:15" ht="15" customHeight="1" x14ac:dyDescent="0.3">
      <c r="A478" s="70" t="s">
        <v>1157</v>
      </c>
      <c r="B478" s="70" t="s">
        <v>568</v>
      </c>
      <c r="C478" s="72">
        <v>46179</v>
      </c>
      <c r="D478" s="73" t="s">
        <v>412</v>
      </c>
      <c r="E478" s="76" t="str">
        <f>IFERROR(INDEX(M_User!$A$12:$J$67,MATCH(D478,M_User!$D$12:$D$67,0),3),"UNMAPPED")</f>
        <v>Jonas Steven Michael</v>
      </c>
      <c r="F478" s="75" t="str">
        <f>IFERROR(INDEX(M_User!$A$12:$J$67,MATCH(D478,M_User!$D$12:$D$67,0),5),"UNMAPPED")</f>
        <v>MOS</v>
      </c>
      <c r="G478" s="73" t="s">
        <v>825</v>
      </c>
      <c r="H478" s="92" t="s">
        <v>826</v>
      </c>
      <c r="I478" s="73" t="s">
        <v>181</v>
      </c>
      <c r="J478" s="76" t="str">
        <f>IFERROR(INDEX(M_SKU!$A$18:$J$57,MATCH(I478,M_SKU!$B$18:$B$57,0),1),"UNKNOWN SKU")</f>
        <v>Fanta Passion RGB 350ml</v>
      </c>
      <c r="K478" s="73" t="s">
        <v>550</v>
      </c>
      <c r="L478" s="276">
        <v>4.0642695840276</v>
      </c>
      <c r="M478" s="94" cm="1">
        <f t="array" ref="M478">IFERROR(INDEX(M_DepotPrice!$C$10:$C$52,MATCH(1,(M_DepotPrice!$A$10:$A$52=I478)*(M_DepotPrice!$H$10:$H$52=IFERROR(INDEX(M_Depot!$A$7:$A$24,MATCH(F478,M_Depot!$B$7:$B$24,0)),""))*(M_DepotPrice!$G$10:$G$52="Special"),0)),INDEX(M_DepotPrice!$C$10:$C$52,MATCH(1,(M_DepotPrice!$A$10:$A$52=I478)*(M_DepotPrice!$G$10:$G$52="Default"),0)))</f>
        <v>11780</v>
      </c>
      <c r="N478" s="95">
        <f t="shared" si="15"/>
        <v>56494.972925817252</v>
      </c>
      <c r="O478" s="82" t="str">
        <f t="shared" si="14"/>
        <v>MOS100501|FG003|CK3-33356</v>
      </c>
    </row>
    <row r="479" spans="1:15" ht="15" customHeight="1" x14ac:dyDescent="0.3">
      <c r="A479" s="60" t="s">
        <v>1158</v>
      </c>
      <c r="B479" s="60" t="s">
        <v>568</v>
      </c>
      <c r="C479" s="62">
        <v>46179</v>
      </c>
      <c r="D479" s="63" t="s">
        <v>412</v>
      </c>
      <c r="E479" s="66" t="str">
        <f>IFERROR(INDEX(M_User!$A$12:$J$67,MATCH(D479,M_User!$D$12:$D$67,0),3),"UNMAPPED")</f>
        <v>Jonas Steven Michael</v>
      </c>
      <c r="F479" s="65" t="str">
        <f>IFERROR(INDEX(M_User!$A$12:$J$67,MATCH(D479,M_User!$D$12:$D$67,0),5),"UNMAPPED")</f>
        <v>MOS</v>
      </c>
      <c r="G479" s="63" t="s">
        <v>825</v>
      </c>
      <c r="H479" s="69" t="s">
        <v>826</v>
      </c>
      <c r="I479" s="63" t="s">
        <v>185</v>
      </c>
      <c r="J479" s="66" t="str">
        <f>IFERROR(INDEX(M_SKU!$A$18:$J$57,MATCH(I479,M_SKU!$B$18:$B$57,0),1),"UNKNOWN SKU")</f>
        <v>Fanta Fruit Blast RGB 350 ml</v>
      </c>
      <c r="K479" s="63" t="s">
        <v>534</v>
      </c>
      <c r="L479" s="276">
        <v>1.2244999999999999</v>
      </c>
      <c r="M479" s="91" cm="1">
        <f t="array" ref="M479">IFERROR(INDEX(M_DepotPrice!$C$10:$C$52,MATCH(1,(M_DepotPrice!$A$10:$A$52=I479)*(M_DepotPrice!$H$10:$H$52=IFERROR(INDEX(M_Depot!$A$7:$A$24,MATCH(F479,M_Depot!$B$7:$B$24,0)),""))*(M_DepotPrice!$G$10:$G$52="Special"),0)),INDEX(M_DepotPrice!$C$10:$C$52,MATCH(1,(M_DepotPrice!$A$10:$A$52=I479)*(M_DepotPrice!$G$10:$G$52="Default"),0)))</f>
        <v>11780</v>
      </c>
      <c r="N479" s="67">
        <f t="shared" si="15"/>
        <v>17021.039799999999</v>
      </c>
      <c r="O479" s="66" t="str">
        <f t="shared" si="14"/>
        <v>MOS100501|FG005|CK3-33402</v>
      </c>
    </row>
    <row r="480" spans="1:15" ht="15" customHeight="1" x14ac:dyDescent="0.3">
      <c r="A480" s="70" t="s">
        <v>1159</v>
      </c>
      <c r="B480" s="70" t="s">
        <v>568</v>
      </c>
      <c r="C480" s="72">
        <v>46179</v>
      </c>
      <c r="D480" s="73" t="s">
        <v>412</v>
      </c>
      <c r="E480" s="76" t="str">
        <f>IFERROR(INDEX(M_User!$A$12:$J$67,MATCH(D480,M_User!$D$12:$D$67,0),3),"UNMAPPED")</f>
        <v>Jonas Steven Michael</v>
      </c>
      <c r="F480" s="75" t="str">
        <f>IFERROR(INDEX(M_User!$A$12:$J$67,MATCH(D480,M_User!$D$12:$D$67,0),5),"UNMAPPED")</f>
        <v>MOS</v>
      </c>
      <c r="G480" s="73" t="s">
        <v>825</v>
      </c>
      <c r="H480" s="92" t="s">
        <v>826</v>
      </c>
      <c r="I480" s="73" t="s">
        <v>199</v>
      </c>
      <c r="J480" s="76" t="str">
        <f>IFERROR(INDEX(M_SKU!$A$18:$J$57,MATCH(I480,M_SKU!$B$18:$B$57,0),1),"UNKNOWN SKU")</f>
        <v>Krest Club Soda RGB 300ml</v>
      </c>
      <c r="K480" s="73" t="s">
        <v>539</v>
      </c>
      <c r="L480" s="276">
        <v>0.77339999999999998</v>
      </c>
      <c r="M480" s="94" cm="1">
        <f t="array" ref="M480">IFERROR(INDEX(M_DepotPrice!$C$10:$C$52,MATCH(1,(M_DepotPrice!$A$10:$A$52=I480)*(M_DepotPrice!$H$10:$H$52=IFERROR(INDEX(M_Depot!$A$7:$A$24,MATCH(F480,M_Depot!$B$7:$B$24,0)),""))*(M_DepotPrice!$G$10:$G$52="Special"),0)),INDEX(M_DepotPrice!$C$10:$C$52,MATCH(1,(M_DepotPrice!$A$10:$A$52=I480)*(M_DepotPrice!$G$10:$G$52="Default"),0)))</f>
        <v>11780</v>
      </c>
      <c r="N480" s="95">
        <f t="shared" si="15"/>
        <v>10750.56936</v>
      </c>
      <c r="O480" s="82" t="str">
        <f t="shared" si="14"/>
        <v>MOS100501|FG010|CK3-33301</v>
      </c>
    </row>
    <row r="481" spans="1:15" ht="15" customHeight="1" x14ac:dyDescent="0.3">
      <c r="A481" s="60" t="s">
        <v>1160</v>
      </c>
      <c r="B481" s="60" t="s">
        <v>568</v>
      </c>
      <c r="C481" s="62">
        <v>46179</v>
      </c>
      <c r="D481" s="63" t="s">
        <v>412</v>
      </c>
      <c r="E481" s="66" t="str">
        <f>IFERROR(INDEX(M_User!$A$12:$J$67,MATCH(D481,M_User!$D$12:$D$67,0),3),"UNMAPPED")</f>
        <v>Jonas Steven Michael</v>
      </c>
      <c r="F481" s="65" t="str">
        <f>IFERROR(INDEX(M_User!$A$12:$J$67,MATCH(D481,M_User!$D$12:$D$67,0),5),"UNMAPPED")</f>
        <v>MOS</v>
      </c>
      <c r="G481" s="63" t="s">
        <v>825</v>
      </c>
      <c r="H481" s="69" t="s">
        <v>826</v>
      </c>
      <c r="I481" s="63" t="s">
        <v>201</v>
      </c>
      <c r="J481" s="66" t="str">
        <f>IFERROR(INDEX(M_SKU!$A$18:$J$57,MATCH(I481,M_SKU!$B$18:$B$57,0),1),"UNKNOWN SKU")</f>
        <v>Krest Tonic Water RGB 300ml</v>
      </c>
      <c r="K481" s="63" t="s">
        <v>540</v>
      </c>
      <c r="L481" s="276">
        <v>0.837591821433885</v>
      </c>
      <c r="M481" s="91" cm="1">
        <f t="array" ref="M481">IFERROR(INDEX(M_DepotPrice!$C$10:$C$52,MATCH(1,(M_DepotPrice!$A$10:$A$52=I481)*(M_DepotPrice!$H$10:$H$52=IFERROR(INDEX(M_Depot!$A$7:$A$24,MATCH(F481,M_Depot!$B$7:$B$24,0)),""))*(M_DepotPrice!$G$10:$G$52="Special"),0)),INDEX(M_DepotPrice!$C$10:$C$52,MATCH(1,(M_DepotPrice!$A$10:$A$52=I481)*(M_DepotPrice!$G$10:$G$52="Default"),0)))</f>
        <v>11780</v>
      </c>
      <c r="N481" s="67">
        <f t="shared" si="15"/>
        <v>11642.861354659575</v>
      </c>
      <c r="O481" s="66" t="str">
        <f t="shared" si="14"/>
        <v>MOS100501|FG011|CK3-33347</v>
      </c>
    </row>
    <row r="482" spans="1:15" ht="15" customHeight="1" x14ac:dyDescent="0.3">
      <c r="A482" s="70" t="s">
        <v>1161</v>
      </c>
      <c r="B482" s="70" t="s">
        <v>568</v>
      </c>
      <c r="C482" s="72">
        <v>46179</v>
      </c>
      <c r="D482" s="73" t="s">
        <v>412</v>
      </c>
      <c r="E482" s="76" t="str">
        <f>IFERROR(INDEX(M_User!$A$12:$J$67,MATCH(D482,M_User!$D$12:$D$67,0),3),"UNMAPPED")</f>
        <v>Jonas Steven Michael</v>
      </c>
      <c r="F482" s="75" t="str">
        <f>IFERROR(INDEX(M_User!$A$12:$J$67,MATCH(D482,M_User!$D$12:$D$67,0),5),"UNMAPPED")</f>
        <v>MOS</v>
      </c>
      <c r="G482" s="73" t="s">
        <v>825</v>
      </c>
      <c r="H482" s="92" t="s">
        <v>826</v>
      </c>
      <c r="I482" s="73" t="s">
        <v>203</v>
      </c>
      <c r="J482" s="76" t="str">
        <f>IFERROR(INDEX(M_SKU!$A$18:$J$57,MATCH(I482,M_SKU!$B$18:$B$57,0),1),"UNKNOWN SKU")</f>
        <v>Krest Ginger Ale RGB 300ml</v>
      </c>
      <c r="K482" s="73" t="s">
        <v>541</v>
      </c>
      <c r="L482" s="276">
        <v>0.74529999999999996</v>
      </c>
      <c r="M482" s="94" cm="1">
        <f t="array" ref="M482">IFERROR(INDEX(M_DepotPrice!$C$10:$C$52,MATCH(1,(M_DepotPrice!$A$10:$A$52=I482)*(M_DepotPrice!$H$10:$H$52=IFERROR(INDEX(M_Depot!$A$7:$A$24,MATCH(F482,M_Depot!$B$7:$B$24,0)),""))*(M_DepotPrice!$G$10:$G$52="Special"),0)),INDEX(M_DepotPrice!$C$10:$C$52,MATCH(1,(M_DepotPrice!$A$10:$A$52=I482)*(M_DepotPrice!$G$10:$G$52="Default"),0)))</f>
        <v>11780</v>
      </c>
      <c r="N482" s="95">
        <f t="shared" si="15"/>
        <v>10359.96812</v>
      </c>
      <c r="O482" s="82" t="str">
        <f t="shared" si="14"/>
        <v>MOS100501|FG012|CK3-33126</v>
      </c>
    </row>
    <row r="483" spans="1:15" ht="15" customHeight="1" x14ac:dyDescent="0.3">
      <c r="A483" s="60" t="s">
        <v>1162</v>
      </c>
      <c r="B483" s="60" t="s">
        <v>568</v>
      </c>
      <c r="C483" s="62">
        <v>46179</v>
      </c>
      <c r="D483" s="63" t="s">
        <v>412</v>
      </c>
      <c r="E483" s="66" t="str">
        <f>IFERROR(INDEX(M_User!$A$12:$J$67,MATCH(D483,M_User!$D$12:$D$67,0),3),"UNMAPPED")</f>
        <v>Jonas Steven Michael</v>
      </c>
      <c r="F483" s="65" t="str">
        <f>IFERROR(INDEX(M_User!$A$12:$J$67,MATCH(D483,M_User!$D$12:$D$67,0),5),"UNMAPPED")</f>
        <v>MOS</v>
      </c>
      <c r="G483" s="63" t="s">
        <v>825</v>
      </c>
      <c r="H483" s="69" t="s">
        <v>826</v>
      </c>
      <c r="I483" s="63" t="s">
        <v>209</v>
      </c>
      <c r="J483" s="66" t="str">
        <f>IFERROR(INDEX(M_SKU!$A$18:$J$57,MATCH(I483,M_SKU!$B$18:$B$57,0),1),"UNKNOWN SKU")</f>
        <v>Sparletta Red Apple RGB 350ml</v>
      </c>
      <c r="K483" s="63" t="s">
        <v>542</v>
      </c>
      <c r="L483" s="276">
        <v>1.11668736340706</v>
      </c>
      <c r="M483" s="91" cm="1">
        <f t="array" ref="M483">IFERROR(INDEX(M_DepotPrice!$C$10:$C$52,MATCH(1,(M_DepotPrice!$A$10:$A$52=I483)*(M_DepotPrice!$H$10:$H$52=IFERROR(INDEX(M_Depot!$A$7:$A$24,MATCH(F483,M_Depot!$B$7:$B$24,0)),""))*(M_DepotPrice!$G$10:$G$52="Special"),0)),INDEX(M_DepotPrice!$C$10:$C$52,MATCH(1,(M_DepotPrice!$A$10:$A$52=I483)*(M_DepotPrice!$G$10:$G$52="Default"),0)))</f>
        <v>11780</v>
      </c>
      <c r="N483" s="67">
        <f t="shared" si="15"/>
        <v>15522.401026303496</v>
      </c>
      <c r="O483" s="66" t="str">
        <f t="shared" si="14"/>
        <v>MOS100501|FG024|CK3-32758</v>
      </c>
    </row>
    <row r="484" spans="1:15" ht="15" customHeight="1" x14ac:dyDescent="0.3">
      <c r="A484" s="70" t="s">
        <v>1163</v>
      </c>
      <c r="B484" s="70" t="s">
        <v>568</v>
      </c>
      <c r="C484" s="72">
        <v>46179</v>
      </c>
      <c r="D484" s="73" t="s">
        <v>412</v>
      </c>
      <c r="E484" s="76" t="str">
        <f>IFERROR(INDEX(M_User!$A$12:$J$67,MATCH(D484,M_User!$D$12:$D$67,0),3),"UNMAPPED")</f>
        <v>Jonas Steven Michael</v>
      </c>
      <c r="F484" s="75" t="str">
        <f>IFERROR(INDEX(M_User!$A$12:$J$67,MATCH(D484,M_User!$D$12:$D$67,0),5),"UNMAPPED")</f>
        <v>MOS</v>
      </c>
      <c r="G484" s="73" t="s">
        <v>825</v>
      </c>
      <c r="H484" s="92" t="s">
        <v>826</v>
      </c>
      <c r="I484" s="73" t="s">
        <v>211</v>
      </c>
      <c r="J484" s="76" t="str">
        <f>IFERROR(INDEX(M_SKU!$A$18:$J$57,MATCH(I484,M_SKU!$B$18:$B$57,0),1),"UNKNOWN SKU")</f>
        <v>KNMW 500ml</v>
      </c>
      <c r="K484" s="73" t="s">
        <v>543</v>
      </c>
      <c r="L484" s="276">
        <v>83</v>
      </c>
      <c r="M484" s="94" cm="1">
        <f t="array" ref="M484">IFERROR(INDEX(M_DepotPrice!$C$10:$C$52,MATCH(1,(M_DepotPrice!$A$10:$A$52=I484)*(M_DepotPrice!$H$10:$H$52=IFERROR(INDEX(M_Depot!$A$7:$A$24,MATCH(F484,M_Depot!$B$7:$B$24,0)),""))*(M_DepotPrice!$G$10:$G$52="Special"),0)),INDEX(M_DepotPrice!$C$10:$C$52,MATCH(1,(M_DepotPrice!$A$10:$A$52=I484)*(M_DepotPrice!$G$10:$G$52="Default"),0)))</f>
        <v>3559</v>
      </c>
      <c r="N484" s="95">
        <f t="shared" si="15"/>
        <v>348568.45999999996</v>
      </c>
      <c r="O484" s="82" t="str">
        <f t="shared" si="14"/>
        <v>MOS100501|KD001|CK6-986</v>
      </c>
    </row>
    <row r="485" spans="1:15" ht="15" customHeight="1" x14ac:dyDescent="0.3">
      <c r="A485" s="60" t="s">
        <v>1164</v>
      </c>
      <c r="B485" s="60" t="s">
        <v>568</v>
      </c>
      <c r="C485" s="62">
        <v>46179</v>
      </c>
      <c r="D485" s="63" t="s">
        <v>412</v>
      </c>
      <c r="E485" s="66" t="str">
        <f>IFERROR(INDEX(M_User!$A$12:$J$67,MATCH(D485,M_User!$D$12:$D$67,0),3),"UNMAPPED")</f>
        <v>Jonas Steven Michael</v>
      </c>
      <c r="F485" s="65" t="str">
        <f>IFERROR(INDEX(M_User!$A$12:$J$67,MATCH(D485,M_User!$D$12:$D$67,0),5),"UNMAPPED")</f>
        <v>MOS</v>
      </c>
      <c r="G485" s="63" t="s">
        <v>825</v>
      </c>
      <c r="H485" s="69" t="s">
        <v>826</v>
      </c>
      <c r="I485" s="63" t="s">
        <v>217</v>
      </c>
      <c r="J485" s="66" t="str">
        <f>IFERROR(INDEX(M_SKU!$A$18:$J$57,MATCH(I485,M_SKU!$B$18:$B$57,0),1),"UNKNOWN SKU")</f>
        <v>KNMW 1500ml</v>
      </c>
      <c r="K485" s="63" t="s">
        <v>551</v>
      </c>
      <c r="L485" s="276">
        <v>33</v>
      </c>
      <c r="M485" s="91" cm="1">
        <f t="array" ref="M485">IFERROR(INDEX(M_DepotPrice!$C$10:$C$52,MATCH(1,(M_DepotPrice!$A$10:$A$52=I485)*(M_DepotPrice!$H$10:$H$52=IFERROR(INDEX(M_Depot!$A$7:$A$24,MATCH(F485,M_Depot!$B$7:$B$24,0)),""))*(M_DepotPrice!$G$10:$G$52="Special"),0)),INDEX(M_DepotPrice!$C$10:$C$52,MATCH(1,(M_DepotPrice!$A$10:$A$52=I485)*(M_DepotPrice!$G$10:$G$52="Default"),0)))</f>
        <v>3983</v>
      </c>
      <c r="N485" s="67">
        <f t="shared" si="15"/>
        <v>155098.01999999999</v>
      </c>
      <c r="O485" s="66" t="str">
        <f t="shared" si="14"/>
        <v>MOS100501|KD003|CK4-842</v>
      </c>
    </row>
    <row r="486" spans="1:15" ht="15" customHeight="1" x14ac:dyDescent="0.3">
      <c r="A486" s="70" t="s">
        <v>1165</v>
      </c>
      <c r="B486" s="70" t="s">
        <v>568</v>
      </c>
      <c r="C486" s="72">
        <v>46179</v>
      </c>
      <c r="D486" s="73" t="s">
        <v>412</v>
      </c>
      <c r="E486" s="76" t="str">
        <f>IFERROR(INDEX(M_User!$A$12:$J$67,MATCH(D486,M_User!$D$12:$D$67,0),3),"UNMAPPED")</f>
        <v>Jonas Steven Michael</v>
      </c>
      <c r="F486" s="75" t="str">
        <f>IFERROR(INDEX(M_User!$A$12:$J$67,MATCH(D486,M_User!$D$12:$D$67,0),5),"UNMAPPED")</f>
        <v>MOS</v>
      </c>
      <c r="G486" s="73" t="s">
        <v>825</v>
      </c>
      <c r="H486" s="92" t="s">
        <v>826</v>
      </c>
      <c r="I486" s="73" t="s">
        <v>232</v>
      </c>
      <c r="J486" s="76" t="str">
        <f>IFERROR(INDEX(M_SKU!$A$18:$J$57,MATCH(I486,M_SKU!$B$18:$B$57,0),1),"UNKNOWN SKU")</f>
        <v>Sprite Pet 500ML (x 12)</v>
      </c>
      <c r="K486" s="73" t="s">
        <v>522</v>
      </c>
      <c r="L486" s="276">
        <v>1</v>
      </c>
      <c r="M486" s="94" cm="1">
        <f t="array" ref="M486">IFERROR(INDEX(M_DepotPrice!$C$10:$C$52,MATCH(1,(M_DepotPrice!$A$10:$A$52=I486)*(M_DepotPrice!$H$10:$H$52=IFERROR(INDEX(M_Depot!$A$7:$A$24,MATCH(F486,M_Depot!$B$7:$B$24,0)),""))*(M_DepotPrice!$G$10:$G$52="Special"),0)),INDEX(M_DepotPrice!$C$10:$C$52,MATCH(1,(M_DepotPrice!$A$10:$A$52=I486)*(M_DepotPrice!$G$10:$G$52="Default"),0)))</f>
        <v>8898</v>
      </c>
      <c r="N486" s="95">
        <f t="shared" si="15"/>
        <v>10499.64</v>
      </c>
      <c r="O486" s="82" t="str">
        <f t="shared" si="14"/>
        <v>MOS100501|PH002|CK6-33362</v>
      </c>
    </row>
    <row r="487" spans="1:15" ht="15" customHeight="1" x14ac:dyDescent="0.3">
      <c r="A487" s="60" t="s">
        <v>1166</v>
      </c>
      <c r="B487" s="60" t="s">
        <v>568</v>
      </c>
      <c r="C487" s="62">
        <v>46179</v>
      </c>
      <c r="D487" s="63" t="s">
        <v>412</v>
      </c>
      <c r="E487" s="66" t="str">
        <f>IFERROR(INDEX(M_User!$A$12:$J$67,MATCH(D487,M_User!$D$12:$D$67,0),3),"UNMAPPED")</f>
        <v>Jonas Steven Michael</v>
      </c>
      <c r="F487" s="65" t="str">
        <f>IFERROR(INDEX(M_User!$A$12:$J$67,MATCH(D487,M_User!$D$12:$D$67,0),5),"UNMAPPED")</f>
        <v>MOS</v>
      </c>
      <c r="G487" s="63" t="s">
        <v>825</v>
      </c>
      <c r="H487" s="69" t="s">
        <v>826</v>
      </c>
      <c r="I487" s="63" t="s">
        <v>252</v>
      </c>
      <c r="J487" s="66" t="str">
        <f>IFERROR(INDEX(M_SKU!$A$18:$J$57,MATCH(I487,M_SKU!$B$18:$B$57,0),1),"UNKNOWN SKU")</f>
        <v>Sprite Zero Pet 300ML (x 12)</v>
      </c>
      <c r="K487" s="63" t="s">
        <v>545</v>
      </c>
      <c r="L487" s="276">
        <v>1</v>
      </c>
      <c r="M487" s="91" cm="1">
        <f t="array" ref="M487">IFERROR(INDEX(M_DepotPrice!$C$10:$C$52,MATCH(1,(M_DepotPrice!$A$10:$A$52=I487)*(M_DepotPrice!$H$10:$H$52=IFERROR(INDEX(M_Depot!$A$7:$A$24,MATCH(F487,M_Depot!$B$7:$B$24,0)),""))*(M_DepotPrice!$G$10:$G$52="Special"),0)),INDEX(M_DepotPrice!$C$10:$C$52,MATCH(1,(M_DepotPrice!$A$10:$A$52=I487)*(M_DepotPrice!$G$10:$G$52="Default"),0)))</f>
        <v>5085</v>
      </c>
      <c r="N487" s="67">
        <f t="shared" si="15"/>
        <v>6000.2999999999993</v>
      </c>
      <c r="O487" s="66" t="str">
        <f t="shared" si="14"/>
        <v>MOS100501|PO010|CK5-33360</v>
      </c>
    </row>
    <row r="488" spans="1:15" ht="15" customHeight="1" x14ac:dyDescent="0.3">
      <c r="A488" s="70" t="s">
        <v>1167</v>
      </c>
      <c r="B488" s="70" t="s">
        <v>568</v>
      </c>
      <c r="C488" s="72">
        <v>46179</v>
      </c>
      <c r="D488" s="73" t="s">
        <v>412</v>
      </c>
      <c r="E488" s="76" t="str">
        <f>IFERROR(INDEX(M_User!$A$12:$J$67,MATCH(D488,M_User!$D$12:$D$67,0),3),"UNMAPPED")</f>
        <v>Jonas Steven Michael</v>
      </c>
      <c r="F488" s="75" t="str">
        <f>IFERROR(INDEX(M_User!$A$12:$J$67,MATCH(D488,M_User!$D$12:$D$67,0),5),"UNMAPPED")</f>
        <v>MOS</v>
      </c>
      <c r="G488" s="73" t="s">
        <v>825</v>
      </c>
      <c r="H488" s="92" t="s">
        <v>826</v>
      </c>
      <c r="I488" s="73" t="s">
        <v>261</v>
      </c>
      <c r="J488" s="76" t="str">
        <f>IFERROR(INDEX(M_SKU!$A$18:$J$57,MATCH(I488,M_SKU!$B$18:$B$57,0),1),"UNKNOWN SKU")</f>
        <v>Sparletta Pine Apple Pet 300ML (x 12)</v>
      </c>
      <c r="K488" s="73" t="s">
        <v>547</v>
      </c>
      <c r="L488" s="276">
        <v>2</v>
      </c>
      <c r="M488" s="94" cm="1">
        <f t="array" ref="M488">IFERROR(INDEX(M_DepotPrice!$C$10:$C$52,MATCH(1,(M_DepotPrice!$A$10:$A$52=I488)*(M_DepotPrice!$H$10:$H$52=IFERROR(INDEX(M_Depot!$A$7:$A$24,MATCH(F488,M_Depot!$B$7:$B$24,0)),""))*(M_DepotPrice!$G$10:$G$52="Special"),0)),INDEX(M_DepotPrice!$C$10:$C$52,MATCH(1,(M_DepotPrice!$A$10:$A$52=I488)*(M_DepotPrice!$G$10:$G$52="Default"),0)))</f>
        <v>5085</v>
      </c>
      <c r="N488" s="95">
        <f t="shared" si="15"/>
        <v>12000.599999999999</v>
      </c>
      <c r="O488" s="82" t="str">
        <f t="shared" si="14"/>
        <v>MOS100501|PO015|CK5-33366</v>
      </c>
    </row>
    <row r="489" spans="1:15" ht="15" customHeight="1" x14ac:dyDescent="0.3">
      <c r="A489" s="60" t="s">
        <v>1168</v>
      </c>
      <c r="B489" s="60" t="s">
        <v>569</v>
      </c>
      <c r="C489" s="62">
        <v>46179</v>
      </c>
      <c r="D489" s="63" t="s">
        <v>384</v>
      </c>
      <c r="E489" s="66" t="str">
        <f>IFERROR(INDEX(M_User!$A$12:$J$67,MATCH(D489,M_User!$D$12:$D$67,0),3),"UNMAPPED")</f>
        <v>Gastory S Msaki</v>
      </c>
      <c r="F489" s="65" t="str">
        <f>IFERROR(INDEX(M_User!$A$12:$J$67,MATCH(D489,M_User!$D$12:$D$67,0),5),"UNMAPPED")</f>
        <v>MOS</v>
      </c>
      <c r="G489" s="63" t="s">
        <v>840</v>
      </c>
      <c r="H489" s="69" t="s">
        <v>841</v>
      </c>
      <c r="I489" s="63" t="s">
        <v>170</v>
      </c>
      <c r="J489" s="66" t="str">
        <f>IFERROR(INDEX(M_SKU!$A$18:$J$57,MATCH(I489,M_SKU!$B$18:$B$57,0),1),"UNKNOWN SKU")</f>
        <v>Coke RGB 350ml</v>
      </c>
      <c r="K489" s="63" t="s">
        <v>530</v>
      </c>
      <c r="L489" s="276">
        <v>13.492599999999999</v>
      </c>
      <c r="M489" s="91" cm="1">
        <f t="array" ref="M489">IFERROR(INDEX(M_DepotPrice!$C$10:$C$52,MATCH(1,(M_DepotPrice!$A$10:$A$52=I489)*(M_DepotPrice!$H$10:$H$52=IFERROR(INDEX(M_Depot!$A$7:$A$24,MATCH(F489,M_Depot!$B$7:$B$24,0)),""))*(M_DepotPrice!$G$10:$G$52="Special"),0)),INDEX(M_DepotPrice!$C$10:$C$52,MATCH(1,(M_DepotPrice!$A$10:$A$52=I489)*(M_DepotPrice!$G$10:$G$52="Default"),0)))</f>
        <v>11780</v>
      </c>
      <c r="N489" s="67">
        <f t="shared" si="15"/>
        <v>187552.53703999997</v>
      </c>
      <c r="O489" s="66" t="str">
        <f t="shared" si="14"/>
        <v>MOS100624|FG001|CK3-33409</v>
      </c>
    </row>
    <row r="490" spans="1:15" ht="15" customHeight="1" x14ac:dyDescent="0.3">
      <c r="A490" s="70" t="s">
        <v>1169</v>
      </c>
      <c r="B490" s="70" t="s">
        <v>569</v>
      </c>
      <c r="C490" s="72">
        <v>46179</v>
      </c>
      <c r="D490" s="73" t="s">
        <v>384</v>
      </c>
      <c r="E490" s="76" t="str">
        <f>IFERROR(INDEX(M_User!$A$12:$J$67,MATCH(D490,M_User!$D$12:$D$67,0),3),"UNMAPPED")</f>
        <v>Gastory S Msaki</v>
      </c>
      <c r="F490" s="75" t="str">
        <f>IFERROR(INDEX(M_User!$A$12:$J$67,MATCH(D490,M_User!$D$12:$D$67,0),5),"UNMAPPED")</f>
        <v>MOS</v>
      </c>
      <c r="G490" s="73" t="s">
        <v>840</v>
      </c>
      <c r="H490" s="92" t="s">
        <v>841</v>
      </c>
      <c r="I490" s="73" t="s">
        <v>183</v>
      </c>
      <c r="J490" s="76" t="str">
        <f>IFERROR(INDEX(M_SKU!$A$18:$J$57,MATCH(I490,M_SKU!$B$18:$B$57,0),1),"UNKNOWN SKU")</f>
        <v>Fanta Pineapple RGB 350ml</v>
      </c>
      <c r="K490" s="73" t="s">
        <v>533</v>
      </c>
      <c r="L490" s="276">
        <v>3.4820586263520301</v>
      </c>
      <c r="M490" s="94" cm="1">
        <f t="array" ref="M490">IFERROR(INDEX(M_DepotPrice!$C$10:$C$52,MATCH(1,(M_DepotPrice!$A$10:$A$52=I490)*(M_DepotPrice!$H$10:$H$52=IFERROR(INDEX(M_Depot!$A$7:$A$24,MATCH(F490,M_Depot!$B$7:$B$24,0)),""))*(M_DepotPrice!$G$10:$G$52="Special"),0)),INDEX(M_DepotPrice!$C$10:$C$52,MATCH(1,(M_DepotPrice!$A$10:$A$52=I490)*(M_DepotPrice!$G$10:$G$52="Default"),0)))</f>
        <v>11780</v>
      </c>
      <c r="N490" s="95">
        <f t="shared" si="15"/>
        <v>48402.00772974376</v>
      </c>
      <c r="O490" s="82" t="str">
        <f t="shared" si="14"/>
        <v>MOS100624|FG004|CK3-33385</v>
      </c>
    </row>
    <row r="491" spans="1:15" ht="15" customHeight="1" x14ac:dyDescent="0.3">
      <c r="A491" s="60" t="s">
        <v>1170</v>
      </c>
      <c r="B491" s="60" t="s">
        <v>569</v>
      </c>
      <c r="C491" s="62">
        <v>46179</v>
      </c>
      <c r="D491" s="63" t="s">
        <v>384</v>
      </c>
      <c r="E491" s="66" t="str">
        <f>IFERROR(INDEX(M_User!$A$12:$J$67,MATCH(D491,M_User!$D$12:$D$67,0),3),"UNMAPPED")</f>
        <v>Gastory S Msaki</v>
      </c>
      <c r="F491" s="65" t="str">
        <f>IFERROR(INDEX(M_User!$A$12:$J$67,MATCH(D491,M_User!$D$12:$D$67,0),5),"UNMAPPED")</f>
        <v>MOS</v>
      </c>
      <c r="G491" s="63" t="s">
        <v>840</v>
      </c>
      <c r="H491" s="69" t="s">
        <v>841</v>
      </c>
      <c r="I491" s="63" t="s">
        <v>187</v>
      </c>
      <c r="J491" s="66" t="str">
        <f>IFERROR(INDEX(M_SKU!$A$18:$J$57,MATCH(I491,M_SKU!$B$18:$B$57,0),1),"UNKNOWN SKU")</f>
        <v>Sprite 350ml</v>
      </c>
      <c r="K491" s="63" t="s">
        <v>535</v>
      </c>
      <c r="L491" s="276">
        <v>2.76675720696129</v>
      </c>
      <c r="M491" s="91" cm="1">
        <f t="array" ref="M491">IFERROR(INDEX(M_DepotPrice!$C$10:$C$52,MATCH(1,(M_DepotPrice!$A$10:$A$52=I491)*(M_DepotPrice!$H$10:$H$52=IFERROR(INDEX(M_Depot!$A$7:$A$24,MATCH(F491,M_Depot!$B$7:$B$24,0)),""))*(M_DepotPrice!$G$10:$G$52="Special"),0)),INDEX(M_DepotPrice!$C$10:$C$52,MATCH(1,(M_DepotPrice!$A$10:$A$52=I491)*(M_DepotPrice!$G$10:$G$52="Default"),0)))</f>
        <v>11780</v>
      </c>
      <c r="N491" s="67">
        <f t="shared" si="15"/>
        <v>38459.031879644717</v>
      </c>
      <c r="O491" s="66" t="str">
        <f t="shared" si="14"/>
        <v>MOS100624|FG006|CK3-33414</v>
      </c>
    </row>
    <row r="492" spans="1:15" ht="15" customHeight="1" x14ac:dyDescent="0.3">
      <c r="A492" s="70" t="s">
        <v>1171</v>
      </c>
      <c r="B492" s="70" t="s">
        <v>569</v>
      </c>
      <c r="C492" s="72">
        <v>46179</v>
      </c>
      <c r="D492" s="73" t="s">
        <v>384</v>
      </c>
      <c r="E492" s="76" t="str">
        <f>IFERROR(INDEX(M_User!$A$12:$J$67,MATCH(D492,M_User!$D$12:$D$67,0),3),"UNMAPPED")</f>
        <v>Gastory S Msaki</v>
      </c>
      <c r="F492" s="75" t="str">
        <f>IFERROR(INDEX(M_User!$A$12:$J$67,MATCH(D492,M_User!$D$12:$D$67,0),5),"UNMAPPED")</f>
        <v>MOS</v>
      </c>
      <c r="G492" s="73" t="s">
        <v>840</v>
      </c>
      <c r="H492" s="92" t="s">
        <v>841</v>
      </c>
      <c r="I492" s="73" t="s">
        <v>193</v>
      </c>
      <c r="J492" s="76" t="str">
        <f>IFERROR(INDEX(M_SKU!$A$18:$J$57,MATCH(I492,M_SKU!$B$18:$B$57,0),1),"UNKNOWN SKU")</f>
        <v>Sparletta Pinenut RGB 350ml</v>
      </c>
      <c r="K492" s="73" t="s">
        <v>537</v>
      </c>
      <c r="L492" s="276">
        <v>2.8027906542788301</v>
      </c>
      <c r="M492" s="94" cm="1">
        <f t="array" ref="M492">IFERROR(INDEX(M_DepotPrice!$C$10:$C$52,MATCH(1,(M_DepotPrice!$A$10:$A$52=I492)*(M_DepotPrice!$H$10:$H$52=IFERROR(INDEX(M_Depot!$A$7:$A$24,MATCH(F492,M_Depot!$B$7:$B$24,0)),""))*(M_DepotPrice!$G$10:$G$52="Special"),0)),INDEX(M_DepotPrice!$C$10:$C$52,MATCH(1,(M_DepotPrice!$A$10:$A$52=I492)*(M_DepotPrice!$G$10:$G$52="Default"),0)))</f>
        <v>11780</v>
      </c>
      <c r="N492" s="95">
        <f t="shared" si="15"/>
        <v>38959.911210737446</v>
      </c>
      <c r="O492" s="82" t="str">
        <f t="shared" si="14"/>
        <v>MOS100624|FG008|CK3-33365</v>
      </c>
    </row>
    <row r="493" spans="1:15" ht="15" customHeight="1" x14ac:dyDescent="0.3">
      <c r="A493" s="60" t="s">
        <v>1172</v>
      </c>
      <c r="B493" s="60" t="s">
        <v>569</v>
      </c>
      <c r="C493" s="62">
        <v>46179</v>
      </c>
      <c r="D493" s="63" t="s">
        <v>384</v>
      </c>
      <c r="E493" s="66" t="str">
        <f>IFERROR(INDEX(M_User!$A$12:$J$67,MATCH(D493,M_User!$D$12:$D$67,0),3),"UNMAPPED")</f>
        <v>Gastory S Msaki</v>
      </c>
      <c r="F493" s="65" t="str">
        <f>IFERROR(INDEX(M_User!$A$12:$J$67,MATCH(D493,M_User!$D$12:$D$67,0),5),"UNMAPPED")</f>
        <v>MOS</v>
      </c>
      <c r="G493" s="63" t="s">
        <v>840</v>
      </c>
      <c r="H493" s="69" t="s">
        <v>841</v>
      </c>
      <c r="I493" s="63" t="s">
        <v>196</v>
      </c>
      <c r="J493" s="66" t="str">
        <f>IFERROR(INDEX(M_SKU!$A$18:$J$57,MATCH(I493,M_SKU!$B$18:$B$57,0),1),"UNKNOWN SKU")</f>
        <v>Krest Bitter Lemon RGB 300ml</v>
      </c>
      <c r="K493" s="63" t="s">
        <v>538</v>
      </c>
      <c r="L493" s="276">
        <v>0.30309999999999998</v>
      </c>
      <c r="M493" s="91" cm="1">
        <f t="array" ref="M493">IFERROR(INDEX(M_DepotPrice!$C$10:$C$52,MATCH(1,(M_DepotPrice!$A$10:$A$52=I493)*(M_DepotPrice!$H$10:$H$52=IFERROR(INDEX(M_Depot!$A$7:$A$24,MATCH(F493,M_Depot!$B$7:$B$24,0)),""))*(M_DepotPrice!$G$10:$G$52="Special"),0)),INDEX(M_DepotPrice!$C$10:$C$52,MATCH(1,(M_DepotPrice!$A$10:$A$52=I493)*(M_DepotPrice!$G$10:$G$52="Default"),0)))</f>
        <v>11780</v>
      </c>
      <c r="N493" s="67">
        <f t="shared" si="15"/>
        <v>4213.2112399999996</v>
      </c>
      <c r="O493" s="66" t="str">
        <f t="shared" si="14"/>
        <v>MOS100624|FG009|CK3-33348</v>
      </c>
    </row>
    <row r="494" spans="1:15" ht="15" customHeight="1" x14ac:dyDescent="0.3">
      <c r="A494" s="70" t="s">
        <v>1173</v>
      </c>
      <c r="B494" s="70" t="s">
        <v>569</v>
      </c>
      <c r="C494" s="72">
        <v>46179</v>
      </c>
      <c r="D494" s="73" t="s">
        <v>384</v>
      </c>
      <c r="E494" s="76" t="str">
        <f>IFERROR(INDEX(M_User!$A$12:$J$67,MATCH(D494,M_User!$D$12:$D$67,0),3),"UNMAPPED")</f>
        <v>Gastory S Msaki</v>
      </c>
      <c r="F494" s="75" t="str">
        <f>IFERROR(INDEX(M_User!$A$12:$J$67,MATCH(D494,M_User!$D$12:$D$67,0),5),"UNMAPPED")</f>
        <v>MOS</v>
      </c>
      <c r="G494" s="73" t="s">
        <v>840</v>
      </c>
      <c r="H494" s="92" t="s">
        <v>841</v>
      </c>
      <c r="I494" s="73" t="s">
        <v>199</v>
      </c>
      <c r="J494" s="76" t="str">
        <f>IFERROR(INDEX(M_SKU!$A$18:$J$57,MATCH(I494,M_SKU!$B$18:$B$57,0),1),"UNKNOWN SKU")</f>
        <v>Krest Club Soda RGB 300ml</v>
      </c>
      <c r="K494" s="73" t="s">
        <v>539</v>
      </c>
      <c r="L494" s="276">
        <v>0.29770000000000002</v>
      </c>
      <c r="M494" s="94" cm="1">
        <f t="array" ref="M494">IFERROR(INDEX(M_DepotPrice!$C$10:$C$52,MATCH(1,(M_DepotPrice!$A$10:$A$52=I494)*(M_DepotPrice!$H$10:$H$52=IFERROR(INDEX(M_Depot!$A$7:$A$24,MATCH(F494,M_Depot!$B$7:$B$24,0)),""))*(M_DepotPrice!$G$10:$G$52="Special"),0)),INDEX(M_DepotPrice!$C$10:$C$52,MATCH(1,(M_DepotPrice!$A$10:$A$52=I494)*(M_DepotPrice!$G$10:$G$52="Default"),0)))</f>
        <v>11780</v>
      </c>
      <c r="N494" s="95">
        <f t="shared" si="15"/>
        <v>4138.1490800000001</v>
      </c>
      <c r="O494" s="82" t="str">
        <f t="shared" si="14"/>
        <v>MOS100624|FG010|CK3-33301</v>
      </c>
    </row>
    <row r="495" spans="1:15" ht="15" customHeight="1" x14ac:dyDescent="0.3">
      <c r="A495" s="60" t="s">
        <v>1174</v>
      </c>
      <c r="B495" s="60" t="s">
        <v>569</v>
      </c>
      <c r="C495" s="62">
        <v>46179</v>
      </c>
      <c r="D495" s="63" t="s">
        <v>384</v>
      </c>
      <c r="E495" s="66" t="str">
        <f>IFERROR(INDEX(M_User!$A$12:$J$67,MATCH(D495,M_User!$D$12:$D$67,0),3),"UNMAPPED")</f>
        <v>Gastory S Msaki</v>
      </c>
      <c r="F495" s="65" t="str">
        <f>IFERROR(INDEX(M_User!$A$12:$J$67,MATCH(D495,M_User!$D$12:$D$67,0),5),"UNMAPPED")</f>
        <v>MOS</v>
      </c>
      <c r="G495" s="63" t="s">
        <v>840</v>
      </c>
      <c r="H495" s="69" t="s">
        <v>841</v>
      </c>
      <c r="I495" s="63" t="s">
        <v>201</v>
      </c>
      <c r="J495" s="66" t="str">
        <f>IFERROR(INDEX(M_SKU!$A$18:$J$57,MATCH(I495,M_SKU!$B$18:$B$57,0),1),"UNKNOWN SKU")</f>
        <v>Krest Tonic Water RGB 300ml</v>
      </c>
      <c r="K495" s="63" t="s">
        <v>540</v>
      </c>
      <c r="L495" s="276">
        <v>0.25266353688079302</v>
      </c>
      <c r="M495" s="91" cm="1">
        <f t="array" ref="M495">IFERROR(INDEX(M_DepotPrice!$C$10:$C$52,MATCH(1,(M_DepotPrice!$A$10:$A$52=I495)*(M_DepotPrice!$H$10:$H$52=IFERROR(INDEX(M_Depot!$A$7:$A$24,MATCH(F495,M_Depot!$B$7:$B$24,0)),""))*(M_DepotPrice!$G$10:$G$52="Special"),0)),INDEX(M_DepotPrice!$C$10:$C$52,MATCH(1,(M_DepotPrice!$A$10:$A$52=I495)*(M_DepotPrice!$G$10:$G$52="Default"),0)))</f>
        <v>11780</v>
      </c>
      <c r="N495" s="67">
        <f t="shared" si="15"/>
        <v>3512.1242280577753</v>
      </c>
      <c r="O495" s="66" t="str">
        <f t="shared" si="14"/>
        <v>MOS100624|FG011|CK3-33347</v>
      </c>
    </row>
    <row r="496" spans="1:15" ht="15" customHeight="1" x14ac:dyDescent="0.3">
      <c r="A496" s="70" t="s">
        <v>1175</v>
      </c>
      <c r="B496" s="70" t="s">
        <v>569</v>
      </c>
      <c r="C496" s="72">
        <v>46179</v>
      </c>
      <c r="D496" s="73" t="s">
        <v>384</v>
      </c>
      <c r="E496" s="76" t="str">
        <f>IFERROR(INDEX(M_User!$A$12:$J$67,MATCH(D496,M_User!$D$12:$D$67,0),3),"UNMAPPED")</f>
        <v>Gastory S Msaki</v>
      </c>
      <c r="F496" s="75" t="str">
        <f>IFERROR(INDEX(M_User!$A$12:$J$67,MATCH(D496,M_User!$D$12:$D$67,0),5),"UNMAPPED")</f>
        <v>MOS</v>
      </c>
      <c r="G496" s="73" t="s">
        <v>840</v>
      </c>
      <c r="H496" s="92" t="s">
        <v>841</v>
      </c>
      <c r="I496" s="73" t="s">
        <v>203</v>
      </c>
      <c r="J496" s="76" t="str">
        <f>IFERROR(INDEX(M_SKU!$A$18:$J$57,MATCH(I496,M_SKU!$B$18:$B$57,0),1),"UNKNOWN SKU")</f>
        <v>Krest Ginger Ale RGB 300ml</v>
      </c>
      <c r="K496" s="73" t="s">
        <v>541</v>
      </c>
      <c r="L496" s="276">
        <v>0.48222528400398701</v>
      </c>
      <c r="M496" s="94" cm="1">
        <f t="array" ref="M496">IFERROR(INDEX(M_DepotPrice!$C$10:$C$52,MATCH(1,(M_DepotPrice!$A$10:$A$52=I496)*(M_DepotPrice!$H$10:$H$52=IFERROR(INDEX(M_Depot!$A$7:$A$24,MATCH(F496,M_Depot!$B$7:$B$24,0)),""))*(M_DepotPrice!$G$10:$G$52="Special"),0)),INDEX(M_DepotPrice!$C$10:$C$52,MATCH(1,(M_DepotPrice!$A$10:$A$52=I496)*(M_DepotPrice!$G$10:$G$52="Default"),0)))</f>
        <v>11780</v>
      </c>
      <c r="N496" s="95">
        <f t="shared" si="15"/>
        <v>6703.1243377690207</v>
      </c>
      <c r="O496" s="82" t="str">
        <f t="shared" si="14"/>
        <v>MOS100624|FG012|CK3-33126</v>
      </c>
    </row>
    <row r="497" spans="1:15" ht="15" customHeight="1" x14ac:dyDescent="0.3">
      <c r="A497" s="60" t="s">
        <v>1176</v>
      </c>
      <c r="B497" s="60" t="s">
        <v>569</v>
      </c>
      <c r="C497" s="62">
        <v>46179</v>
      </c>
      <c r="D497" s="63" t="s">
        <v>384</v>
      </c>
      <c r="E497" s="66" t="str">
        <f>IFERROR(INDEX(M_User!$A$12:$J$67,MATCH(D497,M_User!$D$12:$D$67,0),3),"UNMAPPED")</f>
        <v>Gastory S Msaki</v>
      </c>
      <c r="F497" s="65" t="str">
        <f>IFERROR(INDEX(M_User!$A$12:$J$67,MATCH(D497,M_User!$D$12:$D$67,0),5),"UNMAPPED")</f>
        <v>MOS</v>
      </c>
      <c r="G497" s="63" t="s">
        <v>840</v>
      </c>
      <c r="H497" s="69" t="s">
        <v>841</v>
      </c>
      <c r="I497" s="63" t="s">
        <v>209</v>
      </c>
      <c r="J497" s="66" t="str">
        <f>IFERROR(INDEX(M_SKU!$A$18:$J$57,MATCH(I497,M_SKU!$B$18:$B$57,0),1),"UNKNOWN SKU")</f>
        <v>Sparletta Red Apple RGB 350ml</v>
      </c>
      <c r="K497" s="63" t="s">
        <v>542</v>
      </c>
      <c r="L497" s="276">
        <v>0.37305459352913101</v>
      </c>
      <c r="M497" s="91" cm="1">
        <f t="array" ref="M497">IFERROR(INDEX(M_DepotPrice!$C$10:$C$52,MATCH(1,(M_DepotPrice!$A$10:$A$52=I497)*(M_DepotPrice!$H$10:$H$52=IFERROR(INDEX(M_Depot!$A$7:$A$24,MATCH(F497,M_Depot!$B$7:$B$24,0)),""))*(M_DepotPrice!$G$10:$G$52="Special"),0)),INDEX(M_DepotPrice!$C$10:$C$52,MATCH(1,(M_DepotPrice!$A$10:$A$52=I497)*(M_DepotPrice!$G$10:$G$52="Default"),0)))</f>
        <v>11780</v>
      </c>
      <c r="N497" s="67">
        <f t="shared" si="15"/>
        <v>5185.6080718923322</v>
      </c>
      <c r="O497" s="66" t="str">
        <f t="shared" si="14"/>
        <v>MOS100624|FG024|CK3-32758</v>
      </c>
    </row>
    <row r="498" spans="1:15" ht="15" customHeight="1" x14ac:dyDescent="0.3">
      <c r="A498" s="70" t="s">
        <v>1177</v>
      </c>
      <c r="B498" s="70" t="s">
        <v>569</v>
      </c>
      <c r="C498" s="72">
        <v>46179</v>
      </c>
      <c r="D498" s="73" t="s">
        <v>384</v>
      </c>
      <c r="E498" s="76" t="str">
        <f>IFERROR(INDEX(M_User!$A$12:$J$67,MATCH(D498,M_User!$D$12:$D$67,0),3),"UNMAPPED")</f>
        <v>Gastory S Msaki</v>
      </c>
      <c r="F498" s="75" t="str">
        <f>IFERROR(INDEX(M_User!$A$12:$J$67,MATCH(D498,M_User!$D$12:$D$67,0),5),"UNMAPPED")</f>
        <v>MOS</v>
      </c>
      <c r="G498" s="73" t="s">
        <v>840</v>
      </c>
      <c r="H498" s="92" t="s">
        <v>841</v>
      </c>
      <c r="I498" s="73" t="s">
        <v>211</v>
      </c>
      <c r="J498" s="76" t="str">
        <f>IFERROR(INDEX(M_SKU!$A$18:$J$57,MATCH(I498,M_SKU!$B$18:$B$57,0),1),"UNKNOWN SKU")</f>
        <v>KNMW 500ml</v>
      </c>
      <c r="K498" s="73" t="s">
        <v>543</v>
      </c>
      <c r="L498" s="276">
        <v>5</v>
      </c>
      <c r="M498" s="94" cm="1">
        <f t="array" ref="M498">IFERROR(INDEX(M_DepotPrice!$C$10:$C$52,MATCH(1,(M_DepotPrice!$A$10:$A$52=I498)*(M_DepotPrice!$H$10:$H$52=IFERROR(INDEX(M_Depot!$A$7:$A$24,MATCH(F498,M_Depot!$B$7:$B$24,0)),""))*(M_DepotPrice!$G$10:$G$52="Special"),0)),INDEX(M_DepotPrice!$C$10:$C$52,MATCH(1,(M_DepotPrice!$A$10:$A$52=I498)*(M_DepotPrice!$G$10:$G$52="Default"),0)))</f>
        <v>3559</v>
      </c>
      <c r="N498" s="95">
        <f t="shared" si="15"/>
        <v>20998.1</v>
      </c>
      <c r="O498" s="82" t="str">
        <f t="shared" si="14"/>
        <v>MOS100624|KD001|CK6-986</v>
      </c>
    </row>
    <row r="499" spans="1:15" ht="15" customHeight="1" x14ac:dyDescent="0.3">
      <c r="A499" s="60" t="s">
        <v>1178</v>
      </c>
      <c r="B499" s="60" t="s">
        <v>569</v>
      </c>
      <c r="C499" s="62">
        <v>46179</v>
      </c>
      <c r="D499" s="63" t="s">
        <v>384</v>
      </c>
      <c r="E499" s="66" t="str">
        <f>IFERROR(INDEX(M_User!$A$12:$J$67,MATCH(D499,M_User!$D$12:$D$67,0),3),"UNMAPPED")</f>
        <v>Gastory S Msaki</v>
      </c>
      <c r="F499" s="65" t="str">
        <f>IFERROR(INDEX(M_User!$A$12:$J$67,MATCH(D499,M_User!$D$12:$D$67,0),5),"UNMAPPED")</f>
        <v>MOS</v>
      </c>
      <c r="G499" s="63" t="s">
        <v>840</v>
      </c>
      <c r="H499" s="69" t="s">
        <v>841</v>
      </c>
      <c r="I499" s="63" t="s">
        <v>217</v>
      </c>
      <c r="J499" s="66" t="str">
        <f>IFERROR(INDEX(M_SKU!$A$18:$J$57,MATCH(I499,M_SKU!$B$18:$B$57,0),1),"UNKNOWN SKU")</f>
        <v>KNMW 1500ml</v>
      </c>
      <c r="K499" s="63" t="s">
        <v>551</v>
      </c>
      <c r="L499" s="276">
        <v>35</v>
      </c>
      <c r="M499" s="91" cm="1">
        <f t="array" ref="M499">IFERROR(INDEX(M_DepotPrice!$C$10:$C$52,MATCH(1,(M_DepotPrice!$A$10:$A$52=I499)*(M_DepotPrice!$H$10:$H$52=IFERROR(INDEX(M_Depot!$A$7:$A$24,MATCH(F499,M_Depot!$B$7:$B$24,0)),""))*(M_DepotPrice!$G$10:$G$52="Special"),0)),INDEX(M_DepotPrice!$C$10:$C$52,MATCH(1,(M_DepotPrice!$A$10:$A$52=I499)*(M_DepotPrice!$G$10:$G$52="Default"),0)))</f>
        <v>3983</v>
      </c>
      <c r="N499" s="67">
        <f t="shared" si="15"/>
        <v>164497.9</v>
      </c>
      <c r="O499" s="66" t="str">
        <f t="shared" si="14"/>
        <v>MOS100624|KD003|CK4-842</v>
      </c>
    </row>
    <row r="500" spans="1:15" ht="15" customHeight="1" x14ac:dyDescent="0.3">
      <c r="A500" s="70" t="s">
        <v>1179</v>
      </c>
      <c r="B500" s="70" t="s">
        <v>569</v>
      </c>
      <c r="C500" s="72">
        <v>46179</v>
      </c>
      <c r="D500" s="73" t="s">
        <v>384</v>
      </c>
      <c r="E500" s="76" t="str">
        <f>IFERROR(INDEX(M_User!$A$12:$J$67,MATCH(D500,M_User!$D$12:$D$67,0),3),"UNMAPPED")</f>
        <v>Gastory S Msaki</v>
      </c>
      <c r="F500" s="75" t="str">
        <f>IFERROR(INDEX(M_User!$A$12:$J$67,MATCH(D500,M_User!$D$12:$D$67,0),5),"UNMAPPED")</f>
        <v>MOS</v>
      </c>
      <c r="G500" s="73" t="s">
        <v>840</v>
      </c>
      <c r="H500" s="92" t="s">
        <v>841</v>
      </c>
      <c r="I500" s="73" t="s">
        <v>229</v>
      </c>
      <c r="J500" s="76" t="str">
        <f>IFERROR(INDEX(M_SKU!$A$18:$J$57,MATCH(I500,M_SKU!$B$18:$B$57,0),1),"UNKNOWN SKU")</f>
        <v>Coke Pet 500ML ( x12)</v>
      </c>
      <c r="K500" s="73" t="s">
        <v>520</v>
      </c>
      <c r="L500" s="276">
        <v>14</v>
      </c>
      <c r="M500" s="94" cm="1">
        <f t="array" ref="M500">IFERROR(INDEX(M_DepotPrice!$C$10:$C$52,MATCH(1,(M_DepotPrice!$A$10:$A$52=I500)*(M_DepotPrice!$H$10:$H$52=IFERROR(INDEX(M_Depot!$A$7:$A$24,MATCH(F500,M_Depot!$B$7:$B$24,0)),""))*(M_DepotPrice!$G$10:$G$52="Special"),0)),INDEX(M_DepotPrice!$C$10:$C$52,MATCH(1,(M_DepotPrice!$A$10:$A$52=I500)*(M_DepotPrice!$G$10:$G$52="Default"),0)))</f>
        <v>8898</v>
      </c>
      <c r="N500" s="95">
        <f t="shared" si="15"/>
        <v>146994.96</v>
      </c>
      <c r="O500" s="82" t="str">
        <f t="shared" si="14"/>
        <v>MOS100624|PH001|CK6-33411</v>
      </c>
    </row>
    <row r="501" spans="1:15" ht="15" customHeight="1" x14ac:dyDescent="0.3">
      <c r="A501" s="60" t="s">
        <v>1180</v>
      </c>
      <c r="B501" s="60" t="s">
        <v>569</v>
      </c>
      <c r="C501" s="62">
        <v>46179</v>
      </c>
      <c r="D501" s="63" t="s">
        <v>384</v>
      </c>
      <c r="E501" s="66" t="str">
        <f>IFERROR(INDEX(M_User!$A$12:$J$67,MATCH(D501,M_User!$D$12:$D$67,0),3),"UNMAPPED")</f>
        <v>Gastory S Msaki</v>
      </c>
      <c r="F501" s="65" t="str">
        <f>IFERROR(INDEX(M_User!$A$12:$J$67,MATCH(D501,M_User!$D$12:$D$67,0),5),"UNMAPPED")</f>
        <v>MOS</v>
      </c>
      <c r="G501" s="63" t="s">
        <v>840</v>
      </c>
      <c r="H501" s="69" t="s">
        <v>841</v>
      </c>
      <c r="I501" s="63" t="s">
        <v>232</v>
      </c>
      <c r="J501" s="66" t="str">
        <f>IFERROR(INDEX(M_SKU!$A$18:$J$57,MATCH(I501,M_SKU!$B$18:$B$57,0),1),"UNKNOWN SKU")</f>
        <v>Sprite Pet 500ML (x 12)</v>
      </c>
      <c r="K501" s="63" t="s">
        <v>522</v>
      </c>
      <c r="L501" s="276">
        <v>7</v>
      </c>
      <c r="M501" s="91" cm="1">
        <f t="array" ref="M501">IFERROR(INDEX(M_DepotPrice!$C$10:$C$52,MATCH(1,(M_DepotPrice!$A$10:$A$52=I501)*(M_DepotPrice!$H$10:$H$52=IFERROR(INDEX(M_Depot!$A$7:$A$24,MATCH(F501,M_Depot!$B$7:$B$24,0)),""))*(M_DepotPrice!$G$10:$G$52="Special"),0)),INDEX(M_DepotPrice!$C$10:$C$52,MATCH(1,(M_DepotPrice!$A$10:$A$52=I501)*(M_DepotPrice!$G$10:$G$52="Default"),0)))</f>
        <v>8898</v>
      </c>
      <c r="N501" s="67">
        <f t="shared" si="15"/>
        <v>73497.48</v>
      </c>
      <c r="O501" s="66" t="str">
        <f t="shared" si="14"/>
        <v>MOS100624|PH002|CK6-33362</v>
      </c>
    </row>
    <row r="502" spans="1:15" ht="15" customHeight="1" x14ac:dyDescent="0.3">
      <c r="A502" s="70" t="s">
        <v>1181</v>
      </c>
      <c r="B502" s="70" t="s">
        <v>569</v>
      </c>
      <c r="C502" s="72">
        <v>46179</v>
      </c>
      <c r="D502" s="73" t="s">
        <v>384</v>
      </c>
      <c r="E502" s="76" t="str">
        <f>IFERROR(INDEX(M_User!$A$12:$J$67,MATCH(D502,M_User!$D$12:$D$67,0),3),"UNMAPPED")</f>
        <v>Gastory S Msaki</v>
      </c>
      <c r="F502" s="75" t="str">
        <f>IFERROR(INDEX(M_User!$A$12:$J$67,MATCH(D502,M_User!$D$12:$D$67,0),5),"UNMAPPED")</f>
        <v>MOS</v>
      </c>
      <c r="G502" s="73" t="s">
        <v>840</v>
      </c>
      <c r="H502" s="92" t="s">
        <v>841</v>
      </c>
      <c r="I502" s="73" t="s">
        <v>236</v>
      </c>
      <c r="J502" s="76" t="str">
        <f>IFERROR(INDEX(M_SKU!$A$18:$J$57,MATCH(I502,M_SKU!$B$18:$B$57,0),1),"UNKNOWN SKU")</f>
        <v>Fanta Passion Pet 500ML ( x12)</v>
      </c>
      <c r="K502" s="73" t="s">
        <v>524</v>
      </c>
      <c r="L502" s="276">
        <v>7</v>
      </c>
      <c r="M502" s="94" cm="1">
        <f t="array" ref="M502">IFERROR(INDEX(M_DepotPrice!$C$10:$C$52,MATCH(1,(M_DepotPrice!$A$10:$A$52=I502)*(M_DepotPrice!$H$10:$H$52=IFERROR(INDEX(M_Depot!$A$7:$A$24,MATCH(F502,M_Depot!$B$7:$B$24,0)),""))*(M_DepotPrice!$G$10:$G$52="Special"),0)),INDEX(M_DepotPrice!$C$10:$C$52,MATCH(1,(M_DepotPrice!$A$10:$A$52=I502)*(M_DepotPrice!$G$10:$G$52="Default"),0)))</f>
        <v>8898</v>
      </c>
      <c r="N502" s="95">
        <f t="shared" si="15"/>
        <v>73497.48</v>
      </c>
      <c r="O502" s="82" t="str">
        <f t="shared" si="14"/>
        <v>MOS100624|PH004|CK5-33334</v>
      </c>
    </row>
    <row r="503" spans="1:15" ht="15" customHeight="1" x14ac:dyDescent="0.3">
      <c r="A503" s="60" t="s">
        <v>1182</v>
      </c>
      <c r="B503" s="60" t="s">
        <v>569</v>
      </c>
      <c r="C503" s="62">
        <v>46179</v>
      </c>
      <c r="D503" s="63" t="s">
        <v>384</v>
      </c>
      <c r="E503" s="66" t="str">
        <f>IFERROR(INDEX(M_User!$A$12:$J$67,MATCH(D503,M_User!$D$12:$D$67,0),3),"UNMAPPED")</f>
        <v>Gastory S Msaki</v>
      </c>
      <c r="F503" s="65" t="str">
        <f>IFERROR(INDEX(M_User!$A$12:$J$67,MATCH(D503,M_User!$D$12:$D$67,0),5),"UNMAPPED")</f>
        <v>MOS</v>
      </c>
      <c r="G503" s="63" t="s">
        <v>904</v>
      </c>
      <c r="H503" s="69" t="s">
        <v>905</v>
      </c>
      <c r="I503" s="63" t="s">
        <v>170</v>
      </c>
      <c r="J503" s="66" t="str">
        <f>IFERROR(INDEX(M_SKU!$A$18:$J$57,MATCH(I503,M_SKU!$B$18:$B$57,0),1),"UNKNOWN SKU")</f>
        <v>Coke RGB 350ml</v>
      </c>
      <c r="K503" s="63" t="s">
        <v>530</v>
      </c>
      <c r="L503" s="276">
        <v>15.381600000000001</v>
      </c>
      <c r="M503" s="91" cm="1">
        <f t="array" ref="M503">IFERROR(INDEX(M_DepotPrice!$C$10:$C$52,MATCH(1,(M_DepotPrice!$A$10:$A$52=I503)*(M_DepotPrice!$H$10:$H$52=IFERROR(INDEX(M_Depot!$A$7:$A$24,MATCH(F503,M_Depot!$B$7:$B$24,0)),""))*(M_DepotPrice!$G$10:$G$52="Special"),0)),INDEX(M_DepotPrice!$C$10:$C$52,MATCH(1,(M_DepotPrice!$A$10:$A$52=I503)*(M_DepotPrice!$G$10:$G$52="Default"),0)))</f>
        <v>11780</v>
      </c>
      <c r="N503" s="67">
        <f t="shared" si="15"/>
        <v>213810.39264000001</v>
      </c>
      <c r="O503" s="66" t="str">
        <f t="shared" si="14"/>
        <v>MOS100624|FG001|CK3-33409</v>
      </c>
    </row>
    <row r="504" spans="1:15" ht="15" customHeight="1" x14ac:dyDescent="0.3">
      <c r="A504" s="70" t="s">
        <v>1183</v>
      </c>
      <c r="B504" s="70" t="s">
        <v>569</v>
      </c>
      <c r="C504" s="72">
        <v>46179</v>
      </c>
      <c r="D504" s="73" t="s">
        <v>384</v>
      </c>
      <c r="E504" s="76" t="str">
        <f>IFERROR(INDEX(M_User!$A$12:$J$67,MATCH(D504,M_User!$D$12:$D$67,0),3),"UNMAPPED")</f>
        <v>Gastory S Msaki</v>
      </c>
      <c r="F504" s="75" t="str">
        <f>IFERROR(INDEX(M_User!$A$12:$J$67,MATCH(D504,M_User!$D$12:$D$67,0),5),"UNMAPPED")</f>
        <v>MOS</v>
      </c>
      <c r="G504" s="73" t="s">
        <v>904</v>
      </c>
      <c r="H504" s="92" t="s">
        <v>905</v>
      </c>
      <c r="I504" s="73" t="s">
        <v>178</v>
      </c>
      <c r="J504" s="76" t="str">
        <f>IFERROR(INDEX(M_SKU!$A$18:$J$57,MATCH(I504,M_SKU!$B$18:$B$57,0),1),"UNKNOWN SKU")</f>
        <v>Fanta Orange RGB 350ml</v>
      </c>
      <c r="K504" s="73" t="s">
        <v>531</v>
      </c>
      <c r="L504" s="276">
        <v>4.7333999999999996</v>
      </c>
      <c r="M504" s="94" cm="1">
        <f t="array" ref="M504">IFERROR(INDEX(M_DepotPrice!$C$10:$C$52,MATCH(1,(M_DepotPrice!$A$10:$A$52=I504)*(M_DepotPrice!$H$10:$H$52=IFERROR(INDEX(M_Depot!$A$7:$A$24,MATCH(F504,M_Depot!$B$7:$B$24,0)),""))*(M_DepotPrice!$G$10:$G$52="Special"),0)),INDEX(M_DepotPrice!$C$10:$C$52,MATCH(1,(M_DepotPrice!$A$10:$A$52=I504)*(M_DepotPrice!$G$10:$G$52="Default"),0)))</f>
        <v>11780</v>
      </c>
      <c r="N504" s="95">
        <f t="shared" si="15"/>
        <v>65796.153359999997</v>
      </c>
      <c r="O504" s="82" t="str">
        <f t="shared" si="14"/>
        <v>MOS100624|FG002|CK3-33407</v>
      </c>
    </row>
    <row r="505" spans="1:15" ht="15" customHeight="1" x14ac:dyDescent="0.3">
      <c r="A505" s="60" t="s">
        <v>1184</v>
      </c>
      <c r="B505" s="60" t="s">
        <v>569</v>
      </c>
      <c r="C505" s="62">
        <v>46179</v>
      </c>
      <c r="D505" s="63" t="s">
        <v>384</v>
      </c>
      <c r="E505" s="66" t="str">
        <f>IFERROR(INDEX(M_User!$A$12:$J$67,MATCH(D505,M_User!$D$12:$D$67,0),3),"UNMAPPED")</f>
        <v>Gastory S Msaki</v>
      </c>
      <c r="F505" s="65" t="str">
        <f>IFERROR(INDEX(M_User!$A$12:$J$67,MATCH(D505,M_User!$D$12:$D$67,0),5),"UNMAPPED")</f>
        <v>MOS</v>
      </c>
      <c r="G505" s="63" t="s">
        <v>904</v>
      </c>
      <c r="H505" s="69" t="s">
        <v>905</v>
      </c>
      <c r="I505" s="63" t="s">
        <v>181</v>
      </c>
      <c r="J505" s="66" t="str">
        <f>IFERROR(INDEX(M_SKU!$A$18:$J$57,MATCH(I505,M_SKU!$B$18:$B$57,0),1),"UNKNOWN SKU")</f>
        <v>Fanta Passion RGB 350ml</v>
      </c>
      <c r="K505" s="63" t="s">
        <v>550</v>
      </c>
      <c r="L505" s="276">
        <v>2.8626</v>
      </c>
      <c r="M505" s="91" cm="1">
        <f t="array" ref="M505">IFERROR(INDEX(M_DepotPrice!$C$10:$C$52,MATCH(1,(M_DepotPrice!$A$10:$A$52=I505)*(M_DepotPrice!$H$10:$H$52=IFERROR(INDEX(M_Depot!$A$7:$A$24,MATCH(F505,M_Depot!$B$7:$B$24,0)),""))*(M_DepotPrice!$G$10:$G$52="Special"),0)),INDEX(M_DepotPrice!$C$10:$C$52,MATCH(1,(M_DepotPrice!$A$10:$A$52=I505)*(M_DepotPrice!$G$10:$G$52="Default"),0)))</f>
        <v>11780</v>
      </c>
      <c r="N505" s="67">
        <f t="shared" si="15"/>
        <v>39791.285039999995</v>
      </c>
      <c r="O505" s="66" t="str">
        <f t="shared" si="14"/>
        <v>MOS100624|FG003|CK3-33356</v>
      </c>
    </row>
    <row r="506" spans="1:15" ht="15" customHeight="1" x14ac:dyDescent="0.3">
      <c r="A506" s="70" t="s">
        <v>1185</v>
      </c>
      <c r="B506" s="70" t="s">
        <v>569</v>
      </c>
      <c r="C506" s="72">
        <v>46179</v>
      </c>
      <c r="D506" s="73" t="s">
        <v>384</v>
      </c>
      <c r="E506" s="76" t="str">
        <f>IFERROR(INDEX(M_User!$A$12:$J$67,MATCH(D506,M_User!$D$12:$D$67,0),3),"UNMAPPED")</f>
        <v>Gastory S Msaki</v>
      </c>
      <c r="F506" s="75" t="str">
        <f>IFERROR(INDEX(M_User!$A$12:$J$67,MATCH(D506,M_User!$D$12:$D$67,0),5),"UNMAPPED")</f>
        <v>MOS</v>
      </c>
      <c r="G506" s="73" t="s">
        <v>904</v>
      </c>
      <c r="H506" s="92" t="s">
        <v>905</v>
      </c>
      <c r="I506" s="73" t="s">
        <v>185</v>
      </c>
      <c r="J506" s="76" t="str">
        <f>IFERROR(INDEX(M_SKU!$A$18:$J$57,MATCH(I506,M_SKU!$B$18:$B$57,0),1),"UNKNOWN SKU")</f>
        <v>Fanta Fruit Blast RGB 350 ml</v>
      </c>
      <c r="K506" s="73" t="s">
        <v>534</v>
      </c>
      <c r="L506" s="276">
        <v>0.60670000000000002</v>
      </c>
      <c r="M506" s="94" cm="1">
        <f t="array" ref="M506">IFERROR(INDEX(M_DepotPrice!$C$10:$C$52,MATCH(1,(M_DepotPrice!$A$10:$A$52=I506)*(M_DepotPrice!$H$10:$H$52=IFERROR(INDEX(M_Depot!$A$7:$A$24,MATCH(F506,M_Depot!$B$7:$B$24,0)),""))*(M_DepotPrice!$G$10:$G$52="Special"),0)),INDEX(M_DepotPrice!$C$10:$C$52,MATCH(1,(M_DepotPrice!$A$10:$A$52=I506)*(M_DepotPrice!$G$10:$G$52="Default"),0)))</f>
        <v>11780</v>
      </c>
      <c r="N506" s="95">
        <f t="shared" si="15"/>
        <v>8433.3726800000004</v>
      </c>
      <c r="O506" s="82" t="str">
        <f t="shared" si="14"/>
        <v>MOS100624|FG005|CK3-33402</v>
      </c>
    </row>
    <row r="507" spans="1:15" ht="15" customHeight="1" x14ac:dyDescent="0.3">
      <c r="A507" s="60" t="s">
        <v>1186</v>
      </c>
      <c r="B507" s="60" t="s">
        <v>569</v>
      </c>
      <c r="C507" s="62">
        <v>46179</v>
      </c>
      <c r="D507" s="63" t="s">
        <v>384</v>
      </c>
      <c r="E507" s="66" t="str">
        <f>IFERROR(INDEX(M_User!$A$12:$J$67,MATCH(D507,M_User!$D$12:$D$67,0),3),"UNMAPPED")</f>
        <v>Gastory S Msaki</v>
      </c>
      <c r="F507" s="65" t="str">
        <f>IFERROR(INDEX(M_User!$A$12:$J$67,MATCH(D507,M_User!$D$12:$D$67,0),5),"UNMAPPED")</f>
        <v>MOS</v>
      </c>
      <c r="G507" s="63" t="s">
        <v>904</v>
      </c>
      <c r="H507" s="69" t="s">
        <v>905</v>
      </c>
      <c r="I507" s="63" t="s">
        <v>190</v>
      </c>
      <c r="J507" s="66" t="str">
        <f>IFERROR(INDEX(M_SKU!$A$18:$J$57,MATCH(I507,M_SKU!$B$18:$B$57,0),1),"UNKNOWN SKU")</f>
        <v>Stoney Tangawizi RGB 350ml</v>
      </c>
      <c r="K507" s="63" t="s">
        <v>536</v>
      </c>
      <c r="L507" s="276">
        <v>1.944</v>
      </c>
      <c r="M507" s="91" cm="1">
        <f t="array" ref="M507">IFERROR(INDEX(M_DepotPrice!$C$10:$C$52,MATCH(1,(M_DepotPrice!$A$10:$A$52=I507)*(M_DepotPrice!$H$10:$H$52=IFERROR(INDEX(M_Depot!$A$7:$A$24,MATCH(F507,M_Depot!$B$7:$B$24,0)),""))*(M_DepotPrice!$G$10:$G$52="Special"),0)),INDEX(M_DepotPrice!$C$10:$C$52,MATCH(1,(M_DepotPrice!$A$10:$A$52=I507)*(M_DepotPrice!$G$10:$G$52="Default"),0)))</f>
        <v>11780</v>
      </c>
      <c r="N507" s="67">
        <f t="shared" si="15"/>
        <v>27022.3776</v>
      </c>
      <c r="O507" s="66" t="str">
        <f t="shared" si="14"/>
        <v>MOS100624|FG007|CK3-33404</v>
      </c>
    </row>
    <row r="508" spans="1:15" ht="15" customHeight="1" x14ac:dyDescent="0.3">
      <c r="A508" s="70" t="s">
        <v>1187</v>
      </c>
      <c r="B508" s="70" t="s">
        <v>569</v>
      </c>
      <c r="C508" s="72">
        <v>46179</v>
      </c>
      <c r="D508" s="73" t="s">
        <v>384</v>
      </c>
      <c r="E508" s="76" t="str">
        <f>IFERROR(INDEX(M_User!$A$12:$J$67,MATCH(D508,M_User!$D$12:$D$67,0),3),"UNMAPPED")</f>
        <v>Gastory S Msaki</v>
      </c>
      <c r="F508" s="75" t="str">
        <f>IFERROR(INDEX(M_User!$A$12:$J$67,MATCH(D508,M_User!$D$12:$D$67,0),5),"UNMAPPED")</f>
        <v>MOS</v>
      </c>
      <c r="G508" s="73" t="s">
        <v>904</v>
      </c>
      <c r="H508" s="92" t="s">
        <v>905</v>
      </c>
      <c r="I508" s="73" t="s">
        <v>199</v>
      </c>
      <c r="J508" s="76" t="str">
        <f>IFERROR(INDEX(M_SKU!$A$18:$J$57,MATCH(I508,M_SKU!$B$18:$B$57,0),1),"UNKNOWN SKU")</f>
        <v>Krest Club Soda RGB 300ml</v>
      </c>
      <c r="K508" s="73" t="s">
        <v>539</v>
      </c>
      <c r="L508" s="276">
        <v>0.2316</v>
      </c>
      <c r="M508" s="94" cm="1">
        <f t="array" ref="M508">IFERROR(INDEX(M_DepotPrice!$C$10:$C$52,MATCH(1,(M_DepotPrice!$A$10:$A$52=I508)*(M_DepotPrice!$H$10:$H$52=IFERROR(INDEX(M_Depot!$A$7:$A$24,MATCH(F508,M_Depot!$B$7:$B$24,0)),""))*(M_DepotPrice!$G$10:$G$52="Special"),0)),INDEX(M_DepotPrice!$C$10:$C$52,MATCH(1,(M_DepotPrice!$A$10:$A$52=I508)*(M_DepotPrice!$G$10:$G$52="Default"),0)))</f>
        <v>11780</v>
      </c>
      <c r="N508" s="95">
        <f t="shared" si="15"/>
        <v>3219.3326400000001</v>
      </c>
      <c r="O508" s="82" t="str">
        <f t="shared" si="14"/>
        <v>MOS100624|FG010|CK3-33301</v>
      </c>
    </row>
    <row r="509" spans="1:15" ht="15" customHeight="1" x14ac:dyDescent="0.3">
      <c r="A509" s="60" t="s">
        <v>1188</v>
      </c>
      <c r="B509" s="60" t="s">
        <v>569</v>
      </c>
      <c r="C509" s="62">
        <v>46179</v>
      </c>
      <c r="D509" s="63" t="s">
        <v>384</v>
      </c>
      <c r="E509" s="66" t="str">
        <f>IFERROR(INDEX(M_User!$A$12:$J$67,MATCH(D509,M_User!$D$12:$D$67,0),3),"UNMAPPED")</f>
        <v>Gastory S Msaki</v>
      </c>
      <c r="F509" s="65" t="str">
        <f>IFERROR(INDEX(M_User!$A$12:$J$67,MATCH(D509,M_User!$D$12:$D$67,0),5),"UNMAPPED")</f>
        <v>MOS</v>
      </c>
      <c r="G509" s="63" t="s">
        <v>904</v>
      </c>
      <c r="H509" s="69" t="s">
        <v>905</v>
      </c>
      <c r="I509" s="63" t="s">
        <v>203</v>
      </c>
      <c r="J509" s="66" t="str">
        <f>IFERROR(INDEX(M_SKU!$A$18:$J$57,MATCH(I509,M_SKU!$B$18:$B$57,0),1),"UNKNOWN SKU")</f>
        <v>Krest Ginger Ale RGB 300ml</v>
      </c>
      <c r="K509" s="63" t="s">
        <v>541</v>
      </c>
      <c r="L509" s="276">
        <v>0.40679999999999999</v>
      </c>
      <c r="M509" s="91" cm="1">
        <f t="array" ref="M509">IFERROR(INDEX(M_DepotPrice!$C$10:$C$52,MATCH(1,(M_DepotPrice!$A$10:$A$52=I509)*(M_DepotPrice!$H$10:$H$52=IFERROR(INDEX(M_Depot!$A$7:$A$24,MATCH(F509,M_Depot!$B$7:$B$24,0)),""))*(M_DepotPrice!$G$10:$G$52="Special"),0)),INDEX(M_DepotPrice!$C$10:$C$52,MATCH(1,(M_DepotPrice!$A$10:$A$52=I509)*(M_DepotPrice!$G$10:$G$52="Default"),0)))</f>
        <v>11780</v>
      </c>
      <c r="N509" s="67">
        <f t="shared" si="15"/>
        <v>5654.6827199999998</v>
      </c>
      <c r="O509" s="66" t="str">
        <f t="shared" si="14"/>
        <v>MOS100624|FG012|CK3-33126</v>
      </c>
    </row>
    <row r="510" spans="1:15" ht="15" customHeight="1" x14ac:dyDescent="0.3">
      <c r="A510" s="70" t="s">
        <v>1189</v>
      </c>
      <c r="B510" s="70" t="s">
        <v>569</v>
      </c>
      <c r="C510" s="72">
        <v>46179</v>
      </c>
      <c r="D510" s="73" t="s">
        <v>384</v>
      </c>
      <c r="E510" s="76" t="str">
        <f>IFERROR(INDEX(M_User!$A$12:$J$67,MATCH(D510,M_User!$D$12:$D$67,0),3),"UNMAPPED")</f>
        <v>Gastory S Msaki</v>
      </c>
      <c r="F510" s="75" t="str">
        <f>IFERROR(INDEX(M_User!$A$12:$J$67,MATCH(D510,M_User!$D$12:$D$67,0),5),"UNMAPPED")</f>
        <v>MOS</v>
      </c>
      <c r="G510" s="73" t="s">
        <v>904</v>
      </c>
      <c r="H510" s="92" t="s">
        <v>905</v>
      </c>
      <c r="I510" s="73" t="s">
        <v>209</v>
      </c>
      <c r="J510" s="76" t="str">
        <f>IFERROR(INDEX(M_SKU!$A$18:$J$57,MATCH(I510,M_SKU!$B$18:$B$57,0),1),"UNKNOWN SKU")</f>
        <v>Sparletta Red Apple RGB 350ml</v>
      </c>
      <c r="K510" s="73" t="s">
        <v>542</v>
      </c>
      <c r="L510" s="276">
        <v>0.56410000000000005</v>
      </c>
      <c r="M510" s="94" cm="1">
        <f t="array" ref="M510">IFERROR(INDEX(M_DepotPrice!$C$10:$C$52,MATCH(1,(M_DepotPrice!$A$10:$A$52=I510)*(M_DepotPrice!$H$10:$H$52=IFERROR(INDEX(M_Depot!$A$7:$A$24,MATCH(F510,M_Depot!$B$7:$B$24,0)),""))*(M_DepotPrice!$G$10:$G$52="Special"),0)),INDEX(M_DepotPrice!$C$10:$C$52,MATCH(1,(M_DepotPrice!$A$10:$A$52=I510)*(M_DepotPrice!$G$10:$G$52="Default"),0)))</f>
        <v>11780</v>
      </c>
      <c r="N510" s="95">
        <f t="shared" si="15"/>
        <v>7841.2156400000003</v>
      </c>
      <c r="O510" s="82" t="str">
        <f t="shared" si="14"/>
        <v>MOS100624|FG024|CK3-32758</v>
      </c>
    </row>
    <row r="511" spans="1:15" ht="15" customHeight="1" x14ac:dyDescent="0.3">
      <c r="A511" s="60" t="s">
        <v>1190</v>
      </c>
      <c r="B511" s="60" t="s">
        <v>569</v>
      </c>
      <c r="C511" s="62">
        <v>46179</v>
      </c>
      <c r="D511" s="63" t="s">
        <v>384</v>
      </c>
      <c r="E511" s="66" t="str">
        <f>IFERROR(INDEX(M_User!$A$12:$J$67,MATCH(D511,M_User!$D$12:$D$67,0),3),"UNMAPPED")</f>
        <v>Gastory S Msaki</v>
      </c>
      <c r="F511" s="65" t="str">
        <f>IFERROR(INDEX(M_User!$A$12:$J$67,MATCH(D511,M_User!$D$12:$D$67,0),5),"UNMAPPED")</f>
        <v>MOS</v>
      </c>
      <c r="G511" s="63" t="s">
        <v>904</v>
      </c>
      <c r="H511" s="69" t="s">
        <v>905</v>
      </c>
      <c r="I511" s="63" t="s">
        <v>211</v>
      </c>
      <c r="J511" s="66" t="str">
        <f>IFERROR(INDEX(M_SKU!$A$18:$J$57,MATCH(I511,M_SKU!$B$18:$B$57,0),1),"UNKNOWN SKU")</f>
        <v>KNMW 500ml</v>
      </c>
      <c r="K511" s="63" t="s">
        <v>543</v>
      </c>
      <c r="L511" s="276">
        <v>4</v>
      </c>
      <c r="M511" s="91" cm="1">
        <f t="array" ref="M511">IFERROR(INDEX(M_DepotPrice!$C$10:$C$52,MATCH(1,(M_DepotPrice!$A$10:$A$52=I511)*(M_DepotPrice!$H$10:$H$52=IFERROR(INDEX(M_Depot!$A$7:$A$24,MATCH(F511,M_Depot!$B$7:$B$24,0)),""))*(M_DepotPrice!$G$10:$G$52="Special"),0)),INDEX(M_DepotPrice!$C$10:$C$52,MATCH(1,(M_DepotPrice!$A$10:$A$52=I511)*(M_DepotPrice!$G$10:$G$52="Default"),0)))</f>
        <v>3559</v>
      </c>
      <c r="N511" s="67">
        <f t="shared" si="15"/>
        <v>16798.48</v>
      </c>
      <c r="O511" s="66" t="str">
        <f t="shared" si="14"/>
        <v>MOS100624|KD001|CK6-986</v>
      </c>
    </row>
    <row r="512" spans="1:15" ht="15" customHeight="1" x14ac:dyDescent="0.3">
      <c r="A512" s="70" t="s">
        <v>1191</v>
      </c>
      <c r="B512" s="70" t="s">
        <v>569</v>
      </c>
      <c r="C512" s="72">
        <v>46179</v>
      </c>
      <c r="D512" s="73" t="s">
        <v>384</v>
      </c>
      <c r="E512" s="76" t="str">
        <f>IFERROR(INDEX(M_User!$A$12:$J$67,MATCH(D512,M_User!$D$12:$D$67,0),3),"UNMAPPED")</f>
        <v>Gastory S Msaki</v>
      </c>
      <c r="F512" s="75" t="str">
        <f>IFERROR(INDEX(M_User!$A$12:$J$67,MATCH(D512,M_User!$D$12:$D$67,0),5),"UNMAPPED")</f>
        <v>MOS</v>
      </c>
      <c r="G512" s="73" t="s">
        <v>904</v>
      </c>
      <c r="H512" s="92" t="s">
        <v>905</v>
      </c>
      <c r="I512" s="73" t="s">
        <v>217</v>
      </c>
      <c r="J512" s="76" t="str">
        <f>IFERROR(INDEX(M_SKU!$A$18:$J$57,MATCH(I512,M_SKU!$B$18:$B$57,0),1),"UNKNOWN SKU")</f>
        <v>KNMW 1500ml</v>
      </c>
      <c r="K512" s="73" t="s">
        <v>551</v>
      </c>
      <c r="L512" s="276">
        <v>35</v>
      </c>
      <c r="M512" s="94" cm="1">
        <f t="array" ref="M512">IFERROR(INDEX(M_DepotPrice!$C$10:$C$52,MATCH(1,(M_DepotPrice!$A$10:$A$52=I512)*(M_DepotPrice!$H$10:$H$52=IFERROR(INDEX(M_Depot!$A$7:$A$24,MATCH(F512,M_Depot!$B$7:$B$24,0)),""))*(M_DepotPrice!$G$10:$G$52="Special"),0)),INDEX(M_DepotPrice!$C$10:$C$52,MATCH(1,(M_DepotPrice!$A$10:$A$52=I512)*(M_DepotPrice!$G$10:$G$52="Default"),0)))</f>
        <v>3983</v>
      </c>
      <c r="N512" s="95">
        <f t="shared" si="15"/>
        <v>164497.9</v>
      </c>
      <c r="O512" s="82" t="str">
        <f t="shared" si="14"/>
        <v>MOS100624|KD003|CK4-842</v>
      </c>
    </row>
    <row r="513" spans="1:15" ht="15" customHeight="1" x14ac:dyDescent="0.3">
      <c r="A513" s="60" t="s">
        <v>1192</v>
      </c>
      <c r="B513" s="60" t="s">
        <v>569</v>
      </c>
      <c r="C513" s="62">
        <v>46179</v>
      </c>
      <c r="D513" s="63" t="s">
        <v>384</v>
      </c>
      <c r="E513" s="66" t="str">
        <f>IFERROR(INDEX(M_User!$A$12:$J$67,MATCH(D513,M_User!$D$12:$D$67,0),3),"UNMAPPED")</f>
        <v>Gastory S Msaki</v>
      </c>
      <c r="F513" s="65" t="str">
        <f>IFERROR(INDEX(M_User!$A$12:$J$67,MATCH(D513,M_User!$D$12:$D$67,0),5),"UNMAPPED")</f>
        <v>MOS</v>
      </c>
      <c r="G513" s="63" t="s">
        <v>904</v>
      </c>
      <c r="H513" s="69" t="s">
        <v>905</v>
      </c>
      <c r="I513" s="63" t="s">
        <v>225</v>
      </c>
      <c r="J513" s="66" t="str">
        <f>IFERROR(INDEX(M_SKU!$A$18:$J$57,MATCH(I513,M_SKU!$B$18:$B$57,0),1),"UNKNOWN SKU")</f>
        <v>Kilimanjaro Drinking Water 18900 ML</v>
      </c>
      <c r="K513" s="63" t="s">
        <v>567</v>
      </c>
      <c r="L513" s="276">
        <v>3</v>
      </c>
      <c r="M513" s="91" cm="1">
        <f t="array" ref="M513">IFERROR(INDEX(M_DepotPrice!$C$10:$C$52,MATCH(1,(M_DepotPrice!$A$10:$A$52=I513)*(M_DepotPrice!$H$10:$H$52=IFERROR(INDEX(M_Depot!$A$7:$A$24,MATCH(F513,M_Depot!$B$7:$B$24,0)),""))*(M_DepotPrice!$G$10:$G$52="Special"),0)),INDEX(M_DepotPrice!$C$10:$C$52,MATCH(1,(M_DepotPrice!$A$10:$A$52=I513)*(M_DepotPrice!$G$10:$G$52="Default"),0)))</f>
        <v>5932</v>
      </c>
      <c r="N513" s="67">
        <f t="shared" si="15"/>
        <v>20999.279999999999</v>
      </c>
      <c r="O513" s="66" t="str">
        <f t="shared" si="14"/>
        <v>MOS100624|KD006|CK7-915</v>
      </c>
    </row>
    <row r="514" spans="1:15" ht="15" customHeight="1" x14ac:dyDescent="0.3">
      <c r="A514" s="70" t="s">
        <v>1193</v>
      </c>
      <c r="B514" s="70" t="s">
        <v>569</v>
      </c>
      <c r="C514" s="72">
        <v>46179</v>
      </c>
      <c r="D514" s="73" t="s">
        <v>384</v>
      </c>
      <c r="E514" s="76" t="str">
        <f>IFERROR(INDEX(M_User!$A$12:$J$67,MATCH(D514,M_User!$D$12:$D$67,0),3),"UNMAPPED")</f>
        <v>Gastory S Msaki</v>
      </c>
      <c r="F514" s="75" t="str">
        <f>IFERROR(INDEX(M_User!$A$12:$J$67,MATCH(D514,M_User!$D$12:$D$67,0),5),"UNMAPPED")</f>
        <v>MOS</v>
      </c>
      <c r="G514" s="73" t="s">
        <v>904</v>
      </c>
      <c r="H514" s="92" t="s">
        <v>905</v>
      </c>
      <c r="I514" s="73" t="s">
        <v>229</v>
      </c>
      <c r="J514" s="76" t="str">
        <f>IFERROR(INDEX(M_SKU!$A$18:$J$57,MATCH(I514,M_SKU!$B$18:$B$57,0),1),"UNKNOWN SKU")</f>
        <v>Coke Pet 500ML ( x12)</v>
      </c>
      <c r="K514" s="73" t="s">
        <v>520</v>
      </c>
      <c r="L514" s="276">
        <v>24</v>
      </c>
      <c r="M514" s="94" cm="1">
        <f t="array" ref="M514">IFERROR(INDEX(M_DepotPrice!$C$10:$C$52,MATCH(1,(M_DepotPrice!$A$10:$A$52=I514)*(M_DepotPrice!$H$10:$H$52=IFERROR(INDEX(M_Depot!$A$7:$A$24,MATCH(F514,M_Depot!$B$7:$B$24,0)),""))*(M_DepotPrice!$G$10:$G$52="Special"),0)),INDEX(M_DepotPrice!$C$10:$C$52,MATCH(1,(M_DepotPrice!$A$10:$A$52=I514)*(M_DepotPrice!$G$10:$G$52="Default"),0)))</f>
        <v>8898</v>
      </c>
      <c r="N514" s="95">
        <f t="shared" si="15"/>
        <v>251991.36</v>
      </c>
      <c r="O514" s="82" t="str">
        <f t="shared" si="14"/>
        <v>MOS100624|PH001|CK6-33411</v>
      </c>
    </row>
    <row r="515" spans="1:15" ht="15" customHeight="1" x14ac:dyDescent="0.3">
      <c r="A515" s="60" t="s">
        <v>1194</v>
      </c>
      <c r="B515" s="60" t="s">
        <v>569</v>
      </c>
      <c r="C515" s="62">
        <v>46179</v>
      </c>
      <c r="D515" s="63" t="s">
        <v>384</v>
      </c>
      <c r="E515" s="66" t="str">
        <f>IFERROR(INDEX(M_User!$A$12:$J$67,MATCH(D515,M_User!$D$12:$D$67,0),3),"UNMAPPED")</f>
        <v>Gastory S Msaki</v>
      </c>
      <c r="F515" s="65" t="str">
        <f>IFERROR(INDEX(M_User!$A$12:$J$67,MATCH(D515,M_User!$D$12:$D$67,0),5),"UNMAPPED")</f>
        <v>MOS</v>
      </c>
      <c r="G515" s="63" t="s">
        <v>904</v>
      </c>
      <c r="H515" s="69" t="s">
        <v>905</v>
      </c>
      <c r="I515" s="63" t="s">
        <v>234</v>
      </c>
      <c r="J515" s="66" t="str">
        <f>IFERROR(INDEX(M_SKU!$A$18:$J$57,MATCH(I515,M_SKU!$B$18:$B$57,0),1),"UNKNOWN SKU")</f>
        <v>Fanta Orange Pet 500ML ( x 12)</v>
      </c>
      <c r="K515" s="63" t="s">
        <v>523</v>
      </c>
      <c r="L515" s="276">
        <v>6</v>
      </c>
      <c r="M515" s="91" cm="1">
        <f t="array" ref="M515">IFERROR(INDEX(M_DepotPrice!$C$10:$C$52,MATCH(1,(M_DepotPrice!$A$10:$A$52=I515)*(M_DepotPrice!$H$10:$H$52=IFERROR(INDEX(M_Depot!$A$7:$A$24,MATCH(F515,M_Depot!$B$7:$B$24,0)),""))*(M_DepotPrice!$G$10:$G$52="Special"),0)),INDEX(M_DepotPrice!$C$10:$C$52,MATCH(1,(M_DepotPrice!$A$10:$A$52=I515)*(M_DepotPrice!$G$10:$G$52="Default"),0)))</f>
        <v>8898</v>
      </c>
      <c r="N515" s="67">
        <f t="shared" si="15"/>
        <v>62997.84</v>
      </c>
      <c r="O515" s="66" t="str">
        <f t="shared" si="14"/>
        <v>MOS100624|PH003|CK6-33405</v>
      </c>
    </row>
    <row r="516" spans="1:15" ht="15" customHeight="1" x14ac:dyDescent="0.3">
      <c r="A516" s="70" t="s">
        <v>1195</v>
      </c>
      <c r="B516" s="70" t="s">
        <v>569</v>
      </c>
      <c r="C516" s="72">
        <v>46179</v>
      </c>
      <c r="D516" s="73" t="s">
        <v>384</v>
      </c>
      <c r="E516" s="76" t="str">
        <f>IFERROR(INDEX(M_User!$A$12:$J$67,MATCH(D516,M_User!$D$12:$D$67,0),3),"UNMAPPED")</f>
        <v>Gastory S Msaki</v>
      </c>
      <c r="F516" s="75" t="str">
        <f>IFERROR(INDEX(M_User!$A$12:$J$67,MATCH(D516,M_User!$D$12:$D$67,0),5),"UNMAPPED")</f>
        <v>MOS</v>
      </c>
      <c r="G516" s="73" t="s">
        <v>904</v>
      </c>
      <c r="H516" s="92" t="s">
        <v>905</v>
      </c>
      <c r="I516" s="73" t="s">
        <v>236</v>
      </c>
      <c r="J516" s="76" t="str">
        <f>IFERROR(INDEX(M_SKU!$A$18:$J$57,MATCH(I516,M_SKU!$B$18:$B$57,0),1),"UNKNOWN SKU")</f>
        <v>Fanta Passion Pet 500ML ( x12)</v>
      </c>
      <c r="K516" s="73" t="s">
        <v>524</v>
      </c>
      <c r="L516" s="276">
        <v>12</v>
      </c>
      <c r="M516" s="94" cm="1">
        <f t="array" ref="M516">IFERROR(INDEX(M_DepotPrice!$C$10:$C$52,MATCH(1,(M_DepotPrice!$A$10:$A$52=I516)*(M_DepotPrice!$H$10:$H$52=IFERROR(INDEX(M_Depot!$A$7:$A$24,MATCH(F516,M_Depot!$B$7:$B$24,0)),""))*(M_DepotPrice!$G$10:$G$52="Special"),0)),INDEX(M_DepotPrice!$C$10:$C$52,MATCH(1,(M_DepotPrice!$A$10:$A$52=I516)*(M_DepotPrice!$G$10:$G$52="Default"),0)))</f>
        <v>8898</v>
      </c>
      <c r="N516" s="95">
        <f t="shared" si="15"/>
        <v>125995.68</v>
      </c>
      <c r="O516" s="82" t="str">
        <f t="shared" si="14"/>
        <v>MOS100624|PH004|CK5-33334</v>
      </c>
    </row>
    <row r="517" spans="1:15" ht="15" customHeight="1" x14ac:dyDescent="0.3">
      <c r="A517" s="60" t="s">
        <v>1196</v>
      </c>
      <c r="B517" s="60" t="s">
        <v>569</v>
      </c>
      <c r="C517" s="62">
        <v>46179</v>
      </c>
      <c r="D517" s="63" t="s">
        <v>384</v>
      </c>
      <c r="E517" s="66" t="str">
        <f>IFERROR(INDEX(M_User!$A$12:$J$67,MATCH(D517,M_User!$D$12:$D$67,0),3),"UNMAPPED")</f>
        <v>Gastory S Msaki</v>
      </c>
      <c r="F517" s="65" t="str">
        <f>IFERROR(INDEX(M_User!$A$12:$J$67,MATCH(D517,M_User!$D$12:$D$67,0),5),"UNMAPPED")</f>
        <v>MOS</v>
      </c>
      <c r="G517" s="63" t="s">
        <v>904</v>
      </c>
      <c r="H517" s="69" t="s">
        <v>905</v>
      </c>
      <c r="I517" s="63" t="s">
        <v>242</v>
      </c>
      <c r="J517" s="66" t="str">
        <f>IFERROR(INDEX(M_SKU!$A$18:$J$57,MATCH(I517,M_SKU!$B$18:$B$57,0),1),"UNKNOWN SKU")</f>
        <v>Stoney Tangawizi Pet 500 ml ( x12)</v>
      </c>
      <c r="K517" s="63" t="s">
        <v>525</v>
      </c>
      <c r="L517" s="276">
        <v>6</v>
      </c>
      <c r="M517" s="91" cm="1">
        <f t="array" ref="M517">IFERROR(INDEX(M_DepotPrice!$C$10:$C$52,MATCH(1,(M_DepotPrice!$A$10:$A$52=I517)*(M_DepotPrice!$H$10:$H$52=IFERROR(INDEX(M_Depot!$A$7:$A$24,MATCH(F517,M_Depot!$B$7:$B$24,0)),""))*(M_DepotPrice!$G$10:$G$52="Special"),0)),INDEX(M_DepotPrice!$C$10:$C$52,MATCH(1,(M_DepotPrice!$A$10:$A$52=I517)*(M_DepotPrice!$G$10:$G$52="Default"),0)))</f>
        <v>8898</v>
      </c>
      <c r="N517" s="67">
        <f t="shared" si="15"/>
        <v>62997.84</v>
      </c>
      <c r="O517" s="66" t="str">
        <f t="shared" si="14"/>
        <v>MOS100624|PH007|CK6-33375</v>
      </c>
    </row>
    <row r="518" spans="1:15" ht="15" customHeight="1" x14ac:dyDescent="0.3">
      <c r="A518" s="70" t="s">
        <v>1197</v>
      </c>
      <c r="B518" s="70" t="s">
        <v>569</v>
      </c>
      <c r="C518" s="72">
        <v>46179</v>
      </c>
      <c r="D518" s="73" t="s">
        <v>384</v>
      </c>
      <c r="E518" s="76" t="str">
        <f>IFERROR(INDEX(M_User!$A$12:$J$67,MATCH(D518,M_User!$D$12:$D$67,0),3),"UNMAPPED")</f>
        <v>Gastory S Msaki</v>
      </c>
      <c r="F518" s="75" t="str">
        <f>IFERROR(INDEX(M_User!$A$12:$J$67,MATCH(D518,M_User!$D$12:$D$67,0),5),"UNMAPPED")</f>
        <v>MOS</v>
      </c>
      <c r="G518" s="73" t="s">
        <v>904</v>
      </c>
      <c r="H518" s="92" t="s">
        <v>905</v>
      </c>
      <c r="I518" s="73" t="s">
        <v>252</v>
      </c>
      <c r="J518" s="76" t="str">
        <f>IFERROR(INDEX(M_SKU!$A$18:$J$57,MATCH(I518,M_SKU!$B$18:$B$57,0),1),"UNKNOWN SKU")</f>
        <v>Sprite Zero Pet 300ML (x 12)</v>
      </c>
      <c r="K518" s="73" t="s">
        <v>545</v>
      </c>
      <c r="L518" s="276">
        <v>1</v>
      </c>
      <c r="M518" s="94" cm="1">
        <f t="array" ref="M518">IFERROR(INDEX(M_DepotPrice!$C$10:$C$52,MATCH(1,(M_DepotPrice!$A$10:$A$52=I518)*(M_DepotPrice!$H$10:$H$52=IFERROR(INDEX(M_Depot!$A$7:$A$24,MATCH(F518,M_Depot!$B$7:$B$24,0)),""))*(M_DepotPrice!$G$10:$G$52="Special"),0)),INDEX(M_DepotPrice!$C$10:$C$52,MATCH(1,(M_DepotPrice!$A$10:$A$52=I518)*(M_DepotPrice!$G$10:$G$52="Default"),0)))</f>
        <v>5085</v>
      </c>
      <c r="N518" s="95">
        <f t="shared" si="15"/>
        <v>6000.2999999999993</v>
      </c>
      <c r="O518" s="82" t="str">
        <f t="shared" si="14"/>
        <v>MOS100624|PO010|CK5-33360</v>
      </c>
    </row>
    <row r="519" spans="1:15" ht="15" customHeight="1" x14ac:dyDescent="0.3">
      <c r="A519" s="60" t="s">
        <v>1198</v>
      </c>
      <c r="B519" s="60" t="s">
        <v>569</v>
      </c>
      <c r="C519" s="62">
        <v>46179</v>
      </c>
      <c r="D519" s="63" t="s">
        <v>384</v>
      </c>
      <c r="E519" s="66" t="str">
        <f>IFERROR(INDEX(M_User!$A$12:$J$67,MATCH(D519,M_User!$D$12:$D$67,0),3),"UNMAPPED")</f>
        <v>Gastory S Msaki</v>
      </c>
      <c r="F519" s="65" t="str">
        <f>IFERROR(INDEX(M_User!$A$12:$J$67,MATCH(D519,M_User!$D$12:$D$67,0),5),"UNMAPPED")</f>
        <v>MOS</v>
      </c>
      <c r="G519" s="63" t="s">
        <v>904</v>
      </c>
      <c r="H519" s="69" t="s">
        <v>905</v>
      </c>
      <c r="I519" s="63" t="s">
        <v>254</v>
      </c>
      <c r="J519" s="66" t="str">
        <f>IFERROR(INDEX(M_SKU!$A$18:$J$57,MATCH(I519,M_SKU!$B$18:$B$57,0),1),"UNKNOWN SKU")</f>
        <v>Fanta Zero Pet 300ML (x 12)</v>
      </c>
      <c r="K519" s="63" t="s">
        <v>546</v>
      </c>
      <c r="L519" s="276">
        <v>1</v>
      </c>
      <c r="M519" s="91" cm="1">
        <f t="array" ref="M519">IFERROR(INDEX(M_DepotPrice!$C$10:$C$52,MATCH(1,(M_DepotPrice!$A$10:$A$52=I519)*(M_DepotPrice!$H$10:$H$52=IFERROR(INDEX(M_Depot!$A$7:$A$24,MATCH(F519,M_Depot!$B$7:$B$24,0)),""))*(M_DepotPrice!$G$10:$G$52="Special"),0)),INDEX(M_DepotPrice!$C$10:$C$52,MATCH(1,(M_DepotPrice!$A$10:$A$52=I519)*(M_DepotPrice!$G$10:$G$52="Default"),0)))</f>
        <v>5085</v>
      </c>
      <c r="N519" s="67">
        <f t="shared" si="15"/>
        <v>6000.2999999999993</v>
      </c>
      <c r="O519" s="66" t="str">
        <f t="shared" si="14"/>
        <v>MOS100624|PO012|CK5-33369</v>
      </c>
    </row>
    <row r="520" spans="1:15" ht="15" customHeight="1" x14ac:dyDescent="0.3">
      <c r="A520" s="70" t="s">
        <v>1199</v>
      </c>
      <c r="B520" s="70" t="s">
        <v>569</v>
      </c>
      <c r="C520" s="72">
        <v>46179</v>
      </c>
      <c r="D520" s="73" t="s">
        <v>384</v>
      </c>
      <c r="E520" s="76" t="str">
        <f>IFERROR(INDEX(M_User!$A$12:$J$67,MATCH(D520,M_User!$D$12:$D$67,0),3),"UNMAPPED")</f>
        <v>Gastory S Msaki</v>
      </c>
      <c r="F520" s="75" t="str">
        <f>IFERROR(INDEX(M_User!$A$12:$J$67,MATCH(D520,M_User!$D$12:$D$67,0),5),"UNMAPPED")</f>
        <v>MOS</v>
      </c>
      <c r="G520" s="73" t="s">
        <v>904</v>
      </c>
      <c r="H520" s="92" t="s">
        <v>905</v>
      </c>
      <c r="I520" s="73" t="s">
        <v>261</v>
      </c>
      <c r="J520" s="76" t="str">
        <f>IFERROR(INDEX(M_SKU!$A$18:$J$57,MATCH(I520,M_SKU!$B$18:$B$57,0),1),"UNKNOWN SKU")</f>
        <v>Sparletta Pine Apple Pet 300ML (x 12)</v>
      </c>
      <c r="K520" s="73" t="s">
        <v>547</v>
      </c>
      <c r="L520" s="276">
        <v>6</v>
      </c>
      <c r="M520" s="94" cm="1">
        <f t="array" ref="M520">IFERROR(INDEX(M_DepotPrice!$C$10:$C$52,MATCH(1,(M_DepotPrice!$A$10:$A$52=I520)*(M_DepotPrice!$H$10:$H$52=IFERROR(INDEX(M_Depot!$A$7:$A$24,MATCH(F520,M_Depot!$B$7:$B$24,0)),""))*(M_DepotPrice!$G$10:$G$52="Special"),0)),INDEX(M_DepotPrice!$C$10:$C$52,MATCH(1,(M_DepotPrice!$A$10:$A$52=I520)*(M_DepotPrice!$G$10:$G$52="Default"),0)))</f>
        <v>5085</v>
      </c>
      <c r="N520" s="95">
        <f t="shared" si="15"/>
        <v>36001.799999999996</v>
      </c>
      <c r="O520" s="82" t="str">
        <f t="shared" si="14"/>
        <v>MOS100624|PO015|CK5-33366</v>
      </c>
    </row>
    <row r="521" spans="1:15" ht="15" customHeight="1" x14ac:dyDescent="0.3">
      <c r="A521" s="60" t="s">
        <v>1200</v>
      </c>
      <c r="B521" s="60" t="s">
        <v>569</v>
      </c>
      <c r="C521" s="62">
        <v>46179</v>
      </c>
      <c r="D521" s="63" t="s">
        <v>384</v>
      </c>
      <c r="E521" s="66" t="str">
        <f>IFERROR(INDEX(M_User!$A$12:$J$67,MATCH(D521,M_User!$D$12:$D$67,0),3),"UNMAPPED")</f>
        <v>Gastory S Msaki</v>
      </c>
      <c r="F521" s="65" t="str">
        <f>IFERROR(INDEX(M_User!$A$12:$J$67,MATCH(D521,M_User!$D$12:$D$67,0),5),"UNMAPPED")</f>
        <v>MOS</v>
      </c>
      <c r="G521" s="63" t="s">
        <v>768</v>
      </c>
      <c r="H521" s="69" t="s">
        <v>769</v>
      </c>
      <c r="I521" s="63" t="s">
        <v>170</v>
      </c>
      <c r="J521" s="66" t="str">
        <f>IFERROR(INDEX(M_SKU!$A$18:$J$57,MATCH(I521,M_SKU!$B$18:$B$57,0),1),"UNKNOWN SKU")</f>
        <v>Coke RGB 350ml</v>
      </c>
      <c r="K521" s="63" t="s">
        <v>530</v>
      </c>
      <c r="L521" s="276">
        <v>17.7969517691844</v>
      </c>
      <c r="M521" s="91" cm="1">
        <f t="array" ref="M521">IFERROR(INDEX(M_DepotPrice!$C$10:$C$52,MATCH(1,(M_DepotPrice!$A$10:$A$52=I521)*(M_DepotPrice!$H$10:$H$52=IFERROR(INDEX(M_Depot!$A$7:$A$24,MATCH(F521,M_Depot!$B$7:$B$24,0)),""))*(M_DepotPrice!$G$10:$G$52="Special"),0)),INDEX(M_DepotPrice!$C$10:$C$52,MATCH(1,(M_DepotPrice!$A$10:$A$52=I521)*(M_DepotPrice!$G$10:$G$52="Default"),0)))</f>
        <v>11780</v>
      </c>
      <c r="N521" s="67">
        <f t="shared" si="15"/>
        <v>247384.74837237081</v>
      </c>
      <c r="O521" s="66" t="str">
        <f t="shared" ref="O521:O584" si="16">D521 &amp; "|" &amp; I521 &amp; "|" &amp; K521</f>
        <v>MOS100624|FG001|CK3-33409</v>
      </c>
    </row>
    <row r="522" spans="1:15" ht="15" customHeight="1" x14ac:dyDescent="0.3">
      <c r="A522" s="70" t="s">
        <v>1201</v>
      </c>
      <c r="B522" s="70" t="s">
        <v>569</v>
      </c>
      <c r="C522" s="72">
        <v>46179</v>
      </c>
      <c r="D522" s="73" t="s">
        <v>384</v>
      </c>
      <c r="E522" s="76" t="str">
        <f>IFERROR(INDEX(M_User!$A$12:$J$67,MATCH(D522,M_User!$D$12:$D$67,0),3),"UNMAPPED")</f>
        <v>Gastory S Msaki</v>
      </c>
      <c r="F522" s="75" t="str">
        <f>IFERROR(INDEX(M_User!$A$12:$J$67,MATCH(D522,M_User!$D$12:$D$67,0),5),"UNMAPPED")</f>
        <v>MOS</v>
      </c>
      <c r="G522" s="73" t="s">
        <v>768</v>
      </c>
      <c r="H522" s="92" t="s">
        <v>769</v>
      </c>
      <c r="I522" s="73" t="s">
        <v>185</v>
      </c>
      <c r="J522" s="76" t="str">
        <f>IFERROR(INDEX(M_SKU!$A$18:$J$57,MATCH(I522,M_SKU!$B$18:$B$57,0),1),"UNKNOWN SKU")</f>
        <v>Fanta Fruit Blast RGB 350 ml</v>
      </c>
      <c r="K522" s="73" t="s">
        <v>534</v>
      </c>
      <c r="L522" s="276">
        <v>1.2303428957064899</v>
      </c>
      <c r="M522" s="94" cm="1">
        <f t="array" ref="M522">IFERROR(INDEX(M_DepotPrice!$C$10:$C$52,MATCH(1,(M_DepotPrice!$A$10:$A$52=I522)*(M_DepotPrice!$H$10:$H$52=IFERROR(INDEX(M_Depot!$A$7:$A$24,MATCH(F522,M_Depot!$B$7:$B$24,0)),""))*(M_DepotPrice!$G$10:$G$52="Special"),0)),INDEX(M_DepotPrice!$C$10:$C$52,MATCH(1,(M_DepotPrice!$A$10:$A$52=I522)*(M_DepotPrice!$G$10:$G$52="Default"),0)))</f>
        <v>11780</v>
      </c>
      <c r="N522" s="95">
        <f t="shared" ref="N522:N585" si="17">(L522*M522)*1.18</f>
        <v>17102.25838747849</v>
      </c>
      <c r="O522" s="82" t="str">
        <f t="shared" si="16"/>
        <v>MOS100624|FG005|CK3-33402</v>
      </c>
    </row>
    <row r="523" spans="1:15" ht="15" customHeight="1" x14ac:dyDescent="0.3">
      <c r="A523" s="60" t="s">
        <v>1202</v>
      </c>
      <c r="B523" s="60" t="s">
        <v>569</v>
      </c>
      <c r="C523" s="62">
        <v>46179</v>
      </c>
      <c r="D523" s="63" t="s">
        <v>384</v>
      </c>
      <c r="E523" s="66" t="str">
        <f>IFERROR(INDEX(M_User!$A$12:$J$67,MATCH(D523,M_User!$D$12:$D$67,0),3),"UNMAPPED")</f>
        <v>Gastory S Msaki</v>
      </c>
      <c r="F523" s="65" t="str">
        <f>IFERROR(INDEX(M_User!$A$12:$J$67,MATCH(D523,M_User!$D$12:$D$67,0),5),"UNMAPPED")</f>
        <v>MOS</v>
      </c>
      <c r="G523" s="63" t="s">
        <v>768</v>
      </c>
      <c r="H523" s="69" t="s">
        <v>769</v>
      </c>
      <c r="I523" s="63" t="s">
        <v>187</v>
      </c>
      <c r="J523" s="66" t="str">
        <f>IFERROR(INDEX(M_SKU!$A$18:$J$57,MATCH(I523,M_SKU!$B$18:$B$57,0),1),"UNKNOWN SKU")</f>
        <v>Sprite 350ml</v>
      </c>
      <c r="K523" s="63" t="s">
        <v>535</v>
      </c>
      <c r="L523" s="276">
        <v>5.4105999999999996</v>
      </c>
      <c r="M523" s="91" cm="1">
        <f t="array" ref="M523">IFERROR(INDEX(M_DepotPrice!$C$10:$C$52,MATCH(1,(M_DepotPrice!$A$10:$A$52=I523)*(M_DepotPrice!$H$10:$H$52=IFERROR(INDEX(M_Depot!$A$7:$A$24,MATCH(F523,M_Depot!$B$7:$B$24,0)),""))*(M_DepotPrice!$G$10:$G$52="Special"),0)),INDEX(M_DepotPrice!$C$10:$C$52,MATCH(1,(M_DepotPrice!$A$10:$A$52=I523)*(M_DepotPrice!$G$10:$G$52="Default"),0)))</f>
        <v>11780</v>
      </c>
      <c r="N523" s="67">
        <f t="shared" si="17"/>
        <v>75209.504239999995</v>
      </c>
      <c r="O523" s="66" t="str">
        <f t="shared" si="16"/>
        <v>MOS100624|FG006|CK3-33414</v>
      </c>
    </row>
    <row r="524" spans="1:15" ht="15" customHeight="1" x14ac:dyDescent="0.3">
      <c r="A524" s="70" t="s">
        <v>1203</v>
      </c>
      <c r="B524" s="70" t="s">
        <v>569</v>
      </c>
      <c r="C524" s="72">
        <v>46179</v>
      </c>
      <c r="D524" s="73" t="s">
        <v>384</v>
      </c>
      <c r="E524" s="76" t="str">
        <f>IFERROR(INDEX(M_User!$A$12:$J$67,MATCH(D524,M_User!$D$12:$D$67,0),3),"UNMAPPED")</f>
        <v>Gastory S Msaki</v>
      </c>
      <c r="F524" s="75" t="str">
        <f>IFERROR(INDEX(M_User!$A$12:$J$67,MATCH(D524,M_User!$D$12:$D$67,0),5),"UNMAPPED")</f>
        <v>MOS</v>
      </c>
      <c r="G524" s="73" t="s">
        <v>768</v>
      </c>
      <c r="H524" s="92" t="s">
        <v>769</v>
      </c>
      <c r="I524" s="73" t="s">
        <v>193</v>
      </c>
      <c r="J524" s="76" t="str">
        <f>IFERROR(INDEX(M_SKU!$A$18:$J$57,MATCH(I524,M_SKU!$B$18:$B$57,0),1),"UNKNOWN SKU")</f>
        <v>Sparletta Pinenut RGB 350ml</v>
      </c>
      <c r="K524" s="73" t="s">
        <v>537</v>
      </c>
      <c r="L524" s="276">
        <v>3.2090999999999998</v>
      </c>
      <c r="M524" s="94" cm="1">
        <f t="array" ref="M524">IFERROR(INDEX(M_DepotPrice!$C$10:$C$52,MATCH(1,(M_DepotPrice!$A$10:$A$52=I524)*(M_DepotPrice!$H$10:$H$52=IFERROR(INDEX(M_Depot!$A$7:$A$24,MATCH(F524,M_Depot!$B$7:$B$24,0)),""))*(M_DepotPrice!$G$10:$G$52="Special"),0)),INDEX(M_DepotPrice!$C$10:$C$52,MATCH(1,(M_DepotPrice!$A$10:$A$52=I524)*(M_DepotPrice!$G$10:$G$52="Default"),0)))</f>
        <v>11780</v>
      </c>
      <c r="N524" s="95">
        <f t="shared" si="17"/>
        <v>44607.773639999992</v>
      </c>
      <c r="O524" s="82" t="str">
        <f t="shared" si="16"/>
        <v>MOS100624|FG008|CK3-33365</v>
      </c>
    </row>
    <row r="525" spans="1:15" ht="15" customHeight="1" x14ac:dyDescent="0.3">
      <c r="A525" s="60" t="s">
        <v>1204</v>
      </c>
      <c r="B525" s="60" t="s">
        <v>569</v>
      </c>
      <c r="C525" s="62">
        <v>46179</v>
      </c>
      <c r="D525" s="63" t="s">
        <v>384</v>
      </c>
      <c r="E525" s="66" t="str">
        <f>IFERROR(INDEX(M_User!$A$12:$J$67,MATCH(D525,M_User!$D$12:$D$67,0),3),"UNMAPPED")</f>
        <v>Gastory S Msaki</v>
      </c>
      <c r="F525" s="65" t="str">
        <f>IFERROR(INDEX(M_User!$A$12:$J$67,MATCH(D525,M_User!$D$12:$D$67,0),5),"UNMAPPED")</f>
        <v>MOS</v>
      </c>
      <c r="G525" s="63" t="s">
        <v>768</v>
      </c>
      <c r="H525" s="69" t="s">
        <v>769</v>
      </c>
      <c r="I525" s="63" t="s">
        <v>196</v>
      </c>
      <c r="J525" s="66" t="str">
        <f>IFERROR(INDEX(M_SKU!$A$18:$J$57,MATCH(I525,M_SKU!$B$18:$B$57,0),1),"UNKNOWN SKU")</f>
        <v>Krest Bitter Lemon RGB 300ml</v>
      </c>
      <c r="K525" s="63" t="s">
        <v>538</v>
      </c>
      <c r="L525" s="276">
        <v>0.39729999999999999</v>
      </c>
      <c r="M525" s="91" cm="1">
        <f t="array" ref="M525">IFERROR(INDEX(M_DepotPrice!$C$10:$C$52,MATCH(1,(M_DepotPrice!$A$10:$A$52=I525)*(M_DepotPrice!$H$10:$H$52=IFERROR(INDEX(M_Depot!$A$7:$A$24,MATCH(F525,M_Depot!$B$7:$B$24,0)),""))*(M_DepotPrice!$G$10:$G$52="Special"),0)),INDEX(M_DepotPrice!$C$10:$C$52,MATCH(1,(M_DepotPrice!$A$10:$A$52=I525)*(M_DepotPrice!$G$10:$G$52="Default"),0)))</f>
        <v>11780</v>
      </c>
      <c r="N525" s="67">
        <f t="shared" si="17"/>
        <v>5522.6289199999992</v>
      </c>
      <c r="O525" s="66" t="str">
        <f t="shared" si="16"/>
        <v>MOS100624|FG009|CK3-33348</v>
      </c>
    </row>
    <row r="526" spans="1:15" ht="15" customHeight="1" x14ac:dyDescent="0.3">
      <c r="A526" s="70" t="s">
        <v>1205</v>
      </c>
      <c r="B526" s="70" t="s">
        <v>569</v>
      </c>
      <c r="C526" s="72">
        <v>46179</v>
      </c>
      <c r="D526" s="73" t="s">
        <v>384</v>
      </c>
      <c r="E526" s="76" t="str">
        <f>IFERROR(INDEX(M_User!$A$12:$J$67,MATCH(D526,M_User!$D$12:$D$67,0),3),"UNMAPPED")</f>
        <v>Gastory S Msaki</v>
      </c>
      <c r="F526" s="75" t="str">
        <f>IFERROR(INDEX(M_User!$A$12:$J$67,MATCH(D526,M_User!$D$12:$D$67,0),5),"UNMAPPED")</f>
        <v>MOS</v>
      </c>
      <c r="G526" s="73" t="s">
        <v>768</v>
      </c>
      <c r="H526" s="92" t="s">
        <v>769</v>
      </c>
      <c r="I526" s="73" t="s">
        <v>199</v>
      </c>
      <c r="J526" s="76" t="str">
        <f>IFERROR(INDEX(M_SKU!$A$18:$J$57,MATCH(I526,M_SKU!$B$18:$B$57,0),1),"UNKNOWN SKU")</f>
        <v>Krest Club Soda RGB 300ml</v>
      </c>
      <c r="K526" s="73" t="s">
        <v>539</v>
      </c>
      <c r="L526" s="276">
        <v>0.233629927298799</v>
      </c>
      <c r="M526" s="94" cm="1">
        <f t="array" ref="M526">IFERROR(INDEX(M_DepotPrice!$C$10:$C$52,MATCH(1,(M_DepotPrice!$A$10:$A$52=I526)*(M_DepotPrice!$H$10:$H$52=IFERROR(INDEX(M_Depot!$A$7:$A$24,MATCH(F526,M_Depot!$B$7:$B$24,0)),""))*(M_DepotPrice!$G$10:$G$52="Special"),0)),INDEX(M_DepotPrice!$C$10:$C$52,MATCH(1,(M_DepotPrice!$A$10:$A$52=I526)*(M_DepotPrice!$G$10:$G$52="Default"),0)))</f>
        <v>11780</v>
      </c>
      <c r="N526" s="95">
        <f t="shared" si="17"/>
        <v>3247.5494414242257</v>
      </c>
      <c r="O526" s="82" t="str">
        <f t="shared" si="16"/>
        <v>MOS100624|FG010|CK3-33301</v>
      </c>
    </row>
    <row r="527" spans="1:15" ht="15" customHeight="1" x14ac:dyDescent="0.3">
      <c r="A527" s="60" t="s">
        <v>1206</v>
      </c>
      <c r="B527" s="60" t="s">
        <v>569</v>
      </c>
      <c r="C527" s="62">
        <v>46179</v>
      </c>
      <c r="D527" s="63" t="s">
        <v>384</v>
      </c>
      <c r="E527" s="66" t="str">
        <f>IFERROR(INDEX(M_User!$A$12:$J$67,MATCH(D527,M_User!$D$12:$D$67,0),3),"UNMAPPED")</f>
        <v>Gastory S Msaki</v>
      </c>
      <c r="F527" s="65" t="str">
        <f>IFERROR(INDEX(M_User!$A$12:$J$67,MATCH(D527,M_User!$D$12:$D$67,0),5),"UNMAPPED")</f>
        <v>MOS</v>
      </c>
      <c r="G527" s="63" t="s">
        <v>768</v>
      </c>
      <c r="H527" s="69" t="s">
        <v>769</v>
      </c>
      <c r="I527" s="63" t="s">
        <v>201</v>
      </c>
      <c r="J527" s="66" t="str">
        <f>IFERROR(INDEX(M_SKU!$A$18:$J$57,MATCH(I527,M_SKU!$B$18:$B$57,0),1),"UNKNOWN SKU")</f>
        <v>Krest Tonic Water RGB 300ml</v>
      </c>
      <c r="K527" s="63" t="s">
        <v>540</v>
      </c>
      <c r="L527" s="276">
        <v>0.19950000000000001</v>
      </c>
      <c r="M527" s="91" cm="1">
        <f t="array" ref="M527">IFERROR(INDEX(M_DepotPrice!$C$10:$C$52,MATCH(1,(M_DepotPrice!$A$10:$A$52=I527)*(M_DepotPrice!$H$10:$H$52=IFERROR(INDEX(M_Depot!$A$7:$A$24,MATCH(F527,M_Depot!$B$7:$B$24,0)),""))*(M_DepotPrice!$G$10:$G$52="Special"),0)),INDEX(M_DepotPrice!$C$10:$C$52,MATCH(1,(M_DepotPrice!$A$10:$A$52=I527)*(M_DepotPrice!$G$10:$G$52="Default"),0)))</f>
        <v>11780</v>
      </c>
      <c r="N527" s="67">
        <f t="shared" si="17"/>
        <v>2773.1298000000002</v>
      </c>
      <c r="O527" s="66" t="str">
        <f t="shared" si="16"/>
        <v>MOS100624|FG011|CK3-33347</v>
      </c>
    </row>
    <row r="528" spans="1:15" ht="15" customHeight="1" x14ac:dyDescent="0.3">
      <c r="A528" s="70" t="s">
        <v>1207</v>
      </c>
      <c r="B528" s="70" t="s">
        <v>569</v>
      </c>
      <c r="C528" s="72">
        <v>46179</v>
      </c>
      <c r="D528" s="73" t="s">
        <v>384</v>
      </c>
      <c r="E528" s="76" t="str">
        <f>IFERROR(INDEX(M_User!$A$12:$J$67,MATCH(D528,M_User!$D$12:$D$67,0),3),"UNMAPPED")</f>
        <v>Gastory S Msaki</v>
      </c>
      <c r="F528" s="75" t="str">
        <f>IFERROR(INDEX(M_User!$A$12:$J$67,MATCH(D528,M_User!$D$12:$D$67,0),5),"UNMAPPED")</f>
        <v>MOS</v>
      </c>
      <c r="G528" s="73" t="s">
        <v>768</v>
      </c>
      <c r="H528" s="92" t="s">
        <v>769</v>
      </c>
      <c r="I528" s="73" t="s">
        <v>211</v>
      </c>
      <c r="J528" s="76" t="str">
        <f>IFERROR(INDEX(M_SKU!$A$18:$J$57,MATCH(I528,M_SKU!$B$18:$B$57,0),1),"UNKNOWN SKU")</f>
        <v>KNMW 500ml</v>
      </c>
      <c r="K528" s="73" t="s">
        <v>543</v>
      </c>
      <c r="L528" s="276">
        <v>4</v>
      </c>
      <c r="M528" s="94" cm="1">
        <f t="array" ref="M528">IFERROR(INDEX(M_DepotPrice!$C$10:$C$52,MATCH(1,(M_DepotPrice!$A$10:$A$52=I528)*(M_DepotPrice!$H$10:$H$52=IFERROR(INDEX(M_Depot!$A$7:$A$24,MATCH(F528,M_Depot!$B$7:$B$24,0)),""))*(M_DepotPrice!$G$10:$G$52="Special"),0)),INDEX(M_DepotPrice!$C$10:$C$52,MATCH(1,(M_DepotPrice!$A$10:$A$52=I528)*(M_DepotPrice!$G$10:$G$52="Default"),0)))</f>
        <v>3559</v>
      </c>
      <c r="N528" s="95">
        <f t="shared" si="17"/>
        <v>16798.48</v>
      </c>
      <c r="O528" s="82" t="str">
        <f t="shared" si="16"/>
        <v>MOS100624|KD001|CK6-986</v>
      </c>
    </row>
    <row r="529" spans="1:15" ht="15" customHeight="1" x14ac:dyDescent="0.3">
      <c r="A529" s="60" t="s">
        <v>1208</v>
      </c>
      <c r="B529" s="60" t="s">
        <v>569</v>
      </c>
      <c r="C529" s="62">
        <v>46179</v>
      </c>
      <c r="D529" s="63" t="s">
        <v>384</v>
      </c>
      <c r="E529" s="66" t="str">
        <f>IFERROR(INDEX(M_User!$A$12:$J$67,MATCH(D529,M_User!$D$12:$D$67,0),3),"UNMAPPED")</f>
        <v>Gastory S Msaki</v>
      </c>
      <c r="F529" s="65" t="str">
        <f>IFERROR(INDEX(M_User!$A$12:$J$67,MATCH(D529,M_User!$D$12:$D$67,0),5),"UNMAPPED")</f>
        <v>MOS</v>
      </c>
      <c r="G529" s="63" t="s">
        <v>768</v>
      </c>
      <c r="H529" s="69" t="s">
        <v>769</v>
      </c>
      <c r="I529" s="63" t="s">
        <v>219</v>
      </c>
      <c r="J529" s="66" t="str">
        <f>IFERROR(INDEX(M_SKU!$A$18:$J$57,MATCH(I529,M_SKU!$B$18:$B$57,0),1),"UNKNOWN SKU")</f>
        <v>Kilimanjaro Drinking Water 6000 ML</v>
      </c>
      <c r="K529" s="63" t="s">
        <v>571</v>
      </c>
      <c r="L529" s="276">
        <v>2</v>
      </c>
      <c r="M529" s="91" cm="1">
        <f t="array" ref="M529">IFERROR(INDEX(M_DepotPrice!$C$10:$C$52,MATCH(1,(M_DepotPrice!$A$10:$A$52=I529)*(M_DepotPrice!$H$10:$H$52=IFERROR(INDEX(M_Depot!$A$7:$A$24,MATCH(F529,M_Depot!$B$7:$B$24,0)),""))*(M_DepotPrice!$G$10:$G$52="Special"),0)),INDEX(M_DepotPrice!$C$10:$C$52,MATCH(1,(M_DepotPrice!$A$10:$A$52=I529)*(M_DepotPrice!$G$10:$G$52="Default"),0)))</f>
        <v>2119</v>
      </c>
      <c r="N529" s="67">
        <f t="shared" si="17"/>
        <v>5000.84</v>
      </c>
      <c r="O529" s="66" t="str">
        <f t="shared" si="16"/>
        <v>MOS100624|KD004|CK7-806</v>
      </c>
    </row>
    <row r="530" spans="1:15" ht="15" customHeight="1" x14ac:dyDescent="0.3">
      <c r="A530" s="70" t="s">
        <v>1209</v>
      </c>
      <c r="B530" s="70" t="s">
        <v>569</v>
      </c>
      <c r="C530" s="72">
        <v>46179</v>
      </c>
      <c r="D530" s="73" t="s">
        <v>384</v>
      </c>
      <c r="E530" s="76" t="str">
        <f>IFERROR(INDEX(M_User!$A$12:$J$67,MATCH(D530,M_User!$D$12:$D$67,0),3),"UNMAPPED")</f>
        <v>Gastory S Msaki</v>
      </c>
      <c r="F530" s="75" t="str">
        <f>IFERROR(INDEX(M_User!$A$12:$J$67,MATCH(D530,M_User!$D$12:$D$67,0),5),"UNMAPPED")</f>
        <v>MOS</v>
      </c>
      <c r="G530" s="73" t="s">
        <v>768</v>
      </c>
      <c r="H530" s="92" t="s">
        <v>769</v>
      </c>
      <c r="I530" s="73" t="s">
        <v>232</v>
      </c>
      <c r="J530" s="76" t="str">
        <f>IFERROR(INDEX(M_SKU!$A$18:$J$57,MATCH(I530,M_SKU!$B$18:$B$57,0),1),"UNKNOWN SKU")</f>
        <v>Sprite Pet 500ML (x 12)</v>
      </c>
      <c r="K530" s="73" t="s">
        <v>522</v>
      </c>
      <c r="L530" s="276">
        <v>9</v>
      </c>
      <c r="M530" s="94" cm="1">
        <f t="array" ref="M530">IFERROR(INDEX(M_DepotPrice!$C$10:$C$52,MATCH(1,(M_DepotPrice!$A$10:$A$52=I530)*(M_DepotPrice!$H$10:$H$52=IFERROR(INDEX(M_Depot!$A$7:$A$24,MATCH(F530,M_Depot!$B$7:$B$24,0)),""))*(M_DepotPrice!$G$10:$G$52="Special"),0)),INDEX(M_DepotPrice!$C$10:$C$52,MATCH(1,(M_DepotPrice!$A$10:$A$52=I530)*(M_DepotPrice!$G$10:$G$52="Default"),0)))</f>
        <v>8898</v>
      </c>
      <c r="N530" s="95">
        <f t="shared" si="17"/>
        <v>94496.76</v>
      </c>
      <c r="O530" s="82" t="str">
        <f t="shared" si="16"/>
        <v>MOS100624|PH002|CK6-33362</v>
      </c>
    </row>
    <row r="531" spans="1:15" ht="15" customHeight="1" x14ac:dyDescent="0.3">
      <c r="A531" s="60" t="s">
        <v>1210</v>
      </c>
      <c r="B531" s="60" t="s">
        <v>569</v>
      </c>
      <c r="C531" s="62">
        <v>46179</v>
      </c>
      <c r="D531" s="63" t="s">
        <v>384</v>
      </c>
      <c r="E531" s="66" t="str">
        <f>IFERROR(INDEX(M_User!$A$12:$J$67,MATCH(D531,M_User!$D$12:$D$67,0),3),"UNMAPPED")</f>
        <v>Gastory S Msaki</v>
      </c>
      <c r="F531" s="65" t="str">
        <f>IFERROR(INDEX(M_User!$A$12:$J$67,MATCH(D531,M_User!$D$12:$D$67,0),5),"UNMAPPED")</f>
        <v>MOS</v>
      </c>
      <c r="G531" s="63" t="s">
        <v>768</v>
      </c>
      <c r="H531" s="69" t="s">
        <v>769</v>
      </c>
      <c r="I531" s="63" t="s">
        <v>234</v>
      </c>
      <c r="J531" s="66" t="str">
        <f>IFERROR(INDEX(M_SKU!$A$18:$J$57,MATCH(I531,M_SKU!$B$18:$B$57,0),1),"UNKNOWN SKU")</f>
        <v>Fanta Orange Pet 500ML ( x 12)</v>
      </c>
      <c r="K531" s="63" t="s">
        <v>523</v>
      </c>
      <c r="L531" s="276">
        <v>7</v>
      </c>
      <c r="M531" s="91" cm="1">
        <f t="array" ref="M531">IFERROR(INDEX(M_DepotPrice!$C$10:$C$52,MATCH(1,(M_DepotPrice!$A$10:$A$52=I531)*(M_DepotPrice!$H$10:$H$52=IFERROR(INDEX(M_Depot!$A$7:$A$24,MATCH(F531,M_Depot!$B$7:$B$24,0)),""))*(M_DepotPrice!$G$10:$G$52="Special"),0)),INDEX(M_DepotPrice!$C$10:$C$52,MATCH(1,(M_DepotPrice!$A$10:$A$52=I531)*(M_DepotPrice!$G$10:$G$52="Default"),0)))</f>
        <v>8898</v>
      </c>
      <c r="N531" s="67">
        <f t="shared" si="17"/>
        <v>73497.48</v>
      </c>
      <c r="O531" s="66" t="str">
        <f t="shared" si="16"/>
        <v>MOS100624|PH003|CK6-33405</v>
      </c>
    </row>
    <row r="532" spans="1:15" ht="15" customHeight="1" x14ac:dyDescent="0.3">
      <c r="A532" s="70" t="s">
        <v>1211</v>
      </c>
      <c r="B532" s="70" t="s">
        <v>569</v>
      </c>
      <c r="C532" s="72">
        <v>46179</v>
      </c>
      <c r="D532" s="73" t="s">
        <v>384</v>
      </c>
      <c r="E532" s="76" t="str">
        <f>IFERROR(INDEX(M_User!$A$12:$J$67,MATCH(D532,M_User!$D$12:$D$67,0),3),"UNMAPPED")</f>
        <v>Gastory S Msaki</v>
      </c>
      <c r="F532" s="75" t="str">
        <f>IFERROR(INDEX(M_User!$A$12:$J$67,MATCH(D532,M_User!$D$12:$D$67,0),5),"UNMAPPED")</f>
        <v>MOS</v>
      </c>
      <c r="G532" s="73" t="s">
        <v>768</v>
      </c>
      <c r="H532" s="92" t="s">
        <v>769</v>
      </c>
      <c r="I532" s="73" t="s">
        <v>236</v>
      </c>
      <c r="J532" s="76" t="str">
        <f>IFERROR(INDEX(M_SKU!$A$18:$J$57,MATCH(I532,M_SKU!$B$18:$B$57,0),1),"UNKNOWN SKU")</f>
        <v>Fanta Passion Pet 500ML ( x12)</v>
      </c>
      <c r="K532" s="73" t="s">
        <v>524</v>
      </c>
      <c r="L532" s="276">
        <v>12</v>
      </c>
      <c r="M532" s="94" cm="1">
        <f t="array" ref="M532">IFERROR(INDEX(M_DepotPrice!$C$10:$C$52,MATCH(1,(M_DepotPrice!$A$10:$A$52=I532)*(M_DepotPrice!$H$10:$H$52=IFERROR(INDEX(M_Depot!$A$7:$A$24,MATCH(F532,M_Depot!$B$7:$B$24,0)),""))*(M_DepotPrice!$G$10:$G$52="Special"),0)),INDEX(M_DepotPrice!$C$10:$C$52,MATCH(1,(M_DepotPrice!$A$10:$A$52=I532)*(M_DepotPrice!$G$10:$G$52="Default"),0)))</f>
        <v>8898</v>
      </c>
      <c r="N532" s="95">
        <f t="shared" si="17"/>
        <v>125995.68</v>
      </c>
      <c r="O532" s="82" t="str">
        <f t="shared" si="16"/>
        <v>MOS100624|PH004|CK5-33334</v>
      </c>
    </row>
    <row r="533" spans="1:15" ht="15" customHeight="1" x14ac:dyDescent="0.3">
      <c r="A533" s="60" t="s">
        <v>1212</v>
      </c>
      <c r="B533" s="60" t="s">
        <v>569</v>
      </c>
      <c r="C533" s="62">
        <v>46179</v>
      </c>
      <c r="D533" s="63" t="s">
        <v>384</v>
      </c>
      <c r="E533" s="66" t="str">
        <f>IFERROR(INDEX(M_User!$A$12:$J$67,MATCH(D533,M_User!$D$12:$D$67,0),3),"UNMAPPED")</f>
        <v>Gastory S Msaki</v>
      </c>
      <c r="F533" s="65" t="str">
        <f>IFERROR(INDEX(M_User!$A$12:$J$67,MATCH(D533,M_User!$D$12:$D$67,0),5),"UNMAPPED")</f>
        <v>MOS</v>
      </c>
      <c r="G533" s="63" t="s">
        <v>768</v>
      </c>
      <c r="H533" s="69" t="s">
        <v>769</v>
      </c>
      <c r="I533" s="63" t="s">
        <v>252</v>
      </c>
      <c r="J533" s="66" t="str">
        <f>IFERROR(INDEX(M_SKU!$A$18:$J$57,MATCH(I533,M_SKU!$B$18:$B$57,0),1),"UNKNOWN SKU")</f>
        <v>Sprite Zero Pet 300ML (x 12)</v>
      </c>
      <c r="K533" s="63" t="s">
        <v>545</v>
      </c>
      <c r="L533" s="276">
        <v>1</v>
      </c>
      <c r="M533" s="91" cm="1">
        <f t="array" ref="M533">IFERROR(INDEX(M_DepotPrice!$C$10:$C$52,MATCH(1,(M_DepotPrice!$A$10:$A$52=I533)*(M_DepotPrice!$H$10:$H$52=IFERROR(INDEX(M_Depot!$A$7:$A$24,MATCH(F533,M_Depot!$B$7:$B$24,0)),""))*(M_DepotPrice!$G$10:$G$52="Special"),0)),INDEX(M_DepotPrice!$C$10:$C$52,MATCH(1,(M_DepotPrice!$A$10:$A$52=I533)*(M_DepotPrice!$G$10:$G$52="Default"),0)))</f>
        <v>5085</v>
      </c>
      <c r="N533" s="67">
        <f t="shared" si="17"/>
        <v>6000.2999999999993</v>
      </c>
      <c r="O533" s="66" t="str">
        <f t="shared" si="16"/>
        <v>MOS100624|PO010|CK5-33360</v>
      </c>
    </row>
    <row r="534" spans="1:15" ht="15" customHeight="1" x14ac:dyDescent="0.3">
      <c r="A534" s="70" t="s">
        <v>1213</v>
      </c>
      <c r="B534" s="70" t="s">
        <v>569</v>
      </c>
      <c r="C534" s="72">
        <v>46179</v>
      </c>
      <c r="D534" s="73" t="s">
        <v>384</v>
      </c>
      <c r="E534" s="76" t="str">
        <f>IFERROR(INDEX(M_User!$A$12:$J$67,MATCH(D534,M_User!$D$12:$D$67,0),3),"UNMAPPED")</f>
        <v>Gastory S Msaki</v>
      </c>
      <c r="F534" s="75" t="str">
        <f>IFERROR(INDEX(M_User!$A$12:$J$67,MATCH(D534,M_User!$D$12:$D$67,0),5),"UNMAPPED")</f>
        <v>MOS</v>
      </c>
      <c r="G534" s="73" t="s">
        <v>768</v>
      </c>
      <c r="H534" s="92" t="s">
        <v>769</v>
      </c>
      <c r="I534" s="73" t="s">
        <v>261</v>
      </c>
      <c r="J534" s="76" t="str">
        <f>IFERROR(INDEX(M_SKU!$A$18:$J$57,MATCH(I534,M_SKU!$B$18:$B$57,0),1),"UNKNOWN SKU")</f>
        <v>Sparletta Pine Apple Pet 300ML (x 12)</v>
      </c>
      <c r="K534" s="73" t="s">
        <v>547</v>
      </c>
      <c r="L534" s="276">
        <v>3</v>
      </c>
      <c r="M534" s="94" cm="1">
        <f t="array" ref="M534">IFERROR(INDEX(M_DepotPrice!$C$10:$C$52,MATCH(1,(M_DepotPrice!$A$10:$A$52=I534)*(M_DepotPrice!$H$10:$H$52=IFERROR(INDEX(M_Depot!$A$7:$A$24,MATCH(F534,M_Depot!$B$7:$B$24,0)),""))*(M_DepotPrice!$G$10:$G$52="Special"),0)),INDEX(M_DepotPrice!$C$10:$C$52,MATCH(1,(M_DepotPrice!$A$10:$A$52=I534)*(M_DepotPrice!$G$10:$G$52="Default"),0)))</f>
        <v>5085</v>
      </c>
      <c r="N534" s="95">
        <f t="shared" si="17"/>
        <v>18000.899999999998</v>
      </c>
      <c r="O534" s="82" t="str">
        <f t="shared" si="16"/>
        <v>MOS100624|PO015|CK5-33366</v>
      </c>
    </row>
    <row r="535" spans="1:15" ht="15" customHeight="1" x14ac:dyDescent="0.3">
      <c r="A535" s="60" t="s">
        <v>1214</v>
      </c>
      <c r="B535" s="60" t="s">
        <v>569</v>
      </c>
      <c r="C535" s="62">
        <v>46179</v>
      </c>
      <c r="D535" s="63" t="s">
        <v>384</v>
      </c>
      <c r="E535" s="66" t="str">
        <f>IFERROR(INDEX(M_User!$A$12:$J$67,MATCH(D535,M_User!$D$12:$D$67,0),3),"UNMAPPED")</f>
        <v>Gastory S Msaki</v>
      </c>
      <c r="F535" s="65" t="str">
        <f>IFERROR(INDEX(M_User!$A$12:$J$67,MATCH(D535,M_User!$D$12:$D$67,0),5),"UNMAPPED")</f>
        <v>MOS</v>
      </c>
      <c r="G535" s="63" t="s">
        <v>797</v>
      </c>
      <c r="H535" s="69" t="s">
        <v>798</v>
      </c>
      <c r="I535" s="63" t="s">
        <v>178</v>
      </c>
      <c r="J535" s="66" t="str">
        <f>IFERROR(INDEX(M_SKU!$A$18:$J$57,MATCH(I535,M_SKU!$B$18:$B$57,0),1),"UNKNOWN SKU")</f>
        <v>Fanta Orange RGB 350ml</v>
      </c>
      <c r="K535" s="63" t="s">
        <v>531</v>
      </c>
      <c r="L535" s="276">
        <v>3.4924482517952402</v>
      </c>
      <c r="M535" s="91" cm="1">
        <f t="array" ref="M535">IFERROR(INDEX(M_DepotPrice!$C$10:$C$52,MATCH(1,(M_DepotPrice!$A$10:$A$52=I535)*(M_DepotPrice!$H$10:$H$52=IFERROR(INDEX(M_Depot!$A$7:$A$24,MATCH(F535,M_Depot!$B$7:$B$24,0)),""))*(M_DepotPrice!$G$10:$G$52="Special"),0)),INDEX(M_DepotPrice!$C$10:$C$52,MATCH(1,(M_DepotPrice!$A$10:$A$52=I535)*(M_DepotPrice!$G$10:$G$52="Default"),0)))</f>
        <v>11780</v>
      </c>
      <c r="N535" s="67">
        <f t="shared" si="17"/>
        <v>48546.42767925455</v>
      </c>
      <c r="O535" s="66" t="str">
        <f t="shared" si="16"/>
        <v>MOS100624|FG002|CK3-33407</v>
      </c>
    </row>
    <row r="536" spans="1:15" ht="15" customHeight="1" x14ac:dyDescent="0.3">
      <c r="A536" s="70" t="s">
        <v>1215</v>
      </c>
      <c r="B536" s="70" t="s">
        <v>569</v>
      </c>
      <c r="C536" s="72">
        <v>46179</v>
      </c>
      <c r="D536" s="73" t="s">
        <v>384</v>
      </c>
      <c r="E536" s="76" t="str">
        <f>IFERROR(INDEX(M_User!$A$12:$J$67,MATCH(D536,M_User!$D$12:$D$67,0),3),"UNMAPPED")</f>
        <v>Gastory S Msaki</v>
      </c>
      <c r="F536" s="75" t="str">
        <f>IFERROR(INDEX(M_User!$A$12:$J$67,MATCH(D536,M_User!$D$12:$D$67,0),5),"UNMAPPED")</f>
        <v>MOS</v>
      </c>
      <c r="G536" s="73" t="s">
        <v>797</v>
      </c>
      <c r="H536" s="92" t="s">
        <v>798</v>
      </c>
      <c r="I536" s="73" t="s">
        <v>181</v>
      </c>
      <c r="J536" s="76" t="str">
        <f>IFERROR(INDEX(M_SKU!$A$18:$J$57,MATCH(I536,M_SKU!$B$18:$B$57,0),1),"UNKNOWN SKU")</f>
        <v>Fanta Passion RGB 350ml</v>
      </c>
      <c r="K536" s="73" t="s">
        <v>550</v>
      </c>
      <c r="L536" s="276">
        <v>3.7486658411556499</v>
      </c>
      <c r="M536" s="94" cm="1">
        <f t="array" ref="M536">IFERROR(INDEX(M_DepotPrice!$C$10:$C$52,MATCH(1,(M_DepotPrice!$A$10:$A$52=I536)*(M_DepotPrice!$H$10:$H$52=IFERROR(INDEX(M_Depot!$A$7:$A$24,MATCH(F536,M_Depot!$B$7:$B$24,0)),""))*(M_DepotPrice!$G$10:$G$52="Special"),0)),INDEX(M_DepotPrice!$C$10:$C$52,MATCH(1,(M_DepotPrice!$A$10:$A$52=I536)*(M_DepotPrice!$G$10:$G$52="Default"),0)))</f>
        <v>11780</v>
      </c>
      <c r="N536" s="95">
        <f t="shared" si="17"/>
        <v>52107.954658399998</v>
      </c>
      <c r="O536" s="82" t="str">
        <f t="shared" si="16"/>
        <v>MOS100624|FG003|CK3-33356</v>
      </c>
    </row>
    <row r="537" spans="1:15" ht="15" customHeight="1" x14ac:dyDescent="0.3">
      <c r="A537" s="60" t="s">
        <v>1216</v>
      </c>
      <c r="B537" s="60" t="s">
        <v>569</v>
      </c>
      <c r="C537" s="62">
        <v>46179</v>
      </c>
      <c r="D537" s="63" t="s">
        <v>384</v>
      </c>
      <c r="E537" s="66" t="str">
        <f>IFERROR(INDEX(M_User!$A$12:$J$67,MATCH(D537,M_User!$D$12:$D$67,0),3),"UNMAPPED")</f>
        <v>Gastory S Msaki</v>
      </c>
      <c r="F537" s="65" t="str">
        <f>IFERROR(INDEX(M_User!$A$12:$J$67,MATCH(D537,M_User!$D$12:$D$67,0),5),"UNMAPPED")</f>
        <v>MOS</v>
      </c>
      <c r="G537" s="63" t="s">
        <v>797</v>
      </c>
      <c r="H537" s="69" t="s">
        <v>798</v>
      </c>
      <c r="I537" s="63" t="s">
        <v>185</v>
      </c>
      <c r="J537" s="66" t="str">
        <f>IFERROR(INDEX(M_SKU!$A$18:$J$57,MATCH(I537,M_SKU!$B$18:$B$57,0),1),"UNKNOWN SKU")</f>
        <v>Fanta Fruit Blast RGB 350 ml</v>
      </c>
      <c r="K537" s="63" t="s">
        <v>534</v>
      </c>
      <c r="L537" s="276">
        <v>1.4475</v>
      </c>
      <c r="M537" s="91" cm="1">
        <f t="array" ref="M537">IFERROR(INDEX(M_DepotPrice!$C$10:$C$52,MATCH(1,(M_DepotPrice!$A$10:$A$52=I537)*(M_DepotPrice!$H$10:$H$52=IFERROR(INDEX(M_Depot!$A$7:$A$24,MATCH(F537,M_Depot!$B$7:$B$24,0)),""))*(M_DepotPrice!$G$10:$G$52="Special"),0)),INDEX(M_DepotPrice!$C$10:$C$52,MATCH(1,(M_DepotPrice!$A$10:$A$52=I537)*(M_DepotPrice!$G$10:$G$52="Default"),0)))</f>
        <v>11780</v>
      </c>
      <c r="N537" s="67">
        <f t="shared" si="17"/>
        <v>20120.828999999998</v>
      </c>
      <c r="O537" s="66" t="str">
        <f t="shared" si="16"/>
        <v>MOS100624|FG005|CK3-33402</v>
      </c>
    </row>
    <row r="538" spans="1:15" ht="15" customHeight="1" x14ac:dyDescent="0.3">
      <c r="A538" s="70" t="s">
        <v>1217</v>
      </c>
      <c r="B538" s="70" t="s">
        <v>569</v>
      </c>
      <c r="C538" s="72">
        <v>46179</v>
      </c>
      <c r="D538" s="73" t="s">
        <v>384</v>
      </c>
      <c r="E538" s="76" t="str">
        <f>IFERROR(INDEX(M_User!$A$12:$J$67,MATCH(D538,M_User!$D$12:$D$67,0),3),"UNMAPPED")</f>
        <v>Gastory S Msaki</v>
      </c>
      <c r="F538" s="75" t="str">
        <f>IFERROR(INDEX(M_User!$A$12:$J$67,MATCH(D538,M_User!$D$12:$D$67,0),5),"UNMAPPED")</f>
        <v>MOS</v>
      </c>
      <c r="G538" s="73" t="s">
        <v>797</v>
      </c>
      <c r="H538" s="92" t="s">
        <v>798</v>
      </c>
      <c r="I538" s="73" t="s">
        <v>201</v>
      </c>
      <c r="J538" s="76" t="str">
        <f>IFERROR(INDEX(M_SKU!$A$18:$J$57,MATCH(I538,M_SKU!$B$18:$B$57,0),1),"UNKNOWN SKU")</f>
        <v>Krest Tonic Water RGB 300ml</v>
      </c>
      <c r="K538" s="73" t="s">
        <v>540</v>
      </c>
      <c r="L538" s="276">
        <v>0.45490000000000003</v>
      </c>
      <c r="M538" s="94" cm="1">
        <f t="array" ref="M538">IFERROR(INDEX(M_DepotPrice!$C$10:$C$52,MATCH(1,(M_DepotPrice!$A$10:$A$52=I538)*(M_DepotPrice!$H$10:$H$52=IFERROR(INDEX(M_Depot!$A$7:$A$24,MATCH(F538,M_Depot!$B$7:$B$24,0)),""))*(M_DepotPrice!$G$10:$G$52="Special"),0)),INDEX(M_DepotPrice!$C$10:$C$52,MATCH(1,(M_DepotPrice!$A$10:$A$52=I538)*(M_DepotPrice!$G$10:$G$52="Default"),0)))</f>
        <v>11780</v>
      </c>
      <c r="N538" s="95">
        <f t="shared" si="17"/>
        <v>6323.2919600000005</v>
      </c>
      <c r="O538" s="82" t="str">
        <f t="shared" si="16"/>
        <v>MOS100624|FG011|CK3-33347</v>
      </c>
    </row>
    <row r="539" spans="1:15" ht="15" customHeight="1" x14ac:dyDescent="0.3">
      <c r="A539" s="60" t="s">
        <v>1218</v>
      </c>
      <c r="B539" s="60" t="s">
        <v>569</v>
      </c>
      <c r="C539" s="62">
        <v>46179</v>
      </c>
      <c r="D539" s="63" t="s">
        <v>384</v>
      </c>
      <c r="E539" s="66" t="str">
        <f>IFERROR(INDEX(M_User!$A$12:$J$67,MATCH(D539,M_User!$D$12:$D$67,0),3),"UNMAPPED")</f>
        <v>Gastory S Msaki</v>
      </c>
      <c r="F539" s="65" t="str">
        <f>IFERROR(INDEX(M_User!$A$12:$J$67,MATCH(D539,M_User!$D$12:$D$67,0),5),"UNMAPPED")</f>
        <v>MOS</v>
      </c>
      <c r="G539" s="63" t="s">
        <v>797</v>
      </c>
      <c r="H539" s="69" t="s">
        <v>798</v>
      </c>
      <c r="I539" s="63" t="s">
        <v>203</v>
      </c>
      <c r="J539" s="66" t="str">
        <f>IFERROR(INDEX(M_SKU!$A$18:$J$57,MATCH(I539,M_SKU!$B$18:$B$57,0),1),"UNKNOWN SKU")</f>
        <v>Krest Ginger Ale RGB 300ml</v>
      </c>
      <c r="K539" s="63" t="s">
        <v>541</v>
      </c>
      <c r="L539" s="276">
        <v>0.31</v>
      </c>
      <c r="M539" s="91" cm="1">
        <f t="array" ref="M539">IFERROR(INDEX(M_DepotPrice!$C$10:$C$52,MATCH(1,(M_DepotPrice!$A$10:$A$52=I539)*(M_DepotPrice!$H$10:$H$52=IFERROR(INDEX(M_Depot!$A$7:$A$24,MATCH(F539,M_Depot!$B$7:$B$24,0)),""))*(M_DepotPrice!$G$10:$G$52="Special"),0)),INDEX(M_DepotPrice!$C$10:$C$52,MATCH(1,(M_DepotPrice!$A$10:$A$52=I539)*(M_DepotPrice!$G$10:$G$52="Default"),0)))</f>
        <v>11780</v>
      </c>
      <c r="N539" s="67">
        <f t="shared" si="17"/>
        <v>4309.1239999999998</v>
      </c>
      <c r="O539" s="66" t="str">
        <f t="shared" si="16"/>
        <v>MOS100624|FG012|CK3-33126</v>
      </c>
    </row>
    <row r="540" spans="1:15" ht="15" customHeight="1" x14ac:dyDescent="0.3">
      <c r="A540" s="70" t="s">
        <v>1219</v>
      </c>
      <c r="B540" s="70" t="s">
        <v>569</v>
      </c>
      <c r="C540" s="72">
        <v>46179</v>
      </c>
      <c r="D540" s="73" t="s">
        <v>384</v>
      </c>
      <c r="E540" s="76" t="str">
        <f>IFERROR(INDEX(M_User!$A$12:$J$67,MATCH(D540,M_User!$D$12:$D$67,0),3),"UNMAPPED")</f>
        <v>Gastory S Msaki</v>
      </c>
      <c r="F540" s="75" t="str">
        <f>IFERROR(INDEX(M_User!$A$12:$J$67,MATCH(D540,M_User!$D$12:$D$67,0),5),"UNMAPPED")</f>
        <v>MOS</v>
      </c>
      <c r="G540" s="73" t="s">
        <v>797</v>
      </c>
      <c r="H540" s="92" t="s">
        <v>798</v>
      </c>
      <c r="I540" s="73" t="s">
        <v>209</v>
      </c>
      <c r="J540" s="76" t="str">
        <f>IFERROR(INDEX(M_SKU!$A$18:$J$57,MATCH(I540,M_SKU!$B$18:$B$57,0),1),"UNKNOWN SKU")</f>
        <v>Sparletta Red Apple RGB 350ml</v>
      </c>
      <c r="K540" s="73" t="s">
        <v>542</v>
      </c>
      <c r="L540" s="276">
        <v>0.35010000000000002</v>
      </c>
      <c r="M540" s="94" cm="1">
        <f t="array" ref="M540">IFERROR(INDEX(M_DepotPrice!$C$10:$C$52,MATCH(1,(M_DepotPrice!$A$10:$A$52=I540)*(M_DepotPrice!$H$10:$H$52=IFERROR(INDEX(M_Depot!$A$7:$A$24,MATCH(F540,M_Depot!$B$7:$B$24,0)),""))*(M_DepotPrice!$G$10:$G$52="Special"),0)),INDEX(M_DepotPrice!$C$10:$C$52,MATCH(1,(M_DepotPrice!$A$10:$A$52=I540)*(M_DepotPrice!$G$10:$G$52="Default"),0)))</f>
        <v>11780</v>
      </c>
      <c r="N540" s="95">
        <f t="shared" si="17"/>
        <v>4866.5300399999996</v>
      </c>
      <c r="O540" s="82" t="str">
        <f t="shared" si="16"/>
        <v>MOS100624|FG024|CK3-32758</v>
      </c>
    </row>
    <row r="541" spans="1:15" ht="15" customHeight="1" x14ac:dyDescent="0.3">
      <c r="A541" s="60" t="s">
        <v>1220</v>
      </c>
      <c r="B541" s="60" t="s">
        <v>569</v>
      </c>
      <c r="C541" s="62">
        <v>46179</v>
      </c>
      <c r="D541" s="63" t="s">
        <v>384</v>
      </c>
      <c r="E541" s="66" t="str">
        <f>IFERROR(INDEX(M_User!$A$12:$J$67,MATCH(D541,M_User!$D$12:$D$67,0),3),"UNMAPPED")</f>
        <v>Gastory S Msaki</v>
      </c>
      <c r="F541" s="65" t="str">
        <f>IFERROR(INDEX(M_User!$A$12:$J$67,MATCH(D541,M_User!$D$12:$D$67,0),5),"UNMAPPED")</f>
        <v>MOS</v>
      </c>
      <c r="G541" s="63" t="s">
        <v>797</v>
      </c>
      <c r="H541" s="69" t="s">
        <v>798</v>
      </c>
      <c r="I541" s="63" t="s">
        <v>219</v>
      </c>
      <c r="J541" s="66" t="str">
        <f>IFERROR(INDEX(M_SKU!$A$18:$J$57,MATCH(I541,M_SKU!$B$18:$B$57,0),1),"UNKNOWN SKU")</f>
        <v>Kilimanjaro Drinking Water 6000 ML</v>
      </c>
      <c r="K541" s="63" t="s">
        <v>571</v>
      </c>
      <c r="L541" s="276">
        <v>2</v>
      </c>
      <c r="M541" s="91" cm="1">
        <f t="array" ref="M541">IFERROR(INDEX(M_DepotPrice!$C$10:$C$52,MATCH(1,(M_DepotPrice!$A$10:$A$52=I541)*(M_DepotPrice!$H$10:$H$52=IFERROR(INDEX(M_Depot!$A$7:$A$24,MATCH(F541,M_Depot!$B$7:$B$24,0)),""))*(M_DepotPrice!$G$10:$G$52="Special"),0)),INDEX(M_DepotPrice!$C$10:$C$52,MATCH(1,(M_DepotPrice!$A$10:$A$52=I541)*(M_DepotPrice!$G$10:$G$52="Default"),0)))</f>
        <v>2119</v>
      </c>
      <c r="N541" s="67">
        <f t="shared" si="17"/>
        <v>5000.84</v>
      </c>
      <c r="O541" s="66" t="str">
        <f t="shared" si="16"/>
        <v>MOS100624|KD004|CK7-806</v>
      </c>
    </row>
    <row r="542" spans="1:15" ht="15" customHeight="1" x14ac:dyDescent="0.3">
      <c r="A542" s="70" t="s">
        <v>1221</v>
      </c>
      <c r="B542" s="70" t="s">
        <v>569</v>
      </c>
      <c r="C542" s="72">
        <v>46179</v>
      </c>
      <c r="D542" s="73" t="s">
        <v>384</v>
      </c>
      <c r="E542" s="76" t="str">
        <f>IFERROR(INDEX(M_User!$A$12:$J$67,MATCH(D542,M_User!$D$12:$D$67,0),3),"UNMAPPED")</f>
        <v>Gastory S Msaki</v>
      </c>
      <c r="F542" s="75" t="str">
        <f>IFERROR(INDEX(M_User!$A$12:$J$67,MATCH(D542,M_User!$D$12:$D$67,0),5),"UNMAPPED")</f>
        <v>MOS</v>
      </c>
      <c r="G542" s="73" t="s">
        <v>797</v>
      </c>
      <c r="H542" s="92" t="s">
        <v>798</v>
      </c>
      <c r="I542" s="73" t="s">
        <v>225</v>
      </c>
      <c r="J542" s="76" t="str">
        <f>IFERROR(INDEX(M_SKU!$A$18:$J$57,MATCH(I542,M_SKU!$B$18:$B$57,0),1),"UNKNOWN SKU")</f>
        <v>Kilimanjaro Drinking Water 18900 ML</v>
      </c>
      <c r="K542" s="73" t="s">
        <v>567</v>
      </c>
      <c r="L542" s="276">
        <v>1</v>
      </c>
      <c r="M542" s="94" cm="1">
        <f t="array" ref="M542">IFERROR(INDEX(M_DepotPrice!$C$10:$C$52,MATCH(1,(M_DepotPrice!$A$10:$A$52=I542)*(M_DepotPrice!$H$10:$H$52=IFERROR(INDEX(M_Depot!$A$7:$A$24,MATCH(F542,M_Depot!$B$7:$B$24,0)),""))*(M_DepotPrice!$G$10:$G$52="Special"),0)),INDEX(M_DepotPrice!$C$10:$C$52,MATCH(1,(M_DepotPrice!$A$10:$A$52=I542)*(M_DepotPrice!$G$10:$G$52="Default"),0)))</f>
        <v>5932</v>
      </c>
      <c r="N542" s="95">
        <f t="shared" si="17"/>
        <v>6999.7599999999993</v>
      </c>
      <c r="O542" s="82" t="str">
        <f t="shared" si="16"/>
        <v>MOS100624|KD006|CK7-915</v>
      </c>
    </row>
    <row r="543" spans="1:15" ht="15" customHeight="1" x14ac:dyDescent="0.3">
      <c r="A543" s="60" t="s">
        <v>1222</v>
      </c>
      <c r="B543" s="60" t="s">
        <v>569</v>
      </c>
      <c r="C543" s="62">
        <v>46179</v>
      </c>
      <c r="D543" s="63" t="s">
        <v>384</v>
      </c>
      <c r="E543" s="66" t="str">
        <f>IFERROR(INDEX(M_User!$A$12:$J$67,MATCH(D543,M_User!$D$12:$D$67,0),3),"UNMAPPED")</f>
        <v>Gastory S Msaki</v>
      </c>
      <c r="F543" s="65" t="str">
        <f>IFERROR(INDEX(M_User!$A$12:$J$67,MATCH(D543,M_User!$D$12:$D$67,0),5),"UNMAPPED")</f>
        <v>MOS</v>
      </c>
      <c r="G543" s="63" t="s">
        <v>797</v>
      </c>
      <c r="H543" s="69" t="s">
        <v>798</v>
      </c>
      <c r="I543" s="63" t="s">
        <v>229</v>
      </c>
      <c r="J543" s="66" t="str">
        <f>IFERROR(INDEX(M_SKU!$A$18:$J$57,MATCH(I543,M_SKU!$B$18:$B$57,0),1),"UNKNOWN SKU")</f>
        <v>Coke Pet 500ML ( x12)</v>
      </c>
      <c r="K543" s="63" t="s">
        <v>520</v>
      </c>
      <c r="L543" s="276">
        <v>33</v>
      </c>
      <c r="M543" s="91" cm="1">
        <f t="array" ref="M543">IFERROR(INDEX(M_DepotPrice!$C$10:$C$52,MATCH(1,(M_DepotPrice!$A$10:$A$52=I543)*(M_DepotPrice!$H$10:$H$52=IFERROR(INDEX(M_Depot!$A$7:$A$24,MATCH(F543,M_Depot!$B$7:$B$24,0)),""))*(M_DepotPrice!$G$10:$G$52="Special"),0)),INDEX(M_DepotPrice!$C$10:$C$52,MATCH(1,(M_DepotPrice!$A$10:$A$52=I543)*(M_DepotPrice!$G$10:$G$52="Default"),0)))</f>
        <v>8898</v>
      </c>
      <c r="N543" s="67">
        <f t="shared" si="17"/>
        <v>346488.12</v>
      </c>
      <c r="O543" s="66" t="str">
        <f t="shared" si="16"/>
        <v>MOS100624|PH001|CK6-33411</v>
      </c>
    </row>
    <row r="544" spans="1:15" ht="15" customHeight="1" x14ac:dyDescent="0.3">
      <c r="A544" s="70" t="s">
        <v>1223</v>
      </c>
      <c r="B544" s="70" t="s">
        <v>569</v>
      </c>
      <c r="C544" s="72">
        <v>46179</v>
      </c>
      <c r="D544" s="73" t="s">
        <v>384</v>
      </c>
      <c r="E544" s="76" t="str">
        <f>IFERROR(INDEX(M_User!$A$12:$J$67,MATCH(D544,M_User!$D$12:$D$67,0),3),"UNMAPPED")</f>
        <v>Gastory S Msaki</v>
      </c>
      <c r="F544" s="75" t="str">
        <f>IFERROR(INDEX(M_User!$A$12:$J$67,MATCH(D544,M_User!$D$12:$D$67,0),5),"UNMAPPED")</f>
        <v>MOS</v>
      </c>
      <c r="G544" s="73" t="s">
        <v>797</v>
      </c>
      <c r="H544" s="92" t="s">
        <v>798</v>
      </c>
      <c r="I544" s="73" t="s">
        <v>232</v>
      </c>
      <c r="J544" s="76" t="str">
        <f>IFERROR(INDEX(M_SKU!$A$18:$J$57,MATCH(I544,M_SKU!$B$18:$B$57,0),1),"UNKNOWN SKU")</f>
        <v>Sprite Pet 500ML (x 12)</v>
      </c>
      <c r="K544" s="73" t="s">
        <v>522</v>
      </c>
      <c r="L544" s="276">
        <v>9</v>
      </c>
      <c r="M544" s="94" cm="1">
        <f t="array" ref="M544">IFERROR(INDEX(M_DepotPrice!$C$10:$C$52,MATCH(1,(M_DepotPrice!$A$10:$A$52=I544)*(M_DepotPrice!$H$10:$H$52=IFERROR(INDEX(M_Depot!$A$7:$A$24,MATCH(F544,M_Depot!$B$7:$B$24,0)),""))*(M_DepotPrice!$G$10:$G$52="Special"),0)),INDEX(M_DepotPrice!$C$10:$C$52,MATCH(1,(M_DepotPrice!$A$10:$A$52=I544)*(M_DepotPrice!$G$10:$G$52="Default"),0)))</f>
        <v>8898</v>
      </c>
      <c r="N544" s="95">
        <f t="shared" si="17"/>
        <v>94496.76</v>
      </c>
      <c r="O544" s="82" t="str">
        <f t="shared" si="16"/>
        <v>MOS100624|PH002|CK6-33362</v>
      </c>
    </row>
    <row r="545" spans="1:15" ht="15" customHeight="1" x14ac:dyDescent="0.3">
      <c r="A545" s="60" t="s">
        <v>1224</v>
      </c>
      <c r="B545" s="60" t="s">
        <v>569</v>
      </c>
      <c r="C545" s="62">
        <v>46179</v>
      </c>
      <c r="D545" s="63" t="s">
        <v>384</v>
      </c>
      <c r="E545" s="66" t="str">
        <f>IFERROR(INDEX(M_User!$A$12:$J$67,MATCH(D545,M_User!$D$12:$D$67,0),3),"UNMAPPED")</f>
        <v>Gastory S Msaki</v>
      </c>
      <c r="F545" s="65" t="str">
        <f>IFERROR(INDEX(M_User!$A$12:$J$67,MATCH(D545,M_User!$D$12:$D$67,0),5),"UNMAPPED")</f>
        <v>MOS</v>
      </c>
      <c r="G545" s="63" t="s">
        <v>797</v>
      </c>
      <c r="H545" s="69" t="s">
        <v>798</v>
      </c>
      <c r="I545" s="63" t="s">
        <v>234</v>
      </c>
      <c r="J545" s="66" t="str">
        <f>IFERROR(INDEX(M_SKU!$A$18:$J$57,MATCH(I545,M_SKU!$B$18:$B$57,0),1),"UNKNOWN SKU")</f>
        <v>Fanta Orange Pet 500ML ( x 12)</v>
      </c>
      <c r="K545" s="63" t="s">
        <v>523</v>
      </c>
      <c r="L545" s="276">
        <v>12</v>
      </c>
      <c r="M545" s="91" cm="1">
        <f t="array" ref="M545">IFERROR(INDEX(M_DepotPrice!$C$10:$C$52,MATCH(1,(M_DepotPrice!$A$10:$A$52=I545)*(M_DepotPrice!$H$10:$H$52=IFERROR(INDEX(M_Depot!$A$7:$A$24,MATCH(F545,M_Depot!$B$7:$B$24,0)),""))*(M_DepotPrice!$G$10:$G$52="Special"),0)),INDEX(M_DepotPrice!$C$10:$C$52,MATCH(1,(M_DepotPrice!$A$10:$A$52=I545)*(M_DepotPrice!$G$10:$G$52="Default"),0)))</f>
        <v>8898</v>
      </c>
      <c r="N545" s="67">
        <f t="shared" si="17"/>
        <v>125995.68</v>
      </c>
      <c r="O545" s="66" t="str">
        <f t="shared" si="16"/>
        <v>MOS100624|PH003|CK6-33405</v>
      </c>
    </row>
    <row r="546" spans="1:15" ht="15" customHeight="1" x14ac:dyDescent="0.3">
      <c r="A546" s="70" t="s">
        <v>1225</v>
      </c>
      <c r="B546" s="70" t="s">
        <v>569</v>
      </c>
      <c r="C546" s="72">
        <v>46179</v>
      </c>
      <c r="D546" s="73" t="s">
        <v>384</v>
      </c>
      <c r="E546" s="76" t="str">
        <f>IFERROR(INDEX(M_User!$A$12:$J$67,MATCH(D546,M_User!$D$12:$D$67,0),3),"UNMAPPED")</f>
        <v>Gastory S Msaki</v>
      </c>
      <c r="F546" s="75" t="str">
        <f>IFERROR(INDEX(M_User!$A$12:$J$67,MATCH(D546,M_User!$D$12:$D$67,0),5),"UNMAPPED")</f>
        <v>MOS</v>
      </c>
      <c r="G546" s="73" t="s">
        <v>797</v>
      </c>
      <c r="H546" s="92" t="s">
        <v>798</v>
      </c>
      <c r="I546" s="73" t="s">
        <v>236</v>
      </c>
      <c r="J546" s="76" t="str">
        <f>IFERROR(INDEX(M_SKU!$A$18:$J$57,MATCH(I546,M_SKU!$B$18:$B$57,0),1),"UNKNOWN SKU")</f>
        <v>Fanta Passion Pet 500ML ( x12)</v>
      </c>
      <c r="K546" s="73" t="s">
        <v>524</v>
      </c>
      <c r="L546" s="276">
        <v>6</v>
      </c>
      <c r="M546" s="94" cm="1">
        <f t="array" ref="M546">IFERROR(INDEX(M_DepotPrice!$C$10:$C$52,MATCH(1,(M_DepotPrice!$A$10:$A$52=I546)*(M_DepotPrice!$H$10:$H$52=IFERROR(INDEX(M_Depot!$A$7:$A$24,MATCH(F546,M_Depot!$B$7:$B$24,0)),""))*(M_DepotPrice!$G$10:$G$52="Special"),0)),INDEX(M_DepotPrice!$C$10:$C$52,MATCH(1,(M_DepotPrice!$A$10:$A$52=I546)*(M_DepotPrice!$G$10:$G$52="Default"),0)))</f>
        <v>8898</v>
      </c>
      <c r="N546" s="95">
        <f t="shared" si="17"/>
        <v>62997.84</v>
      </c>
      <c r="O546" s="82" t="str">
        <f t="shared" si="16"/>
        <v>MOS100624|PH004|CK5-33334</v>
      </c>
    </row>
    <row r="547" spans="1:15" ht="15" customHeight="1" x14ac:dyDescent="0.3">
      <c r="A547" s="60" t="s">
        <v>1226</v>
      </c>
      <c r="B547" s="60" t="s">
        <v>569</v>
      </c>
      <c r="C547" s="62">
        <v>46179</v>
      </c>
      <c r="D547" s="63" t="s">
        <v>384</v>
      </c>
      <c r="E547" s="66" t="str">
        <f>IFERROR(INDEX(M_User!$A$12:$J$67,MATCH(D547,M_User!$D$12:$D$67,0),3),"UNMAPPED")</f>
        <v>Gastory S Msaki</v>
      </c>
      <c r="F547" s="65" t="str">
        <f>IFERROR(INDEX(M_User!$A$12:$J$67,MATCH(D547,M_User!$D$12:$D$67,0),5),"UNMAPPED")</f>
        <v>MOS</v>
      </c>
      <c r="G547" s="63" t="s">
        <v>797</v>
      </c>
      <c r="H547" s="69" t="s">
        <v>798</v>
      </c>
      <c r="I547" s="63" t="s">
        <v>242</v>
      </c>
      <c r="J547" s="66" t="str">
        <f>IFERROR(INDEX(M_SKU!$A$18:$J$57,MATCH(I547,M_SKU!$B$18:$B$57,0),1),"UNKNOWN SKU")</f>
        <v>Stoney Tangawizi Pet 500 ml ( x12)</v>
      </c>
      <c r="K547" s="63" t="s">
        <v>525</v>
      </c>
      <c r="L547" s="276">
        <v>2</v>
      </c>
      <c r="M547" s="91" cm="1">
        <f t="array" ref="M547">IFERROR(INDEX(M_DepotPrice!$C$10:$C$52,MATCH(1,(M_DepotPrice!$A$10:$A$52=I547)*(M_DepotPrice!$H$10:$H$52=IFERROR(INDEX(M_Depot!$A$7:$A$24,MATCH(F547,M_Depot!$B$7:$B$24,0)),""))*(M_DepotPrice!$G$10:$G$52="Special"),0)),INDEX(M_DepotPrice!$C$10:$C$52,MATCH(1,(M_DepotPrice!$A$10:$A$52=I547)*(M_DepotPrice!$G$10:$G$52="Default"),0)))</f>
        <v>8898</v>
      </c>
      <c r="N547" s="67">
        <f t="shared" si="17"/>
        <v>20999.279999999999</v>
      </c>
      <c r="O547" s="66" t="str">
        <f t="shared" si="16"/>
        <v>MOS100624|PH007|CK6-33375</v>
      </c>
    </row>
    <row r="548" spans="1:15" ht="15" customHeight="1" x14ac:dyDescent="0.3">
      <c r="A548" s="70" t="s">
        <v>1227</v>
      </c>
      <c r="B548" s="70" t="s">
        <v>569</v>
      </c>
      <c r="C548" s="72">
        <v>46179</v>
      </c>
      <c r="D548" s="73" t="s">
        <v>384</v>
      </c>
      <c r="E548" s="76" t="str">
        <f>IFERROR(INDEX(M_User!$A$12:$J$67,MATCH(D548,M_User!$D$12:$D$67,0),3),"UNMAPPED")</f>
        <v>Gastory S Msaki</v>
      </c>
      <c r="F548" s="75" t="str">
        <f>IFERROR(INDEX(M_User!$A$12:$J$67,MATCH(D548,M_User!$D$12:$D$67,0),5),"UNMAPPED")</f>
        <v>MOS</v>
      </c>
      <c r="G548" s="73" t="s">
        <v>797</v>
      </c>
      <c r="H548" s="92" t="s">
        <v>798</v>
      </c>
      <c r="I548" s="73" t="s">
        <v>244</v>
      </c>
      <c r="J548" s="76" t="str">
        <f>IFERROR(INDEX(M_SKU!$A$18:$J$57,MATCH(I548,M_SKU!$B$18:$B$57,0),1),"UNKNOWN SKU")</f>
        <v>Sparletta Pinenut Pet 500 ml ( x12)</v>
      </c>
      <c r="K548" s="73" t="s">
        <v>526</v>
      </c>
      <c r="L548" s="276">
        <v>9</v>
      </c>
      <c r="M548" s="94" cm="1">
        <f t="array" ref="M548">IFERROR(INDEX(M_DepotPrice!$C$10:$C$52,MATCH(1,(M_DepotPrice!$A$10:$A$52=I548)*(M_DepotPrice!$H$10:$H$52=IFERROR(INDEX(M_Depot!$A$7:$A$24,MATCH(F548,M_Depot!$B$7:$B$24,0)),""))*(M_DepotPrice!$G$10:$G$52="Special"),0)),INDEX(M_DepotPrice!$C$10:$C$52,MATCH(1,(M_DepotPrice!$A$10:$A$52=I548)*(M_DepotPrice!$G$10:$G$52="Default"),0)))</f>
        <v>8898</v>
      </c>
      <c r="N548" s="95">
        <f t="shared" si="17"/>
        <v>94496.76</v>
      </c>
      <c r="O548" s="82" t="str">
        <f t="shared" si="16"/>
        <v>MOS100624|PH008|CK5-33370</v>
      </c>
    </row>
    <row r="549" spans="1:15" ht="15" customHeight="1" x14ac:dyDescent="0.3">
      <c r="A549" s="60" t="s">
        <v>1228</v>
      </c>
      <c r="B549" s="60" t="s">
        <v>569</v>
      </c>
      <c r="C549" s="62">
        <v>46179</v>
      </c>
      <c r="D549" s="63" t="s">
        <v>384</v>
      </c>
      <c r="E549" s="66" t="str">
        <f>IFERROR(INDEX(M_User!$A$12:$J$67,MATCH(D549,M_User!$D$12:$D$67,0),3),"UNMAPPED")</f>
        <v>Gastory S Msaki</v>
      </c>
      <c r="F549" s="65" t="str">
        <f>IFERROR(INDEX(M_User!$A$12:$J$67,MATCH(D549,M_User!$D$12:$D$67,0),5),"UNMAPPED")</f>
        <v>MOS</v>
      </c>
      <c r="G549" s="63" t="s">
        <v>797</v>
      </c>
      <c r="H549" s="69" t="s">
        <v>798</v>
      </c>
      <c r="I549" s="63" t="s">
        <v>252</v>
      </c>
      <c r="J549" s="66" t="str">
        <f>IFERROR(INDEX(M_SKU!$A$18:$J$57,MATCH(I549,M_SKU!$B$18:$B$57,0),1),"UNKNOWN SKU")</f>
        <v>Sprite Zero Pet 300ML (x 12)</v>
      </c>
      <c r="K549" s="63" t="s">
        <v>545</v>
      </c>
      <c r="L549" s="276">
        <v>1</v>
      </c>
      <c r="M549" s="91" cm="1">
        <f t="array" ref="M549">IFERROR(INDEX(M_DepotPrice!$C$10:$C$52,MATCH(1,(M_DepotPrice!$A$10:$A$52=I549)*(M_DepotPrice!$H$10:$H$52=IFERROR(INDEX(M_Depot!$A$7:$A$24,MATCH(F549,M_Depot!$B$7:$B$24,0)),""))*(M_DepotPrice!$G$10:$G$52="Special"),0)),INDEX(M_DepotPrice!$C$10:$C$52,MATCH(1,(M_DepotPrice!$A$10:$A$52=I549)*(M_DepotPrice!$G$10:$G$52="Default"),0)))</f>
        <v>5085</v>
      </c>
      <c r="N549" s="67">
        <f t="shared" si="17"/>
        <v>6000.2999999999993</v>
      </c>
      <c r="O549" s="66" t="str">
        <f t="shared" si="16"/>
        <v>MOS100624|PO010|CK5-33360</v>
      </c>
    </row>
    <row r="550" spans="1:15" ht="15" customHeight="1" x14ac:dyDescent="0.3">
      <c r="A550" s="70" t="s">
        <v>1229</v>
      </c>
      <c r="B550" s="70" t="s">
        <v>569</v>
      </c>
      <c r="C550" s="72">
        <v>46179</v>
      </c>
      <c r="D550" s="73" t="s">
        <v>384</v>
      </c>
      <c r="E550" s="76" t="str">
        <f>IFERROR(INDEX(M_User!$A$12:$J$67,MATCH(D550,M_User!$D$12:$D$67,0),3),"UNMAPPED")</f>
        <v>Gastory S Msaki</v>
      </c>
      <c r="F550" s="75" t="str">
        <f>IFERROR(INDEX(M_User!$A$12:$J$67,MATCH(D550,M_User!$D$12:$D$67,0),5),"UNMAPPED")</f>
        <v>MOS</v>
      </c>
      <c r="G550" s="73" t="s">
        <v>797</v>
      </c>
      <c r="H550" s="92" t="s">
        <v>798</v>
      </c>
      <c r="I550" s="73" t="s">
        <v>254</v>
      </c>
      <c r="J550" s="76" t="str">
        <f>IFERROR(INDEX(M_SKU!$A$18:$J$57,MATCH(I550,M_SKU!$B$18:$B$57,0),1),"UNKNOWN SKU")</f>
        <v>Fanta Zero Pet 300ML (x 12)</v>
      </c>
      <c r="K550" s="73" t="s">
        <v>546</v>
      </c>
      <c r="L550" s="276">
        <v>3</v>
      </c>
      <c r="M550" s="94" cm="1">
        <f t="array" ref="M550">IFERROR(INDEX(M_DepotPrice!$C$10:$C$52,MATCH(1,(M_DepotPrice!$A$10:$A$52=I550)*(M_DepotPrice!$H$10:$H$52=IFERROR(INDEX(M_Depot!$A$7:$A$24,MATCH(F550,M_Depot!$B$7:$B$24,0)),""))*(M_DepotPrice!$G$10:$G$52="Special"),0)),INDEX(M_DepotPrice!$C$10:$C$52,MATCH(1,(M_DepotPrice!$A$10:$A$52=I550)*(M_DepotPrice!$G$10:$G$52="Default"),0)))</f>
        <v>5085</v>
      </c>
      <c r="N550" s="95">
        <f t="shared" si="17"/>
        <v>18000.899999999998</v>
      </c>
      <c r="O550" s="82" t="str">
        <f t="shared" si="16"/>
        <v>MOS100624|PO012|CK5-33369</v>
      </c>
    </row>
    <row r="551" spans="1:15" ht="15" customHeight="1" x14ac:dyDescent="0.3">
      <c r="A551" s="60" t="s">
        <v>1230</v>
      </c>
      <c r="B551" s="60" t="s">
        <v>569</v>
      </c>
      <c r="C551" s="62">
        <v>46179</v>
      </c>
      <c r="D551" s="63" t="s">
        <v>384</v>
      </c>
      <c r="E551" s="66" t="str">
        <f>IFERROR(INDEX(M_User!$A$12:$J$67,MATCH(D551,M_User!$D$12:$D$67,0),3),"UNMAPPED")</f>
        <v>Gastory S Msaki</v>
      </c>
      <c r="F551" s="65" t="str">
        <f>IFERROR(INDEX(M_User!$A$12:$J$67,MATCH(D551,M_User!$D$12:$D$67,0),5),"UNMAPPED")</f>
        <v>MOS</v>
      </c>
      <c r="G551" s="63" t="s">
        <v>797</v>
      </c>
      <c r="H551" s="69" t="s">
        <v>798</v>
      </c>
      <c r="I551" s="63" t="s">
        <v>261</v>
      </c>
      <c r="J551" s="66" t="str">
        <f>IFERROR(INDEX(M_SKU!$A$18:$J$57,MATCH(I551,M_SKU!$B$18:$B$57,0),1),"UNKNOWN SKU")</f>
        <v>Sparletta Pine Apple Pet 300ML (x 12)</v>
      </c>
      <c r="K551" s="63" t="s">
        <v>547</v>
      </c>
      <c r="L551" s="276">
        <v>3</v>
      </c>
      <c r="M551" s="91" cm="1">
        <f t="array" ref="M551">IFERROR(INDEX(M_DepotPrice!$C$10:$C$52,MATCH(1,(M_DepotPrice!$A$10:$A$52=I551)*(M_DepotPrice!$H$10:$H$52=IFERROR(INDEX(M_Depot!$A$7:$A$24,MATCH(F551,M_Depot!$B$7:$B$24,0)),""))*(M_DepotPrice!$G$10:$G$52="Special"),0)),INDEX(M_DepotPrice!$C$10:$C$52,MATCH(1,(M_DepotPrice!$A$10:$A$52=I551)*(M_DepotPrice!$G$10:$G$52="Default"),0)))</f>
        <v>5085</v>
      </c>
      <c r="N551" s="67">
        <f t="shared" si="17"/>
        <v>18000.899999999998</v>
      </c>
      <c r="O551" s="66" t="str">
        <f t="shared" si="16"/>
        <v>MOS100624|PO015|CK5-33366</v>
      </c>
    </row>
    <row r="552" spans="1:15" ht="15" customHeight="1" x14ac:dyDescent="0.3">
      <c r="A552" s="70" t="s">
        <v>1231</v>
      </c>
      <c r="B552" s="70" t="s">
        <v>569</v>
      </c>
      <c r="C552" s="72">
        <v>46179</v>
      </c>
      <c r="D552" s="73" t="s">
        <v>384</v>
      </c>
      <c r="E552" s="76" t="str">
        <f>IFERROR(INDEX(M_User!$A$12:$J$67,MATCH(D552,M_User!$D$12:$D$67,0),3),"UNMAPPED")</f>
        <v>Gastory S Msaki</v>
      </c>
      <c r="F552" s="75" t="str">
        <f>IFERROR(INDEX(M_User!$A$12:$J$67,MATCH(D552,M_User!$D$12:$D$67,0),5),"UNMAPPED")</f>
        <v>MOS</v>
      </c>
      <c r="G552" s="73" t="s">
        <v>949</v>
      </c>
      <c r="H552" s="92" t="s">
        <v>950</v>
      </c>
      <c r="I552" s="73" t="s">
        <v>178</v>
      </c>
      <c r="J552" s="76" t="str">
        <f>IFERROR(INDEX(M_SKU!$A$18:$J$57,MATCH(I552,M_SKU!$B$18:$B$57,0),1),"UNKNOWN SKU")</f>
        <v>Fanta Orange RGB 350ml</v>
      </c>
      <c r="K552" s="73" t="s">
        <v>531</v>
      </c>
      <c r="L552" s="276">
        <v>4.9843999999999999</v>
      </c>
      <c r="M552" s="94" cm="1">
        <f t="array" ref="M552">IFERROR(INDEX(M_DepotPrice!$C$10:$C$52,MATCH(1,(M_DepotPrice!$A$10:$A$52=I552)*(M_DepotPrice!$H$10:$H$52=IFERROR(INDEX(M_Depot!$A$7:$A$24,MATCH(F552,M_Depot!$B$7:$B$24,0)),""))*(M_DepotPrice!$G$10:$G$52="Special"),0)),INDEX(M_DepotPrice!$C$10:$C$52,MATCH(1,(M_DepotPrice!$A$10:$A$52=I552)*(M_DepotPrice!$G$10:$G$52="Default"),0)))</f>
        <v>11780</v>
      </c>
      <c r="N552" s="95">
        <f t="shared" si="17"/>
        <v>69285.153759999987</v>
      </c>
      <c r="O552" s="82" t="str">
        <f t="shared" si="16"/>
        <v>MOS100624|FG002|CK3-33407</v>
      </c>
    </row>
    <row r="553" spans="1:15" ht="15" customHeight="1" x14ac:dyDescent="0.3">
      <c r="A553" s="60" t="s">
        <v>1232</v>
      </c>
      <c r="B553" s="60" t="s">
        <v>569</v>
      </c>
      <c r="C553" s="62">
        <v>46179</v>
      </c>
      <c r="D553" s="63" t="s">
        <v>384</v>
      </c>
      <c r="E553" s="66" t="str">
        <f>IFERROR(INDEX(M_User!$A$12:$J$67,MATCH(D553,M_User!$D$12:$D$67,0),3),"UNMAPPED")</f>
        <v>Gastory S Msaki</v>
      </c>
      <c r="F553" s="65" t="str">
        <f>IFERROR(INDEX(M_User!$A$12:$J$67,MATCH(D553,M_User!$D$12:$D$67,0),5),"UNMAPPED")</f>
        <v>MOS</v>
      </c>
      <c r="G553" s="63" t="s">
        <v>949</v>
      </c>
      <c r="H553" s="69" t="s">
        <v>950</v>
      </c>
      <c r="I553" s="63" t="s">
        <v>183</v>
      </c>
      <c r="J553" s="66" t="str">
        <f>IFERROR(INDEX(M_SKU!$A$18:$J$57,MATCH(I553,M_SKU!$B$18:$B$57,0),1),"UNKNOWN SKU")</f>
        <v>Fanta Pineapple RGB 350ml</v>
      </c>
      <c r="K553" s="63" t="s">
        <v>533</v>
      </c>
      <c r="L553" s="276">
        <v>3.1217999999999999</v>
      </c>
      <c r="M553" s="91" cm="1">
        <f t="array" ref="M553">IFERROR(INDEX(M_DepotPrice!$C$10:$C$52,MATCH(1,(M_DepotPrice!$A$10:$A$52=I553)*(M_DepotPrice!$H$10:$H$52=IFERROR(INDEX(M_Depot!$A$7:$A$24,MATCH(F553,M_Depot!$B$7:$B$24,0)),""))*(M_DepotPrice!$G$10:$G$52="Special"),0)),INDEX(M_DepotPrice!$C$10:$C$52,MATCH(1,(M_DepotPrice!$A$10:$A$52=I553)*(M_DepotPrice!$G$10:$G$52="Default"),0)))</f>
        <v>11780</v>
      </c>
      <c r="N553" s="67">
        <f t="shared" si="17"/>
        <v>43394.268719999993</v>
      </c>
      <c r="O553" s="66" t="str">
        <f t="shared" si="16"/>
        <v>MOS100624|FG004|CK3-33385</v>
      </c>
    </row>
    <row r="554" spans="1:15" ht="15" customHeight="1" x14ac:dyDescent="0.3">
      <c r="A554" s="70" t="s">
        <v>1233</v>
      </c>
      <c r="B554" s="70" t="s">
        <v>569</v>
      </c>
      <c r="C554" s="72">
        <v>46179</v>
      </c>
      <c r="D554" s="73" t="s">
        <v>384</v>
      </c>
      <c r="E554" s="76" t="str">
        <f>IFERROR(INDEX(M_User!$A$12:$J$67,MATCH(D554,M_User!$D$12:$D$67,0),3),"UNMAPPED")</f>
        <v>Gastory S Msaki</v>
      </c>
      <c r="F554" s="75" t="str">
        <f>IFERROR(INDEX(M_User!$A$12:$J$67,MATCH(D554,M_User!$D$12:$D$67,0),5),"UNMAPPED")</f>
        <v>MOS</v>
      </c>
      <c r="G554" s="73" t="s">
        <v>949</v>
      </c>
      <c r="H554" s="92" t="s">
        <v>950</v>
      </c>
      <c r="I554" s="73" t="s">
        <v>185</v>
      </c>
      <c r="J554" s="76" t="str">
        <f>IFERROR(INDEX(M_SKU!$A$18:$J$57,MATCH(I554,M_SKU!$B$18:$B$57,0),1),"UNKNOWN SKU")</f>
        <v>Fanta Fruit Blast RGB 350 ml</v>
      </c>
      <c r="K554" s="73" t="s">
        <v>534</v>
      </c>
      <c r="L554" s="276">
        <v>1.1668000000000001</v>
      </c>
      <c r="M554" s="94" cm="1">
        <f t="array" ref="M554">IFERROR(INDEX(M_DepotPrice!$C$10:$C$52,MATCH(1,(M_DepotPrice!$A$10:$A$52=I554)*(M_DepotPrice!$H$10:$H$52=IFERROR(INDEX(M_Depot!$A$7:$A$24,MATCH(F554,M_Depot!$B$7:$B$24,0)),""))*(M_DepotPrice!$G$10:$G$52="Special"),0)),INDEX(M_DepotPrice!$C$10:$C$52,MATCH(1,(M_DepotPrice!$A$10:$A$52=I554)*(M_DepotPrice!$G$10:$G$52="Default"),0)))</f>
        <v>11780</v>
      </c>
      <c r="N554" s="95">
        <f t="shared" si="17"/>
        <v>16218.986719999999</v>
      </c>
      <c r="O554" s="82" t="str">
        <f t="shared" si="16"/>
        <v>MOS100624|FG005|CK3-33402</v>
      </c>
    </row>
    <row r="555" spans="1:15" ht="15" customHeight="1" x14ac:dyDescent="0.3">
      <c r="A555" s="60" t="s">
        <v>1234</v>
      </c>
      <c r="B555" s="60" t="s">
        <v>569</v>
      </c>
      <c r="C555" s="62">
        <v>46179</v>
      </c>
      <c r="D555" s="63" t="s">
        <v>384</v>
      </c>
      <c r="E555" s="66" t="str">
        <f>IFERROR(INDEX(M_User!$A$12:$J$67,MATCH(D555,M_User!$D$12:$D$67,0),3),"UNMAPPED")</f>
        <v>Gastory S Msaki</v>
      </c>
      <c r="F555" s="65" t="str">
        <f>IFERROR(INDEX(M_User!$A$12:$J$67,MATCH(D555,M_User!$D$12:$D$67,0),5),"UNMAPPED")</f>
        <v>MOS</v>
      </c>
      <c r="G555" s="63" t="s">
        <v>949</v>
      </c>
      <c r="H555" s="69" t="s">
        <v>950</v>
      </c>
      <c r="I555" s="63" t="s">
        <v>190</v>
      </c>
      <c r="J555" s="66" t="str">
        <f>IFERROR(INDEX(M_SKU!$A$18:$J$57,MATCH(I555,M_SKU!$B$18:$B$57,0),1),"UNKNOWN SKU")</f>
        <v>Stoney Tangawizi RGB 350ml</v>
      </c>
      <c r="K555" s="63" t="s">
        <v>536</v>
      </c>
      <c r="L555" s="276">
        <v>2.6520971903161699</v>
      </c>
      <c r="M555" s="91" cm="1">
        <f t="array" ref="M555">IFERROR(INDEX(M_DepotPrice!$C$10:$C$52,MATCH(1,(M_DepotPrice!$A$10:$A$52=I555)*(M_DepotPrice!$H$10:$H$52=IFERROR(INDEX(M_Depot!$A$7:$A$24,MATCH(F555,M_Depot!$B$7:$B$24,0)),""))*(M_DepotPrice!$G$10:$G$52="Special"),0)),INDEX(M_DepotPrice!$C$10:$C$52,MATCH(1,(M_DepotPrice!$A$10:$A$52=I555)*(M_DepotPrice!$G$10:$G$52="Default"),0)))</f>
        <v>11780</v>
      </c>
      <c r="N555" s="67">
        <f t="shared" si="17"/>
        <v>36865.211784270883</v>
      </c>
      <c r="O555" s="66" t="str">
        <f t="shared" si="16"/>
        <v>MOS100624|FG007|CK3-33404</v>
      </c>
    </row>
    <row r="556" spans="1:15" ht="15" customHeight="1" x14ac:dyDescent="0.3">
      <c r="A556" s="70" t="s">
        <v>1235</v>
      </c>
      <c r="B556" s="70" t="s">
        <v>569</v>
      </c>
      <c r="C556" s="72">
        <v>46179</v>
      </c>
      <c r="D556" s="73" t="s">
        <v>384</v>
      </c>
      <c r="E556" s="76" t="str">
        <f>IFERROR(INDEX(M_User!$A$12:$J$67,MATCH(D556,M_User!$D$12:$D$67,0),3),"UNMAPPED")</f>
        <v>Gastory S Msaki</v>
      </c>
      <c r="F556" s="75" t="str">
        <f>IFERROR(INDEX(M_User!$A$12:$J$67,MATCH(D556,M_User!$D$12:$D$67,0),5),"UNMAPPED")</f>
        <v>MOS</v>
      </c>
      <c r="G556" s="73" t="s">
        <v>949</v>
      </c>
      <c r="H556" s="92" t="s">
        <v>950</v>
      </c>
      <c r="I556" s="73" t="s">
        <v>196</v>
      </c>
      <c r="J556" s="76" t="str">
        <f>IFERROR(INDEX(M_SKU!$A$18:$J$57,MATCH(I556,M_SKU!$B$18:$B$57,0),1),"UNKNOWN SKU")</f>
        <v>Krest Bitter Lemon RGB 300ml</v>
      </c>
      <c r="K556" s="73" t="s">
        <v>538</v>
      </c>
      <c r="L556" s="276">
        <v>0.57440000000000002</v>
      </c>
      <c r="M556" s="94" cm="1">
        <f t="array" ref="M556">IFERROR(INDEX(M_DepotPrice!$C$10:$C$52,MATCH(1,(M_DepotPrice!$A$10:$A$52=I556)*(M_DepotPrice!$H$10:$H$52=IFERROR(INDEX(M_Depot!$A$7:$A$24,MATCH(F556,M_Depot!$B$7:$B$24,0)),""))*(M_DepotPrice!$G$10:$G$52="Special"),0)),INDEX(M_DepotPrice!$C$10:$C$52,MATCH(1,(M_DepotPrice!$A$10:$A$52=I556)*(M_DepotPrice!$G$10:$G$52="Default"),0)))</f>
        <v>11780</v>
      </c>
      <c r="N556" s="95">
        <f t="shared" si="17"/>
        <v>7984.38976</v>
      </c>
      <c r="O556" s="82" t="str">
        <f t="shared" si="16"/>
        <v>MOS100624|FG009|CK3-33348</v>
      </c>
    </row>
    <row r="557" spans="1:15" ht="15" customHeight="1" x14ac:dyDescent="0.3">
      <c r="A557" s="60" t="s">
        <v>1236</v>
      </c>
      <c r="B557" s="60" t="s">
        <v>569</v>
      </c>
      <c r="C557" s="62">
        <v>46179</v>
      </c>
      <c r="D557" s="63" t="s">
        <v>384</v>
      </c>
      <c r="E557" s="66" t="str">
        <f>IFERROR(INDEX(M_User!$A$12:$J$67,MATCH(D557,M_User!$D$12:$D$67,0),3),"UNMAPPED")</f>
        <v>Gastory S Msaki</v>
      </c>
      <c r="F557" s="65" t="str">
        <f>IFERROR(INDEX(M_User!$A$12:$J$67,MATCH(D557,M_User!$D$12:$D$67,0),5),"UNMAPPED")</f>
        <v>MOS</v>
      </c>
      <c r="G557" s="63" t="s">
        <v>949</v>
      </c>
      <c r="H557" s="69" t="s">
        <v>950</v>
      </c>
      <c r="I557" s="63" t="s">
        <v>219</v>
      </c>
      <c r="J557" s="66" t="str">
        <f>IFERROR(INDEX(M_SKU!$A$18:$J$57,MATCH(I557,M_SKU!$B$18:$B$57,0),1),"UNKNOWN SKU")</f>
        <v>Kilimanjaro Drinking Water 6000 ML</v>
      </c>
      <c r="K557" s="63" t="s">
        <v>571</v>
      </c>
      <c r="L557" s="276">
        <v>2</v>
      </c>
      <c r="M557" s="91" cm="1">
        <f t="array" ref="M557">IFERROR(INDEX(M_DepotPrice!$C$10:$C$52,MATCH(1,(M_DepotPrice!$A$10:$A$52=I557)*(M_DepotPrice!$H$10:$H$52=IFERROR(INDEX(M_Depot!$A$7:$A$24,MATCH(F557,M_Depot!$B$7:$B$24,0)),""))*(M_DepotPrice!$G$10:$G$52="Special"),0)),INDEX(M_DepotPrice!$C$10:$C$52,MATCH(1,(M_DepotPrice!$A$10:$A$52=I557)*(M_DepotPrice!$G$10:$G$52="Default"),0)))</f>
        <v>2119</v>
      </c>
      <c r="N557" s="67">
        <f t="shared" si="17"/>
        <v>5000.84</v>
      </c>
      <c r="O557" s="66" t="str">
        <f t="shared" si="16"/>
        <v>MOS100624|KD004|CK7-806</v>
      </c>
    </row>
    <row r="558" spans="1:15" ht="15" customHeight="1" x14ac:dyDescent="0.3">
      <c r="A558" s="70" t="s">
        <v>1237</v>
      </c>
      <c r="B558" s="70" t="s">
        <v>569</v>
      </c>
      <c r="C558" s="72">
        <v>46179</v>
      </c>
      <c r="D558" s="73" t="s">
        <v>384</v>
      </c>
      <c r="E558" s="76" t="str">
        <f>IFERROR(INDEX(M_User!$A$12:$J$67,MATCH(D558,M_User!$D$12:$D$67,0),3),"UNMAPPED")</f>
        <v>Gastory S Msaki</v>
      </c>
      <c r="F558" s="75" t="str">
        <f>IFERROR(INDEX(M_User!$A$12:$J$67,MATCH(D558,M_User!$D$12:$D$67,0),5),"UNMAPPED")</f>
        <v>MOS</v>
      </c>
      <c r="G558" s="73" t="s">
        <v>949</v>
      </c>
      <c r="H558" s="92" t="s">
        <v>950</v>
      </c>
      <c r="I558" s="73" t="s">
        <v>244</v>
      </c>
      <c r="J558" s="76" t="str">
        <f>IFERROR(INDEX(M_SKU!$A$18:$J$57,MATCH(I558,M_SKU!$B$18:$B$57,0),1),"UNKNOWN SKU")</f>
        <v>Sparletta Pinenut Pet 500 ml ( x12)</v>
      </c>
      <c r="K558" s="73" t="s">
        <v>526</v>
      </c>
      <c r="L558" s="276">
        <v>9</v>
      </c>
      <c r="M558" s="94" cm="1">
        <f t="array" ref="M558">IFERROR(INDEX(M_DepotPrice!$C$10:$C$52,MATCH(1,(M_DepotPrice!$A$10:$A$52=I558)*(M_DepotPrice!$H$10:$H$52=IFERROR(INDEX(M_Depot!$A$7:$A$24,MATCH(F558,M_Depot!$B$7:$B$24,0)),""))*(M_DepotPrice!$G$10:$G$52="Special"),0)),INDEX(M_DepotPrice!$C$10:$C$52,MATCH(1,(M_DepotPrice!$A$10:$A$52=I558)*(M_DepotPrice!$G$10:$G$52="Default"),0)))</f>
        <v>8898</v>
      </c>
      <c r="N558" s="95">
        <f t="shared" si="17"/>
        <v>94496.76</v>
      </c>
      <c r="O558" s="82" t="str">
        <f t="shared" si="16"/>
        <v>MOS100624|PH008|CK5-33370</v>
      </c>
    </row>
    <row r="559" spans="1:15" ht="15" customHeight="1" x14ac:dyDescent="0.3">
      <c r="A559" s="60" t="s">
        <v>1238</v>
      </c>
      <c r="B559" s="60" t="s">
        <v>569</v>
      </c>
      <c r="C559" s="62">
        <v>46179</v>
      </c>
      <c r="D559" s="63" t="s">
        <v>384</v>
      </c>
      <c r="E559" s="66" t="str">
        <f>IFERROR(INDEX(M_User!$A$12:$J$67,MATCH(D559,M_User!$D$12:$D$67,0),3),"UNMAPPED")</f>
        <v>Gastory S Msaki</v>
      </c>
      <c r="F559" s="65" t="str">
        <f>IFERROR(INDEX(M_User!$A$12:$J$67,MATCH(D559,M_User!$D$12:$D$67,0),5),"UNMAPPED")</f>
        <v>MOS</v>
      </c>
      <c r="G559" s="63" t="s">
        <v>949</v>
      </c>
      <c r="H559" s="69" t="s">
        <v>950</v>
      </c>
      <c r="I559" s="63" t="s">
        <v>252</v>
      </c>
      <c r="J559" s="66" t="str">
        <f>IFERROR(INDEX(M_SKU!$A$18:$J$57,MATCH(I559,M_SKU!$B$18:$B$57,0),1),"UNKNOWN SKU")</f>
        <v>Sprite Zero Pet 300ML (x 12)</v>
      </c>
      <c r="K559" s="63" t="s">
        <v>545</v>
      </c>
      <c r="L559" s="276">
        <v>1</v>
      </c>
      <c r="M559" s="91" cm="1">
        <f t="array" ref="M559">IFERROR(INDEX(M_DepotPrice!$C$10:$C$52,MATCH(1,(M_DepotPrice!$A$10:$A$52=I559)*(M_DepotPrice!$H$10:$H$52=IFERROR(INDEX(M_Depot!$A$7:$A$24,MATCH(F559,M_Depot!$B$7:$B$24,0)),""))*(M_DepotPrice!$G$10:$G$52="Special"),0)),INDEX(M_DepotPrice!$C$10:$C$52,MATCH(1,(M_DepotPrice!$A$10:$A$52=I559)*(M_DepotPrice!$G$10:$G$52="Default"),0)))</f>
        <v>5085</v>
      </c>
      <c r="N559" s="67">
        <f t="shared" si="17"/>
        <v>6000.2999999999993</v>
      </c>
      <c r="O559" s="66" t="str">
        <f t="shared" si="16"/>
        <v>MOS100624|PO010|CK5-33360</v>
      </c>
    </row>
    <row r="560" spans="1:15" ht="15" customHeight="1" x14ac:dyDescent="0.3">
      <c r="A560" s="70" t="s">
        <v>1239</v>
      </c>
      <c r="B560" s="70" t="s">
        <v>569</v>
      </c>
      <c r="C560" s="72">
        <v>46179</v>
      </c>
      <c r="D560" s="73" t="s">
        <v>384</v>
      </c>
      <c r="E560" s="76" t="str">
        <f>IFERROR(INDEX(M_User!$A$12:$J$67,MATCH(D560,M_User!$D$12:$D$67,0),3),"UNMAPPED")</f>
        <v>Gastory S Msaki</v>
      </c>
      <c r="F560" s="75" t="str">
        <f>IFERROR(INDEX(M_User!$A$12:$J$67,MATCH(D560,M_User!$D$12:$D$67,0),5),"UNMAPPED")</f>
        <v>MOS</v>
      </c>
      <c r="G560" s="73" t="s">
        <v>825</v>
      </c>
      <c r="H560" s="92" t="s">
        <v>826</v>
      </c>
      <c r="I560" s="73" t="s">
        <v>170</v>
      </c>
      <c r="J560" s="76" t="str">
        <f>IFERROR(INDEX(M_SKU!$A$18:$J$57,MATCH(I560,M_SKU!$B$18:$B$57,0),1),"UNKNOWN SKU")</f>
        <v>Coke RGB 350ml</v>
      </c>
      <c r="K560" s="73" t="s">
        <v>530</v>
      </c>
      <c r="L560" s="276">
        <v>9.6052999999999997</v>
      </c>
      <c r="M560" s="94" cm="1">
        <f t="array" ref="M560">IFERROR(INDEX(M_DepotPrice!$C$10:$C$52,MATCH(1,(M_DepotPrice!$A$10:$A$52=I560)*(M_DepotPrice!$H$10:$H$52=IFERROR(INDEX(M_Depot!$A$7:$A$24,MATCH(F560,M_Depot!$B$7:$B$24,0)),""))*(M_DepotPrice!$G$10:$G$52="Special"),0)),INDEX(M_DepotPrice!$C$10:$C$52,MATCH(1,(M_DepotPrice!$A$10:$A$52=I560)*(M_DepotPrice!$G$10:$G$52="Default"),0)))</f>
        <v>11780</v>
      </c>
      <c r="N560" s="95">
        <f t="shared" si="17"/>
        <v>133517.51212</v>
      </c>
      <c r="O560" s="82" t="str">
        <f t="shared" si="16"/>
        <v>MOS100624|FG001|CK3-33409</v>
      </c>
    </row>
    <row r="561" spans="1:15" ht="15" customHeight="1" x14ac:dyDescent="0.3">
      <c r="A561" s="60" t="s">
        <v>1240</v>
      </c>
      <c r="B561" s="60" t="s">
        <v>569</v>
      </c>
      <c r="C561" s="62">
        <v>46179</v>
      </c>
      <c r="D561" s="63" t="s">
        <v>384</v>
      </c>
      <c r="E561" s="66" t="str">
        <f>IFERROR(INDEX(M_User!$A$12:$J$67,MATCH(D561,M_User!$D$12:$D$67,0),3),"UNMAPPED")</f>
        <v>Gastory S Msaki</v>
      </c>
      <c r="F561" s="65" t="str">
        <f>IFERROR(INDEX(M_User!$A$12:$J$67,MATCH(D561,M_User!$D$12:$D$67,0),5),"UNMAPPED")</f>
        <v>MOS</v>
      </c>
      <c r="G561" s="63" t="s">
        <v>825</v>
      </c>
      <c r="H561" s="69" t="s">
        <v>826</v>
      </c>
      <c r="I561" s="63" t="s">
        <v>183</v>
      </c>
      <c r="J561" s="66" t="str">
        <f>IFERROR(INDEX(M_SKU!$A$18:$J$57,MATCH(I561,M_SKU!$B$18:$B$57,0),1),"UNKNOWN SKU")</f>
        <v>Fanta Pineapple RGB 350ml</v>
      </c>
      <c r="K561" s="63" t="s">
        <v>533</v>
      </c>
      <c r="L561" s="276">
        <v>4.8552999999999997</v>
      </c>
      <c r="M561" s="91" cm="1">
        <f t="array" ref="M561">IFERROR(INDEX(M_DepotPrice!$C$10:$C$52,MATCH(1,(M_DepotPrice!$A$10:$A$52=I561)*(M_DepotPrice!$H$10:$H$52=IFERROR(INDEX(M_Depot!$A$7:$A$24,MATCH(F561,M_Depot!$B$7:$B$24,0)),""))*(M_DepotPrice!$G$10:$G$52="Special"),0)),INDEX(M_DepotPrice!$C$10:$C$52,MATCH(1,(M_DepotPrice!$A$10:$A$52=I561)*(M_DepotPrice!$G$10:$G$52="Default"),0)))</f>
        <v>11780</v>
      </c>
      <c r="N561" s="67">
        <f t="shared" si="17"/>
        <v>67490.612119999991</v>
      </c>
      <c r="O561" s="66" t="str">
        <f t="shared" si="16"/>
        <v>MOS100624|FG004|CK3-33385</v>
      </c>
    </row>
    <row r="562" spans="1:15" ht="15" customHeight="1" x14ac:dyDescent="0.3">
      <c r="A562" s="70" t="s">
        <v>1241</v>
      </c>
      <c r="B562" s="70" t="s">
        <v>569</v>
      </c>
      <c r="C562" s="72">
        <v>46179</v>
      </c>
      <c r="D562" s="73" t="s">
        <v>384</v>
      </c>
      <c r="E562" s="76" t="str">
        <f>IFERROR(INDEX(M_User!$A$12:$J$67,MATCH(D562,M_User!$D$12:$D$67,0),3),"UNMAPPED")</f>
        <v>Gastory S Msaki</v>
      </c>
      <c r="F562" s="75" t="str">
        <f>IFERROR(INDEX(M_User!$A$12:$J$67,MATCH(D562,M_User!$D$12:$D$67,0),5),"UNMAPPED")</f>
        <v>MOS</v>
      </c>
      <c r="G562" s="73" t="s">
        <v>825</v>
      </c>
      <c r="H562" s="92" t="s">
        <v>826</v>
      </c>
      <c r="I562" s="73" t="s">
        <v>190</v>
      </c>
      <c r="J562" s="76" t="str">
        <f>IFERROR(INDEX(M_SKU!$A$18:$J$57,MATCH(I562,M_SKU!$B$18:$B$57,0),1),"UNKNOWN SKU")</f>
        <v>Stoney Tangawizi RGB 350ml</v>
      </c>
      <c r="K562" s="73" t="s">
        <v>536</v>
      </c>
      <c r="L562" s="276">
        <v>1.772</v>
      </c>
      <c r="M562" s="94" cm="1">
        <f t="array" ref="M562">IFERROR(INDEX(M_DepotPrice!$C$10:$C$52,MATCH(1,(M_DepotPrice!$A$10:$A$52=I562)*(M_DepotPrice!$H$10:$H$52=IFERROR(INDEX(M_Depot!$A$7:$A$24,MATCH(F562,M_Depot!$B$7:$B$24,0)),""))*(M_DepotPrice!$G$10:$G$52="Special"),0)),INDEX(M_DepotPrice!$C$10:$C$52,MATCH(1,(M_DepotPrice!$A$10:$A$52=I562)*(M_DepotPrice!$G$10:$G$52="Default"),0)))</f>
        <v>11780</v>
      </c>
      <c r="N562" s="95">
        <f t="shared" si="17"/>
        <v>24631.5088</v>
      </c>
      <c r="O562" s="82" t="str">
        <f t="shared" si="16"/>
        <v>MOS100624|FG007|CK3-33404</v>
      </c>
    </row>
    <row r="563" spans="1:15" ht="15" customHeight="1" x14ac:dyDescent="0.3">
      <c r="A563" s="60" t="s">
        <v>1242</v>
      </c>
      <c r="B563" s="60" t="s">
        <v>569</v>
      </c>
      <c r="C563" s="62">
        <v>46179</v>
      </c>
      <c r="D563" s="63" t="s">
        <v>384</v>
      </c>
      <c r="E563" s="66" t="str">
        <f>IFERROR(INDEX(M_User!$A$12:$J$67,MATCH(D563,M_User!$D$12:$D$67,0),3),"UNMAPPED")</f>
        <v>Gastory S Msaki</v>
      </c>
      <c r="F563" s="65" t="str">
        <f>IFERROR(INDEX(M_User!$A$12:$J$67,MATCH(D563,M_User!$D$12:$D$67,0),5),"UNMAPPED")</f>
        <v>MOS</v>
      </c>
      <c r="G563" s="63" t="s">
        <v>825</v>
      </c>
      <c r="H563" s="69" t="s">
        <v>826</v>
      </c>
      <c r="I563" s="63" t="s">
        <v>193</v>
      </c>
      <c r="J563" s="66" t="str">
        <f>IFERROR(INDEX(M_SKU!$A$18:$J$57,MATCH(I563,M_SKU!$B$18:$B$57,0),1),"UNKNOWN SKU")</f>
        <v>Sparletta Pinenut RGB 350ml</v>
      </c>
      <c r="K563" s="63" t="s">
        <v>537</v>
      </c>
      <c r="L563" s="276">
        <v>3.0516999999999999</v>
      </c>
      <c r="M563" s="91" cm="1">
        <f t="array" ref="M563">IFERROR(INDEX(M_DepotPrice!$C$10:$C$52,MATCH(1,(M_DepotPrice!$A$10:$A$52=I563)*(M_DepotPrice!$H$10:$H$52=IFERROR(INDEX(M_Depot!$A$7:$A$24,MATCH(F563,M_Depot!$B$7:$B$24,0)),""))*(M_DepotPrice!$G$10:$G$52="Special"),0)),INDEX(M_DepotPrice!$C$10:$C$52,MATCH(1,(M_DepotPrice!$A$10:$A$52=I563)*(M_DepotPrice!$G$10:$G$52="Default"),0)))</f>
        <v>11780</v>
      </c>
      <c r="N563" s="67">
        <f t="shared" si="17"/>
        <v>42419.850679999996</v>
      </c>
      <c r="O563" s="66" t="str">
        <f t="shared" si="16"/>
        <v>MOS100624|FG008|CK3-33365</v>
      </c>
    </row>
    <row r="564" spans="1:15" ht="15" customHeight="1" x14ac:dyDescent="0.3">
      <c r="A564" s="70" t="s">
        <v>1243</v>
      </c>
      <c r="B564" s="70" t="s">
        <v>569</v>
      </c>
      <c r="C564" s="72">
        <v>46179</v>
      </c>
      <c r="D564" s="73" t="s">
        <v>384</v>
      </c>
      <c r="E564" s="76" t="str">
        <f>IFERROR(INDEX(M_User!$A$12:$J$67,MATCH(D564,M_User!$D$12:$D$67,0),3),"UNMAPPED")</f>
        <v>Gastory S Msaki</v>
      </c>
      <c r="F564" s="75" t="str">
        <f>IFERROR(INDEX(M_User!$A$12:$J$67,MATCH(D564,M_User!$D$12:$D$67,0),5),"UNMAPPED")</f>
        <v>MOS</v>
      </c>
      <c r="G564" s="73" t="s">
        <v>825</v>
      </c>
      <c r="H564" s="92" t="s">
        <v>826</v>
      </c>
      <c r="I564" s="73" t="s">
        <v>196</v>
      </c>
      <c r="J564" s="76" t="str">
        <f>IFERROR(INDEX(M_SKU!$A$18:$J$57,MATCH(I564,M_SKU!$B$18:$B$57,0),1),"UNKNOWN SKU")</f>
        <v>Krest Bitter Lemon RGB 300ml</v>
      </c>
      <c r="K564" s="73" t="s">
        <v>538</v>
      </c>
      <c r="L564" s="276">
        <v>0.32707841278139199</v>
      </c>
      <c r="M564" s="94" cm="1">
        <f t="array" ref="M564">IFERROR(INDEX(M_DepotPrice!$C$10:$C$52,MATCH(1,(M_DepotPrice!$A$10:$A$52=I564)*(M_DepotPrice!$H$10:$H$52=IFERROR(INDEX(M_Depot!$A$7:$A$24,MATCH(F564,M_Depot!$B$7:$B$24,0)),""))*(M_DepotPrice!$G$10:$G$52="Special"),0)),INDEX(M_DepotPrice!$C$10:$C$52,MATCH(1,(M_DepotPrice!$A$10:$A$52=I564)*(M_DepotPrice!$G$10:$G$52="Default"),0)))</f>
        <v>11780</v>
      </c>
      <c r="N564" s="95">
        <f t="shared" si="17"/>
        <v>4546.5207690264606</v>
      </c>
      <c r="O564" s="82" t="str">
        <f t="shared" si="16"/>
        <v>MOS100624|FG009|CK3-33348</v>
      </c>
    </row>
    <row r="565" spans="1:15" ht="15" customHeight="1" x14ac:dyDescent="0.3">
      <c r="A565" s="60" t="s">
        <v>1244</v>
      </c>
      <c r="B565" s="60" t="s">
        <v>569</v>
      </c>
      <c r="C565" s="62">
        <v>46179</v>
      </c>
      <c r="D565" s="63" t="s">
        <v>384</v>
      </c>
      <c r="E565" s="66" t="str">
        <f>IFERROR(INDEX(M_User!$A$12:$J$67,MATCH(D565,M_User!$D$12:$D$67,0),3),"UNMAPPED")</f>
        <v>Gastory S Msaki</v>
      </c>
      <c r="F565" s="65" t="str">
        <f>IFERROR(INDEX(M_User!$A$12:$J$67,MATCH(D565,M_User!$D$12:$D$67,0),5),"UNMAPPED")</f>
        <v>MOS</v>
      </c>
      <c r="G565" s="63" t="s">
        <v>825</v>
      </c>
      <c r="H565" s="69" t="s">
        <v>826</v>
      </c>
      <c r="I565" s="63" t="s">
        <v>199</v>
      </c>
      <c r="J565" s="66" t="str">
        <f>IFERROR(INDEX(M_SKU!$A$18:$J$57,MATCH(I565,M_SKU!$B$18:$B$57,0),1),"UNKNOWN SKU")</f>
        <v>Krest Club Soda RGB 300ml</v>
      </c>
      <c r="K565" s="63" t="s">
        <v>539</v>
      </c>
      <c r="L565" s="276">
        <v>0.11550000000000001</v>
      </c>
      <c r="M565" s="91" cm="1">
        <f t="array" ref="M565">IFERROR(INDEX(M_DepotPrice!$C$10:$C$52,MATCH(1,(M_DepotPrice!$A$10:$A$52=I565)*(M_DepotPrice!$H$10:$H$52=IFERROR(INDEX(M_Depot!$A$7:$A$24,MATCH(F565,M_Depot!$B$7:$B$24,0)),""))*(M_DepotPrice!$G$10:$G$52="Special"),0)),INDEX(M_DepotPrice!$C$10:$C$52,MATCH(1,(M_DepotPrice!$A$10:$A$52=I565)*(M_DepotPrice!$G$10:$G$52="Default"),0)))</f>
        <v>11780</v>
      </c>
      <c r="N565" s="67">
        <f t="shared" si="17"/>
        <v>1605.4962</v>
      </c>
      <c r="O565" s="66" t="str">
        <f t="shared" si="16"/>
        <v>MOS100624|FG010|CK3-33301</v>
      </c>
    </row>
    <row r="566" spans="1:15" ht="15" customHeight="1" x14ac:dyDescent="0.3">
      <c r="A566" s="70" t="s">
        <v>1245</v>
      </c>
      <c r="B566" s="70" t="s">
        <v>569</v>
      </c>
      <c r="C566" s="72">
        <v>46179</v>
      </c>
      <c r="D566" s="73" t="s">
        <v>384</v>
      </c>
      <c r="E566" s="76" t="str">
        <f>IFERROR(INDEX(M_User!$A$12:$J$67,MATCH(D566,M_User!$D$12:$D$67,0),3),"UNMAPPED")</f>
        <v>Gastory S Msaki</v>
      </c>
      <c r="F566" s="75" t="str">
        <f>IFERROR(INDEX(M_User!$A$12:$J$67,MATCH(D566,M_User!$D$12:$D$67,0),5),"UNMAPPED")</f>
        <v>MOS</v>
      </c>
      <c r="G566" s="73" t="s">
        <v>825</v>
      </c>
      <c r="H566" s="92" t="s">
        <v>826</v>
      </c>
      <c r="I566" s="73" t="s">
        <v>203</v>
      </c>
      <c r="J566" s="76" t="str">
        <f>IFERROR(INDEX(M_SKU!$A$18:$J$57,MATCH(I566,M_SKU!$B$18:$B$57,0),1),"UNKNOWN SKU")</f>
        <v>Krest Ginger Ale RGB 300ml</v>
      </c>
      <c r="K566" s="73" t="s">
        <v>541</v>
      </c>
      <c r="L566" s="276">
        <v>0.46920000000000001</v>
      </c>
      <c r="M566" s="94" cm="1">
        <f t="array" ref="M566">IFERROR(INDEX(M_DepotPrice!$C$10:$C$52,MATCH(1,(M_DepotPrice!$A$10:$A$52=I566)*(M_DepotPrice!$H$10:$H$52=IFERROR(INDEX(M_Depot!$A$7:$A$24,MATCH(F566,M_Depot!$B$7:$B$24,0)),""))*(M_DepotPrice!$G$10:$G$52="Special"),0)),INDEX(M_DepotPrice!$C$10:$C$52,MATCH(1,(M_DepotPrice!$A$10:$A$52=I566)*(M_DepotPrice!$G$10:$G$52="Default"),0)))</f>
        <v>11780</v>
      </c>
      <c r="N566" s="95">
        <f t="shared" si="17"/>
        <v>6522.0676800000001</v>
      </c>
      <c r="O566" s="82" t="str">
        <f t="shared" si="16"/>
        <v>MOS100624|FG012|CK3-33126</v>
      </c>
    </row>
    <row r="567" spans="1:15" ht="15" customHeight="1" x14ac:dyDescent="0.3">
      <c r="A567" s="60" t="s">
        <v>1246</v>
      </c>
      <c r="B567" s="60" t="s">
        <v>569</v>
      </c>
      <c r="C567" s="62">
        <v>46179</v>
      </c>
      <c r="D567" s="63" t="s">
        <v>384</v>
      </c>
      <c r="E567" s="66" t="str">
        <f>IFERROR(INDEX(M_User!$A$12:$J$67,MATCH(D567,M_User!$D$12:$D$67,0),3),"UNMAPPED")</f>
        <v>Gastory S Msaki</v>
      </c>
      <c r="F567" s="65" t="str">
        <f>IFERROR(INDEX(M_User!$A$12:$J$67,MATCH(D567,M_User!$D$12:$D$67,0),5),"UNMAPPED")</f>
        <v>MOS</v>
      </c>
      <c r="G567" s="63" t="s">
        <v>825</v>
      </c>
      <c r="H567" s="69" t="s">
        <v>826</v>
      </c>
      <c r="I567" s="63" t="s">
        <v>209</v>
      </c>
      <c r="J567" s="66" t="str">
        <f>IFERROR(INDEX(M_SKU!$A$18:$J$57,MATCH(I567,M_SKU!$B$18:$B$57,0),1),"UNKNOWN SKU")</f>
        <v>Sparletta Red Apple RGB 350ml</v>
      </c>
      <c r="K567" s="63" t="s">
        <v>542</v>
      </c>
      <c r="L567" s="276">
        <v>0.42670000000000002</v>
      </c>
      <c r="M567" s="91" cm="1">
        <f t="array" ref="M567">IFERROR(INDEX(M_DepotPrice!$C$10:$C$52,MATCH(1,(M_DepotPrice!$A$10:$A$52=I567)*(M_DepotPrice!$H$10:$H$52=IFERROR(INDEX(M_Depot!$A$7:$A$24,MATCH(F567,M_Depot!$B$7:$B$24,0)),""))*(M_DepotPrice!$G$10:$G$52="Special"),0)),INDEX(M_DepotPrice!$C$10:$C$52,MATCH(1,(M_DepotPrice!$A$10:$A$52=I567)*(M_DepotPrice!$G$10:$G$52="Default"),0)))</f>
        <v>11780</v>
      </c>
      <c r="N567" s="67">
        <f t="shared" si="17"/>
        <v>5931.3006799999994</v>
      </c>
      <c r="O567" s="66" t="str">
        <f t="shared" si="16"/>
        <v>MOS100624|FG024|CK3-32758</v>
      </c>
    </row>
    <row r="568" spans="1:15" ht="15" customHeight="1" x14ac:dyDescent="0.3">
      <c r="A568" s="70" t="s">
        <v>1247</v>
      </c>
      <c r="B568" s="70" t="s">
        <v>569</v>
      </c>
      <c r="C568" s="72">
        <v>46179</v>
      </c>
      <c r="D568" s="73" t="s">
        <v>384</v>
      </c>
      <c r="E568" s="76" t="str">
        <f>IFERROR(INDEX(M_User!$A$12:$J$67,MATCH(D568,M_User!$D$12:$D$67,0),3),"UNMAPPED")</f>
        <v>Gastory S Msaki</v>
      </c>
      <c r="F568" s="75" t="str">
        <f>IFERROR(INDEX(M_User!$A$12:$J$67,MATCH(D568,M_User!$D$12:$D$67,0),5),"UNMAPPED")</f>
        <v>MOS</v>
      </c>
      <c r="G568" s="73" t="s">
        <v>825</v>
      </c>
      <c r="H568" s="92" t="s">
        <v>826</v>
      </c>
      <c r="I568" s="73" t="s">
        <v>211</v>
      </c>
      <c r="J568" s="76" t="str">
        <f>IFERROR(INDEX(M_SKU!$A$18:$J$57,MATCH(I568,M_SKU!$B$18:$B$57,0),1),"UNKNOWN SKU")</f>
        <v>KNMW 500ml</v>
      </c>
      <c r="K568" s="73" t="s">
        <v>543</v>
      </c>
      <c r="L568" s="276">
        <v>5</v>
      </c>
      <c r="M568" s="94" cm="1">
        <f t="array" ref="M568">IFERROR(INDEX(M_DepotPrice!$C$10:$C$52,MATCH(1,(M_DepotPrice!$A$10:$A$52=I568)*(M_DepotPrice!$H$10:$H$52=IFERROR(INDEX(M_Depot!$A$7:$A$24,MATCH(F568,M_Depot!$B$7:$B$24,0)),""))*(M_DepotPrice!$G$10:$G$52="Special"),0)),INDEX(M_DepotPrice!$C$10:$C$52,MATCH(1,(M_DepotPrice!$A$10:$A$52=I568)*(M_DepotPrice!$G$10:$G$52="Default"),0)))</f>
        <v>3559</v>
      </c>
      <c r="N568" s="95">
        <f t="shared" si="17"/>
        <v>20998.1</v>
      </c>
      <c r="O568" s="82" t="str">
        <f t="shared" si="16"/>
        <v>MOS100624|KD001|CK6-986</v>
      </c>
    </row>
    <row r="569" spans="1:15" ht="15" customHeight="1" x14ac:dyDescent="0.3">
      <c r="A569" s="60" t="s">
        <v>1248</v>
      </c>
      <c r="B569" s="60" t="s">
        <v>569</v>
      </c>
      <c r="C569" s="62">
        <v>46179</v>
      </c>
      <c r="D569" s="63" t="s">
        <v>384</v>
      </c>
      <c r="E569" s="66" t="str">
        <f>IFERROR(INDEX(M_User!$A$12:$J$67,MATCH(D569,M_User!$D$12:$D$67,0),3),"UNMAPPED")</f>
        <v>Gastory S Msaki</v>
      </c>
      <c r="F569" s="65" t="str">
        <f>IFERROR(INDEX(M_User!$A$12:$J$67,MATCH(D569,M_User!$D$12:$D$67,0),5),"UNMAPPED")</f>
        <v>MOS</v>
      </c>
      <c r="G569" s="63" t="s">
        <v>825</v>
      </c>
      <c r="H569" s="69" t="s">
        <v>826</v>
      </c>
      <c r="I569" s="63" t="s">
        <v>219</v>
      </c>
      <c r="J569" s="66" t="str">
        <f>IFERROR(INDEX(M_SKU!$A$18:$J$57,MATCH(I569,M_SKU!$B$18:$B$57,0),1),"UNKNOWN SKU")</f>
        <v>Kilimanjaro Drinking Water 6000 ML</v>
      </c>
      <c r="K569" s="63" t="s">
        <v>571</v>
      </c>
      <c r="L569" s="276">
        <v>2</v>
      </c>
      <c r="M569" s="91" cm="1">
        <f t="array" ref="M569">IFERROR(INDEX(M_DepotPrice!$C$10:$C$52,MATCH(1,(M_DepotPrice!$A$10:$A$52=I569)*(M_DepotPrice!$H$10:$H$52=IFERROR(INDEX(M_Depot!$A$7:$A$24,MATCH(F569,M_Depot!$B$7:$B$24,0)),""))*(M_DepotPrice!$G$10:$G$52="Special"),0)),INDEX(M_DepotPrice!$C$10:$C$52,MATCH(1,(M_DepotPrice!$A$10:$A$52=I569)*(M_DepotPrice!$G$10:$G$52="Default"),0)))</f>
        <v>2119</v>
      </c>
      <c r="N569" s="67">
        <f t="shared" si="17"/>
        <v>5000.84</v>
      </c>
      <c r="O569" s="66" t="str">
        <f t="shared" si="16"/>
        <v>MOS100624|KD004|CK7-806</v>
      </c>
    </row>
    <row r="570" spans="1:15" ht="15" customHeight="1" x14ac:dyDescent="0.3">
      <c r="A570" s="70" t="s">
        <v>1249</v>
      </c>
      <c r="B570" s="70" t="s">
        <v>569</v>
      </c>
      <c r="C570" s="72">
        <v>46179</v>
      </c>
      <c r="D570" s="73" t="s">
        <v>384</v>
      </c>
      <c r="E570" s="76" t="str">
        <f>IFERROR(INDEX(M_User!$A$12:$J$67,MATCH(D570,M_User!$D$12:$D$67,0),3),"UNMAPPED")</f>
        <v>Gastory S Msaki</v>
      </c>
      <c r="F570" s="75" t="str">
        <f>IFERROR(INDEX(M_User!$A$12:$J$67,MATCH(D570,M_User!$D$12:$D$67,0),5),"UNMAPPED")</f>
        <v>MOS</v>
      </c>
      <c r="G570" s="73" t="s">
        <v>825</v>
      </c>
      <c r="H570" s="92" t="s">
        <v>826</v>
      </c>
      <c r="I570" s="73" t="s">
        <v>229</v>
      </c>
      <c r="J570" s="76" t="str">
        <f>IFERROR(INDEX(M_SKU!$A$18:$J$57,MATCH(I570,M_SKU!$B$18:$B$57,0),1),"UNKNOWN SKU")</f>
        <v>Coke Pet 500ML ( x12)</v>
      </c>
      <c r="K570" s="73" t="s">
        <v>520</v>
      </c>
      <c r="L570" s="276">
        <v>15</v>
      </c>
      <c r="M570" s="94" cm="1">
        <f t="array" ref="M570">IFERROR(INDEX(M_DepotPrice!$C$10:$C$52,MATCH(1,(M_DepotPrice!$A$10:$A$52=I570)*(M_DepotPrice!$H$10:$H$52=IFERROR(INDEX(M_Depot!$A$7:$A$24,MATCH(F570,M_Depot!$B$7:$B$24,0)),""))*(M_DepotPrice!$G$10:$G$52="Special"),0)),INDEX(M_DepotPrice!$C$10:$C$52,MATCH(1,(M_DepotPrice!$A$10:$A$52=I570)*(M_DepotPrice!$G$10:$G$52="Default"),0)))</f>
        <v>8898</v>
      </c>
      <c r="N570" s="95">
        <f t="shared" si="17"/>
        <v>157494.6</v>
      </c>
      <c r="O570" s="82" t="str">
        <f t="shared" si="16"/>
        <v>MOS100624|PH001|CK6-33411</v>
      </c>
    </row>
    <row r="571" spans="1:15" ht="15" customHeight="1" x14ac:dyDescent="0.3">
      <c r="A571" s="60" t="s">
        <v>1250</v>
      </c>
      <c r="B571" s="60" t="s">
        <v>569</v>
      </c>
      <c r="C571" s="62">
        <v>46179</v>
      </c>
      <c r="D571" s="63" t="s">
        <v>384</v>
      </c>
      <c r="E571" s="66" t="str">
        <f>IFERROR(INDEX(M_User!$A$12:$J$67,MATCH(D571,M_User!$D$12:$D$67,0),3),"UNMAPPED")</f>
        <v>Gastory S Msaki</v>
      </c>
      <c r="F571" s="65" t="str">
        <f>IFERROR(INDEX(M_User!$A$12:$J$67,MATCH(D571,M_User!$D$12:$D$67,0),5),"UNMAPPED")</f>
        <v>MOS</v>
      </c>
      <c r="G571" s="63" t="s">
        <v>825</v>
      </c>
      <c r="H571" s="69" t="s">
        <v>826</v>
      </c>
      <c r="I571" s="63" t="s">
        <v>232</v>
      </c>
      <c r="J571" s="66" t="str">
        <f>IFERROR(INDEX(M_SKU!$A$18:$J$57,MATCH(I571,M_SKU!$B$18:$B$57,0),1),"UNKNOWN SKU")</f>
        <v>Sprite Pet 500ML (x 12)</v>
      </c>
      <c r="K571" s="63" t="s">
        <v>522</v>
      </c>
      <c r="L571" s="276">
        <v>6</v>
      </c>
      <c r="M571" s="91" cm="1">
        <f t="array" ref="M571">IFERROR(INDEX(M_DepotPrice!$C$10:$C$52,MATCH(1,(M_DepotPrice!$A$10:$A$52=I571)*(M_DepotPrice!$H$10:$H$52=IFERROR(INDEX(M_Depot!$A$7:$A$24,MATCH(F571,M_Depot!$B$7:$B$24,0)),""))*(M_DepotPrice!$G$10:$G$52="Special"),0)),INDEX(M_DepotPrice!$C$10:$C$52,MATCH(1,(M_DepotPrice!$A$10:$A$52=I571)*(M_DepotPrice!$G$10:$G$52="Default"),0)))</f>
        <v>8898</v>
      </c>
      <c r="N571" s="67">
        <f t="shared" si="17"/>
        <v>62997.84</v>
      </c>
      <c r="O571" s="66" t="str">
        <f t="shared" si="16"/>
        <v>MOS100624|PH002|CK6-33362</v>
      </c>
    </row>
    <row r="572" spans="1:15" ht="15" customHeight="1" x14ac:dyDescent="0.3">
      <c r="A572" s="70" t="s">
        <v>1251</v>
      </c>
      <c r="B572" s="70" t="s">
        <v>569</v>
      </c>
      <c r="C572" s="72">
        <v>46179</v>
      </c>
      <c r="D572" s="73" t="s">
        <v>384</v>
      </c>
      <c r="E572" s="76" t="str">
        <f>IFERROR(INDEX(M_User!$A$12:$J$67,MATCH(D572,M_User!$D$12:$D$67,0),3),"UNMAPPED")</f>
        <v>Gastory S Msaki</v>
      </c>
      <c r="F572" s="75" t="str">
        <f>IFERROR(INDEX(M_User!$A$12:$J$67,MATCH(D572,M_User!$D$12:$D$67,0),5),"UNMAPPED")</f>
        <v>MOS</v>
      </c>
      <c r="G572" s="73" t="s">
        <v>825</v>
      </c>
      <c r="H572" s="92" t="s">
        <v>826</v>
      </c>
      <c r="I572" s="73" t="s">
        <v>234</v>
      </c>
      <c r="J572" s="76" t="str">
        <f>IFERROR(INDEX(M_SKU!$A$18:$J$57,MATCH(I572,M_SKU!$B$18:$B$57,0),1),"UNKNOWN SKU")</f>
        <v>Fanta Orange Pet 500ML ( x 12)</v>
      </c>
      <c r="K572" s="73" t="s">
        <v>523</v>
      </c>
      <c r="L572" s="276">
        <v>8</v>
      </c>
      <c r="M572" s="94" cm="1">
        <f t="array" ref="M572">IFERROR(INDEX(M_DepotPrice!$C$10:$C$52,MATCH(1,(M_DepotPrice!$A$10:$A$52=I572)*(M_DepotPrice!$H$10:$H$52=IFERROR(INDEX(M_Depot!$A$7:$A$24,MATCH(F572,M_Depot!$B$7:$B$24,0)),""))*(M_DepotPrice!$G$10:$G$52="Special"),0)),INDEX(M_DepotPrice!$C$10:$C$52,MATCH(1,(M_DepotPrice!$A$10:$A$52=I572)*(M_DepotPrice!$G$10:$G$52="Default"),0)))</f>
        <v>8898</v>
      </c>
      <c r="N572" s="95">
        <f t="shared" si="17"/>
        <v>83997.119999999995</v>
      </c>
      <c r="O572" s="82" t="str">
        <f t="shared" si="16"/>
        <v>MOS100624|PH003|CK6-33405</v>
      </c>
    </row>
    <row r="573" spans="1:15" ht="15" customHeight="1" x14ac:dyDescent="0.3">
      <c r="A573" s="60" t="s">
        <v>1252</v>
      </c>
      <c r="B573" s="60" t="s">
        <v>569</v>
      </c>
      <c r="C573" s="62">
        <v>46179</v>
      </c>
      <c r="D573" s="63" t="s">
        <v>384</v>
      </c>
      <c r="E573" s="66" t="str">
        <f>IFERROR(INDEX(M_User!$A$12:$J$67,MATCH(D573,M_User!$D$12:$D$67,0),3),"UNMAPPED")</f>
        <v>Gastory S Msaki</v>
      </c>
      <c r="F573" s="65" t="str">
        <f>IFERROR(INDEX(M_User!$A$12:$J$67,MATCH(D573,M_User!$D$12:$D$67,0),5),"UNMAPPED")</f>
        <v>MOS</v>
      </c>
      <c r="G573" s="63" t="s">
        <v>825</v>
      </c>
      <c r="H573" s="69" t="s">
        <v>826</v>
      </c>
      <c r="I573" s="63" t="s">
        <v>261</v>
      </c>
      <c r="J573" s="66" t="str">
        <f>IFERROR(INDEX(M_SKU!$A$18:$J$57,MATCH(I573,M_SKU!$B$18:$B$57,0),1),"UNKNOWN SKU")</f>
        <v>Sparletta Pine Apple Pet 300ML (x 12)</v>
      </c>
      <c r="K573" s="63" t="s">
        <v>547</v>
      </c>
      <c r="L573" s="276">
        <v>3</v>
      </c>
      <c r="M573" s="91" cm="1">
        <f t="array" ref="M573">IFERROR(INDEX(M_DepotPrice!$C$10:$C$52,MATCH(1,(M_DepotPrice!$A$10:$A$52=I573)*(M_DepotPrice!$H$10:$H$52=IFERROR(INDEX(M_Depot!$A$7:$A$24,MATCH(F573,M_Depot!$B$7:$B$24,0)),""))*(M_DepotPrice!$G$10:$G$52="Special"),0)),INDEX(M_DepotPrice!$C$10:$C$52,MATCH(1,(M_DepotPrice!$A$10:$A$52=I573)*(M_DepotPrice!$G$10:$G$52="Default"),0)))</f>
        <v>5085</v>
      </c>
      <c r="N573" s="67">
        <f t="shared" si="17"/>
        <v>18000.899999999998</v>
      </c>
      <c r="O573" s="66" t="str">
        <f t="shared" si="16"/>
        <v>MOS100624|PO015|CK5-33366</v>
      </c>
    </row>
    <row r="574" spans="1:15" ht="15" customHeight="1" x14ac:dyDescent="0.3">
      <c r="A574" s="70" t="s">
        <v>1253</v>
      </c>
      <c r="B574" s="70" t="s">
        <v>527</v>
      </c>
      <c r="C574" s="72">
        <v>46179</v>
      </c>
      <c r="D574" s="73" t="s">
        <v>404</v>
      </c>
      <c r="E574" s="76" t="str">
        <f>IFERROR(INDEX(M_User!$A$12:$J$67,MATCH(D574,M_User!$D$12:$D$67,0),3),"UNMAPPED")</f>
        <v>Riziki Rajabu Mghamba</v>
      </c>
      <c r="F574" s="75" t="str">
        <f>IFERROR(INDEX(M_User!$A$12:$J$67,MATCH(D574,M_User!$D$12:$D$67,0),5),"UNMAPPED")</f>
        <v>MOS</v>
      </c>
      <c r="G574" s="73" t="s">
        <v>840</v>
      </c>
      <c r="H574" s="92" t="s">
        <v>841</v>
      </c>
      <c r="I574" s="73" t="s">
        <v>170</v>
      </c>
      <c r="J574" s="76" t="str">
        <f>IFERROR(INDEX(M_SKU!$A$18:$J$57,MATCH(I574,M_SKU!$B$18:$B$57,0),1),"UNKNOWN SKU")</f>
        <v>Coke RGB 350ml</v>
      </c>
      <c r="K574" s="73" t="s">
        <v>529</v>
      </c>
      <c r="L574" s="276">
        <v>3.4398</v>
      </c>
      <c r="M574" s="94" cm="1">
        <f t="array" ref="M574">IFERROR(INDEX(M_DepotPrice!$C$10:$C$52,MATCH(1,(M_DepotPrice!$A$10:$A$52=I574)*(M_DepotPrice!$H$10:$H$52=IFERROR(INDEX(M_Depot!$A$7:$A$24,MATCH(F574,M_Depot!$B$7:$B$24,0)),""))*(M_DepotPrice!$G$10:$G$52="Special"),0)),INDEX(M_DepotPrice!$C$10:$C$52,MATCH(1,(M_DepotPrice!$A$10:$A$52=I574)*(M_DepotPrice!$G$10:$G$52="Default"),0)))</f>
        <v>11780</v>
      </c>
      <c r="N574" s="95">
        <f t="shared" si="17"/>
        <v>47814.595919999992</v>
      </c>
      <c r="O574" s="82" t="str">
        <f t="shared" si="16"/>
        <v>MOS100645|FG001|CK3-33408</v>
      </c>
    </row>
    <row r="575" spans="1:15" ht="15" customHeight="1" x14ac:dyDescent="0.3">
      <c r="A575" s="60" t="s">
        <v>1254</v>
      </c>
      <c r="B575" s="60" t="s">
        <v>527</v>
      </c>
      <c r="C575" s="62">
        <v>46179</v>
      </c>
      <c r="D575" s="63" t="s">
        <v>404</v>
      </c>
      <c r="E575" s="66" t="str">
        <f>IFERROR(INDEX(M_User!$A$12:$J$67,MATCH(D575,M_User!$D$12:$D$67,0),3),"UNMAPPED")</f>
        <v>Riziki Rajabu Mghamba</v>
      </c>
      <c r="F575" s="65" t="str">
        <f>IFERROR(INDEX(M_User!$A$12:$J$67,MATCH(D575,M_User!$D$12:$D$67,0),5),"UNMAPPED")</f>
        <v>MOS</v>
      </c>
      <c r="G575" s="63" t="s">
        <v>840</v>
      </c>
      <c r="H575" s="69" t="s">
        <v>841</v>
      </c>
      <c r="I575" s="63" t="s">
        <v>170</v>
      </c>
      <c r="J575" s="66" t="str">
        <f>IFERROR(INDEX(M_SKU!$A$18:$J$57,MATCH(I575,M_SKU!$B$18:$B$57,0),1),"UNKNOWN SKU")</f>
        <v>Coke RGB 350ml</v>
      </c>
      <c r="K575" s="63" t="s">
        <v>530</v>
      </c>
      <c r="L575" s="276">
        <v>23.468599999999999</v>
      </c>
      <c r="M575" s="91" cm="1">
        <f t="array" ref="M575">IFERROR(INDEX(M_DepotPrice!$C$10:$C$52,MATCH(1,(M_DepotPrice!$A$10:$A$52=I575)*(M_DepotPrice!$H$10:$H$52=IFERROR(INDEX(M_Depot!$A$7:$A$24,MATCH(F575,M_Depot!$B$7:$B$24,0)),""))*(M_DepotPrice!$G$10:$G$52="Special"),0)),INDEX(M_DepotPrice!$C$10:$C$52,MATCH(1,(M_DepotPrice!$A$10:$A$52=I575)*(M_DepotPrice!$G$10:$G$52="Default"),0)))</f>
        <v>11780</v>
      </c>
      <c r="N575" s="67">
        <f t="shared" si="17"/>
        <v>326222.92744</v>
      </c>
      <c r="O575" s="66" t="str">
        <f t="shared" si="16"/>
        <v>MOS100645|FG001|CK3-33409</v>
      </c>
    </row>
    <row r="576" spans="1:15" ht="15" customHeight="1" x14ac:dyDescent="0.3">
      <c r="A576" s="70" t="s">
        <v>1255</v>
      </c>
      <c r="B576" s="70" t="s">
        <v>527</v>
      </c>
      <c r="C576" s="72">
        <v>46179</v>
      </c>
      <c r="D576" s="73" t="s">
        <v>404</v>
      </c>
      <c r="E576" s="76" t="str">
        <f>IFERROR(INDEX(M_User!$A$12:$J$67,MATCH(D576,M_User!$D$12:$D$67,0),3),"UNMAPPED")</f>
        <v>Riziki Rajabu Mghamba</v>
      </c>
      <c r="F576" s="75" t="str">
        <f>IFERROR(INDEX(M_User!$A$12:$J$67,MATCH(D576,M_User!$D$12:$D$67,0),5),"UNMAPPED")</f>
        <v>MOS</v>
      </c>
      <c r="G576" s="73" t="s">
        <v>840</v>
      </c>
      <c r="H576" s="92" t="s">
        <v>841</v>
      </c>
      <c r="I576" s="73" t="s">
        <v>178</v>
      </c>
      <c r="J576" s="76" t="str">
        <f>IFERROR(INDEX(M_SKU!$A$18:$J$57,MATCH(I576,M_SKU!$B$18:$B$57,0),1),"UNKNOWN SKU")</f>
        <v>Fanta Orange RGB 350ml</v>
      </c>
      <c r="K576" s="73" t="s">
        <v>531</v>
      </c>
      <c r="L576" s="276">
        <v>5.6917999999999997</v>
      </c>
      <c r="M576" s="94" cm="1">
        <f t="array" ref="M576">IFERROR(INDEX(M_DepotPrice!$C$10:$C$52,MATCH(1,(M_DepotPrice!$A$10:$A$52=I576)*(M_DepotPrice!$H$10:$H$52=IFERROR(INDEX(M_Depot!$A$7:$A$24,MATCH(F576,M_Depot!$B$7:$B$24,0)),""))*(M_DepotPrice!$G$10:$G$52="Special"),0)),INDEX(M_DepotPrice!$C$10:$C$52,MATCH(1,(M_DepotPrice!$A$10:$A$52=I576)*(M_DepotPrice!$G$10:$G$52="Default"),0)))</f>
        <v>11780</v>
      </c>
      <c r="N576" s="95">
        <f t="shared" si="17"/>
        <v>79118.296719999984</v>
      </c>
      <c r="O576" s="82" t="str">
        <f t="shared" si="16"/>
        <v>MOS100645|FG002|CK3-33407</v>
      </c>
    </row>
    <row r="577" spans="1:15" ht="15" customHeight="1" x14ac:dyDescent="0.3">
      <c r="A577" s="60" t="s">
        <v>1256</v>
      </c>
      <c r="B577" s="60" t="s">
        <v>527</v>
      </c>
      <c r="C577" s="62">
        <v>46179</v>
      </c>
      <c r="D577" s="63" t="s">
        <v>404</v>
      </c>
      <c r="E577" s="66" t="str">
        <f>IFERROR(INDEX(M_User!$A$12:$J$67,MATCH(D577,M_User!$D$12:$D$67,0),3),"UNMAPPED")</f>
        <v>Riziki Rajabu Mghamba</v>
      </c>
      <c r="F577" s="65" t="str">
        <f>IFERROR(INDEX(M_User!$A$12:$J$67,MATCH(D577,M_User!$D$12:$D$67,0),5),"UNMAPPED")</f>
        <v>MOS</v>
      </c>
      <c r="G577" s="63" t="s">
        <v>840</v>
      </c>
      <c r="H577" s="69" t="s">
        <v>841</v>
      </c>
      <c r="I577" s="63" t="s">
        <v>181</v>
      </c>
      <c r="J577" s="66" t="str">
        <f>IFERROR(INDEX(M_SKU!$A$18:$J$57,MATCH(I577,M_SKU!$B$18:$B$57,0),1),"UNKNOWN SKU")</f>
        <v>Fanta Passion RGB 350ml</v>
      </c>
      <c r="K577" s="63" t="s">
        <v>532</v>
      </c>
      <c r="L577" s="276">
        <v>3.5329999999999999</v>
      </c>
      <c r="M577" s="91" cm="1">
        <f t="array" ref="M577">IFERROR(INDEX(M_DepotPrice!$C$10:$C$52,MATCH(1,(M_DepotPrice!$A$10:$A$52=I577)*(M_DepotPrice!$H$10:$H$52=IFERROR(INDEX(M_Depot!$A$7:$A$24,MATCH(F577,M_Depot!$B$7:$B$24,0)),""))*(M_DepotPrice!$G$10:$G$52="Special"),0)),INDEX(M_DepotPrice!$C$10:$C$52,MATCH(1,(M_DepotPrice!$A$10:$A$52=I577)*(M_DepotPrice!$G$10:$G$52="Default"),0)))</f>
        <v>11780</v>
      </c>
      <c r="N577" s="67">
        <f t="shared" si="17"/>
        <v>49110.113199999993</v>
      </c>
      <c r="O577" s="66" t="str">
        <f t="shared" si="16"/>
        <v>MOS100645|FG003|CK3-33387</v>
      </c>
    </row>
    <row r="578" spans="1:15" ht="15" customHeight="1" x14ac:dyDescent="0.3">
      <c r="A578" s="70" t="s">
        <v>1257</v>
      </c>
      <c r="B578" s="70" t="s">
        <v>527</v>
      </c>
      <c r="C578" s="72">
        <v>46179</v>
      </c>
      <c r="D578" s="73" t="s">
        <v>404</v>
      </c>
      <c r="E578" s="76" t="str">
        <f>IFERROR(INDEX(M_User!$A$12:$J$67,MATCH(D578,M_User!$D$12:$D$67,0),3),"UNMAPPED")</f>
        <v>Riziki Rajabu Mghamba</v>
      </c>
      <c r="F578" s="75" t="str">
        <f>IFERROR(INDEX(M_User!$A$12:$J$67,MATCH(D578,M_User!$D$12:$D$67,0),5),"UNMAPPED")</f>
        <v>MOS</v>
      </c>
      <c r="G578" s="73" t="s">
        <v>840</v>
      </c>
      <c r="H578" s="92" t="s">
        <v>841</v>
      </c>
      <c r="I578" s="73" t="s">
        <v>183</v>
      </c>
      <c r="J578" s="76" t="str">
        <f>IFERROR(INDEX(M_SKU!$A$18:$J$57,MATCH(I578,M_SKU!$B$18:$B$57,0),1),"UNKNOWN SKU")</f>
        <v>Fanta Pineapple RGB 350ml</v>
      </c>
      <c r="K578" s="73" t="s">
        <v>533</v>
      </c>
      <c r="L578" s="276">
        <v>4.851</v>
      </c>
      <c r="M578" s="94" cm="1">
        <f t="array" ref="M578">IFERROR(INDEX(M_DepotPrice!$C$10:$C$52,MATCH(1,(M_DepotPrice!$A$10:$A$52=I578)*(M_DepotPrice!$H$10:$H$52=IFERROR(INDEX(M_Depot!$A$7:$A$24,MATCH(F578,M_Depot!$B$7:$B$24,0)),""))*(M_DepotPrice!$G$10:$G$52="Special"),0)),INDEX(M_DepotPrice!$C$10:$C$52,MATCH(1,(M_DepotPrice!$A$10:$A$52=I578)*(M_DepotPrice!$G$10:$G$52="Default"),0)))</f>
        <v>11780</v>
      </c>
      <c r="N578" s="95">
        <f t="shared" si="17"/>
        <v>67430.840400000001</v>
      </c>
      <c r="O578" s="82" t="str">
        <f t="shared" si="16"/>
        <v>MOS100645|FG004|CK3-33385</v>
      </c>
    </row>
    <row r="579" spans="1:15" ht="15" customHeight="1" x14ac:dyDescent="0.3">
      <c r="A579" s="60" t="s">
        <v>1258</v>
      </c>
      <c r="B579" s="60" t="s">
        <v>527</v>
      </c>
      <c r="C579" s="62">
        <v>46179</v>
      </c>
      <c r="D579" s="63" t="s">
        <v>404</v>
      </c>
      <c r="E579" s="66" t="str">
        <f>IFERROR(INDEX(M_User!$A$12:$J$67,MATCH(D579,M_User!$D$12:$D$67,0),3),"UNMAPPED")</f>
        <v>Riziki Rajabu Mghamba</v>
      </c>
      <c r="F579" s="65" t="str">
        <f>IFERROR(INDEX(M_User!$A$12:$J$67,MATCH(D579,M_User!$D$12:$D$67,0),5),"UNMAPPED")</f>
        <v>MOS</v>
      </c>
      <c r="G579" s="63" t="s">
        <v>840</v>
      </c>
      <c r="H579" s="69" t="s">
        <v>841</v>
      </c>
      <c r="I579" s="63" t="s">
        <v>187</v>
      </c>
      <c r="J579" s="66" t="str">
        <f>IFERROR(INDEX(M_SKU!$A$18:$J$57,MATCH(I579,M_SKU!$B$18:$B$57,0),1),"UNKNOWN SKU")</f>
        <v>Sprite 350ml</v>
      </c>
      <c r="K579" s="63" t="s">
        <v>535</v>
      </c>
      <c r="L579" s="276">
        <v>1.9725999999999999</v>
      </c>
      <c r="M579" s="91" cm="1">
        <f t="array" ref="M579">IFERROR(INDEX(M_DepotPrice!$C$10:$C$52,MATCH(1,(M_DepotPrice!$A$10:$A$52=I579)*(M_DepotPrice!$H$10:$H$52=IFERROR(INDEX(M_Depot!$A$7:$A$24,MATCH(F579,M_Depot!$B$7:$B$24,0)),""))*(M_DepotPrice!$G$10:$G$52="Special"),0)),INDEX(M_DepotPrice!$C$10:$C$52,MATCH(1,(M_DepotPrice!$A$10:$A$52=I579)*(M_DepotPrice!$G$10:$G$52="Default"),0)))</f>
        <v>11780</v>
      </c>
      <c r="N579" s="67">
        <f t="shared" si="17"/>
        <v>27419.929039999999</v>
      </c>
      <c r="O579" s="66" t="str">
        <f t="shared" si="16"/>
        <v>MOS100645|FG006|CK3-33414</v>
      </c>
    </row>
    <row r="580" spans="1:15" ht="15" customHeight="1" x14ac:dyDescent="0.3">
      <c r="A580" s="70" t="s">
        <v>1259</v>
      </c>
      <c r="B580" s="70" t="s">
        <v>527</v>
      </c>
      <c r="C580" s="72">
        <v>46179</v>
      </c>
      <c r="D580" s="73" t="s">
        <v>404</v>
      </c>
      <c r="E580" s="76" t="str">
        <f>IFERROR(INDEX(M_User!$A$12:$J$67,MATCH(D580,M_User!$D$12:$D$67,0),3),"UNMAPPED")</f>
        <v>Riziki Rajabu Mghamba</v>
      </c>
      <c r="F580" s="75" t="str">
        <f>IFERROR(INDEX(M_User!$A$12:$J$67,MATCH(D580,M_User!$D$12:$D$67,0),5),"UNMAPPED")</f>
        <v>MOS</v>
      </c>
      <c r="G580" s="73" t="s">
        <v>840</v>
      </c>
      <c r="H580" s="92" t="s">
        <v>841</v>
      </c>
      <c r="I580" s="73" t="s">
        <v>190</v>
      </c>
      <c r="J580" s="76" t="str">
        <f>IFERROR(INDEX(M_SKU!$A$18:$J$57,MATCH(I580,M_SKU!$B$18:$B$57,0),1),"UNKNOWN SKU")</f>
        <v>Stoney Tangawizi RGB 350ml</v>
      </c>
      <c r="K580" s="73" t="s">
        <v>536</v>
      </c>
      <c r="L580" s="276">
        <v>1.8910911047788801</v>
      </c>
      <c r="M580" s="94" cm="1">
        <f t="array" ref="M580">IFERROR(INDEX(M_DepotPrice!$C$10:$C$52,MATCH(1,(M_DepotPrice!$A$10:$A$52=I580)*(M_DepotPrice!$H$10:$H$52=IFERROR(INDEX(M_Depot!$A$7:$A$24,MATCH(F580,M_Depot!$B$7:$B$24,0)),""))*(M_DepotPrice!$G$10:$G$52="Special"),0)),INDEX(M_DepotPrice!$C$10:$C$52,MATCH(1,(M_DepotPrice!$A$10:$A$52=I580)*(M_DepotPrice!$G$10:$G$52="Default"),0)))</f>
        <v>11780</v>
      </c>
      <c r="N580" s="95">
        <f t="shared" si="17"/>
        <v>26286.922792868343</v>
      </c>
      <c r="O580" s="82" t="str">
        <f t="shared" si="16"/>
        <v>MOS100645|FG007|CK3-33404</v>
      </c>
    </row>
    <row r="581" spans="1:15" ht="15" customHeight="1" x14ac:dyDescent="0.3">
      <c r="A581" s="60" t="s">
        <v>1260</v>
      </c>
      <c r="B581" s="60" t="s">
        <v>527</v>
      </c>
      <c r="C581" s="62">
        <v>46179</v>
      </c>
      <c r="D581" s="63" t="s">
        <v>404</v>
      </c>
      <c r="E581" s="66" t="str">
        <f>IFERROR(INDEX(M_User!$A$12:$J$67,MATCH(D581,M_User!$D$12:$D$67,0),3),"UNMAPPED")</f>
        <v>Riziki Rajabu Mghamba</v>
      </c>
      <c r="F581" s="65" t="str">
        <f>IFERROR(INDEX(M_User!$A$12:$J$67,MATCH(D581,M_User!$D$12:$D$67,0),5),"UNMAPPED")</f>
        <v>MOS</v>
      </c>
      <c r="G581" s="63" t="s">
        <v>840</v>
      </c>
      <c r="H581" s="69" t="s">
        <v>841</v>
      </c>
      <c r="I581" s="63" t="s">
        <v>199</v>
      </c>
      <c r="J581" s="66" t="str">
        <f>IFERROR(INDEX(M_SKU!$A$18:$J$57,MATCH(I581,M_SKU!$B$18:$B$57,0),1),"UNKNOWN SKU")</f>
        <v>Krest Club Soda RGB 300ml</v>
      </c>
      <c r="K581" s="63" t="s">
        <v>539</v>
      </c>
      <c r="L581" s="276">
        <v>0.4874</v>
      </c>
      <c r="M581" s="91" cm="1">
        <f t="array" ref="M581">IFERROR(INDEX(M_DepotPrice!$C$10:$C$52,MATCH(1,(M_DepotPrice!$A$10:$A$52=I581)*(M_DepotPrice!$H$10:$H$52=IFERROR(INDEX(M_Depot!$A$7:$A$24,MATCH(F581,M_Depot!$B$7:$B$24,0)),""))*(M_DepotPrice!$G$10:$G$52="Special"),0)),INDEX(M_DepotPrice!$C$10:$C$52,MATCH(1,(M_DepotPrice!$A$10:$A$52=I581)*(M_DepotPrice!$G$10:$G$52="Default"),0)))</f>
        <v>11780</v>
      </c>
      <c r="N581" s="67">
        <f t="shared" si="17"/>
        <v>6775.0549599999995</v>
      </c>
      <c r="O581" s="66" t="str">
        <f t="shared" si="16"/>
        <v>MOS100645|FG010|CK3-33301</v>
      </c>
    </row>
    <row r="582" spans="1:15" ht="15" customHeight="1" x14ac:dyDescent="0.3">
      <c r="A582" s="70" t="s">
        <v>1261</v>
      </c>
      <c r="B582" s="70" t="s">
        <v>527</v>
      </c>
      <c r="C582" s="72">
        <v>46179</v>
      </c>
      <c r="D582" s="73" t="s">
        <v>404</v>
      </c>
      <c r="E582" s="76" t="str">
        <f>IFERROR(INDEX(M_User!$A$12:$J$67,MATCH(D582,M_User!$D$12:$D$67,0),3),"UNMAPPED")</f>
        <v>Riziki Rajabu Mghamba</v>
      </c>
      <c r="F582" s="75" t="str">
        <f>IFERROR(INDEX(M_User!$A$12:$J$67,MATCH(D582,M_User!$D$12:$D$67,0),5),"UNMAPPED")</f>
        <v>MOS</v>
      </c>
      <c r="G582" s="73" t="s">
        <v>840</v>
      </c>
      <c r="H582" s="92" t="s">
        <v>841</v>
      </c>
      <c r="I582" s="73" t="s">
        <v>203</v>
      </c>
      <c r="J582" s="76" t="str">
        <f>IFERROR(INDEX(M_SKU!$A$18:$J$57,MATCH(I582,M_SKU!$B$18:$B$57,0),1),"UNKNOWN SKU")</f>
        <v>Krest Ginger Ale RGB 300ml</v>
      </c>
      <c r="K582" s="73" t="s">
        <v>541</v>
      </c>
      <c r="L582" s="276">
        <v>8.7599999999999997E-2</v>
      </c>
      <c r="M582" s="94" cm="1">
        <f t="array" ref="M582">IFERROR(INDEX(M_DepotPrice!$C$10:$C$52,MATCH(1,(M_DepotPrice!$A$10:$A$52=I582)*(M_DepotPrice!$H$10:$H$52=IFERROR(INDEX(M_Depot!$A$7:$A$24,MATCH(F582,M_Depot!$B$7:$B$24,0)),""))*(M_DepotPrice!$G$10:$G$52="Special"),0)),INDEX(M_DepotPrice!$C$10:$C$52,MATCH(1,(M_DepotPrice!$A$10:$A$52=I582)*(M_DepotPrice!$G$10:$G$52="Default"),0)))</f>
        <v>11780</v>
      </c>
      <c r="N582" s="95">
        <f t="shared" si="17"/>
        <v>1217.6750399999999</v>
      </c>
      <c r="O582" s="82" t="str">
        <f t="shared" si="16"/>
        <v>MOS100645|FG012|CK3-33126</v>
      </c>
    </row>
    <row r="583" spans="1:15" ht="15" customHeight="1" x14ac:dyDescent="0.3">
      <c r="A583" s="60" t="s">
        <v>1262</v>
      </c>
      <c r="B583" s="60" t="s">
        <v>527</v>
      </c>
      <c r="C583" s="62">
        <v>46179</v>
      </c>
      <c r="D583" s="63" t="s">
        <v>404</v>
      </c>
      <c r="E583" s="66" t="str">
        <f>IFERROR(INDEX(M_User!$A$12:$J$67,MATCH(D583,M_User!$D$12:$D$67,0),3),"UNMAPPED")</f>
        <v>Riziki Rajabu Mghamba</v>
      </c>
      <c r="F583" s="65" t="str">
        <f>IFERROR(INDEX(M_User!$A$12:$J$67,MATCH(D583,M_User!$D$12:$D$67,0),5),"UNMAPPED")</f>
        <v>MOS</v>
      </c>
      <c r="G583" s="63" t="s">
        <v>840</v>
      </c>
      <c r="H583" s="69" t="s">
        <v>841</v>
      </c>
      <c r="I583" s="63" t="s">
        <v>209</v>
      </c>
      <c r="J583" s="66" t="str">
        <f>IFERROR(INDEX(M_SKU!$A$18:$J$57,MATCH(I583,M_SKU!$B$18:$B$57,0),1),"UNKNOWN SKU")</f>
        <v>Sparletta Red Apple RGB 350ml</v>
      </c>
      <c r="K583" s="63" t="s">
        <v>542</v>
      </c>
      <c r="L583" s="276">
        <v>0.54320000000000002</v>
      </c>
      <c r="M583" s="91" cm="1">
        <f t="array" ref="M583">IFERROR(INDEX(M_DepotPrice!$C$10:$C$52,MATCH(1,(M_DepotPrice!$A$10:$A$52=I583)*(M_DepotPrice!$H$10:$H$52=IFERROR(INDEX(M_Depot!$A$7:$A$24,MATCH(F583,M_Depot!$B$7:$B$24,0)),""))*(M_DepotPrice!$G$10:$G$52="Special"),0)),INDEX(M_DepotPrice!$C$10:$C$52,MATCH(1,(M_DepotPrice!$A$10:$A$52=I583)*(M_DepotPrice!$G$10:$G$52="Default"),0)))</f>
        <v>11780</v>
      </c>
      <c r="N583" s="67">
        <f t="shared" si="17"/>
        <v>7550.6972800000003</v>
      </c>
      <c r="O583" s="66" t="str">
        <f t="shared" si="16"/>
        <v>MOS100645|FG024|CK3-32758</v>
      </c>
    </row>
    <row r="584" spans="1:15" ht="15" customHeight="1" x14ac:dyDescent="0.3">
      <c r="A584" s="70" t="s">
        <v>1263</v>
      </c>
      <c r="B584" s="70" t="s">
        <v>527</v>
      </c>
      <c r="C584" s="72">
        <v>46179</v>
      </c>
      <c r="D584" s="73" t="s">
        <v>404</v>
      </c>
      <c r="E584" s="76" t="str">
        <f>IFERROR(INDEX(M_User!$A$12:$J$67,MATCH(D584,M_User!$D$12:$D$67,0),3),"UNMAPPED")</f>
        <v>Riziki Rajabu Mghamba</v>
      </c>
      <c r="F584" s="75" t="str">
        <f>IFERROR(INDEX(M_User!$A$12:$J$67,MATCH(D584,M_User!$D$12:$D$67,0),5),"UNMAPPED")</f>
        <v>MOS</v>
      </c>
      <c r="G584" s="73" t="s">
        <v>840</v>
      </c>
      <c r="H584" s="92" t="s">
        <v>841</v>
      </c>
      <c r="I584" s="73" t="s">
        <v>234</v>
      </c>
      <c r="J584" s="76" t="str">
        <f>IFERROR(INDEX(M_SKU!$A$18:$J$57,MATCH(I584,M_SKU!$B$18:$B$57,0),1),"UNKNOWN SKU")</f>
        <v>Fanta Orange Pet 500ML ( x 12)</v>
      </c>
      <c r="K584" s="73" t="s">
        <v>523</v>
      </c>
      <c r="L584" s="276">
        <v>15</v>
      </c>
      <c r="M584" s="94" cm="1">
        <f t="array" ref="M584">IFERROR(INDEX(M_DepotPrice!$C$10:$C$52,MATCH(1,(M_DepotPrice!$A$10:$A$52=I584)*(M_DepotPrice!$H$10:$H$52=IFERROR(INDEX(M_Depot!$A$7:$A$24,MATCH(F584,M_Depot!$B$7:$B$24,0)),""))*(M_DepotPrice!$G$10:$G$52="Special"),0)),INDEX(M_DepotPrice!$C$10:$C$52,MATCH(1,(M_DepotPrice!$A$10:$A$52=I584)*(M_DepotPrice!$G$10:$G$52="Default"),0)))</f>
        <v>8898</v>
      </c>
      <c r="N584" s="95">
        <f t="shared" si="17"/>
        <v>157494.6</v>
      </c>
      <c r="O584" s="82" t="str">
        <f t="shared" si="16"/>
        <v>MOS100645|PH003|CK6-33405</v>
      </c>
    </row>
    <row r="585" spans="1:15" ht="15" customHeight="1" x14ac:dyDescent="0.3">
      <c r="A585" s="60" t="s">
        <v>1264</v>
      </c>
      <c r="B585" s="60" t="s">
        <v>527</v>
      </c>
      <c r="C585" s="62">
        <v>46179</v>
      </c>
      <c r="D585" s="63" t="s">
        <v>404</v>
      </c>
      <c r="E585" s="66" t="str">
        <f>IFERROR(INDEX(M_User!$A$12:$J$67,MATCH(D585,M_User!$D$12:$D$67,0),3),"UNMAPPED")</f>
        <v>Riziki Rajabu Mghamba</v>
      </c>
      <c r="F585" s="65" t="str">
        <f>IFERROR(INDEX(M_User!$A$12:$J$67,MATCH(D585,M_User!$D$12:$D$67,0),5),"UNMAPPED")</f>
        <v>MOS</v>
      </c>
      <c r="G585" s="63" t="s">
        <v>840</v>
      </c>
      <c r="H585" s="69" t="s">
        <v>841</v>
      </c>
      <c r="I585" s="63" t="s">
        <v>236</v>
      </c>
      <c r="J585" s="66" t="str">
        <f>IFERROR(INDEX(M_SKU!$A$18:$J$57,MATCH(I585,M_SKU!$B$18:$B$57,0),1),"UNKNOWN SKU")</f>
        <v>Fanta Passion Pet 500ML ( x12)</v>
      </c>
      <c r="K585" s="63" t="s">
        <v>524</v>
      </c>
      <c r="L585" s="276">
        <v>4</v>
      </c>
      <c r="M585" s="91" cm="1">
        <f t="array" ref="M585">IFERROR(INDEX(M_DepotPrice!$C$10:$C$52,MATCH(1,(M_DepotPrice!$A$10:$A$52=I585)*(M_DepotPrice!$H$10:$H$52=IFERROR(INDEX(M_Depot!$A$7:$A$24,MATCH(F585,M_Depot!$B$7:$B$24,0)),""))*(M_DepotPrice!$G$10:$G$52="Special"),0)),INDEX(M_DepotPrice!$C$10:$C$52,MATCH(1,(M_DepotPrice!$A$10:$A$52=I585)*(M_DepotPrice!$G$10:$G$52="Default"),0)))</f>
        <v>8898</v>
      </c>
      <c r="N585" s="67">
        <f t="shared" si="17"/>
        <v>41998.559999999998</v>
      </c>
      <c r="O585" s="66" t="str">
        <f t="shared" ref="O585:O648" si="18">D585 &amp; "|" &amp; I585 &amp; "|" &amp; K585</f>
        <v>MOS100645|PH004|CK5-33334</v>
      </c>
    </row>
    <row r="586" spans="1:15" ht="15" customHeight="1" x14ac:dyDescent="0.3">
      <c r="A586" s="70" t="s">
        <v>1265</v>
      </c>
      <c r="B586" s="70" t="s">
        <v>527</v>
      </c>
      <c r="C586" s="72">
        <v>46179</v>
      </c>
      <c r="D586" s="73" t="s">
        <v>404</v>
      </c>
      <c r="E586" s="76" t="str">
        <f>IFERROR(INDEX(M_User!$A$12:$J$67,MATCH(D586,M_User!$D$12:$D$67,0),3),"UNMAPPED")</f>
        <v>Riziki Rajabu Mghamba</v>
      </c>
      <c r="F586" s="75" t="str">
        <f>IFERROR(INDEX(M_User!$A$12:$J$67,MATCH(D586,M_User!$D$12:$D$67,0),5),"UNMAPPED")</f>
        <v>MOS</v>
      </c>
      <c r="G586" s="73" t="s">
        <v>840</v>
      </c>
      <c r="H586" s="92" t="s">
        <v>841</v>
      </c>
      <c r="I586" s="73" t="s">
        <v>242</v>
      </c>
      <c r="J586" s="76" t="str">
        <f>IFERROR(INDEX(M_SKU!$A$18:$J$57,MATCH(I586,M_SKU!$B$18:$B$57,0),1),"UNKNOWN SKU")</f>
        <v>Stoney Tangawizi Pet 500 ml ( x12)</v>
      </c>
      <c r="K586" s="73" t="s">
        <v>525</v>
      </c>
      <c r="L586" s="276">
        <v>3</v>
      </c>
      <c r="M586" s="94" cm="1">
        <f t="array" ref="M586">IFERROR(INDEX(M_DepotPrice!$C$10:$C$52,MATCH(1,(M_DepotPrice!$A$10:$A$52=I586)*(M_DepotPrice!$H$10:$H$52=IFERROR(INDEX(M_Depot!$A$7:$A$24,MATCH(F586,M_Depot!$B$7:$B$24,0)),""))*(M_DepotPrice!$G$10:$G$52="Special"),0)),INDEX(M_DepotPrice!$C$10:$C$52,MATCH(1,(M_DepotPrice!$A$10:$A$52=I586)*(M_DepotPrice!$G$10:$G$52="Default"),0)))</f>
        <v>8898</v>
      </c>
      <c r="N586" s="95">
        <f t="shared" ref="N586:N649" si="19">(L586*M586)*1.18</f>
        <v>31498.92</v>
      </c>
      <c r="O586" s="82" t="str">
        <f t="shared" si="18"/>
        <v>MOS100645|PH007|CK6-33375</v>
      </c>
    </row>
    <row r="587" spans="1:15" ht="15" customHeight="1" x14ac:dyDescent="0.3">
      <c r="A587" s="60" t="s">
        <v>1266</v>
      </c>
      <c r="B587" s="60" t="s">
        <v>527</v>
      </c>
      <c r="C587" s="62">
        <v>46179</v>
      </c>
      <c r="D587" s="63" t="s">
        <v>404</v>
      </c>
      <c r="E587" s="66" t="str">
        <f>IFERROR(INDEX(M_User!$A$12:$J$67,MATCH(D587,M_User!$D$12:$D$67,0),3),"UNMAPPED")</f>
        <v>Riziki Rajabu Mghamba</v>
      </c>
      <c r="F587" s="65" t="str">
        <f>IFERROR(INDEX(M_User!$A$12:$J$67,MATCH(D587,M_User!$D$12:$D$67,0),5),"UNMAPPED")</f>
        <v>MOS</v>
      </c>
      <c r="G587" s="63" t="s">
        <v>840</v>
      </c>
      <c r="H587" s="69" t="s">
        <v>841</v>
      </c>
      <c r="I587" s="63" t="s">
        <v>244</v>
      </c>
      <c r="J587" s="66" t="str">
        <f>IFERROR(INDEX(M_SKU!$A$18:$J$57,MATCH(I587,M_SKU!$B$18:$B$57,0),1),"UNKNOWN SKU")</f>
        <v>Sparletta Pinenut Pet 500 ml ( x12)</v>
      </c>
      <c r="K587" s="63" t="s">
        <v>526</v>
      </c>
      <c r="L587" s="276">
        <v>3</v>
      </c>
      <c r="M587" s="91" cm="1">
        <f t="array" ref="M587">IFERROR(INDEX(M_DepotPrice!$C$10:$C$52,MATCH(1,(M_DepotPrice!$A$10:$A$52=I587)*(M_DepotPrice!$H$10:$H$52=IFERROR(INDEX(M_Depot!$A$7:$A$24,MATCH(F587,M_Depot!$B$7:$B$24,0)),""))*(M_DepotPrice!$G$10:$G$52="Special"),0)),INDEX(M_DepotPrice!$C$10:$C$52,MATCH(1,(M_DepotPrice!$A$10:$A$52=I587)*(M_DepotPrice!$G$10:$G$52="Default"),0)))</f>
        <v>8898</v>
      </c>
      <c r="N587" s="67">
        <f t="shared" si="19"/>
        <v>31498.92</v>
      </c>
      <c r="O587" s="66" t="str">
        <f t="shared" si="18"/>
        <v>MOS100645|PH008|CK5-33370</v>
      </c>
    </row>
    <row r="588" spans="1:15" ht="15" customHeight="1" x14ac:dyDescent="0.3">
      <c r="A588" s="70" t="s">
        <v>1267</v>
      </c>
      <c r="B588" s="70" t="s">
        <v>527</v>
      </c>
      <c r="C588" s="72">
        <v>46179</v>
      </c>
      <c r="D588" s="73" t="s">
        <v>404</v>
      </c>
      <c r="E588" s="76" t="str">
        <f>IFERROR(INDEX(M_User!$A$12:$J$67,MATCH(D588,M_User!$D$12:$D$67,0),3),"UNMAPPED")</f>
        <v>Riziki Rajabu Mghamba</v>
      </c>
      <c r="F588" s="75" t="str">
        <f>IFERROR(INDEX(M_User!$A$12:$J$67,MATCH(D588,M_User!$D$12:$D$67,0),5),"UNMAPPED")</f>
        <v>MOS</v>
      </c>
      <c r="G588" s="73" t="s">
        <v>840</v>
      </c>
      <c r="H588" s="92" t="s">
        <v>841</v>
      </c>
      <c r="I588" s="73" t="s">
        <v>254</v>
      </c>
      <c r="J588" s="76" t="str">
        <f>IFERROR(INDEX(M_SKU!$A$18:$J$57,MATCH(I588,M_SKU!$B$18:$B$57,0),1),"UNKNOWN SKU")</f>
        <v>Fanta Zero Pet 300ML (x 12)</v>
      </c>
      <c r="K588" s="73" t="s">
        <v>546</v>
      </c>
      <c r="L588" s="276">
        <v>1</v>
      </c>
      <c r="M588" s="94" cm="1">
        <f t="array" ref="M588">IFERROR(INDEX(M_DepotPrice!$C$10:$C$52,MATCH(1,(M_DepotPrice!$A$10:$A$52=I588)*(M_DepotPrice!$H$10:$H$52=IFERROR(INDEX(M_Depot!$A$7:$A$24,MATCH(F588,M_Depot!$B$7:$B$24,0)),""))*(M_DepotPrice!$G$10:$G$52="Special"),0)),INDEX(M_DepotPrice!$C$10:$C$52,MATCH(1,(M_DepotPrice!$A$10:$A$52=I588)*(M_DepotPrice!$G$10:$G$52="Default"),0)))</f>
        <v>5085</v>
      </c>
      <c r="N588" s="95">
        <f t="shared" si="19"/>
        <v>6000.2999999999993</v>
      </c>
      <c r="O588" s="82" t="str">
        <f t="shared" si="18"/>
        <v>MOS100645|PO012|CK5-33369</v>
      </c>
    </row>
    <row r="589" spans="1:15" ht="15" customHeight="1" x14ac:dyDescent="0.3">
      <c r="A589" s="60" t="s">
        <v>1268</v>
      </c>
      <c r="B589" s="60" t="s">
        <v>527</v>
      </c>
      <c r="C589" s="62">
        <v>46179</v>
      </c>
      <c r="D589" s="63" t="s">
        <v>404</v>
      </c>
      <c r="E589" s="66" t="str">
        <f>IFERROR(INDEX(M_User!$A$12:$J$67,MATCH(D589,M_User!$D$12:$D$67,0),3),"UNMAPPED")</f>
        <v>Riziki Rajabu Mghamba</v>
      </c>
      <c r="F589" s="65" t="str">
        <f>IFERROR(INDEX(M_User!$A$12:$J$67,MATCH(D589,M_User!$D$12:$D$67,0),5),"UNMAPPED")</f>
        <v>MOS</v>
      </c>
      <c r="G589" s="63" t="s">
        <v>840</v>
      </c>
      <c r="H589" s="69" t="s">
        <v>841</v>
      </c>
      <c r="I589" s="63" t="s">
        <v>261</v>
      </c>
      <c r="J589" s="66" t="str">
        <f>IFERROR(INDEX(M_SKU!$A$18:$J$57,MATCH(I589,M_SKU!$B$18:$B$57,0),1),"UNKNOWN SKU")</f>
        <v>Sparletta Pine Apple Pet 300ML (x 12)</v>
      </c>
      <c r="K589" s="63" t="s">
        <v>547</v>
      </c>
      <c r="L589" s="276">
        <v>3</v>
      </c>
      <c r="M589" s="91" cm="1">
        <f t="array" ref="M589">IFERROR(INDEX(M_DepotPrice!$C$10:$C$52,MATCH(1,(M_DepotPrice!$A$10:$A$52=I589)*(M_DepotPrice!$H$10:$H$52=IFERROR(INDEX(M_Depot!$A$7:$A$24,MATCH(F589,M_Depot!$B$7:$B$24,0)),""))*(M_DepotPrice!$G$10:$G$52="Special"),0)),INDEX(M_DepotPrice!$C$10:$C$52,MATCH(1,(M_DepotPrice!$A$10:$A$52=I589)*(M_DepotPrice!$G$10:$G$52="Default"),0)))</f>
        <v>5085</v>
      </c>
      <c r="N589" s="67">
        <f t="shared" si="19"/>
        <v>18000.899999999998</v>
      </c>
      <c r="O589" s="66" t="str">
        <f t="shared" si="18"/>
        <v>MOS100645|PO015|CK5-33366</v>
      </c>
    </row>
    <row r="590" spans="1:15" ht="15" customHeight="1" x14ac:dyDescent="0.3">
      <c r="A590" s="70" t="s">
        <v>1269</v>
      </c>
      <c r="B590" s="70" t="s">
        <v>527</v>
      </c>
      <c r="C590" s="72">
        <v>46179</v>
      </c>
      <c r="D590" s="73" t="s">
        <v>404</v>
      </c>
      <c r="E590" s="76" t="str">
        <f>IFERROR(INDEX(M_User!$A$12:$J$67,MATCH(D590,M_User!$D$12:$D$67,0),3),"UNMAPPED")</f>
        <v>Riziki Rajabu Mghamba</v>
      </c>
      <c r="F590" s="75" t="str">
        <f>IFERROR(INDEX(M_User!$A$12:$J$67,MATCH(D590,M_User!$D$12:$D$67,0),5),"UNMAPPED")</f>
        <v>MOS</v>
      </c>
      <c r="G590" s="73" t="s">
        <v>756</v>
      </c>
      <c r="H590" s="92" t="s">
        <v>757</v>
      </c>
      <c r="I590" s="73" t="s">
        <v>187</v>
      </c>
      <c r="J590" s="76" t="str">
        <f>IFERROR(INDEX(M_SKU!$A$18:$J$57,MATCH(I590,M_SKU!$B$18:$B$57,0),1),"UNKNOWN SKU")</f>
        <v>Sprite 350ml</v>
      </c>
      <c r="K590" s="73" t="s">
        <v>535</v>
      </c>
      <c r="L590" s="276">
        <v>2.9781987793477902</v>
      </c>
      <c r="M590" s="94" cm="1">
        <f t="array" ref="M590">IFERROR(INDEX(M_DepotPrice!$C$10:$C$52,MATCH(1,(M_DepotPrice!$A$10:$A$52=I590)*(M_DepotPrice!$H$10:$H$52=IFERROR(INDEX(M_Depot!$A$7:$A$24,MATCH(F590,M_Depot!$B$7:$B$24,0)),""))*(M_DepotPrice!$G$10:$G$52="Special"),0)),INDEX(M_DepotPrice!$C$10:$C$52,MATCH(1,(M_DepotPrice!$A$10:$A$52=I590)*(M_DepotPrice!$G$10:$G$52="Default"),0)))</f>
        <v>11780</v>
      </c>
      <c r="N590" s="95">
        <f t="shared" si="19"/>
        <v>41398.154312446022</v>
      </c>
      <c r="O590" s="82" t="str">
        <f t="shared" si="18"/>
        <v>MOS100645|FG006|CK3-33414</v>
      </c>
    </row>
    <row r="591" spans="1:15" ht="15" customHeight="1" x14ac:dyDescent="0.3">
      <c r="A591" s="60" t="s">
        <v>1270</v>
      </c>
      <c r="B591" s="60" t="s">
        <v>527</v>
      </c>
      <c r="C591" s="62">
        <v>46179</v>
      </c>
      <c r="D591" s="63" t="s">
        <v>404</v>
      </c>
      <c r="E591" s="66" t="str">
        <f>IFERROR(INDEX(M_User!$A$12:$J$67,MATCH(D591,M_User!$D$12:$D$67,0),3),"UNMAPPED")</f>
        <v>Riziki Rajabu Mghamba</v>
      </c>
      <c r="F591" s="65" t="str">
        <f>IFERROR(INDEX(M_User!$A$12:$J$67,MATCH(D591,M_User!$D$12:$D$67,0),5),"UNMAPPED")</f>
        <v>MOS</v>
      </c>
      <c r="G591" s="63" t="s">
        <v>756</v>
      </c>
      <c r="H591" s="69" t="s">
        <v>757</v>
      </c>
      <c r="I591" s="63" t="s">
        <v>199</v>
      </c>
      <c r="J591" s="66" t="str">
        <f>IFERROR(INDEX(M_SKU!$A$18:$J$57,MATCH(I591,M_SKU!$B$18:$B$57,0),1),"UNKNOWN SKU")</f>
        <v>Krest Club Soda RGB 300ml</v>
      </c>
      <c r="K591" s="63" t="s">
        <v>539</v>
      </c>
      <c r="L591" s="276">
        <v>0.31069999999999998</v>
      </c>
      <c r="M591" s="91" cm="1">
        <f t="array" ref="M591">IFERROR(INDEX(M_DepotPrice!$C$10:$C$52,MATCH(1,(M_DepotPrice!$A$10:$A$52=I591)*(M_DepotPrice!$H$10:$H$52=IFERROR(INDEX(M_Depot!$A$7:$A$24,MATCH(F591,M_Depot!$B$7:$B$24,0)),""))*(M_DepotPrice!$G$10:$G$52="Special"),0)),INDEX(M_DepotPrice!$C$10:$C$52,MATCH(1,(M_DepotPrice!$A$10:$A$52=I591)*(M_DepotPrice!$G$10:$G$52="Default"),0)))</f>
        <v>11780</v>
      </c>
      <c r="N591" s="67">
        <f t="shared" si="19"/>
        <v>4318.8542799999996</v>
      </c>
      <c r="O591" s="66" t="str">
        <f t="shared" si="18"/>
        <v>MOS100645|FG010|CK3-33301</v>
      </c>
    </row>
    <row r="592" spans="1:15" ht="15" customHeight="1" x14ac:dyDescent="0.3">
      <c r="A592" s="70" t="s">
        <v>1271</v>
      </c>
      <c r="B592" s="70" t="s">
        <v>527</v>
      </c>
      <c r="C592" s="72">
        <v>46179</v>
      </c>
      <c r="D592" s="73" t="s">
        <v>404</v>
      </c>
      <c r="E592" s="76" t="str">
        <f>IFERROR(INDEX(M_User!$A$12:$J$67,MATCH(D592,M_User!$D$12:$D$67,0),3),"UNMAPPED")</f>
        <v>Riziki Rajabu Mghamba</v>
      </c>
      <c r="F592" s="75" t="str">
        <f>IFERROR(INDEX(M_User!$A$12:$J$67,MATCH(D592,M_User!$D$12:$D$67,0),5),"UNMAPPED")</f>
        <v>MOS</v>
      </c>
      <c r="G592" s="73" t="s">
        <v>756</v>
      </c>
      <c r="H592" s="92" t="s">
        <v>757</v>
      </c>
      <c r="I592" s="73" t="s">
        <v>203</v>
      </c>
      <c r="J592" s="76" t="str">
        <f>IFERROR(INDEX(M_SKU!$A$18:$J$57,MATCH(I592,M_SKU!$B$18:$B$57,0),1),"UNKNOWN SKU")</f>
        <v>Krest Ginger Ale RGB 300ml</v>
      </c>
      <c r="K592" s="73" t="s">
        <v>541</v>
      </c>
      <c r="L592" s="276">
        <v>0.21840000000000001</v>
      </c>
      <c r="M592" s="94" cm="1">
        <f t="array" ref="M592">IFERROR(INDEX(M_DepotPrice!$C$10:$C$52,MATCH(1,(M_DepotPrice!$A$10:$A$52=I592)*(M_DepotPrice!$H$10:$H$52=IFERROR(INDEX(M_Depot!$A$7:$A$24,MATCH(F592,M_Depot!$B$7:$B$24,0)),""))*(M_DepotPrice!$G$10:$G$52="Special"),0)),INDEX(M_DepotPrice!$C$10:$C$52,MATCH(1,(M_DepotPrice!$A$10:$A$52=I592)*(M_DepotPrice!$G$10:$G$52="Default"),0)))</f>
        <v>11780</v>
      </c>
      <c r="N592" s="95">
        <f t="shared" si="19"/>
        <v>3035.8473599999998</v>
      </c>
      <c r="O592" s="82" t="str">
        <f t="shared" si="18"/>
        <v>MOS100645|FG012|CK3-33126</v>
      </c>
    </row>
    <row r="593" spans="1:15" ht="15" customHeight="1" x14ac:dyDescent="0.3">
      <c r="A593" s="60" t="s">
        <v>1272</v>
      </c>
      <c r="B593" s="60" t="s">
        <v>527</v>
      </c>
      <c r="C593" s="62">
        <v>46179</v>
      </c>
      <c r="D593" s="63" t="s">
        <v>404</v>
      </c>
      <c r="E593" s="66" t="str">
        <f>IFERROR(INDEX(M_User!$A$12:$J$67,MATCH(D593,M_User!$D$12:$D$67,0),3),"UNMAPPED")</f>
        <v>Riziki Rajabu Mghamba</v>
      </c>
      <c r="F593" s="65" t="str">
        <f>IFERROR(INDEX(M_User!$A$12:$J$67,MATCH(D593,M_User!$D$12:$D$67,0),5),"UNMAPPED")</f>
        <v>MOS</v>
      </c>
      <c r="G593" s="63" t="s">
        <v>756</v>
      </c>
      <c r="H593" s="69" t="s">
        <v>757</v>
      </c>
      <c r="I593" s="63" t="s">
        <v>209</v>
      </c>
      <c r="J593" s="66" t="str">
        <f>IFERROR(INDEX(M_SKU!$A$18:$J$57,MATCH(I593,M_SKU!$B$18:$B$57,0),1),"UNKNOWN SKU")</f>
        <v>Sparletta Red Apple RGB 350ml</v>
      </c>
      <c r="K593" s="63" t="s">
        <v>542</v>
      </c>
      <c r="L593" s="276">
        <v>0.26269999999999999</v>
      </c>
      <c r="M593" s="91" cm="1">
        <f t="array" ref="M593">IFERROR(INDEX(M_DepotPrice!$C$10:$C$52,MATCH(1,(M_DepotPrice!$A$10:$A$52=I593)*(M_DepotPrice!$H$10:$H$52=IFERROR(INDEX(M_Depot!$A$7:$A$24,MATCH(F593,M_Depot!$B$7:$B$24,0)),""))*(M_DepotPrice!$G$10:$G$52="Special"),0)),INDEX(M_DepotPrice!$C$10:$C$52,MATCH(1,(M_DepotPrice!$A$10:$A$52=I593)*(M_DepotPrice!$G$10:$G$52="Default"),0)))</f>
        <v>11780</v>
      </c>
      <c r="N593" s="67">
        <f t="shared" si="19"/>
        <v>3651.6350799999996</v>
      </c>
      <c r="O593" s="66" t="str">
        <f t="shared" si="18"/>
        <v>MOS100645|FG024|CK3-32758</v>
      </c>
    </row>
    <row r="594" spans="1:15" ht="15" customHeight="1" x14ac:dyDescent="0.3">
      <c r="A594" s="70" t="s">
        <v>1273</v>
      </c>
      <c r="B594" s="70" t="s">
        <v>527</v>
      </c>
      <c r="C594" s="72">
        <v>46179</v>
      </c>
      <c r="D594" s="73" t="s">
        <v>404</v>
      </c>
      <c r="E594" s="76" t="str">
        <f>IFERROR(INDEX(M_User!$A$12:$J$67,MATCH(D594,M_User!$D$12:$D$67,0),3),"UNMAPPED")</f>
        <v>Riziki Rajabu Mghamba</v>
      </c>
      <c r="F594" s="75" t="str">
        <f>IFERROR(INDEX(M_User!$A$12:$J$67,MATCH(D594,M_User!$D$12:$D$67,0),5),"UNMAPPED")</f>
        <v>MOS</v>
      </c>
      <c r="G594" s="73" t="s">
        <v>756</v>
      </c>
      <c r="H594" s="92" t="s">
        <v>757</v>
      </c>
      <c r="I594" s="73" t="s">
        <v>211</v>
      </c>
      <c r="J594" s="76" t="str">
        <f>IFERROR(INDEX(M_SKU!$A$18:$J$57,MATCH(I594,M_SKU!$B$18:$B$57,0),1),"UNKNOWN SKU")</f>
        <v>KNMW 500ml</v>
      </c>
      <c r="K594" s="73" t="s">
        <v>543</v>
      </c>
      <c r="L594" s="276">
        <v>37</v>
      </c>
      <c r="M594" s="94" cm="1">
        <f t="array" ref="M594">IFERROR(INDEX(M_DepotPrice!$C$10:$C$52,MATCH(1,(M_DepotPrice!$A$10:$A$52=I594)*(M_DepotPrice!$H$10:$H$52=IFERROR(INDEX(M_Depot!$A$7:$A$24,MATCH(F594,M_Depot!$B$7:$B$24,0)),""))*(M_DepotPrice!$G$10:$G$52="Special"),0)),INDEX(M_DepotPrice!$C$10:$C$52,MATCH(1,(M_DepotPrice!$A$10:$A$52=I594)*(M_DepotPrice!$G$10:$G$52="Default"),0)))</f>
        <v>3559</v>
      </c>
      <c r="N594" s="95">
        <f t="shared" si="19"/>
        <v>155385.94</v>
      </c>
      <c r="O594" s="82" t="str">
        <f t="shared" si="18"/>
        <v>MOS100645|KD001|CK6-986</v>
      </c>
    </row>
    <row r="595" spans="1:15" ht="15" customHeight="1" x14ac:dyDescent="0.3">
      <c r="A595" s="60" t="s">
        <v>1274</v>
      </c>
      <c r="B595" s="60" t="s">
        <v>527</v>
      </c>
      <c r="C595" s="62">
        <v>46179</v>
      </c>
      <c r="D595" s="63" t="s">
        <v>404</v>
      </c>
      <c r="E595" s="66" t="str">
        <f>IFERROR(INDEX(M_User!$A$12:$J$67,MATCH(D595,M_User!$D$12:$D$67,0),3),"UNMAPPED")</f>
        <v>Riziki Rajabu Mghamba</v>
      </c>
      <c r="F595" s="65" t="str">
        <f>IFERROR(INDEX(M_User!$A$12:$J$67,MATCH(D595,M_User!$D$12:$D$67,0),5),"UNMAPPED")</f>
        <v>MOS</v>
      </c>
      <c r="G595" s="63" t="s">
        <v>756</v>
      </c>
      <c r="H595" s="69" t="s">
        <v>757</v>
      </c>
      <c r="I595" s="63" t="s">
        <v>217</v>
      </c>
      <c r="J595" s="66" t="str">
        <f>IFERROR(INDEX(M_SKU!$A$18:$J$57,MATCH(I595,M_SKU!$B$18:$B$57,0),1),"UNKNOWN SKU")</f>
        <v>KNMW 1500ml</v>
      </c>
      <c r="K595" s="63" t="s">
        <v>544</v>
      </c>
      <c r="L595" s="276">
        <v>13</v>
      </c>
      <c r="M595" s="91" cm="1">
        <f t="array" ref="M595">IFERROR(INDEX(M_DepotPrice!$C$10:$C$52,MATCH(1,(M_DepotPrice!$A$10:$A$52=I595)*(M_DepotPrice!$H$10:$H$52=IFERROR(INDEX(M_Depot!$A$7:$A$24,MATCH(F595,M_Depot!$B$7:$B$24,0)),""))*(M_DepotPrice!$G$10:$G$52="Special"),0)),INDEX(M_DepotPrice!$C$10:$C$52,MATCH(1,(M_DepotPrice!$A$10:$A$52=I595)*(M_DepotPrice!$G$10:$G$52="Default"),0)))</f>
        <v>3983</v>
      </c>
      <c r="N595" s="67">
        <f t="shared" si="19"/>
        <v>61099.219999999994</v>
      </c>
      <c r="O595" s="66" t="str">
        <f t="shared" si="18"/>
        <v>MOS100645|KD003|CK4-841</v>
      </c>
    </row>
    <row r="596" spans="1:15" ht="15" customHeight="1" x14ac:dyDescent="0.3">
      <c r="A596" s="70" t="s">
        <v>1275</v>
      </c>
      <c r="B596" s="70" t="s">
        <v>527</v>
      </c>
      <c r="C596" s="72">
        <v>46179</v>
      </c>
      <c r="D596" s="73" t="s">
        <v>404</v>
      </c>
      <c r="E596" s="76" t="str">
        <f>IFERROR(INDEX(M_User!$A$12:$J$67,MATCH(D596,M_User!$D$12:$D$67,0),3),"UNMAPPED")</f>
        <v>Riziki Rajabu Mghamba</v>
      </c>
      <c r="F596" s="75" t="str">
        <f>IFERROR(INDEX(M_User!$A$12:$J$67,MATCH(D596,M_User!$D$12:$D$67,0),5),"UNMAPPED")</f>
        <v>MOS</v>
      </c>
      <c r="G596" s="73" t="s">
        <v>756</v>
      </c>
      <c r="H596" s="92" t="s">
        <v>757</v>
      </c>
      <c r="I596" s="73" t="s">
        <v>229</v>
      </c>
      <c r="J596" s="76" t="str">
        <f>IFERROR(INDEX(M_SKU!$A$18:$J$57,MATCH(I596,M_SKU!$B$18:$B$57,0),1),"UNKNOWN SKU")</f>
        <v>Coke Pet 500ML ( x12)</v>
      </c>
      <c r="K596" s="73" t="s">
        <v>520</v>
      </c>
      <c r="L596" s="276">
        <v>25</v>
      </c>
      <c r="M596" s="94" cm="1">
        <f t="array" ref="M596">IFERROR(INDEX(M_DepotPrice!$C$10:$C$52,MATCH(1,(M_DepotPrice!$A$10:$A$52=I596)*(M_DepotPrice!$H$10:$H$52=IFERROR(INDEX(M_Depot!$A$7:$A$24,MATCH(F596,M_Depot!$B$7:$B$24,0)),""))*(M_DepotPrice!$G$10:$G$52="Special"),0)),INDEX(M_DepotPrice!$C$10:$C$52,MATCH(1,(M_DepotPrice!$A$10:$A$52=I596)*(M_DepotPrice!$G$10:$G$52="Default"),0)))</f>
        <v>8898</v>
      </c>
      <c r="N596" s="95">
        <f t="shared" si="19"/>
        <v>262491</v>
      </c>
      <c r="O596" s="82" t="str">
        <f t="shared" si="18"/>
        <v>MOS100645|PH001|CK6-33411</v>
      </c>
    </row>
    <row r="597" spans="1:15" ht="15" customHeight="1" x14ac:dyDescent="0.3">
      <c r="A597" s="60" t="s">
        <v>1276</v>
      </c>
      <c r="B597" s="60" t="s">
        <v>527</v>
      </c>
      <c r="C597" s="62">
        <v>46179</v>
      </c>
      <c r="D597" s="63" t="s">
        <v>404</v>
      </c>
      <c r="E597" s="66" t="str">
        <f>IFERROR(INDEX(M_User!$A$12:$J$67,MATCH(D597,M_User!$D$12:$D$67,0),3),"UNMAPPED")</f>
        <v>Riziki Rajabu Mghamba</v>
      </c>
      <c r="F597" s="65" t="str">
        <f>IFERROR(INDEX(M_User!$A$12:$J$67,MATCH(D597,M_User!$D$12:$D$67,0),5),"UNMAPPED")</f>
        <v>MOS</v>
      </c>
      <c r="G597" s="63" t="s">
        <v>756</v>
      </c>
      <c r="H597" s="69" t="s">
        <v>757</v>
      </c>
      <c r="I597" s="63" t="s">
        <v>232</v>
      </c>
      <c r="J597" s="66" t="str">
        <f>IFERROR(INDEX(M_SKU!$A$18:$J$57,MATCH(I597,M_SKU!$B$18:$B$57,0),1),"UNKNOWN SKU")</f>
        <v>Sprite Pet 500ML (x 12)</v>
      </c>
      <c r="K597" s="63" t="s">
        <v>522</v>
      </c>
      <c r="L597" s="276">
        <v>7</v>
      </c>
      <c r="M597" s="91" cm="1">
        <f t="array" ref="M597">IFERROR(INDEX(M_DepotPrice!$C$10:$C$52,MATCH(1,(M_DepotPrice!$A$10:$A$52=I597)*(M_DepotPrice!$H$10:$H$52=IFERROR(INDEX(M_Depot!$A$7:$A$24,MATCH(F597,M_Depot!$B$7:$B$24,0)),""))*(M_DepotPrice!$G$10:$G$52="Special"),0)),INDEX(M_DepotPrice!$C$10:$C$52,MATCH(1,(M_DepotPrice!$A$10:$A$52=I597)*(M_DepotPrice!$G$10:$G$52="Default"),0)))</f>
        <v>8898</v>
      </c>
      <c r="N597" s="67">
        <f t="shared" si="19"/>
        <v>73497.48</v>
      </c>
      <c r="O597" s="66" t="str">
        <f t="shared" si="18"/>
        <v>MOS100645|PH002|CK6-33362</v>
      </c>
    </row>
    <row r="598" spans="1:15" ht="15" customHeight="1" x14ac:dyDescent="0.3">
      <c r="A598" s="70" t="s">
        <v>1277</v>
      </c>
      <c r="B598" s="70" t="s">
        <v>527</v>
      </c>
      <c r="C598" s="72">
        <v>46179</v>
      </c>
      <c r="D598" s="73" t="s">
        <v>404</v>
      </c>
      <c r="E598" s="76" t="str">
        <f>IFERROR(INDEX(M_User!$A$12:$J$67,MATCH(D598,M_User!$D$12:$D$67,0),3),"UNMAPPED")</f>
        <v>Riziki Rajabu Mghamba</v>
      </c>
      <c r="F598" s="75" t="str">
        <f>IFERROR(INDEX(M_User!$A$12:$J$67,MATCH(D598,M_User!$D$12:$D$67,0),5),"UNMAPPED")</f>
        <v>MOS</v>
      </c>
      <c r="G598" s="73" t="s">
        <v>756</v>
      </c>
      <c r="H598" s="92" t="s">
        <v>757</v>
      </c>
      <c r="I598" s="73" t="s">
        <v>254</v>
      </c>
      <c r="J598" s="76" t="str">
        <f>IFERROR(INDEX(M_SKU!$A$18:$J$57,MATCH(I598,M_SKU!$B$18:$B$57,0),1),"UNKNOWN SKU")</f>
        <v>Fanta Zero Pet 300ML (x 12)</v>
      </c>
      <c r="K598" s="73" t="s">
        <v>546</v>
      </c>
      <c r="L598" s="276">
        <v>2</v>
      </c>
      <c r="M598" s="94" cm="1">
        <f t="array" ref="M598">IFERROR(INDEX(M_DepotPrice!$C$10:$C$52,MATCH(1,(M_DepotPrice!$A$10:$A$52=I598)*(M_DepotPrice!$H$10:$H$52=IFERROR(INDEX(M_Depot!$A$7:$A$24,MATCH(F598,M_Depot!$B$7:$B$24,0)),""))*(M_DepotPrice!$G$10:$G$52="Special"),0)),INDEX(M_DepotPrice!$C$10:$C$52,MATCH(1,(M_DepotPrice!$A$10:$A$52=I598)*(M_DepotPrice!$G$10:$G$52="Default"),0)))</f>
        <v>5085</v>
      </c>
      <c r="N598" s="95">
        <f t="shared" si="19"/>
        <v>12000.599999999999</v>
      </c>
      <c r="O598" s="82" t="str">
        <f t="shared" si="18"/>
        <v>MOS100645|PO012|CK5-33369</v>
      </c>
    </row>
    <row r="599" spans="1:15" ht="15" customHeight="1" x14ac:dyDescent="0.3">
      <c r="A599" s="60" t="s">
        <v>1278</v>
      </c>
      <c r="B599" s="60" t="s">
        <v>527</v>
      </c>
      <c r="C599" s="62">
        <v>46179</v>
      </c>
      <c r="D599" s="63" t="s">
        <v>404</v>
      </c>
      <c r="E599" s="66" t="str">
        <f>IFERROR(INDEX(M_User!$A$12:$J$67,MATCH(D599,M_User!$D$12:$D$67,0),3),"UNMAPPED")</f>
        <v>Riziki Rajabu Mghamba</v>
      </c>
      <c r="F599" s="65" t="str">
        <f>IFERROR(INDEX(M_User!$A$12:$J$67,MATCH(D599,M_User!$D$12:$D$67,0),5),"UNMAPPED")</f>
        <v>MOS</v>
      </c>
      <c r="G599" s="63" t="s">
        <v>756</v>
      </c>
      <c r="H599" s="69" t="s">
        <v>757</v>
      </c>
      <c r="I599" s="63" t="s">
        <v>261</v>
      </c>
      <c r="J599" s="66" t="str">
        <f>IFERROR(INDEX(M_SKU!$A$18:$J$57,MATCH(I599,M_SKU!$B$18:$B$57,0),1),"UNKNOWN SKU")</f>
        <v>Sparletta Pine Apple Pet 300ML (x 12)</v>
      </c>
      <c r="K599" s="63" t="s">
        <v>547</v>
      </c>
      <c r="L599" s="276">
        <v>1</v>
      </c>
      <c r="M599" s="91" cm="1">
        <f t="array" ref="M599">IFERROR(INDEX(M_DepotPrice!$C$10:$C$52,MATCH(1,(M_DepotPrice!$A$10:$A$52=I599)*(M_DepotPrice!$H$10:$H$52=IFERROR(INDEX(M_Depot!$A$7:$A$24,MATCH(F599,M_Depot!$B$7:$B$24,0)),""))*(M_DepotPrice!$G$10:$G$52="Special"),0)),INDEX(M_DepotPrice!$C$10:$C$52,MATCH(1,(M_DepotPrice!$A$10:$A$52=I599)*(M_DepotPrice!$G$10:$G$52="Default"),0)))</f>
        <v>5085</v>
      </c>
      <c r="N599" s="67">
        <f t="shared" si="19"/>
        <v>6000.2999999999993</v>
      </c>
      <c r="O599" s="66" t="str">
        <f t="shared" si="18"/>
        <v>MOS100645|PO015|CK5-33366</v>
      </c>
    </row>
    <row r="600" spans="1:15" ht="15" customHeight="1" x14ac:dyDescent="0.3">
      <c r="A600" s="70" t="s">
        <v>1279</v>
      </c>
      <c r="B600" s="70" t="s">
        <v>527</v>
      </c>
      <c r="C600" s="72">
        <v>46179</v>
      </c>
      <c r="D600" s="73" t="s">
        <v>404</v>
      </c>
      <c r="E600" s="76" t="str">
        <f>IFERROR(INDEX(M_User!$A$12:$J$67,MATCH(D600,M_User!$D$12:$D$67,0),3),"UNMAPPED")</f>
        <v>Riziki Rajabu Mghamba</v>
      </c>
      <c r="F600" s="75" t="str">
        <f>IFERROR(INDEX(M_User!$A$12:$J$67,MATCH(D600,M_User!$D$12:$D$67,0),5),"UNMAPPED")</f>
        <v>MOS</v>
      </c>
      <c r="G600" s="73" t="s">
        <v>783</v>
      </c>
      <c r="H600" s="92" t="s">
        <v>784</v>
      </c>
      <c r="I600" s="73" t="s">
        <v>170</v>
      </c>
      <c r="J600" s="76" t="str">
        <f>IFERROR(INDEX(M_SKU!$A$18:$J$57,MATCH(I600,M_SKU!$B$18:$B$57,0),1),"UNKNOWN SKU")</f>
        <v>Coke RGB 350ml</v>
      </c>
      <c r="K600" s="73" t="s">
        <v>529</v>
      </c>
      <c r="L600" s="276">
        <v>2.9377</v>
      </c>
      <c r="M600" s="94" cm="1">
        <f t="array" ref="M600">IFERROR(INDEX(M_DepotPrice!$C$10:$C$52,MATCH(1,(M_DepotPrice!$A$10:$A$52=I600)*(M_DepotPrice!$H$10:$H$52=IFERROR(INDEX(M_Depot!$A$7:$A$24,MATCH(F600,M_Depot!$B$7:$B$24,0)),""))*(M_DepotPrice!$G$10:$G$52="Special"),0)),INDEX(M_DepotPrice!$C$10:$C$52,MATCH(1,(M_DepotPrice!$A$10:$A$52=I600)*(M_DepotPrice!$G$10:$G$52="Default"),0)))</f>
        <v>11780</v>
      </c>
      <c r="N600" s="95">
        <f t="shared" si="19"/>
        <v>40835.20508</v>
      </c>
      <c r="O600" s="82" t="str">
        <f t="shared" si="18"/>
        <v>MOS100645|FG001|CK3-33408</v>
      </c>
    </row>
    <row r="601" spans="1:15" ht="15" customHeight="1" x14ac:dyDescent="0.3">
      <c r="A601" s="60" t="s">
        <v>1280</v>
      </c>
      <c r="B601" s="60" t="s">
        <v>527</v>
      </c>
      <c r="C601" s="62">
        <v>46179</v>
      </c>
      <c r="D601" s="63" t="s">
        <v>404</v>
      </c>
      <c r="E601" s="66" t="str">
        <f>IFERROR(INDEX(M_User!$A$12:$J$67,MATCH(D601,M_User!$D$12:$D$67,0),3),"UNMAPPED")</f>
        <v>Riziki Rajabu Mghamba</v>
      </c>
      <c r="F601" s="65" t="str">
        <f>IFERROR(INDEX(M_User!$A$12:$J$67,MATCH(D601,M_User!$D$12:$D$67,0),5),"UNMAPPED")</f>
        <v>MOS</v>
      </c>
      <c r="G601" s="63" t="s">
        <v>783</v>
      </c>
      <c r="H601" s="69" t="s">
        <v>784</v>
      </c>
      <c r="I601" s="63" t="s">
        <v>178</v>
      </c>
      <c r="J601" s="66" t="str">
        <f>IFERROR(INDEX(M_SKU!$A$18:$J$57,MATCH(I601,M_SKU!$B$18:$B$57,0),1),"UNKNOWN SKU")</f>
        <v>Fanta Orange RGB 350ml</v>
      </c>
      <c r="K601" s="63" t="s">
        <v>531</v>
      </c>
      <c r="L601" s="276">
        <v>9.6987000000000005</v>
      </c>
      <c r="M601" s="91" cm="1">
        <f t="array" ref="M601">IFERROR(INDEX(M_DepotPrice!$C$10:$C$52,MATCH(1,(M_DepotPrice!$A$10:$A$52=I601)*(M_DepotPrice!$H$10:$H$52=IFERROR(INDEX(M_Depot!$A$7:$A$24,MATCH(F601,M_Depot!$B$7:$B$24,0)),""))*(M_DepotPrice!$G$10:$G$52="Special"),0)),INDEX(M_DepotPrice!$C$10:$C$52,MATCH(1,(M_DepotPrice!$A$10:$A$52=I601)*(M_DepotPrice!$G$10:$G$52="Default"),0)))</f>
        <v>11780</v>
      </c>
      <c r="N601" s="67">
        <f t="shared" si="19"/>
        <v>134815.80948</v>
      </c>
      <c r="O601" s="66" t="str">
        <f t="shared" si="18"/>
        <v>MOS100645|FG002|CK3-33407</v>
      </c>
    </row>
    <row r="602" spans="1:15" ht="15" customHeight="1" x14ac:dyDescent="0.3">
      <c r="A602" s="70" t="s">
        <v>1281</v>
      </c>
      <c r="B602" s="70" t="s">
        <v>527</v>
      </c>
      <c r="C602" s="72">
        <v>46179</v>
      </c>
      <c r="D602" s="73" t="s">
        <v>404</v>
      </c>
      <c r="E602" s="76" t="str">
        <f>IFERROR(INDEX(M_User!$A$12:$J$67,MATCH(D602,M_User!$D$12:$D$67,0),3),"UNMAPPED")</f>
        <v>Riziki Rajabu Mghamba</v>
      </c>
      <c r="F602" s="75" t="str">
        <f>IFERROR(INDEX(M_User!$A$12:$J$67,MATCH(D602,M_User!$D$12:$D$67,0),5),"UNMAPPED")</f>
        <v>MOS</v>
      </c>
      <c r="G602" s="73" t="s">
        <v>783</v>
      </c>
      <c r="H602" s="92" t="s">
        <v>784</v>
      </c>
      <c r="I602" s="73" t="s">
        <v>193</v>
      </c>
      <c r="J602" s="76" t="str">
        <f>IFERROR(INDEX(M_SKU!$A$18:$J$57,MATCH(I602,M_SKU!$B$18:$B$57,0),1),"UNKNOWN SKU")</f>
        <v>Sparletta Pinenut RGB 350ml</v>
      </c>
      <c r="K602" s="73" t="s">
        <v>537</v>
      </c>
      <c r="L602" s="276">
        <v>1.1700999999999999</v>
      </c>
      <c r="M602" s="94" cm="1">
        <f t="array" ref="M602">IFERROR(INDEX(M_DepotPrice!$C$10:$C$52,MATCH(1,(M_DepotPrice!$A$10:$A$52=I602)*(M_DepotPrice!$H$10:$H$52=IFERROR(INDEX(M_Depot!$A$7:$A$24,MATCH(F602,M_Depot!$B$7:$B$24,0)),""))*(M_DepotPrice!$G$10:$G$52="Special"),0)),INDEX(M_DepotPrice!$C$10:$C$52,MATCH(1,(M_DepotPrice!$A$10:$A$52=I602)*(M_DepotPrice!$G$10:$G$52="Default"),0)))</f>
        <v>11780</v>
      </c>
      <c r="N602" s="95">
        <f t="shared" si="19"/>
        <v>16264.858039999997</v>
      </c>
      <c r="O602" s="82" t="str">
        <f t="shared" si="18"/>
        <v>MOS100645|FG008|CK3-33365</v>
      </c>
    </row>
    <row r="603" spans="1:15" ht="15" customHeight="1" x14ac:dyDescent="0.3">
      <c r="A603" s="60" t="s">
        <v>1282</v>
      </c>
      <c r="B603" s="60" t="s">
        <v>527</v>
      </c>
      <c r="C603" s="62">
        <v>46179</v>
      </c>
      <c r="D603" s="63" t="s">
        <v>404</v>
      </c>
      <c r="E603" s="66" t="str">
        <f>IFERROR(INDEX(M_User!$A$12:$J$67,MATCH(D603,M_User!$D$12:$D$67,0),3),"UNMAPPED")</f>
        <v>Riziki Rajabu Mghamba</v>
      </c>
      <c r="F603" s="65" t="str">
        <f>IFERROR(INDEX(M_User!$A$12:$J$67,MATCH(D603,M_User!$D$12:$D$67,0),5),"UNMAPPED")</f>
        <v>MOS</v>
      </c>
      <c r="G603" s="63" t="s">
        <v>783</v>
      </c>
      <c r="H603" s="69" t="s">
        <v>784</v>
      </c>
      <c r="I603" s="63" t="s">
        <v>196</v>
      </c>
      <c r="J603" s="66" t="str">
        <f>IFERROR(INDEX(M_SKU!$A$18:$J$57,MATCH(I603,M_SKU!$B$18:$B$57,0),1),"UNKNOWN SKU")</f>
        <v>Krest Bitter Lemon RGB 300ml</v>
      </c>
      <c r="K603" s="63" t="s">
        <v>538</v>
      </c>
      <c r="L603" s="276">
        <v>0.76549999999999996</v>
      </c>
      <c r="M603" s="91" cm="1">
        <f t="array" ref="M603">IFERROR(INDEX(M_DepotPrice!$C$10:$C$52,MATCH(1,(M_DepotPrice!$A$10:$A$52=I603)*(M_DepotPrice!$H$10:$H$52=IFERROR(INDEX(M_Depot!$A$7:$A$24,MATCH(F603,M_Depot!$B$7:$B$24,0)),""))*(M_DepotPrice!$G$10:$G$52="Special"),0)),INDEX(M_DepotPrice!$C$10:$C$52,MATCH(1,(M_DepotPrice!$A$10:$A$52=I603)*(M_DepotPrice!$G$10:$G$52="Default"),0)))</f>
        <v>11780</v>
      </c>
      <c r="N603" s="67">
        <f t="shared" si="19"/>
        <v>10640.7562</v>
      </c>
      <c r="O603" s="66" t="str">
        <f t="shared" si="18"/>
        <v>MOS100645|FG009|CK3-33348</v>
      </c>
    </row>
    <row r="604" spans="1:15" ht="15" customHeight="1" x14ac:dyDescent="0.3">
      <c r="A604" s="70" t="s">
        <v>1283</v>
      </c>
      <c r="B604" s="70" t="s">
        <v>527</v>
      </c>
      <c r="C604" s="72">
        <v>46179</v>
      </c>
      <c r="D604" s="73" t="s">
        <v>404</v>
      </c>
      <c r="E604" s="76" t="str">
        <f>IFERROR(INDEX(M_User!$A$12:$J$67,MATCH(D604,M_User!$D$12:$D$67,0),3),"UNMAPPED")</f>
        <v>Riziki Rajabu Mghamba</v>
      </c>
      <c r="F604" s="75" t="str">
        <f>IFERROR(INDEX(M_User!$A$12:$J$67,MATCH(D604,M_User!$D$12:$D$67,0),5),"UNMAPPED")</f>
        <v>MOS</v>
      </c>
      <c r="G604" s="73" t="s">
        <v>783</v>
      </c>
      <c r="H604" s="92" t="s">
        <v>784</v>
      </c>
      <c r="I604" s="73" t="s">
        <v>199</v>
      </c>
      <c r="J604" s="76" t="str">
        <f>IFERROR(INDEX(M_SKU!$A$18:$J$57,MATCH(I604,M_SKU!$B$18:$B$57,0),1),"UNKNOWN SKU")</f>
        <v>Krest Club Soda RGB 300ml</v>
      </c>
      <c r="K604" s="73" t="s">
        <v>539</v>
      </c>
      <c r="L604" s="276">
        <v>0.41294945757350698</v>
      </c>
      <c r="M604" s="94" cm="1">
        <f t="array" ref="M604">IFERROR(INDEX(M_DepotPrice!$C$10:$C$52,MATCH(1,(M_DepotPrice!$A$10:$A$52=I604)*(M_DepotPrice!$H$10:$H$52=IFERROR(INDEX(M_Depot!$A$7:$A$24,MATCH(F604,M_Depot!$B$7:$B$24,0)),""))*(M_DepotPrice!$G$10:$G$52="Special"),0)),INDEX(M_DepotPrice!$C$10:$C$52,MATCH(1,(M_DepotPrice!$A$10:$A$52=I604)*(M_DepotPrice!$G$10:$G$52="Default"),0)))</f>
        <v>11780</v>
      </c>
      <c r="N604" s="95">
        <f t="shared" si="19"/>
        <v>5740.1626400547757</v>
      </c>
      <c r="O604" s="82" t="str">
        <f t="shared" si="18"/>
        <v>MOS100645|FG010|CK3-33301</v>
      </c>
    </row>
    <row r="605" spans="1:15" ht="15" customHeight="1" x14ac:dyDescent="0.3">
      <c r="A605" s="60" t="s">
        <v>1284</v>
      </c>
      <c r="B605" s="60" t="s">
        <v>527</v>
      </c>
      <c r="C605" s="62">
        <v>46179</v>
      </c>
      <c r="D605" s="63" t="s">
        <v>404</v>
      </c>
      <c r="E605" s="66" t="str">
        <f>IFERROR(INDEX(M_User!$A$12:$J$67,MATCH(D605,M_User!$D$12:$D$67,0),3),"UNMAPPED")</f>
        <v>Riziki Rajabu Mghamba</v>
      </c>
      <c r="F605" s="65" t="str">
        <f>IFERROR(INDEX(M_User!$A$12:$J$67,MATCH(D605,M_User!$D$12:$D$67,0),5),"UNMAPPED")</f>
        <v>MOS</v>
      </c>
      <c r="G605" s="63" t="s">
        <v>783</v>
      </c>
      <c r="H605" s="69" t="s">
        <v>784</v>
      </c>
      <c r="I605" s="63" t="s">
        <v>201</v>
      </c>
      <c r="J605" s="66" t="str">
        <f>IFERROR(INDEX(M_SKU!$A$18:$J$57,MATCH(I605,M_SKU!$B$18:$B$57,0),1),"UNKNOWN SKU")</f>
        <v>Krest Tonic Water RGB 300ml</v>
      </c>
      <c r="K605" s="63" t="s">
        <v>540</v>
      </c>
      <c r="L605" s="276">
        <v>0.36827271399137801</v>
      </c>
      <c r="M605" s="91" cm="1">
        <f t="array" ref="M605">IFERROR(INDEX(M_DepotPrice!$C$10:$C$52,MATCH(1,(M_DepotPrice!$A$10:$A$52=I605)*(M_DepotPrice!$H$10:$H$52=IFERROR(INDEX(M_Depot!$A$7:$A$24,MATCH(F605,M_Depot!$B$7:$B$24,0)),""))*(M_DepotPrice!$G$10:$G$52="Special"),0)),INDEX(M_DepotPrice!$C$10:$C$52,MATCH(1,(M_DepotPrice!$A$10:$A$52=I605)*(M_DepotPrice!$G$10:$G$52="Default"),0)))</f>
        <v>11780</v>
      </c>
      <c r="N605" s="67">
        <f t="shared" si="19"/>
        <v>5119.1380335657504</v>
      </c>
      <c r="O605" s="66" t="str">
        <f t="shared" si="18"/>
        <v>MOS100645|FG011|CK3-33347</v>
      </c>
    </row>
    <row r="606" spans="1:15" ht="15" customHeight="1" x14ac:dyDescent="0.3">
      <c r="A606" s="70" t="s">
        <v>1285</v>
      </c>
      <c r="B606" s="70" t="s">
        <v>527</v>
      </c>
      <c r="C606" s="72">
        <v>46179</v>
      </c>
      <c r="D606" s="73" t="s">
        <v>404</v>
      </c>
      <c r="E606" s="76" t="str">
        <f>IFERROR(INDEX(M_User!$A$12:$J$67,MATCH(D606,M_User!$D$12:$D$67,0),3),"UNMAPPED")</f>
        <v>Riziki Rajabu Mghamba</v>
      </c>
      <c r="F606" s="75" t="str">
        <f>IFERROR(INDEX(M_User!$A$12:$J$67,MATCH(D606,M_User!$D$12:$D$67,0),5),"UNMAPPED")</f>
        <v>MOS</v>
      </c>
      <c r="G606" s="73" t="s">
        <v>783</v>
      </c>
      <c r="H606" s="92" t="s">
        <v>784</v>
      </c>
      <c r="I606" s="73" t="s">
        <v>203</v>
      </c>
      <c r="J606" s="76" t="str">
        <f>IFERROR(INDEX(M_SKU!$A$18:$J$57,MATCH(I606,M_SKU!$B$18:$B$57,0),1),"UNKNOWN SKU")</f>
        <v>Krest Ginger Ale RGB 300ml</v>
      </c>
      <c r="K606" s="73" t="s">
        <v>541</v>
      </c>
      <c r="L606" s="276">
        <v>0.16682882481588901</v>
      </c>
      <c r="M606" s="94" cm="1">
        <f t="array" ref="M606">IFERROR(INDEX(M_DepotPrice!$C$10:$C$52,MATCH(1,(M_DepotPrice!$A$10:$A$52=I606)*(M_DepotPrice!$H$10:$H$52=IFERROR(INDEX(M_Depot!$A$7:$A$24,MATCH(F606,M_Depot!$B$7:$B$24,0)),""))*(M_DepotPrice!$G$10:$G$52="Special"),0)),INDEX(M_DepotPrice!$C$10:$C$52,MATCH(1,(M_DepotPrice!$A$10:$A$52=I606)*(M_DepotPrice!$G$10:$G$52="Default"),0)))</f>
        <v>11780</v>
      </c>
      <c r="N606" s="95">
        <f t="shared" si="19"/>
        <v>2318.9873964707836</v>
      </c>
      <c r="O606" s="82" t="str">
        <f t="shared" si="18"/>
        <v>MOS100645|FG012|CK3-33126</v>
      </c>
    </row>
    <row r="607" spans="1:15" ht="15" customHeight="1" x14ac:dyDescent="0.3">
      <c r="A607" s="60" t="s">
        <v>1286</v>
      </c>
      <c r="B607" s="60" t="s">
        <v>527</v>
      </c>
      <c r="C607" s="62">
        <v>46179</v>
      </c>
      <c r="D607" s="63" t="s">
        <v>404</v>
      </c>
      <c r="E607" s="66" t="str">
        <f>IFERROR(INDEX(M_User!$A$12:$J$67,MATCH(D607,M_User!$D$12:$D$67,0),3),"UNMAPPED")</f>
        <v>Riziki Rajabu Mghamba</v>
      </c>
      <c r="F607" s="65" t="str">
        <f>IFERROR(INDEX(M_User!$A$12:$J$67,MATCH(D607,M_User!$D$12:$D$67,0),5),"UNMAPPED")</f>
        <v>MOS</v>
      </c>
      <c r="G607" s="63" t="s">
        <v>783</v>
      </c>
      <c r="H607" s="69" t="s">
        <v>784</v>
      </c>
      <c r="I607" s="63" t="s">
        <v>211</v>
      </c>
      <c r="J607" s="66" t="str">
        <f>IFERROR(INDEX(M_SKU!$A$18:$J$57,MATCH(I607,M_SKU!$B$18:$B$57,0),1),"UNKNOWN SKU")</f>
        <v>KNMW 500ml</v>
      </c>
      <c r="K607" s="63" t="s">
        <v>543</v>
      </c>
      <c r="L607" s="276">
        <v>25</v>
      </c>
      <c r="M607" s="91" cm="1">
        <f t="array" ref="M607">IFERROR(INDEX(M_DepotPrice!$C$10:$C$52,MATCH(1,(M_DepotPrice!$A$10:$A$52=I607)*(M_DepotPrice!$H$10:$H$52=IFERROR(INDEX(M_Depot!$A$7:$A$24,MATCH(F607,M_Depot!$B$7:$B$24,0)),""))*(M_DepotPrice!$G$10:$G$52="Special"),0)),INDEX(M_DepotPrice!$C$10:$C$52,MATCH(1,(M_DepotPrice!$A$10:$A$52=I607)*(M_DepotPrice!$G$10:$G$52="Default"),0)))</f>
        <v>3559</v>
      </c>
      <c r="N607" s="67">
        <f t="shared" si="19"/>
        <v>104990.5</v>
      </c>
      <c r="O607" s="66" t="str">
        <f t="shared" si="18"/>
        <v>MOS100645|KD001|CK6-986</v>
      </c>
    </row>
    <row r="608" spans="1:15" ht="15" customHeight="1" x14ac:dyDescent="0.3">
      <c r="A608" s="70" t="s">
        <v>1287</v>
      </c>
      <c r="B608" s="70" t="s">
        <v>527</v>
      </c>
      <c r="C608" s="72">
        <v>46179</v>
      </c>
      <c r="D608" s="73" t="s">
        <v>404</v>
      </c>
      <c r="E608" s="76" t="str">
        <f>IFERROR(INDEX(M_User!$A$12:$J$67,MATCH(D608,M_User!$D$12:$D$67,0),3),"UNMAPPED")</f>
        <v>Riziki Rajabu Mghamba</v>
      </c>
      <c r="F608" s="75" t="str">
        <f>IFERROR(INDEX(M_User!$A$12:$J$67,MATCH(D608,M_User!$D$12:$D$67,0),5),"UNMAPPED")</f>
        <v>MOS</v>
      </c>
      <c r="G608" s="73" t="s">
        <v>783</v>
      </c>
      <c r="H608" s="92" t="s">
        <v>784</v>
      </c>
      <c r="I608" s="73" t="s">
        <v>217</v>
      </c>
      <c r="J608" s="76" t="str">
        <f>IFERROR(INDEX(M_SKU!$A$18:$J$57,MATCH(I608,M_SKU!$B$18:$B$57,0),1),"UNKNOWN SKU")</f>
        <v>KNMW 1500ml</v>
      </c>
      <c r="K608" s="73" t="s">
        <v>544</v>
      </c>
      <c r="L608" s="276">
        <v>22</v>
      </c>
      <c r="M608" s="94" cm="1">
        <f t="array" ref="M608">IFERROR(INDEX(M_DepotPrice!$C$10:$C$52,MATCH(1,(M_DepotPrice!$A$10:$A$52=I608)*(M_DepotPrice!$H$10:$H$52=IFERROR(INDEX(M_Depot!$A$7:$A$24,MATCH(F608,M_Depot!$B$7:$B$24,0)),""))*(M_DepotPrice!$G$10:$G$52="Special"),0)),INDEX(M_DepotPrice!$C$10:$C$52,MATCH(1,(M_DepotPrice!$A$10:$A$52=I608)*(M_DepotPrice!$G$10:$G$52="Default"),0)))</f>
        <v>3983</v>
      </c>
      <c r="N608" s="95">
        <f t="shared" si="19"/>
        <v>103398.68</v>
      </c>
      <c r="O608" s="82" t="str">
        <f t="shared" si="18"/>
        <v>MOS100645|KD003|CK4-841</v>
      </c>
    </row>
    <row r="609" spans="1:15" ht="15" customHeight="1" x14ac:dyDescent="0.3">
      <c r="A609" s="60" t="s">
        <v>1288</v>
      </c>
      <c r="B609" s="60" t="s">
        <v>527</v>
      </c>
      <c r="C609" s="62">
        <v>46179</v>
      </c>
      <c r="D609" s="63" t="s">
        <v>404</v>
      </c>
      <c r="E609" s="66" t="str">
        <f>IFERROR(INDEX(M_User!$A$12:$J$67,MATCH(D609,M_User!$D$12:$D$67,0),3),"UNMAPPED")</f>
        <v>Riziki Rajabu Mghamba</v>
      </c>
      <c r="F609" s="65" t="str">
        <f>IFERROR(INDEX(M_User!$A$12:$J$67,MATCH(D609,M_User!$D$12:$D$67,0),5),"UNMAPPED")</f>
        <v>MOS</v>
      </c>
      <c r="G609" s="63" t="s">
        <v>783</v>
      </c>
      <c r="H609" s="69" t="s">
        <v>784</v>
      </c>
      <c r="I609" s="63" t="s">
        <v>229</v>
      </c>
      <c r="J609" s="66" t="str">
        <f>IFERROR(INDEX(M_SKU!$A$18:$J$57,MATCH(I609,M_SKU!$B$18:$B$57,0),1),"UNKNOWN SKU")</f>
        <v>Coke Pet 500ML ( x12)</v>
      </c>
      <c r="K609" s="63" t="s">
        <v>520</v>
      </c>
      <c r="L609" s="276">
        <v>21</v>
      </c>
      <c r="M609" s="91" cm="1">
        <f t="array" ref="M609">IFERROR(INDEX(M_DepotPrice!$C$10:$C$52,MATCH(1,(M_DepotPrice!$A$10:$A$52=I609)*(M_DepotPrice!$H$10:$H$52=IFERROR(INDEX(M_Depot!$A$7:$A$24,MATCH(F609,M_Depot!$B$7:$B$24,0)),""))*(M_DepotPrice!$G$10:$G$52="Special"),0)),INDEX(M_DepotPrice!$C$10:$C$52,MATCH(1,(M_DepotPrice!$A$10:$A$52=I609)*(M_DepotPrice!$G$10:$G$52="Default"),0)))</f>
        <v>8898</v>
      </c>
      <c r="N609" s="67">
        <f t="shared" si="19"/>
        <v>220492.44</v>
      </c>
      <c r="O609" s="66" t="str">
        <f t="shared" si="18"/>
        <v>MOS100645|PH001|CK6-33411</v>
      </c>
    </row>
    <row r="610" spans="1:15" ht="15" customHeight="1" x14ac:dyDescent="0.3">
      <c r="A610" s="70" t="s">
        <v>1289</v>
      </c>
      <c r="B610" s="70" t="s">
        <v>527</v>
      </c>
      <c r="C610" s="72">
        <v>46179</v>
      </c>
      <c r="D610" s="73" t="s">
        <v>404</v>
      </c>
      <c r="E610" s="76" t="str">
        <f>IFERROR(INDEX(M_User!$A$12:$J$67,MATCH(D610,M_User!$D$12:$D$67,0),3),"UNMAPPED")</f>
        <v>Riziki Rajabu Mghamba</v>
      </c>
      <c r="F610" s="75" t="str">
        <f>IFERROR(INDEX(M_User!$A$12:$J$67,MATCH(D610,M_User!$D$12:$D$67,0),5),"UNMAPPED")</f>
        <v>MOS</v>
      </c>
      <c r="G610" s="73" t="s">
        <v>783</v>
      </c>
      <c r="H610" s="92" t="s">
        <v>784</v>
      </c>
      <c r="I610" s="73" t="s">
        <v>232</v>
      </c>
      <c r="J610" s="76" t="str">
        <f>IFERROR(INDEX(M_SKU!$A$18:$J$57,MATCH(I610,M_SKU!$B$18:$B$57,0),1),"UNKNOWN SKU")</f>
        <v>Sprite Pet 500ML (x 12)</v>
      </c>
      <c r="K610" s="73" t="s">
        <v>522</v>
      </c>
      <c r="L610" s="276">
        <v>4</v>
      </c>
      <c r="M610" s="94" cm="1">
        <f t="array" ref="M610">IFERROR(INDEX(M_DepotPrice!$C$10:$C$52,MATCH(1,(M_DepotPrice!$A$10:$A$52=I610)*(M_DepotPrice!$H$10:$H$52=IFERROR(INDEX(M_Depot!$A$7:$A$24,MATCH(F610,M_Depot!$B$7:$B$24,0)),""))*(M_DepotPrice!$G$10:$G$52="Special"),0)),INDEX(M_DepotPrice!$C$10:$C$52,MATCH(1,(M_DepotPrice!$A$10:$A$52=I610)*(M_DepotPrice!$G$10:$G$52="Default"),0)))</f>
        <v>8898</v>
      </c>
      <c r="N610" s="95">
        <f t="shared" si="19"/>
        <v>41998.559999999998</v>
      </c>
      <c r="O610" s="82" t="str">
        <f t="shared" si="18"/>
        <v>MOS100645|PH002|CK6-33362</v>
      </c>
    </row>
    <row r="611" spans="1:15" ht="15" customHeight="1" x14ac:dyDescent="0.3">
      <c r="A611" s="60" t="s">
        <v>1290</v>
      </c>
      <c r="B611" s="60" t="s">
        <v>527</v>
      </c>
      <c r="C611" s="62">
        <v>46179</v>
      </c>
      <c r="D611" s="63" t="s">
        <v>404</v>
      </c>
      <c r="E611" s="66" t="str">
        <f>IFERROR(INDEX(M_User!$A$12:$J$67,MATCH(D611,M_User!$D$12:$D$67,0),3),"UNMAPPED")</f>
        <v>Riziki Rajabu Mghamba</v>
      </c>
      <c r="F611" s="65" t="str">
        <f>IFERROR(INDEX(M_User!$A$12:$J$67,MATCH(D611,M_User!$D$12:$D$67,0),5),"UNMAPPED")</f>
        <v>MOS</v>
      </c>
      <c r="G611" s="63" t="s">
        <v>783</v>
      </c>
      <c r="H611" s="69" t="s">
        <v>784</v>
      </c>
      <c r="I611" s="63" t="s">
        <v>236</v>
      </c>
      <c r="J611" s="66" t="str">
        <f>IFERROR(INDEX(M_SKU!$A$18:$J$57,MATCH(I611,M_SKU!$B$18:$B$57,0),1),"UNKNOWN SKU")</f>
        <v>Fanta Passion Pet 500ML ( x12)</v>
      </c>
      <c r="K611" s="63" t="s">
        <v>524</v>
      </c>
      <c r="L611" s="276">
        <v>10</v>
      </c>
      <c r="M611" s="91" cm="1">
        <f t="array" ref="M611">IFERROR(INDEX(M_DepotPrice!$C$10:$C$52,MATCH(1,(M_DepotPrice!$A$10:$A$52=I611)*(M_DepotPrice!$H$10:$H$52=IFERROR(INDEX(M_Depot!$A$7:$A$24,MATCH(F611,M_Depot!$B$7:$B$24,0)),""))*(M_DepotPrice!$G$10:$G$52="Special"),0)),INDEX(M_DepotPrice!$C$10:$C$52,MATCH(1,(M_DepotPrice!$A$10:$A$52=I611)*(M_DepotPrice!$G$10:$G$52="Default"),0)))</f>
        <v>8898</v>
      </c>
      <c r="N611" s="67">
        <f t="shared" si="19"/>
        <v>104996.4</v>
      </c>
      <c r="O611" s="66" t="str">
        <f t="shared" si="18"/>
        <v>MOS100645|PH004|CK5-33334</v>
      </c>
    </row>
    <row r="612" spans="1:15" ht="15" customHeight="1" x14ac:dyDescent="0.3">
      <c r="A612" s="70" t="s">
        <v>1291</v>
      </c>
      <c r="B612" s="70" t="s">
        <v>527</v>
      </c>
      <c r="C612" s="72">
        <v>46179</v>
      </c>
      <c r="D612" s="73" t="s">
        <v>404</v>
      </c>
      <c r="E612" s="76" t="str">
        <f>IFERROR(INDEX(M_User!$A$12:$J$67,MATCH(D612,M_User!$D$12:$D$67,0),3),"UNMAPPED")</f>
        <v>Riziki Rajabu Mghamba</v>
      </c>
      <c r="F612" s="75" t="str">
        <f>IFERROR(INDEX(M_User!$A$12:$J$67,MATCH(D612,M_User!$D$12:$D$67,0),5),"UNMAPPED")</f>
        <v>MOS</v>
      </c>
      <c r="G612" s="73" t="s">
        <v>783</v>
      </c>
      <c r="H612" s="92" t="s">
        <v>784</v>
      </c>
      <c r="I612" s="73" t="s">
        <v>252</v>
      </c>
      <c r="J612" s="76" t="str">
        <f>IFERROR(INDEX(M_SKU!$A$18:$J$57,MATCH(I612,M_SKU!$B$18:$B$57,0),1),"UNKNOWN SKU")</f>
        <v>Sprite Zero Pet 300ML (x 12)</v>
      </c>
      <c r="K612" s="73" t="s">
        <v>545</v>
      </c>
      <c r="L612" s="276">
        <v>6</v>
      </c>
      <c r="M612" s="94" cm="1">
        <f t="array" ref="M612">IFERROR(INDEX(M_DepotPrice!$C$10:$C$52,MATCH(1,(M_DepotPrice!$A$10:$A$52=I612)*(M_DepotPrice!$H$10:$H$52=IFERROR(INDEX(M_Depot!$A$7:$A$24,MATCH(F612,M_Depot!$B$7:$B$24,0)),""))*(M_DepotPrice!$G$10:$G$52="Special"),0)),INDEX(M_DepotPrice!$C$10:$C$52,MATCH(1,(M_DepotPrice!$A$10:$A$52=I612)*(M_DepotPrice!$G$10:$G$52="Default"),0)))</f>
        <v>5085</v>
      </c>
      <c r="N612" s="95">
        <f t="shared" si="19"/>
        <v>36001.799999999996</v>
      </c>
      <c r="O612" s="82" t="str">
        <f t="shared" si="18"/>
        <v>MOS100645|PO010|CK5-33360</v>
      </c>
    </row>
    <row r="613" spans="1:15" ht="15" customHeight="1" x14ac:dyDescent="0.3">
      <c r="A613" s="60" t="s">
        <v>1292</v>
      </c>
      <c r="B613" s="60" t="s">
        <v>527</v>
      </c>
      <c r="C613" s="62">
        <v>46179</v>
      </c>
      <c r="D613" s="63" t="s">
        <v>404</v>
      </c>
      <c r="E613" s="66" t="str">
        <f>IFERROR(INDEX(M_User!$A$12:$J$67,MATCH(D613,M_User!$D$12:$D$67,0),3),"UNMAPPED")</f>
        <v>Riziki Rajabu Mghamba</v>
      </c>
      <c r="F613" s="65" t="str">
        <f>IFERROR(INDEX(M_User!$A$12:$J$67,MATCH(D613,M_User!$D$12:$D$67,0),5),"UNMAPPED")</f>
        <v>MOS</v>
      </c>
      <c r="G613" s="63" t="s">
        <v>783</v>
      </c>
      <c r="H613" s="69" t="s">
        <v>784</v>
      </c>
      <c r="I613" s="63" t="s">
        <v>254</v>
      </c>
      <c r="J613" s="66" t="str">
        <f>IFERROR(INDEX(M_SKU!$A$18:$J$57,MATCH(I613,M_SKU!$B$18:$B$57,0),1),"UNKNOWN SKU")</f>
        <v>Fanta Zero Pet 300ML (x 12)</v>
      </c>
      <c r="K613" s="63" t="s">
        <v>546</v>
      </c>
      <c r="L613" s="276">
        <v>3</v>
      </c>
      <c r="M613" s="91" cm="1">
        <f t="array" ref="M613">IFERROR(INDEX(M_DepotPrice!$C$10:$C$52,MATCH(1,(M_DepotPrice!$A$10:$A$52=I613)*(M_DepotPrice!$H$10:$H$52=IFERROR(INDEX(M_Depot!$A$7:$A$24,MATCH(F613,M_Depot!$B$7:$B$24,0)),""))*(M_DepotPrice!$G$10:$G$52="Special"),0)),INDEX(M_DepotPrice!$C$10:$C$52,MATCH(1,(M_DepotPrice!$A$10:$A$52=I613)*(M_DepotPrice!$G$10:$G$52="Default"),0)))</f>
        <v>5085</v>
      </c>
      <c r="N613" s="67">
        <f t="shared" si="19"/>
        <v>18000.899999999998</v>
      </c>
      <c r="O613" s="66" t="str">
        <f t="shared" si="18"/>
        <v>MOS100645|PO012|CK5-33369</v>
      </c>
    </row>
    <row r="614" spans="1:15" ht="15" customHeight="1" x14ac:dyDescent="0.3">
      <c r="A614" s="70" t="s">
        <v>1293</v>
      </c>
      <c r="B614" s="70" t="s">
        <v>527</v>
      </c>
      <c r="C614" s="72">
        <v>46179</v>
      </c>
      <c r="D614" s="73" t="s">
        <v>404</v>
      </c>
      <c r="E614" s="76" t="str">
        <f>IFERROR(INDEX(M_User!$A$12:$J$67,MATCH(D614,M_User!$D$12:$D$67,0),3),"UNMAPPED")</f>
        <v>Riziki Rajabu Mghamba</v>
      </c>
      <c r="F614" s="75" t="str">
        <f>IFERROR(INDEX(M_User!$A$12:$J$67,MATCH(D614,M_User!$D$12:$D$67,0),5),"UNMAPPED")</f>
        <v>MOS</v>
      </c>
      <c r="G614" s="73" t="s">
        <v>783</v>
      </c>
      <c r="H614" s="92" t="s">
        <v>784</v>
      </c>
      <c r="I614" s="73" t="s">
        <v>261</v>
      </c>
      <c r="J614" s="76" t="str">
        <f>IFERROR(INDEX(M_SKU!$A$18:$J$57,MATCH(I614,M_SKU!$B$18:$B$57,0),1),"UNKNOWN SKU")</f>
        <v>Sparletta Pine Apple Pet 300ML (x 12)</v>
      </c>
      <c r="K614" s="73" t="s">
        <v>547</v>
      </c>
      <c r="L614" s="276">
        <v>3</v>
      </c>
      <c r="M614" s="94" cm="1">
        <f t="array" ref="M614">IFERROR(INDEX(M_DepotPrice!$C$10:$C$52,MATCH(1,(M_DepotPrice!$A$10:$A$52=I614)*(M_DepotPrice!$H$10:$H$52=IFERROR(INDEX(M_Depot!$A$7:$A$24,MATCH(F614,M_Depot!$B$7:$B$24,0)),""))*(M_DepotPrice!$G$10:$G$52="Special"),0)),INDEX(M_DepotPrice!$C$10:$C$52,MATCH(1,(M_DepotPrice!$A$10:$A$52=I614)*(M_DepotPrice!$G$10:$G$52="Default"),0)))</f>
        <v>5085</v>
      </c>
      <c r="N614" s="95">
        <f t="shared" si="19"/>
        <v>18000.899999999998</v>
      </c>
      <c r="O614" s="82" t="str">
        <f t="shared" si="18"/>
        <v>MOS100645|PO015|CK5-33366</v>
      </c>
    </row>
    <row r="615" spans="1:15" ht="15" customHeight="1" x14ac:dyDescent="0.3">
      <c r="A615" s="60" t="s">
        <v>1294</v>
      </c>
      <c r="B615" s="60" t="s">
        <v>527</v>
      </c>
      <c r="C615" s="62">
        <v>46179</v>
      </c>
      <c r="D615" s="63" t="s">
        <v>404</v>
      </c>
      <c r="E615" s="66" t="str">
        <f>IFERROR(INDEX(M_User!$A$12:$J$67,MATCH(D615,M_User!$D$12:$D$67,0),3),"UNMAPPED")</f>
        <v>Riziki Rajabu Mghamba</v>
      </c>
      <c r="F615" s="65" t="str">
        <f>IFERROR(INDEX(M_User!$A$12:$J$67,MATCH(D615,M_User!$D$12:$D$67,0),5),"UNMAPPED")</f>
        <v>MOS</v>
      </c>
      <c r="G615" s="63" t="s">
        <v>812</v>
      </c>
      <c r="H615" s="69" t="s">
        <v>813</v>
      </c>
      <c r="I615" s="63" t="s">
        <v>170</v>
      </c>
      <c r="J615" s="66" t="str">
        <f>IFERROR(INDEX(M_SKU!$A$18:$J$57,MATCH(I615,M_SKU!$B$18:$B$57,0),1),"UNKNOWN SKU")</f>
        <v>Coke RGB 350ml</v>
      </c>
      <c r="K615" s="63" t="s">
        <v>529</v>
      </c>
      <c r="L615" s="276">
        <v>2.0847000000000002</v>
      </c>
      <c r="M615" s="91" cm="1">
        <f t="array" ref="M615">IFERROR(INDEX(M_DepotPrice!$C$10:$C$52,MATCH(1,(M_DepotPrice!$A$10:$A$52=I615)*(M_DepotPrice!$H$10:$H$52=IFERROR(INDEX(M_Depot!$A$7:$A$24,MATCH(F615,M_Depot!$B$7:$B$24,0)),""))*(M_DepotPrice!$G$10:$G$52="Special"),0)),INDEX(M_DepotPrice!$C$10:$C$52,MATCH(1,(M_DepotPrice!$A$10:$A$52=I615)*(M_DepotPrice!$G$10:$G$52="Default"),0)))</f>
        <v>11780</v>
      </c>
      <c r="N615" s="67">
        <f t="shared" si="19"/>
        <v>28978.163880000004</v>
      </c>
      <c r="O615" s="66" t="str">
        <f t="shared" si="18"/>
        <v>MOS100645|FG001|CK3-33408</v>
      </c>
    </row>
    <row r="616" spans="1:15" ht="15" customHeight="1" x14ac:dyDescent="0.3">
      <c r="A616" s="70" t="s">
        <v>1295</v>
      </c>
      <c r="B616" s="70" t="s">
        <v>527</v>
      </c>
      <c r="C616" s="72">
        <v>46179</v>
      </c>
      <c r="D616" s="73" t="s">
        <v>404</v>
      </c>
      <c r="E616" s="76" t="str">
        <f>IFERROR(INDEX(M_User!$A$12:$J$67,MATCH(D616,M_User!$D$12:$D$67,0),3),"UNMAPPED")</f>
        <v>Riziki Rajabu Mghamba</v>
      </c>
      <c r="F616" s="75" t="str">
        <f>IFERROR(INDEX(M_User!$A$12:$J$67,MATCH(D616,M_User!$D$12:$D$67,0),5),"UNMAPPED")</f>
        <v>MOS</v>
      </c>
      <c r="G616" s="73" t="s">
        <v>812</v>
      </c>
      <c r="H616" s="92" t="s">
        <v>813</v>
      </c>
      <c r="I616" s="73" t="s">
        <v>181</v>
      </c>
      <c r="J616" s="76" t="str">
        <f>IFERROR(INDEX(M_SKU!$A$18:$J$57,MATCH(I616,M_SKU!$B$18:$B$57,0),1),"UNKNOWN SKU")</f>
        <v>Fanta Passion RGB 350ml</v>
      </c>
      <c r="K616" s="73" t="s">
        <v>532</v>
      </c>
      <c r="L616" s="276">
        <v>2.0141</v>
      </c>
      <c r="M616" s="94" cm="1">
        <f t="array" ref="M616">IFERROR(INDEX(M_DepotPrice!$C$10:$C$52,MATCH(1,(M_DepotPrice!$A$10:$A$52=I616)*(M_DepotPrice!$H$10:$H$52=IFERROR(INDEX(M_Depot!$A$7:$A$24,MATCH(F616,M_Depot!$B$7:$B$24,0)),""))*(M_DepotPrice!$G$10:$G$52="Special"),0)),INDEX(M_DepotPrice!$C$10:$C$52,MATCH(1,(M_DepotPrice!$A$10:$A$52=I616)*(M_DepotPrice!$G$10:$G$52="Default"),0)))</f>
        <v>11780</v>
      </c>
      <c r="N616" s="95">
        <f t="shared" si="19"/>
        <v>27996.79564</v>
      </c>
      <c r="O616" s="82" t="str">
        <f t="shared" si="18"/>
        <v>MOS100645|FG003|CK3-33387</v>
      </c>
    </row>
    <row r="617" spans="1:15" ht="15" customHeight="1" x14ac:dyDescent="0.3">
      <c r="A617" s="60" t="s">
        <v>1296</v>
      </c>
      <c r="B617" s="60" t="s">
        <v>527</v>
      </c>
      <c r="C617" s="62">
        <v>46179</v>
      </c>
      <c r="D617" s="63" t="s">
        <v>404</v>
      </c>
      <c r="E617" s="66" t="str">
        <f>IFERROR(INDEX(M_User!$A$12:$J$67,MATCH(D617,M_User!$D$12:$D$67,0),3),"UNMAPPED")</f>
        <v>Riziki Rajabu Mghamba</v>
      </c>
      <c r="F617" s="65" t="str">
        <f>IFERROR(INDEX(M_User!$A$12:$J$67,MATCH(D617,M_User!$D$12:$D$67,0),5),"UNMAPPED")</f>
        <v>MOS</v>
      </c>
      <c r="G617" s="63" t="s">
        <v>812</v>
      </c>
      <c r="H617" s="69" t="s">
        <v>813</v>
      </c>
      <c r="I617" s="63" t="s">
        <v>183</v>
      </c>
      <c r="J617" s="66" t="str">
        <f>IFERROR(INDEX(M_SKU!$A$18:$J$57,MATCH(I617,M_SKU!$B$18:$B$57,0),1),"UNKNOWN SKU")</f>
        <v>Fanta Pineapple RGB 350ml</v>
      </c>
      <c r="K617" s="63" t="s">
        <v>533</v>
      </c>
      <c r="L617" s="276">
        <v>5.0523995322098099</v>
      </c>
      <c r="M617" s="91" cm="1">
        <f t="array" ref="M617">IFERROR(INDEX(M_DepotPrice!$C$10:$C$52,MATCH(1,(M_DepotPrice!$A$10:$A$52=I617)*(M_DepotPrice!$H$10:$H$52=IFERROR(INDEX(M_Depot!$A$7:$A$24,MATCH(F617,M_Depot!$B$7:$B$24,0)),""))*(M_DepotPrice!$G$10:$G$52="Special"),0)),INDEX(M_DepotPrice!$C$10:$C$52,MATCH(1,(M_DepotPrice!$A$10:$A$52=I617)*(M_DepotPrice!$G$10:$G$52="Default"),0)))</f>
        <v>11780</v>
      </c>
      <c r="N617" s="67">
        <f t="shared" si="19"/>
        <v>70230.374457529237</v>
      </c>
      <c r="O617" s="66" t="str">
        <f t="shared" si="18"/>
        <v>MOS100645|FG004|CK3-33385</v>
      </c>
    </row>
    <row r="618" spans="1:15" ht="15" customHeight="1" x14ac:dyDescent="0.3">
      <c r="A618" s="70" t="s">
        <v>1297</v>
      </c>
      <c r="B618" s="70" t="s">
        <v>527</v>
      </c>
      <c r="C618" s="72">
        <v>46179</v>
      </c>
      <c r="D618" s="73" t="s">
        <v>404</v>
      </c>
      <c r="E618" s="76" t="str">
        <f>IFERROR(INDEX(M_User!$A$12:$J$67,MATCH(D618,M_User!$D$12:$D$67,0),3),"UNMAPPED")</f>
        <v>Riziki Rajabu Mghamba</v>
      </c>
      <c r="F618" s="75" t="str">
        <f>IFERROR(INDEX(M_User!$A$12:$J$67,MATCH(D618,M_User!$D$12:$D$67,0),5),"UNMAPPED")</f>
        <v>MOS</v>
      </c>
      <c r="G618" s="73" t="s">
        <v>812</v>
      </c>
      <c r="H618" s="92" t="s">
        <v>813</v>
      </c>
      <c r="I618" s="73" t="s">
        <v>185</v>
      </c>
      <c r="J618" s="76" t="str">
        <f>IFERROR(INDEX(M_SKU!$A$18:$J$57,MATCH(I618,M_SKU!$B$18:$B$57,0),1),"UNKNOWN SKU")</f>
        <v>Fanta Fruit Blast RGB 350 ml</v>
      </c>
      <c r="K618" s="73" t="s">
        <v>534</v>
      </c>
      <c r="L618" s="276">
        <v>4.3362999999999996</v>
      </c>
      <c r="M618" s="94" cm="1">
        <f t="array" ref="M618">IFERROR(INDEX(M_DepotPrice!$C$10:$C$52,MATCH(1,(M_DepotPrice!$A$10:$A$52=I618)*(M_DepotPrice!$H$10:$H$52=IFERROR(INDEX(M_Depot!$A$7:$A$24,MATCH(F618,M_Depot!$B$7:$B$24,0)),""))*(M_DepotPrice!$G$10:$G$52="Special"),0)),INDEX(M_DepotPrice!$C$10:$C$52,MATCH(1,(M_DepotPrice!$A$10:$A$52=I618)*(M_DepotPrice!$G$10:$G$52="Default"),0)))</f>
        <v>11780</v>
      </c>
      <c r="N618" s="95">
        <f t="shared" si="19"/>
        <v>60276.304519999991</v>
      </c>
      <c r="O618" s="82" t="str">
        <f t="shared" si="18"/>
        <v>MOS100645|FG005|CK3-33402</v>
      </c>
    </row>
    <row r="619" spans="1:15" ht="15" customHeight="1" x14ac:dyDescent="0.3">
      <c r="A619" s="60" t="s">
        <v>1298</v>
      </c>
      <c r="B619" s="60" t="s">
        <v>527</v>
      </c>
      <c r="C619" s="62">
        <v>46179</v>
      </c>
      <c r="D619" s="63" t="s">
        <v>404</v>
      </c>
      <c r="E619" s="66" t="str">
        <f>IFERROR(INDEX(M_User!$A$12:$J$67,MATCH(D619,M_User!$D$12:$D$67,0),3),"UNMAPPED")</f>
        <v>Riziki Rajabu Mghamba</v>
      </c>
      <c r="F619" s="65" t="str">
        <f>IFERROR(INDEX(M_User!$A$12:$J$67,MATCH(D619,M_User!$D$12:$D$67,0),5),"UNMAPPED")</f>
        <v>MOS</v>
      </c>
      <c r="G619" s="63" t="s">
        <v>812</v>
      </c>
      <c r="H619" s="69" t="s">
        <v>813</v>
      </c>
      <c r="I619" s="63" t="s">
        <v>187</v>
      </c>
      <c r="J619" s="66" t="str">
        <f>IFERROR(INDEX(M_SKU!$A$18:$J$57,MATCH(I619,M_SKU!$B$18:$B$57,0),1),"UNKNOWN SKU")</f>
        <v>Sprite 350ml</v>
      </c>
      <c r="K619" s="63" t="s">
        <v>535</v>
      </c>
      <c r="L619" s="276">
        <v>2.7528000000000001</v>
      </c>
      <c r="M619" s="91" cm="1">
        <f t="array" ref="M619">IFERROR(INDEX(M_DepotPrice!$C$10:$C$52,MATCH(1,(M_DepotPrice!$A$10:$A$52=I619)*(M_DepotPrice!$H$10:$H$52=IFERROR(INDEX(M_Depot!$A$7:$A$24,MATCH(F619,M_Depot!$B$7:$B$24,0)),""))*(M_DepotPrice!$G$10:$G$52="Special"),0)),INDEX(M_DepotPrice!$C$10:$C$52,MATCH(1,(M_DepotPrice!$A$10:$A$52=I619)*(M_DepotPrice!$G$10:$G$52="Default"),0)))</f>
        <v>11780</v>
      </c>
      <c r="N619" s="67">
        <f t="shared" si="19"/>
        <v>38265.021119999998</v>
      </c>
      <c r="O619" s="66" t="str">
        <f t="shared" si="18"/>
        <v>MOS100645|FG006|CK3-33414</v>
      </c>
    </row>
    <row r="620" spans="1:15" ht="15" customHeight="1" x14ac:dyDescent="0.3">
      <c r="A620" s="70" t="s">
        <v>1299</v>
      </c>
      <c r="B620" s="70" t="s">
        <v>527</v>
      </c>
      <c r="C620" s="72">
        <v>46179</v>
      </c>
      <c r="D620" s="73" t="s">
        <v>404</v>
      </c>
      <c r="E620" s="76" t="str">
        <f>IFERROR(INDEX(M_User!$A$12:$J$67,MATCH(D620,M_User!$D$12:$D$67,0),3),"UNMAPPED")</f>
        <v>Riziki Rajabu Mghamba</v>
      </c>
      <c r="F620" s="75" t="str">
        <f>IFERROR(INDEX(M_User!$A$12:$J$67,MATCH(D620,M_User!$D$12:$D$67,0),5),"UNMAPPED")</f>
        <v>MOS</v>
      </c>
      <c r="G620" s="73" t="s">
        <v>812</v>
      </c>
      <c r="H620" s="92" t="s">
        <v>813</v>
      </c>
      <c r="I620" s="73" t="s">
        <v>190</v>
      </c>
      <c r="J620" s="76" t="str">
        <f>IFERROR(INDEX(M_SKU!$A$18:$J$57,MATCH(I620,M_SKU!$B$18:$B$57,0),1),"UNKNOWN SKU")</f>
        <v>Stoney Tangawizi RGB 350ml</v>
      </c>
      <c r="K620" s="73" t="s">
        <v>536</v>
      </c>
      <c r="L620" s="276">
        <v>1.9419</v>
      </c>
      <c r="M620" s="94" cm="1">
        <f t="array" ref="M620">IFERROR(INDEX(M_DepotPrice!$C$10:$C$52,MATCH(1,(M_DepotPrice!$A$10:$A$52=I620)*(M_DepotPrice!$H$10:$H$52=IFERROR(INDEX(M_Depot!$A$7:$A$24,MATCH(F620,M_Depot!$B$7:$B$24,0)),""))*(M_DepotPrice!$G$10:$G$52="Special"),0)),INDEX(M_DepotPrice!$C$10:$C$52,MATCH(1,(M_DepotPrice!$A$10:$A$52=I620)*(M_DepotPrice!$G$10:$G$52="Default"),0)))</f>
        <v>11780</v>
      </c>
      <c r="N620" s="95">
        <f t="shared" si="19"/>
        <v>26993.186759999997</v>
      </c>
      <c r="O620" s="82" t="str">
        <f t="shared" si="18"/>
        <v>MOS100645|FG007|CK3-33404</v>
      </c>
    </row>
    <row r="621" spans="1:15" ht="15" customHeight="1" x14ac:dyDescent="0.3">
      <c r="A621" s="60" t="s">
        <v>1300</v>
      </c>
      <c r="B621" s="60" t="s">
        <v>527</v>
      </c>
      <c r="C621" s="62">
        <v>46179</v>
      </c>
      <c r="D621" s="63" t="s">
        <v>404</v>
      </c>
      <c r="E621" s="66" t="str">
        <f>IFERROR(INDEX(M_User!$A$12:$J$67,MATCH(D621,M_User!$D$12:$D$67,0),3),"UNMAPPED")</f>
        <v>Riziki Rajabu Mghamba</v>
      </c>
      <c r="F621" s="65" t="str">
        <f>IFERROR(INDEX(M_User!$A$12:$J$67,MATCH(D621,M_User!$D$12:$D$67,0),5),"UNMAPPED")</f>
        <v>MOS</v>
      </c>
      <c r="G621" s="63" t="s">
        <v>812</v>
      </c>
      <c r="H621" s="69" t="s">
        <v>813</v>
      </c>
      <c r="I621" s="63" t="s">
        <v>193</v>
      </c>
      <c r="J621" s="66" t="str">
        <f>IFERROR(INDEX(M_SKU!$A$18:$J$57,MATCH(I621,M_SKU!$B$18:$B$57,0),1),"UNKNOWN SKU")</f>
        <v>Sparletta Pinenut RGB 350ml</v>
      </c>
      <c r="K621" s="63" t="s">
        <v>537</v>
      </c>
      <c r="L621" s="276">
        <v>1.4601</v>
      </c>
      <c r="M621" s="91" cm="1">
        <f t="array" ref="M621">IFERROR(INDEX(M_DepotPrice!$C$10:$C$52,MATCH(1,(M_DepotPrice!$A$10:$A$52=I621)*(M_DepotPrice!$H$10:$H$52=IFERROR(INDEX(M_Depot!$A$7:$A$24,MATCH(F621,M_Depot!$B$7:$B$24,0)),""))*(M_DepotPrice!$G$10:$G$52="Special"),0)),INDEX(M_DepotPrice!$C$10:$C$52,MATCH(1,(M_DepotPrice!$A$10:$A$52=I621)*(M_DepotPrice!$G$10:$G$52="Default"),0)))</f>
        <v>11780</v>
      </c>
      <c r="N621" s="67">
        <f t="shared" si="19"/>
        <v>20295.974039999997</v>
      </c>
      <c r="O621" s="66" t="str">
        <f t="shared" si="18"/>
        <v>MOS100645|FG008|CK3-33365</v>
      </c>
    </row>
    <row r="622" spans="1:15" ht="15" customHeight="1" x14ac:dyDescent="0.3">
      <c r="A622" s="70" t="s">
        <v>1301</v>
      </c>
      <c r="B622" s="70" t="s">
        <v>527</v>
      </c>
      <c r="C622" s="72">
        <v>46179</v>
      </c>
      <c r="D622" s="73" t="s">
        <v>404</v>
      </c>
      <c r="E622" s="76" t="str">
        <f>IFERROR(INDEX(M_User!$A$12:$J$67,MATCH(D622,M_User!$D$12:$D$67,0),3),"UNMAPPED")</f>
        <v>Riziki Rajabu Mghamba</v>
      </c>
      <c r="F622" s="75" t="str">
        <f>IFERROR(INDEX(M_User!$A$12:$J$67,MATCH(D622,M_User!$D$12:$D$67,0),5),"UNMAPPED")</f>
        <v>MOS</v>
      </c>
      <c r="G622" s="73" t="s">
        <v>812</v>
      </c>
      <c r="H622" s="92" t="s">
        <v>813</v>
      </c>
      <c r="I622" s="73" t="s">
        <v>201</v>
      </c>
      <c r="J622" s="76" t="str">
        <f>IFERROR(INDEX(M_SKU!$A$18:$J$57,MATCH(I622,M_SKU!$B$18:$B$57,0),1),"UNKNOWN SKU")</f>
        <v>Krest Tonic Water RGB 300ml</v>
      </c>
      <c r="K622" s="73" t="s">
        <v>540</v>
      </c>
      <c r="L622" s="276">
        <v>0.3674</v>
      </c>
      <c r="M622" s="94" cm="1">
        <f t="array" ref="M622">IFERROR(INDEX(M_DepotPrice!$C$10:$C$52,MATCH(1,(M_DepotPrice!$A$10:$A$52=I622)*(M_DepotPrice!$H$10:$H$52=IFERROR(INDEX(M_Depot!$A$7:$A$24,MATCH(F622,M_Depot!$B$7:$B$24,0)),""))*(M_DepotPrice!$G$10:$G$52="Special"),0)),INDEX(M_DepotPrice!$C$10:$C$52,MATCH(1,(M_DepotPrice!$A$10:$A$52=I622)*(M_DepotPrice!$G$10:$G$52="Default"),0)))</f>
        <v>11780</v>
      </c>
      <c r="N622" s="95">
        <f t="shared" si="19"/>
        <v>5107.0069599999997</v>
      </c>
      <c r="O622" s="82" t="str">
        <f t="shared" si="18"/>
        <v>MOS100645|FG011|CK3-33347</v>
      </c>
    </row>
    <row r="623" spans="1:15" ht="15" customHeight="1" x14ac:dyDescent="0.3">
      <c r="A623" s="60" t="s">
        <v>1302</v>
      </c>
      <c r="B623" s="60" t="s">
        <v>527</v>
      </c>
      <c r="C623" s="62">
        <v>46179</v>
      </c>
      <c r="D623" s="63" t="s">
        <v>404</v>
      </c>
      <c r="E623" s="66" t="str">
        <f>IFERROR(INDEX(M_User!$A$12:$J$67,MATCH(D623,M_User!$D$12:$D$67,0),3),"UNMAPPED")</f>
        <v>Riziki Rajabu Mghamba</v>
      </c>
      <c r="F623" s="65" t="str">
        <f>IFERROR(INDEX(M_User!$A$12:$J$67,MATCH(D623,M_User!$D$12:$D$67,0),5),"UNMAPPED")</f>
        <v>MOS</v>
      </c>
      <c r="G623" s="63" t="s">
        <v>812</v>
      </c>
      <c r="H623" s="69" t="s">
        <v>813</v>
      </c>
      <c r="I623" s="63" t="s">
        <v>211</v>
      </c>
      <c r="J623" s="66" t="str">
        <f>IFERROR(INDEX(M_SKU!$A$18:$J$57,MATCH(I623,M_SKU!$B$18:$B$57,0),1),"UNKNOWN SKU")</f>
        <v>KNMW 500ml</v>
      </c>
      <c r="K623" s="63" t="s">
        <v>543</v>
      </c>
      <c r="L623" s="276">
        <v>28</v>
      </c>
      <c r="M623" s="91" cm="1">
        <f t="array" ref="M623">IFERROR(INDEX(M_DepotPrice!$C$10:$C$52,MATCH(1,(M_DepotPrice!$A$10:$A$52=I623)*(M_DepotPrice!$H$10:$H$52=IFERROR(INDEX(M_Depot!$A$7:$A$24,MATCH(F623,M_Depot!$B$7:$B$24,0)),""))*(M_DepotPrice!$G$10:$G$52="Special"),0)),INDEX(M_DepotPrice!$C$10:$C$52,MATCH(1,(M_DepotPrice!$A$10:$A$52=I623)*(M_DepotPrice!$G$10:$G$52="Default"),0)))</f>
        <v>3559</v>
      </c>
      <c r="N623" s="67">
        <f t="shared" si="19"/>
        <v>117589.36</v>
      </c>
      <c r="O623" s="66" t="str">
        <f t="shared" si="18"/>
        <v>MOS100645|KD001|CK6-986</v>
      </c>
    </row>
    <row r="624" spans="1:15" ht="15" customHeight="1" x14ac:dyDescent="0.3">
      <c r="A624" s="70" t="s">
        <v>1303</v>
      </c>
      <c r="B624" s="70" t="s">
        <v>527</v>
      </c>
      <c r="C624" s="72">
        <v>46179</v>
      </c>
      <c r="D624" s="73" t="s">
        <v>404</v>
      </c>
      <c r="E624" s="76" t="str">
        <f>IFERROR(INDEX(M_User!$A$12:$J$67,MATCH(D624,M_User!$D$12:$D$67,0),3),"UNMAPPED")</f>
        <v>Riziki Rajabu Mghamba</v>
      </c>
      <c r="F624" s="75" t="str">
        <f>IFERROR(INDEX(M_User!$A$12:$J$67,MATCH(D624,M_User!$D$12:$D$67,0),5),"UNMAPPED")</f>
        <v>MOS</v>
      </c>
      <c r="G624" s="73" t="s">
        <v>812</v>
      </c>
      <c r="H624" s="92" t="s">
        <v>813</v>
      </c>
      <c r="I624" s="73" t="s">
        <v>217</v>
      </c>
      <c r="J624" s="76" t="str">
        <f>IFERROR(INDEX(M_SKU!$A$18:$J$57,MATCH(I624,M_SKU!$B$18:$B$57,0),1),"UNKNOWN SKU")</f>
        <v>KNMW 1500ml</v>
      </c>
      <c r="K624" s="73" t="s">
        <v>544</v>
      </c>
      <c r="L624" s="276">
        <v>13</v>
      </c>
      <c r="M624" s="94" cm="1">
        <f t="array" ref="M624">IFERROR(INDEX(M_DepotPrice!$C$10:$C$52,MATCH(1,(M_DepotPrice!$A$10:$A$52=I624)*(M_DepotPrice!$H$10:$H$52=IFERROR(INDEX(M_Depot!$A$7:$A$24,MATCH(F624,M_Depot!$B$7:$B$24,0)),""))*(M_DepotPrice!$G$10:$G$52="Special"),0)),INDEX(M_DepotPrice!$C$10:$C$52,MATCH(1,(M_DepotPrice!$A$10:$A$52=I624)*(M_DepotPrice!$G$10:$G$52="Default"),0)))</f>
        <v>3983</v>
      </c>
      <c r="N624" s="95">
        <f t="shared" si="19"/>
        <v>61099.219999999994</v>
      </c>
      <c r="O624" s="82" t="str">
        <f t="shared" si="18"/>
        <v>MOS100645|KD003|CK4-841</v>
      </c>
    </row>
    <row r="625" spans="1:15" ht="15" customHeight="1" x14ac:dyDescent="0.3">
      <c r="A625" s="60" t="s">
        <v>1304</v>
      </c>
      <c r="B625" s="60" t="s">
        <v>527</v>
      </c>
      <c r="C625" s="62">
        <v>46179</v>
      </c>
      <c r="D625" s="63" t="s">
        <v>404</v>
      </c>
      <c r="E625" s="66" t="str">
        <f>IFERROR(INDEX(M_User!$A$12:$J$67,MATCH(D625,M_User!$D$12:$D$67,0),3),"UNMAPPED")</f>
        <v>Riziki Rajabu Mghamba</v>
      </c>
      <c r="F625" s="65" t="str">
        <f>IFERROR(INDEX(M_User!$A$12:$J$67,MATCH(D625,M_User!$D$12:$D$67,0),5),"UNMAPPED")</f>
        <v>MOS</v>
      </c>
      <c r="G625" s="63" t="s">
        <v>812</v>
      </c>
      <c r="H625" s="69" t="s">
        <v>813</v>
      </c>
      <c r="I625" s="63" t="s">
        <v>236</v>
      </c>
      <c r="J625" s="66" t="str">
        <f>IFERROR(INDEX(M_SKU!$A$18:$J$57,MATCH(I625,M_SKU!$B$18:$B$57,0),1),"UNKNOWN SKU")</f>
        <v>Fanta Passion Pet 500ML ( x12)</v>
      </c>
      <c r="K625" s="63" t="s">
        <v>524</v>
      </c>
      <c r="L625" s="276">
        <v>8</v>
      </c>
      <c r="M625" s="91" cm="1">
        <f t="array" ref="M625">IFERROR(INDEX(M_DepotPrice!$C$10:$C$52,MATCH(1,(M_DepotPrice!$A$10:$A$52=I625)*(M_DepotPrice!$H$10:$H$52=IFERROR(INDEX(M_Depot!$A$7:$A$24,MATCH(F625,M_Depot!$B$7:$B$24,0)),""))*(M_DepotPrice!$G$10:$G$52="Special"),0)),INDEX(M_DepotPrice!$C$10:$C$52,MATCH(1,(M_DepotPrice!$A$10:$A$52=I625)*(M_DepotPrice!$G$10:$G$52="Default"),0)))</f>
        <v>8898</v>
      </c>
      <c r="N625" s="67">
        <f t="shared" si="19"/>
        <v>83997.119999999995</v>
      </c>
      <c r="O625" s="66" t="str">
        <f t="shared" si="18"/>
        <v>MOS100645|PH004|CK5-33334</v>
      </c>
    </row>
    <row r="626" spans="1:15" ht="15" customHeight="1" x14ac:dyDescent="0.3">
      <c r="A626" s="70" t="s">
        <v>1305</v>
      </c>
      <c r="B626" s="70" t="s">
        <v>527</v>
      </c>
      <c r="C626" s="72">
        <v>46179</v>
      </c>
      <c r="D626" s="73" t="s">
        <v>404</v>
      </c>
      <c r="E626" s="76" t="str">
        <f>IFERROR(INDEX(M_User!$A$12:$J$67,MATCH(D626,M_User!$D$12:$D$67,0),3),"UNMAPPED")</f>
        <v>Riziki Rajabu Mghamba</v>
      </c>
      <c r="F626" s="75" t="str">
        <f>IFERROR(INDEX(M_User!$A$12:$J$67,MATCH(D626,M_User!$D$12:$D$67,0),5),"UNMAPPED")</f>
        <v>MOS</v>
      </c>
      <c r="G626" s="73" t="s">
        <v>812</v>
      </c>
      <c r="H626" s="92" t="s">
        <v>813</v>
      </c>
      <c r="I626" s="73" t="s">
        <v>244</v>
      </c>
      <c r="J626" s="76" t="str">
        <f>IFERROR(INDEX(M_SKU!$A$18:$J$57,MATCH(I626,M_SKU!$B$18:$B$57,0),1),"UNKNOWN SKU")</f>
        <v>Sparletta Pinenut Pet 500 ml ( x12)</v>
      </c>
      <c r="K626" s="73" t="s">
        <v>526</v>
      </c>
      <c r="L626" s="276">
        <v>3</v>
      </c>
      <c r="M626" s="94" cm="1">
        <f t="array" ref="M626">IFERROR(INDEX(M_DepotPrice!$C$10:$C$52,MATCH(1,(M_DepotPrice!$A$10:$A$52=I626)*(M_DepotPrice!$H$10:$H$52=IFERROR(INDEX(M_Depot!$A$7:$A$24,MATCH(F626,M_Depot!$B$7:$B$24,0)),""))*(M_DepotPrice!$G$10:$G$52="Special"),0)),INDEX(M_DepotPrice!$C$10:$C$52,MATCH(1,(M_DepotPrice!$A$10:$A$52=I626)*(M_DepotPrice!$G$10:$G$52="Default"),0)))</f>
        <v>8898</v>
      </c>
      <c r="N626" s="95">
        <f t="shared" si="19"/>
        <v>31498.92</v>
      </c>
      <c r="O626" s="82" t="str">
        <f t="shared" si="18"/>
        <v>MOS100645|PH008|CK5-33370</v>
      </c>
    </row>
    <row r="627" spans="1:15" ht="15" customHeight="1" x14ac:dyDescent="0.3">
      <c r="A627" s="60" t="s">
        <v>1306</v>
      </c>
      <c r="B627" s="60" t="s">
        <v>527</v>
      </c>
      <c r="C627" s="62">
        <v>46179</v>
      </c>
      <c r="D627" s="63" t="s">
        <v>404</v>
      </c>
      <c r="E627" s="66" t="str">
        <f>IFERROR(INDEX(M_User!$A$12:$J$67,MATCH(D627,M_User!$D$12:$D$67,0),3),"UNMAPPED")</f>
        <v>Riziki Rajabu Mghamba</v>
      </c>
      <c r="F627" s="65" t="str">
        <f>IFERROR(INDEX(M_User!$A$12:$J$67,MATCH(D627,M_User!$D$12:$D$67,0),5),"UNMAPPED")</f>
        <v>MOS</v>
      </c>
      <c r="G627" s="63" t="s">
        <v>812</v>
      </c>
      <c r="H627" s="69" t="s">
        <v>813</v>
      </c>
      <c r="I627" s="63" t="s">
        <v>252</v>
      </c>
      <c r="J627" s="66" t="str">
        <f>IFERROR(INDEX(M_SKU!$A$18:$J$57,MATCH(I627,M_SKU!$B$18:$B$57,0),1),"UNKNOWN SKU")</f>
        <v>Sprite Zero Pet 300ML (x 12)</v>
      </c>
      <c r="K627" s="63" t="s">
        <v>545</v>
      </c>
      <c r="L627" s="276">
        <v>7</v>
      </c>
      <c r="M627" s="91" cm="1">
        <f t="array" ref="M627">IFERROR(INDEX(M_DepotPrice!$C$10:$C$52,MATCH(1,(M_DepotPrice!$A$10:$A$52=I627)*(M_DepotPrice!$H$10:$H$52=IFERROR(INDEX(M_Depot!$A$7:$A$24,MATCH(F627,M_Depot!$B$7:$B$24,0)),""))*(M_DepotPrice!$G$10:$G$52="Special"),0)),INDEX(M_DepotPrice!$C$10:$C$52,MATCH(1,(M_DepotPrice!$A$10:$A$52=I627)*(M_DepotPrice!$G$10:$G$52="Default"),0)))</f>
        <v>5085</v>
      </c>
      <c r="N627" s="67">
        <f t="shared" si="19"/>
        <v>42002.1</v>
      </c>
      <c r="O627" s="66" t="str">
        <f t="shared" si="18"/>
        <v>MOS100645|PO010|CK5-33360</v>
      </c>
    </row>
    <row r="628" spans="1:15" ht="15" customHeight="1" x14ac:dyDescent="0.3">
      <c r="A628" s="70" t="s">
        <v>1307</v>
      </c>
      <c r="B628" s="70" t="s">
        <v>527</v>
      </c>
      <c r="C628" s="72">
        <v>46179</v>
      </c>
      <c r="D628" s="73" t="s">
        <v>404</v>
      </c>
      <c r="E628" s="76" t="str">
        <f>IFERROR(INDEX(M_User!$A$12:$J$67,MATCH(D628,M_User!$D$12:$D$67,0),3),"UNMAPPED")</f>
        <v>Riziki Rajabu Mghamba</v>
      </c>
      <c r="F628" s="75" t="str">
        <f>IFERROR(INDEX(M_User!$A$12:$J$67,MATCH(D628,M_User!$D$12:$D$67,0),5),"UNMAPPED")</f>
        <v>MOS</v>
      </c>
      <c r="G628" s="73" t="s">
        <v>812</v>
      </c>
      <c r="H628" s="92" t="s">
        <v>813</v>
      </c>
      <c r="I628" s="73" t="s">
        <v>261</v>
      </c>
      <c r="J628" s="76" t="str">
        <f>IFERROR(INDEX(M_SKU!$A$18:$J$57,MATCH(I628,M_SKU!$B$18:$B$57,0),1),"UNKNOWN SKU")</f>
        <v>Sparletta Pine Apple Pet 300ML (x 12)</v>
      </c>
      <c r="K628" s="73" t="s">
        <v>547</v>
      </c>
      <c r="L628" s="276">
        <v>3</v>
      </c>
      <c r="M628" s="94" cm="1">
        <f t="array" ref="M628">IFERROR(INDEX(M_DepotPrice!$C$10:$C$52,MATCH(1,(M_DepotPrice!$A$10:$A$52=I628)*(M_DepotPrice!$H$10:$H$52=IFERROR(INDEX(M_Depot!$A$7:$A$24,MATCH(F628,M_Depot!$B$7:$B$24,0)),""))*(M_DepotPrice!$G$10:$G$52="Special"),0)),INDEX(M_DepotPrice!$C$10:$C$52,MATCH(1,(M_DepotPrice!$A$10:$A$52=I628)*(M_DepotPrice!$G$10:$G$52="Default"),0)))</f>
        <v>5085</v>
      </c>
      <c r="N628" s="95">
        <f t="shared" si="19"/>
        <v>18000.899999999998</v>
      </c>
      <c r="O628" s="82" t="str">
        <f t="shared" si="18"/>
        <v>MOS100645|PO015|CK5-33366</v>
      </c>
    </row>
    <row r="629" spans="1:15" ht="15" customHeight="1" x14ac:dyDescent="0.3">
      <c r="A629" s="60" t="s">
        <v>1308</v>
      </c>
      <c r="B629" s="60" t="s">
        <v>527</v>
      </c>
      <c r="C629" s="62">
        <v>46179</v>
      </c>
      <c r="D629" s="63" t="s">
        <v>404</v>
      </c>
      <c r="E629" s="66" t="str">
        <f>IFERROR(INDEX(M_User!$A$12:$J$67,MATCH(D629,M_User!$D$12:$D$67,0),3),"UNMAPPED")</f>
        <v>Riziki Rajabu Mghamba</v>
      </c>
      <c r="F629" s="65" t="str">
        <f>IFERROR(INDEX(M_User!$A$12:$J$67,MATCH(D629,M_User!$D$12:$D$67,0),5),"UNMAPPED")</f>
        <v>MOS</v>
      </c>
      <c r="G629" s="63" t="s">
        <v>949</v>
      </c>
      <c r="H629" s="69" t="s">
        <v>950</v>
      </c>
      <c r="I629" s="63" t="s">
        <v>170</v>
      </c>
      <c r="J629" s="66" t="str">
        <f>IFERROR(INDEX(M_SKU!$A$18:$J$57,MATCH(I629,M_SKU!$B$18:$B$57,0),1),"UNKNOWN SKU")</f>
        <v>Coke RGB 350ml</v>
      </c>
      <c r="K629" s="63" t="s">
        <v>530</v>
      </c>
      <c r="L629" s="276">
        <v>25.718108953885501</v>
      </c>
      <c r="M629" s="91" cm="1">
        <f t="array" ref="M629">IFERROR(INDEX(M_DepotPrice!$C$10:$C$52,MATCH(1,(M_DepotPrice!$A$10:$A$52=I629)*(M_DepotPrice!$H$10:$H$52=IFERROR(INDEX(M_Depot!$A$7:$A$24,MATCH(F629,M_Depot!$B$7:$B$24,0)),""))*(M_DepotPrice!$G$10:$G$52="Special"),0)),INDEX(M_DepotPrice!$C$10:$C$52,MATCH(1,(M_DepotPrice!$A$10:$A$52=I629)*(M_DepotPrice!$G$10:$G$52="Default"),0)))</f>
        <v>11780</v>
      </c>
      <c r="N629" s="67">
        <f t="shared" si="19"/>
        <v>357492.00170258997</v>
      </c>
      <c r="O629" s="66" t="str">
        <f t="shared" si="18"/>
        <v>MOS100645|FG001|CK3-33409</v>
      </c>
    </row>
    <row r="630" spans="1:15" ht="15" customHeight="1" x14ac:dyDescent="0.3">
      <c r="A630" s="70" t="s">
        <v>1309</v>
      </c>
      <c r="B630" s="70" t="s">
        <v>527</v>
      </c>
      <c r="C630" s="72">
        <v>46179</v>
      </c>
      <c r="D630" s="73" t="s">
        <v>404</v>
      </c>
      <c r="E630" s="76" t="str">
        <f>IFERROR(INDEX(M_User!$A$12:$J$67,MATCH(D630,M_User!$D$12:$D$67,0),3),"UNMAPPED")</f>
        <v>Riziki Rajabu Mghamba</v>
      </c>
      <c r="F630" s="75" t="str">
        <f>IFERROR(INDEX(M_User!$A$12:$J$67,MATCH(D630,M_User!$D$12:$D$67,0),5),"UNMAPPED")</f>
        <v>MOS</v>
      </c>
      <c r="G630" s="73" t="s">
        <v>949</v>
      </c>
      <c r="H630" s="92" t="s">
        <v>950</v>
      </c>
      <c r="I630" s="73" t="s">
        <v>181</v>
      </c>
      <c r="J630" s="76" t="str">
        <f>IFERROR(INDEX(M_SKU!$A$18:$J$57,MATCH(I630,M_SKU!$B$18:$B$57,0),1),"UNKNOWN SKU")</f>
        <v>Fanta Passion RGB 350ml</v>
      </c>
      <c r="K630" s="73" t="s">
        <v>532</v>
      </c>
      <c r="L630" s="276">
        <v>3.5735000000000001</v>
      </c>
      <c r="M630" s="94" cm="1">
        <f t="array" ref="M630">IFERROR(INDEX(M_DepotPrice!$C$10:$C$52,MATCH(1,(M_DepotPrice!$A$10:$A$52=I630)*(M_DepotPrice!$H$10:$H$52=IFERROR(INDEX(M_Depot!$A$7:$A$24,MATCH(F630,M_Depot!$B$7:$B$24,0)),""))*(M_DepotPrice!$G$10:$G$52="Special"),0)),INDEX(M_DepotPrice!$C$10:$C$52,MATCH(1,(M_DepotPrice!$A$10:$A$52=I630)*(M_DepotPrice!$G$10:$G$52="Default"),0)))</f>
        <v>11780</v>
      </c>
      <c r="N630" s="95">
        <f t="shared" si="19"/>
        <v>49673.079400000002</v>
      </c>
      <c r="O630" s="82" t="str">
        <f t="shared" si="18"/>
        <v>MOS100645|FG003|CK3-33387</v>
      </c>
    </row>
    <row r="631" spans="1:15" ht="15" customHeight="1" x14ac:dyDescent="0.3">
      <c r="A631" s="60" t="s">
        <v>1310</v>
      </c>
      <c r="B631" s="60" t="s">
        <v>527</v>
      </c>
      <c r="C631" s="62">
        <v>46179</v>
      </c>
      <c r="D631" s="63" t="s">
        <v>404</v>
      </c>
      <c r="E631" s="66" t="str">
        <f>IFERROR(INDEX(M_User!$A$12:$J$67,MATCH(D631,M_User!$D$12:$D$67,0),3),"UNMAPPED")</f>
        <v>Riziki Rajabu Mghamba</v>
      </c>
      <c r="F631" s="65" t="str">
        <f>IFERROR(INDEX(M_User!$A$12:$J$67,MATCH(D631,M_User!$D$12:$D$67,0),5),"UNMAPPED")</f>
        <v>MOS</v>
      </c>
      <c r="G631" s="63" t="s">
        <v>949</v>
      </c>
      <c r="H631" s="69" t="s">
        <v>950</v>
      </c>
      <c r="I631" s="63" t="s">
        <v>193</v>
      </c>
      <c r="J631" s="66" t="str">
        <f>IFERROR(INDEX(M_SKU!$A$18:$J$57,MATCH(I631,M_SKU!$B$18:$B$57,0),1),"UNKNOWN SKU")</f>
        <v>Sparletta Pinenut RGB 350ml</v>
      </c>
      <c r="K631" s="63" t="s">
        <v>537</v>
      </c>
      <c r="L631" s="276">
        <v>1.24985443492088</v>
      </c>
      <c r="M631" s="91" cm="1">
        <f t="array" ref="M631">IFERROR(INDEX(M_DepotPrice!$C$10:$C$52,MATCH(1,(M_DepotPrice!$A$10:$A$52=I631)*(M_DepotPrice!$H$10:$H$52=IFERROR(INDEX(M_Depot!$A$7:$A$24,MATCH(F631,M_Depot!$B$7:$B$24,0)),""))*(M_DepotPrice!$G$10:$G$52="Special"),0)),INDEX(M_DepotPrice!$C$10:$C$52,MATCH(1,(M_DepotPrice!$A$10:$A$52=I631)*(M_DepotPrice!$G$10:$G$52="Default"),0)))</f>
        <v>11780</v>
      </c>
      <c r="N631" s="67">
        <f t="shared" si="19"/>
        <v>17373.476587174202</v>
      </c>
      <c r="O631" s="66" t="str">
        <f t="shared" si="18"/>
        <v>MOS100645|FG008|CK3-33365</v>
      </c>
    </row>
    <row r="632" spans="1:15" ht="15" customHeight="1" x14ac:dyDescent="0.3">
      <c r="A632" s="70" t="s">
        <v>1311</v>
      </c>
      <c r="B632" s="70" t="s">
        <v>527</v>
      </c>
      <c r="C632" s="72">
        <v>46179</v>
      </c>
      <c r="D632" s="73" t="s">
        <v>404</v>
      </c>
      <c r="E632" s="76" t="str">
        <f>IFERROR(INDEX(M_User!$A$12:$J$67,MATCH(D632,M_User!$D$12:$D$67,0),3),"UNMAPPED")</f>
        <v>Riziki Rajabu Mghamba</v>
      </c>
      <c r="F632" s="75" t="str">
        <f>IFERROR(INDEX(M_User!$A$12:$J$67,MATCH(D632,M_User!$D$12:$D$67,0),5),"UNMAPPED")</f>
        <v>MOS</v>
      </c>
      <c r="G632" s="73" t="s">
        <v>949</v>
      </c>
      <c r="H632" s="92" t="s">
        <v>950</v>
      </c>
      <c r="I632" s="73" t="s">
        <v>196</v>
      </c>
      <c r="J632" s="76" t="str">
        <f>IFERROR(INDEX(M_SKU!$A$18:$J$57,MATCH(I632,M_SKU!$B$18:$B$57,0),1),"UNKNOWN SKU")</f>
        <v>Krest Bitter Lemon RGB 300ml</v>
      </c>
      <c r="K632" s="73" t="s">
        <v>538</v>
      </c>
      <c r="L632" s="276">
        <v>0.74265502665792904</v>
      </c>
      <c r="M632" s="94" cm="1">
        <f t="array" ref="M632">IFERROR(INDEX(M_DepotPrice!$C$10:$C$52,MATCH(1,(M_DepotPrice!$A$10:$A$52=I632)*(M_DepotPrice!$H$10:$H$52=IFERROR(INDEX(M_Depot!$A$7:$A$24,MATCH(F632,M_Depot!$B$7:$B$24,0)),""))*(M_DepotPrice!$G$10:$G$52="Special"),0)),INDEX(M_DepotPrice!$C$10:$C$52,MATCH(1,(M_DepotPrice!$A$10:$A$52=I632)*(M_DepotPrice!$G$10:$G$52="Default"),0)))</f>
        <v>11780</v>
      </c>
      <c r="N632" s="95">
        <f t="shared" si="19"/>
        <v>10323.201932555878</v>
      </c>
      <c r="O632" s="82" t="str">
        <f t="shared" si="18"/>
        <v>MOS100645|FG009|CK3-33348</v>
      </c>
    </row>
    <row r="633" spans="1:15" ht="15" customHeight="1" x14ac:dyDescent="0.3">
      <c r="A633" s="60" t="s">
        <v>1312</v>
      </c>
      <c r="B633" s="60" t="s">
        <v>527</v>
      </c>
      <c r="C633" s="62">
        <v>46179</v>
      </c>
      <c r="D633" s="63" t="s">
        <v>404</v>
      </c>
      <c r="E633" s="66" t="str">
        <f>IFERROR(INDEX(M_User!$A$12:$J$67,MATCH(D633,M_User!$D$12:$D$67,0),3),"UNMAPPED")</f>
        <v>Riziki Rajabu Mghamba</v>
      </c>
      <c r="F633" s="65" t="str">
        <f>IFERROR(INDEX(M_User!$A$12:$J$67,MATCH(D633,M_User!$D$12:$D$67,0),5),"UNMAPPED")</f>
        <v>MOS</v>
      </c>
      <c r="G633" s="63" t="s">
        <v>949</v>
      </c>
      <c r="H633" s="69" t="s">
        <v>950</v>
      </c>
      <c r="I633" s="63" t="s">
        <v>201</v>
      </c>
      <c r="J633" s="66" t="str">
        <f>IFERROR(INDEX(M_SKU!$A$18:$J$57,MATCH(I633,M_SKU!$B$18:$B$57,0),1),"UNKNOWN SKU")</f>
        <v>Krest Tonic Water RGB 300ml</v>
      </c>
      <c r="K633" s="63" t="s">
        <v>540</v>
      </c>
      <c r="L633" s="276">
        <v>0.60719999999999996</v>
      </c>
      <c r="M633" s="91" cm="1">
        <f t="array" ref="M633">IFERROR(INDEX(M_DepotPrice!$C$10:$C$52,MATCH(1,(M_DepotPrice!$A$10:$A$52=I633)*(M_DepotPrice!$H$10:$H$52=IFERROR(INDEX(M_Depot!$A$7:$A$24,MATCH(F633,M_Depot!$B$7:$B$24,0)),""))*(M_DepotPrice!$G$10:$G$52="Special"),0)),INDEX(M_DepotPrice!$C$10:$C$52,MATCH(1,(M_DepotPrice!$A$10:$A$52=I633)*(M_DepotPrice!$G$10:$G$52="Default"),0)))</f>
        <v>11780</v>
      </c>
      <c r="N633" s="67">
        <f t="shared" si="19"/>
        <v>8440.3228799999997</v>
      </c>
      <c r="O633" s="66" t="str">
        <f t="shared" si="18"/>
        <v>MOS100645|FG011|CK3-33347</v>
      </c>
    </row>
    <row r="634" spans="1:15" ht="15" customHeight="1" x14ac:dyDescent="0.3">
      <c r="A634" s="70" t="s">
        <v>1313</v>
      </c>
      <c r="B634" s="70" t="s">
        <v>527</v>
      </c>
      <c r="C634" s="72">
        <v>46179</v>
      </c>
      <c r="D634" s="73" t="s">
        <v>404</v>
      </c>
      <c r="E634" s="76" t="str">
        <f>IFERROR(INDEX(M_User!$A$12:$J$67,MATCH(D634,M_User!$D$12:$D$67,0),3),"UNMAPPED")</f>
        <v>Riziki Rajabu Mghamba</v>
      </c>
      <c r="F634" s="75" t="str">
        <f>IFERROR(INDEX(M_User!$A$12:$J$67,MATCH(D634,M_User!$D$12:$D$67,0),5),"UNMAPPED")</f>
        <v>MOS</v>
      </c>
      <c r="G634" s="73" t="s">
        <v>949</v>
      </c>
      <c r="H634" s="92" t="s">
        <v>950</v>
      </c>
      <c r="I634" s="73" t="s">
        <v>203</v>
      </c>
      <c r="J634" s="76" t="str">
        <f>IFERROR(INDEX(M_SKU!$A$18:$J$57,MATCH(I634,M_SKU!$B$18:$B$57,0),1),"UNKNOWN SKU")</f>
        <v>Krest Ginger Ale RGB 300ml</v>
      </c>
      <c r="K634" s="73" t="s">
        <v>541</v>
      </c>
      <c r="L634" s="276">
        <v>0.2253</v>
      </c>
      <c r="M634" s="94" cm="1">
        <f t="array" ref="M634">IFERROR(INDEX(M_DepotPrice!$C$10:$C$52,MATCH(1,(M_DepotPrice!$A$10:$A$52=I634)*(M_DepotPrice!$H$10:$H$52=IFERROR(INDEX(M_Depot!$A$7:$A$24,MATCH(F634,M_Depot!$B$7:$B$24,0)),""))*(M_DepotPrice!$G$10:$G$52="Special"),0)),INDEX(M_DepotPrice!$C$10:$C$52,MATCH(1,(M_DepotPrice!$A$10:$A$52=I634)*(M_DepotPrice!$G$10:$G$52="Default"),0)))</f>
        <v>11780</v>
      </c>
      <c r="N634" s="95">
        <f t="shared" si="19"/>
        <v>3131.7601199999999</v>
      </c>
      <c r="O634" s="82" t="str">
        <f t="shared" si="18"/>
        <v>MOS100645|FG012|CK3-33126</v>
      </c>
    </row>
    <row r="635" spans="1:15" ht="15" customHeight="1" x14ac:dyDescent="0.3">
      <c r="A635" s="60" t="s">
        <v>1314</v>
      </c>
      <c r="B635" s="60" t="s">
        <v>527</v>
      </c>
      <c r="C635" s="62">
        <v>46179</v>
      </c>
      <c r="D635" s="63" t="s">
        <v>404</v>
      </c>
      <c r="E635" s="66" t="str">
        <f>IFERROR(INDEX(M_User!$A$12:$J$67,MATCH(D635,M_User!$D$12:$D$67,0),3),"UNMAPPED")</f>
        <v>Riziki Rajabu Mghamba</v>
      </c>
      <c r="F635" s="65" t="str">
        <f>IFERROR(INDEX(M_User!$A$12:$J$67,MATCH(D635,M_User!$D$12:$D$67,0),5),"UNMAPPED")</f>
        <v>MOS</v>
      </c>
      <c r="G635" s="63" t="s">
        <v>949</v>
      </c>
      <c r="H635" s="69" t="s">
        <v>950</v>
      </c>
      <c r="I635" s="63" t="s">
        <v>209</v>
      </c>
      <c r="J635" s="66" t="str">
        <f>IFERROR(INDEX(M_SKU!$A$18:$J$57,MATCH(I635,M_SKU!$B$18:$B$57,0),1),"UNKNOWN SKU")</f>
        <v>Sparletta Red Apple RGB 350ml</v>
      </c>
      <c r="K635" s="63" t="s">
        <v>542</v>
      </c>
      <c r="L635" s="276">
        <v>0.23252458961825001</v>
      </c>
      <c r="M635" s="91" cm="1">
        <f t="array" ref="M635">IFERROR(INDEX(M_DepotPrice!$C$10:$C$52,MATCH(1,(M_DepotPrice!$A$10:$A$52=I635)*(M_DepotPrice!$H$10:$H$52=IFERROR(INDEX(M_Depot!$A$7:$A$24,MATCH(F635,M_Depot!$B$7:$B$24,0)),""))*(M_DepotPrice!$G$10:$G$52="Special"),0)),INDEX(M_DepotPrice!$C$10:$C$52,MATCH(1,(M_DepotPrice!$A$10:$A$52=I635)*(M_DepotPrice!$G$10:$G$52="Default"),0)))</f>
        <v>11780</v>
      </c>
      <c r="N635" s="67">
        <f t="shared" si="19"/>
        <v>3232.1848055295222</v>
      </c>
      <c r="O635" s="66" t="str">
        <f t="shared" si="18"/>
        <v>MOS100645|FG024|CK3-32758</v>
      </c>
    </row>
    <row r="636" spans="1:15" ht="15" customHeight="1" x14ac:dyDescent="0.3">
      <c r="A636" s="70" t="s">
        <v>1315</v>
      </c>
      <c r="B636" s="70" t="s">
        <v>527</v>
      </c>
      <c r="C636" s="72">
        <v>46179</v>
      </c>
      <c r="D636" s="73" t="s">
        <v>404</v>
      </c>
      <c r="E636" s="76" t="str">
        <f>IFERROR(INDEX(M_User!$A$12:$J$67,MATCH(D636,M_User!$D$12:$D$67,0),3),"UNMAPPED")</f>
        <v>Riziki Rajabu Mghamba</v>
      </c>
      <c r="F636" s="75" t="str">
        <f>IFERROR(INDEX(M_User!$A$12:$J$67,MATCH(D636,M_User!$D$12:$D$67,0),5),"UNMAPPED")</f>
        <v>MOS</v>
      </c>
      <c r="G636" s="73" t="s">
        <v>949</v>
      </c>
      <c r="H636" s="92" t="s">
        <v>950</v>
      </c>
      <c r="I636" s="73" t="s">
        <v>211</v>
      </c>
      <c r="J636" s="76" t="str">
        <f>IFERROR(INDEX(M_SKU!$A$18:$J$57,MATCH(I636,M_SKU!$B$18:$B$57,0),1),"UNKNOWN SKU")</f>
        <v>KNMW 500ml</v>
      </c>
      <c r="K636" s="73" t="s">
        <v>543</v>
      </c>
      <c r="L636" s="276">
        <v>28</v>
      </c>
      <c r="M636" s="94" cm="1">
        <f t="array" ref="M636">IFERROR(INDEX(M_DepotPrice!$C$10:$C$52,MATCH(1,(M_DepotPrice!$A$10:$A$52=I636)*(M_DepotPrice!$H$10:$H$52=IFERROR(INDEX(M_Depot!$A$7:$A$24,MATCH(F636,M_Depot!$B$7:$B$24,0)),""))*(M_DepotPrice!$G$10:$G$52="Special"),0)),INDEX(M_DepotPrice!$C$10:$C$52,MATCH(1,(M_DepotPrice!$A$10:$A$52=I636)*(M_DepotPrice!$G$10:$G$52="Default"),0)))</f>
        <v>3559</v>
      </c>
      <c r="N636" s="95">
        <f t="shared" si="19"/>
        <v>117589.36</v>
      </c>
      <c r="O636" s="82" t="str">
        <f t="shared" si="18"/>
        <v>MOS100645|KD001|CK6-986</v>
      </c>
    </row>
    <row r="637" spans="1:15" ht="15" customHeight="1" x14ac:dyDescent="0.3">
      <c r="A637" s="60" t="s">
        <v>1316</v>
      </c>
      <c r="B637" s="60" t="s">
        <v>527</v>
      </c>
      <c r="C637" s="62">
        <v>46179</v>
      </c>
      <c r="D637" s="63" t="s">
        <v>404</v>
      </c>
      <c r="E637" s="66" t="str">
        <f>IFERROR(INDEX(M_User!$A$12:$J$67,MATCH(D637,M_User!$D$12:$D$67,0),3),"UNMAPPED")</f>
        <v>Riziki Rajabu Mghamba</v>
      </c>
      <c r="F637" s="65" t="str">
        <f>IFERROR(INDEX(M_User!$A$12:$J$67,MATCH(D637,M_User!$D$12:$D$67,0),5),"UNMAPPED")</f>
        <v>MOS</v>
      </c>
      <c r="G637" s="63" t="s">
        <v>949</v>
      </c>
      <c r="H637" s="69" t="s">
        <v>950</v>
      </c>
      <c r="I637" s="63" t="s">
        <v>217</v>
      </c>
      <c r="J637" s="66" t="str">
        <f>IFERROR(INDEX(M_SKU!$A$18:$J$57,MATCH(I637,M_SKU!$B$18:$B$57,0),1),"UNKNOWN SKU")</f>
        <v>KNMW 1500ml</v>
      </c>
      <c r="K637" s="63" t="s">
        <v>544</v>
      </c>
      <c r="L637" s="276">
        <v>11</v>
      </c>
      <c r="M637" s="91" cm="1">
        <f t="array" ref="M637">IFERROR(INDEX(M_DepotPrice!$C$10:$C$52,MATCH(1,(M_DepotPrice!$A$10:$A$52=I637)*(M_DepotPrice!$H$10:$H$52=IFERROR(INDEX(M_Depot!$A$7:$A$24,MATCH(F637,M_Depot!$B$7:$B$24,0)),""))*(M_DepotPrice!$G$10:$G$52="Special"),0)),INDEX(M_DepotPrice!$C$10:$C$52,MATCH(1,(M_DepotPrice!$A$10:$A$52=I637)*(M_DepotPrice!$G$10:$G$52="Default"),0)))</f>
        <v>3983</v>
      </c>
      <c r="N637" s="67">
        <f t="shared" si="19"/>
        <v>51699.34</v>
      </c>
      <c r="O637" s="66" t="str">
        <f t="shared" si="18"/>
        <v>MOS100645|KD003|CK4-841</v>
      </c>
    </row>
    <row r="638" spans="1:15" ht="15" customHeight="1" x14ac:dyDescent="0.3">
      <c r="A638" s="70" t="s">
        <v>1317</v>
      </c>
      <c r="B638" s="70" t="s">
        <v>527</v>
      </c>
      <c r="C638" s="72">
        <v>46179</v>
      </c>
      <c r="D638" s="73" t="s">
        <v>404</v>
      </c>
      <c r="E638" s="76" t="str">
        <f>IFERROR(INDEX(M_User!$A$12:$J$67,MATCH(D638,M_User!$D$12:$D$67,0),3),"UNMAPPED")</f>
        <v>Riziki Rajabu Mghamba</v>
      </c>
      <c r="F638" s="75" t="str">
        <f>IFERROR(INDEX(M_User!$A$12:$J$67,MATCH(D638,M_User!$D$12:$D$67,0),5),"UNMAPPED")</f>
        <v>MOS</v>
      </c>
      <c r="G638" s="73" t="s">
        <v>949</v>
      </c>
      <c r="H638" s="92" t="s">
        <v>950</v>
      </c>
      <c r="I638" s="73" t="s">
        <v>229</v>
      </c>
      <c r="J638" s="76" t="str">
        <f>IFERROR(INDEX(M_SKU!$A$18:$J$57,MATCH(I638,M_SKU!$B$18:$B$57,0),1),"UNKNOWN SKU")</f>
        <v>Coke Pet 500ML ( x12)</v>
      </c>
      <c r="K638" s="73" t="s">
        <v>520</v>
      </c>
      <c r="L638" s="276">
        <v>15</v>
      </c>
      <c r="M638" s="94" cm="1">
        <f t="array" ref="M638">IFERROR(INDEX(M_DepotPrice!$C$10:$C$52,MATCH(1,(M_DepotPrice!$A$10:$A$52=I638)*(M_DepotPrice!$H$10:$H$52=IFERROR(INDEX(M_Depot!$A$7:$A$24,MATCH(F638,M_Depot!$B$7:$B$24,0)),""))*(M_DepotPrice!$G$10:$G$52="Special"),0)),INDEX(M_DepotPrice!$C$10:$C$52,MATCH(1,(M_DepotPrice!$A$10:$A$52=I638)*(M_DepotPrice!$G$10:$G$52="Default"),0)))</f>
        <v>8898</v>
      </c>
      <c r="N638" s="95">
        <f t="shared" si="19"/>
        <v>157494.6</v>
      </c>
      <c r="O638" s="82" t="str">
        <f t="shared" si="18"/>
        <v>MOS100645|PH001|CK6-33411</v>
      </c>
    </row>
    <row r="639" spans="1:15" ht="15" customHeight="1" x14ac:dyDescent="0.3">
      <c r="A639" s="60" t="s">
        <v>1318</v>
      </c>
      <c r="B639" s="60" t="s">
        <v>527</v>
      </c>
      <c r="C639" s="62">
        <v>46179</v>
      </c>
      <c r="D639" s="63" t="s">
        <v>404</v>
      </c>
      <c r="E639" s="66" t="str">
        <f>IFERROR(INDEX(M_User!$A$12:$J$67,MATCH(D639,M_User!$D$12:$D$67,0),3),"UNMAPPED")</f>
        <v>Riziki Rajabu Mghamba</v>
      </c>
      <c r="F639" s="65" t="str">
        <f>IFERROR(INDEX(M_User!$A$12:$J$67,MATCH(D639,M_User!$D$12:$D$67,0),5),"UNMAPPED")</f>
        <v>MOS</v>
      </c>
      <c r="G639" s="63" t="s">
        <v>949</v>
      </c>
      <c r="H639" s="69" t="s">
        <v>950</v>
      </c>
      <c r="I639" s="63" t="s">
        <v>234</v>
      </c>
      <c r="J639" s="66" t="str">
        <f>IFERROR(INDEX(M_SKU!$A$18:$J$57,MATCH(I639,M_SKU!$B$18:$B$57,0),1),"UNKNOWN SKU")</f>
        <v>Fanta Orange Pet 500ML ( x 12)</v>
      </c>
      <c r="K639" s="63" t="s">
        <v>523</v>
      </c>
      <c r="L639" s="276">
        <v>16</v>
      </c>
      <c r="M639" s="91" cm="1">
        <f t="array" ref="M639">IFERROR(INDEX(M_DepotPrice!$C$10:$C$52,MATCH(1,(M_DepotPrice!$A$10:$A$52=I639)*(M_DepotPrice!$H$10:$H$52=IFERROR(INDEX(M_Depot!$A$7:$A$24,MATCH(F639,M_Depot!$B$7:$B$24,0)),""))*(M_DepotPrice!$G$10:$G$52="Special"),0)),INDEX(M_DepotPrice!$C$10:$C$52,MATCH(1,(M_DepotPrice!$A$10:$A$52=I639)*(M_DepotPrice!$G$10:$G$52="Default"),0)))</f>
        <v>8898</v>
      </c>
      <c r="N639" s="67">
        <f t="shared" si="19"/>
        <v>167994.23999999999</v>
      </c>
      <c r="O639" s="66" t="str">
        <f t="shared" si="18"/>
        <v>MOS100645|PH003|CK6-33405</v>
      </c>
    </row>
    <row r="640" spans="1:15" ht="15" customHeight="1" x14ac:dyDescent="0.3">
      <c r="A640" s="70" t="s">
        <v>1319</v>
      </c>
      <c r="B640" s="70" t="s">
        <v>527</v>
      </c>
      <c r="C640" s="72">
        <v>46179</v>
      </c>
      <c r="D640" s="73" t="s">
        <v>404</v>
      </c>
      <c r="E640" s="76" t="str">
        <f>IFERROR(INDEX(M_User!$A$12:$J$67,MATCH(D640,M_User!$D$12:$D$67,0),3),"UNMAPPED")</f>
        <v>Riziki Rajabu Mghamba</v>
      </c>
      <c r="F640" s="75" t="str">
        <f>IFERROR(INDEX(M_User!$A$12:$J$67,MATCH(D640,M_User!$D$12:$D$67,0),5),"UNMAPPED")</f>
        <v>MOS</v>
      </c>
      <c r="G640" s="73" t="s">
        <v>949</v>
      </c>
      <c r="H640" s="92" t="s">
        <v>950</v>
      </c>
      <c r="I640" s="73" t="s">
        <v>236</v>
      </c>
      <c r="J640" s="76" t="str">
        <f>IFERROR(INDEX(M_SKU!$A$18:$J$57,MATCH(I640,M_SKU!$B$18:$B$57,0),1),"UNKNOWN SKU")</f>
        <v>Fanta Passion Pet 500ML ( x12)</v>
      </c>
      <c r="K640" s="73" t="s">
        <v>524</v>
      </c>
      <c r="L640" s="276">
        <v>4</v>
      </c>
      <c r="M640" s="94" cm="1">
        <f t="array" ref="M640">IFERROR(INDEX(M_DepotPrice!$C$10:$C$52,MATCH(1,(M_DepotPrice!$A$10:$A$52=I640)*(M_DepotPrice!$H$10:$H$52=IFERROR(INDEX(M_Depot!$A$7:$A$24,MATCH(F640,M_Depot!$B$7:$B$24,0)),""))*(M_DepotPrice!$G$10:$G$52="Special"),0)),INDEX(M_DepotPrice!$C$10:$C$52,MATCH(1,(M_DepotPrice!$A$10:$A$52=I640)*(M_DepotPrice!$G$10:$G$52="Default"),0)))</f>
        <v>8898</v>
      </c>
      <c r="N640" s="95">
        <f t="shared" si="19"/>
        <v>41998.559999999998</v>
      </c>
      <c r="O640" s="82" t="str">
        <f t="shared" si="18"/>
        <v>MOS100645|PH004|CK5-33334</v>
      </c>
    </row>
    <row r="641" spans="1:15" ht="15" customHeight="1" x14ac:dyDescent="0.3">
      <c r="A641" s="60" t="s">
        <v>1320</v>
      </c>
      <c r="B641" s="60" t="s">
        <v>527</v>
      </c>
      <c r="C641" s="62">
        <v>46179</v>
      </c>
      <c r="D641" s="63" t="s">
        <v>404</v>
      </c>
      <c r="E641" s="66" t="str">
        <f>IFERROR(INDEX(M_User!$A$12:$J$67,MATCH(D641,M_User!$D$12:$D$67,0),3),"UNMAPPED")</f>
        <v>Riziki Rajabu Mghamba</v>
      </c>
      <c r="F641" s="65" t="str">
        <f>IFERROR(INDEX(M_User!$A$12:$J$67,MATCH(D641,M_User!$D$12:$D$67,0),5),"UNMAPPED")</f>
        <v>MOS</v>
      </c>
      <c r="G641" s="63" t="s">
        <v>949</v>
      </c>
      <c r="H641" s="69" t="s">
        <v>950</v>
      </c>
      <c r="I641" s="63" t="s">
        <v>242</v>
      </c>
      <c r="J641" s="66" t="str">
        <f>IFERROR(INDEX(M_SKU!$A$18:$J$57,MATCH(I641,M_SKU!$B$18:$B$57,0),1),"UNKNOWN SKU")</f>
        <v>Stoney Tangawizi Pet 500 ml ( x12)</v>
      </c>
      <c r="K641" s="63" t="s">
        <v>525</v>
      </c>
      <c r="L641" s="276">
        <v>3</v>
      </c>
      <c r="M641" s="91" cm="1">
        <f t="array" ref="M641">IFERROR(INDEX(M_DepotPrice!$C$10:$C$52,MATCH(1,(M_DepotPrice!$A$10:$A$52=I641)*(M_DepotPrice!$H$10:$H$52=IFERROR(INDEX(M_Depot!$A$7:$A$24,MATCH(F641,M_Depot!$B$7:$B$24,0)),""))*(M_DepotPrice!$G$10:$G$52="Special"),0)),INDEX(M_DepotPrice!$C$10:$C$52,MATCH(1,(M_DepotPrice!$A$10:$A$52=I641)*(M_DepotPrice!$G$10:$G$52="Default"),0)))</f>
        <v>8898</v>
      </c>
      <c r="N641" s="67">
        <f t="shared" si="19"/>
        <v>31498.92</v>
      </c>
      <c r="O641" s="66" t="str">
        <f t="shared" si="18"/>
        <v>MOS100645|PH007|CK6-33375</v>
      </c>
    </row>
    <row r="642" spans="1:15" ht="15" customHeight="1" x14ac:dyDescent="0.3">
      <c r="A642" s="70" t="s">
        <v>1321</v>
      </c>
      <c r="B642" s="70" t="s">
        <v>527</v>
      </c>
      <c r="C642" s="72">
        <v>46179</v>
      </c>
      <c r="D642" s="73" t="s">
        <v>404</v>
      </c>
      <c r="E642" s="76" t="str">
        <f>IFERROR(INDEX(M_User!$A$12:$J$67,MATCH(D642,M_User!$D$12:$D$67,0),3),"UNMAPPED")</f>
        <v>Riziki Rajabu Mghamba</v>
      </c>
      <c r="F642" s="75" t="str">
        <f>IFERROR(INDEX(M_User!$A$12:$J$67,MATCH(D642,M_User!$D$12:$D$67,0),5),"UNMAPPED")</f>
        <v>MOS</v>
      </c>
      <c r="G642" s="73" t="s">
        <v>949</v>
      </c>
      <c r="H642" s="92" t="s">
        <v>950</v>
      </c>
      <c r="I642" s="73" t="s">
        <v>244</v>
      </c>
      <c r="J642" s="76" t="str">
        <f>IFERROR(INDEX(M_SKU!$A$18:$J$57,MATCH(I642,M_SKU!$B$18:$B$57,0),1),"UNKNOWN SKU")</f>
        <v>Sparletta Pinenut Pet 500 ml ( x12)</v>
      </c>
      <c r="K642" s="73" t="s">
        <v>526</v>
      </c>
      <c r="L642" s="276">
        <v>2</v>
      </c>
      <c r="M642" s="94" cm="1">
        <f t="array" ref="M642">IFERROR(INDEX(M_DepotPrice!$C$10:$C$52,MATCH(1,(M_DepotPrice!$A$10:$A$52=I642)*(M_DepotPrice!$H$10:$H$52=IFERROR(INDEX(M_Depot!$A$7:$A$24,MATCH(F642,M_Depot!$B$7:$B$24,0)),""))*(M_DepotPrice!$G$10:$G$52="Special"),0)),INDEX(M_DepotPrice!$C$10:$C$52,MATCH(1,(M_DepotPrice!$A$10:$A$52=I642)*(M_DepotPrice!$G$10:$G$52="Default"),0)))</f>
        <v>8898</v>
      </c>
      <c r="N642" s="95">
        <f t="shared" si="19"/>
        <v>20999.279999999999</v>
      </c>
      <c r="O642" s="82" t="str">
        <f t="shared" si="18"/>
        <v>MOS100645|PH008|CK5-33370</v>
      </c>
    </row>
    <row r="643" spans="1:15" ht="15" customHeight="1" x14ac:dyDescent="0.3">
      <c r="A643" s="60" t="s">
        <v>1322</v>
      </c>
      <c r="B643" s="60" t="s">
        <v>527</v>
      </c>
      <c r="C643" s="62">
        <v>46179</v>
      </c>
      <c r="D643" s="63" t="s">
        <v>404</v>
      </c>
      <c r="E643" s="66" t="str">
        <f>IFERROR(INDEX(M_User!$A$12:$J$67,MATCH(D643,M_User!$D$12:$D$67,0),3),"UNMAPPED")</f>
        <v>Riziki Rajabu Mghamba</v>
      </c>
      <c r="F643" s="65" t="str">
        <f>IFERROR(INDEX(M_User!$A$12:$J$67,MATCH(D643,M_User!$D$12:$D$67,0),5),"UNMAPPED")</f>
        <v>MOS</v>
      </c>
      <c r="G643" s="63" t="s">
        <v>825</v>
      </c>
      <c r="H643" s="69" t="s">
        <v>826</v>
      </c>
      <c r="I643" s="63" t="s">
        <v>170</v>
      </c>
      <c r="J643" s="66" t="str">
        <f>IFERROR(INDEX(M_SKU!$A$18:$J$57,MATCH(I643,M_SKU!$B$18:$B$57,0),1),"UNKNOWN SKU")</f>
        <v>Coke RGB 350ml</v>
      </c>
      <c r="K643" s="63" t="s">
        <v>529</v>
      </c>
      <c r="L643" s="276">
        <v>3.19297801923268</v>
      </c>
      <c r="M643" s="91" cm="1">
        <f t="array" ref="M643">IFERROR(INDEX(M_DepotPrice!$C$10:$C$52,MATCH(1,(M_DepotPrice!$A$10:$A$52=I643)*(M_DepotPrice!$H$10:$H$52=IFERROR(INDEX(M_Depot!$A$7:$A$24,MATCH(F643,M_Depot!$B$7:$B$24,0)),""))*(M_DepotPrice!$G$10:$G$52="Special"),0)),INDEX(M_DepotPrice!$C$10:$C$52,MATCH(1,(M_DepotPrice!$A$10:$A$52=I643)*(M_DepotPrice!$G$10:$G$52="Default"),0)))</f>
        <v>11780</v>
      </c>
      <c r="N643" s="67">
        <f t="shared" si="19"/>
        <v>44383.671658541942</v>
      </c>
      <c r="O643" s="66" t="str">
        <f t="shared" si="18"/>
        <v>MOS100645|FG001|CK3-33408</v>
      </c>
    </row>
    <row r="644" spans="1:15" ht="15" customHeight="1" x14ac:dyDescent="0.3">
      <c r="A644" s="70" t="s">
        <v>1323</v>
      </c>
      <c r="B644" s="70" t="s">
        <v>527</v>
      </c>
      <c r="C644" s="72">
        <v>46179</v>
      </c>
      <c r="D644" s="73" t="s">
        <v>404</v>
      </c>
      <c r="E644" s="76" t="str">
        <f>IFERROR(INDEX(M_User!$A$12:$J$67,MATCH(D644,M_User!$D$12:$D$67,0),3),"UNMAPPED")</f>
        <v>Riziki Rajabu Mghamba</v>
      </c>
      <c r="F644" s="75" t="str">
        <f>IFERROR(INDEX(M_User!$A$12:$J$67,MATCH(D644,M_User!$D$12:$D$67,0),5),"UNMAPPED")</f>
        <v>MOS</v>
      </c>
      <c r="G644" s="73" t="s">
        <v>825</v>
      </c>
      <c r="H644" s="92" t="s">
        <v>826</v>
      </c>
      <c r="I644" s="73" t="s">
        <v>178</v>
      </c>
      <c r="J644" s="76" t="str">
        <f>IFERROR(INDEX(M_SKU!$A$18:$J$57,MATCH(I644,M_SKU!$B$18:$B$57,0),1),"UNKNOWN SKU")</f>
        <v>Fanta Orange RGB 350ml</v>
      </c>
      <c r="K644" s="73" t="s">
        <v>531</v>
      </c>
      <c r="L644" s="276">
        <v>8.0791250463327096</v>
      </c>
      <c r="M644" s="94" cm="1">
        <f t="array" ref="M644">IFERROR(INDEX(M_DepotPrice!$C$10:$C$52,MATCH(1,(M_DepotPrice!$A$10:$A$52=I644)*(M_DepotPrice!$H$10:$H$52=IFERROR(INDEX(M_Depot!$A$7:$A$24,MATCH(F644,M_Depot!$B$7:$B$24,0)),""))*(M_DepotPrice!$G$10:$G$52="Special"),0)),INDEX(M_DepotPrice!$C$10:$C$52,MATCH(1,(M_DepotPrice!$A$10:$A$52=I644)*(M_DepotPrice!$G$10:$G$52="Default"),0)))</f>
        <v>11780</v>
      </c>
      <c r="N644" s="95">
        <f t="shared" si="19"/>
        <v>112303.0697940432</v>
      </c>
      <c r="O644" s="82" t="str">
        <f t="shared" si="18"/>
        <v>MOS100645|FG002|CK3-33407</v>
      </c>
    </row>
    <row r="645" spans="1:15" ht="15" customHeight="1" x14ac:dyDescent="0.3">
      <c r="A645" s="60" t="s">
        <v>1324</v>
      </c>
      <c r="B645" s="60" t="s">
        <v>527</v>
      </c>
      <c r="C645" s="62">
        <v>46179</v>
      </c>
      <c r="D645" s="63" t="s">
        <v>404</v>
      </c>
      <c r="E645" s="66" t="str">
        <f>IFERROR(INDEX(M_User!$A$12:$J$67,MATCH(D645,M_User!$D$12:$D$67,0),3),"UNMAPPED")</f>
        <v>Riziki Rajabu Mghamba</v>
      </c>
      <c r="F645" s="65" t="str">
        <f>IFERROR(INDEX(M_User!$A$12:$J$67,MATCH(D645,M_User!$D$12:$D$67,0),5),"UNMAPPED")</f>
        <v>MOS</v>
      </c>
      <c r="G645" s="63" t="s">
        <v>825</v>
      </c>
      <c r="H645" s="69" t="s">
        <v>826</v>
      </c>
      <c r="I645" s="63" t="s">
        <v>181</v>
      </c>
      <c r="J645" s="66" t="str">
        <f>IFERROR(INDEX(M_SKU!$A$18:$J$57,MATCH(I645,M_SKU!$B$18:$B$57,0),1),"UNKNOWN SKU")</f>
        <v>Fanta Passion RGB 350ml</v>
      </c>
      <c r="K645" s="63" t="s">
        <v>532</v>
      </c>
      <c r="L645" s="276">
        <v>2.7523953166906798</v>
      </c>
      <c r="M645" s="91" cm="1">
        <f t="array" ref="M645">IFERROR(INDEX(M_DepotPrice!$C$10:$C$52,MATCH(1,(M_DepotPrice!$A$10:$A$52=I645)*(M_DepotPrice!$H$10:$H$52=IFERROR(INDEX(M_Depot!$A$7:$A$24,MATCH(F645,M_Depot!$B$7:$B$24,0)),""))*(M_DepotPrice!$G$10:$G$52="Special"),0)),INDEX(M_DepotPrice!$C$10:$C$52,MATCH(1,(M_DepotPrice!$A$10:$A$52=I645)*(M_DepotPrice!$G$10:$G$52="Default"),0)))</f>
        <v>11780</v>
      </c>
      <c r="N645" s="67">
        <f t="shared" si="19"/>
        <v>38259.395860127122</v>
      </c>
      <c r="O645" s="66" t="str">
        <f t="shared" si="18"/>
        <v>MOS100645|FG003|CK3-33387</v>
      </c>
    </row>
    <row r="646" spans="1:15" ht="15" customHeight="1" x14ac:dyDescent="0.3">
      <c r="A646" s="70" t="s">
        <v>1325</v>
      </c>
      <c r="B646" s="70" t="s">
        <v>527</v>
      </c>
      <c r="C646" s="72">
        <v>46179</v>
      </c>
      <c r="D646" s="73" t="s">
        <v>404</v>
      </c>
      <c r="E646" s="76" t="str">
        <f>IFERROR(INDEX(M_User!$A$12:$J$67,MATCH(D646,M_User!$D$12:$D$67,0),3),"UNMAPPED")</f>
        <v>Riziki Rajabu Mghamba</v>
      </c>
      <c r="F646" s="75" t="str">
        <f>IFERROR(INDEX(M_User!$A$12:$J$67,MATCH(D646,M_User!$D$12:$D$67,0),5),"UNMAPPED")</f>
        <v>MOS</v>
      </c>
      <c r="G646" s="73" t="s">
        <v>825</v>
      </c>
      <c r="H646" s="92" t="s">
        <v>826</v>
      </c>
      <c r="I646" s="73" t="s">
        <v>185</v>
      </c>
      <c r="J646" s="76" t="str">
        <f>IFERROR(INDEX(M_SKU!$A$18:$J$57,MATCH(I646,M_SKU!$B$18:$B$57,0),1),"UNKNOWN SKU")</f>
        <v>Fanta Fruit Blast RGB 350 ml</v>
      </c>
      <c r="K646" s="73" t="s">
        <v>534</v>
      </c>
      <c r="L646" s="276">
        <v>3.89236918289558</v>
      </c>
      <c r="M646" s="94" cm="1">
        <f t="array" ref="M646">IFERROR(INDEX(M_DepotPrice!$C$10:$C$52,MATCH(1,(M_DepotPrice!$A$10:$A$52=I646)*(M_DepotPrice!$H$10:$H$52=IFERROR(INDEX(M_Depot!$A$7:$A$24,MATCH(F646,M_Depot!$B$7:$B$24,0)),""))*(M_DepotPrice!$G$10:$G$52="Special"),0)),INDEX(M_DepotPrice!$C$10:$C$52,MATCH(1,(M_DepotPrice!$A$10:$A$52=I646)*(M_DepotPrice!$G$10:$G$52="Default"),0)))</f>
        <v>11780</v>
      </c>
      <c r="N646" s="95">
        <f t="shared" si="19"/>
        <v>54105.488589921719</v>
      </c>
      <c r="O646" s="82" t="str">
        <f t="shared" si="18"/>
        <v>MOS100645|FG005|CK3-33402</v>
      </c>
    </row>
    <row r="647" spans="1:15" ht="15" customHeight="1" x14ac:dyDescent="0.3">
      <c r="A647" s="60" t="s">
        <v>1326</v>
      </c>
      <c r="B647" s="60" t="s">
        <v>527</v>
      </c>
      <c r="C647" s="62">
        <v>46179</v>
      </c>
      <c r="D647" s="63" t="s">
        <v>404</v>
      </c>
      <c r="E647" s="66" t="str">
        <f>IFERROR(INDEX(M_User!$A$12:$J$67,MATCH(D647,M_User!$D$12:$D$67,0),3),"UNMAPPED")</f>
        <v>Riziki Rajabu Mghamba</v>
      </c>
      <c r="F647" s="65" t="str">
        <f>IFERROR(INDEX(M_User!$A$12:$J$67,MATCH(D647,M_User!$D$12:$D$67,0),5),"UNMAPPED")</f>
        <v>MOS</v>
      </c>
      <c r="G647" s="63" t="s">
        <v>825</v>
      </c>
      <c r="H647" s="69" t="s">
        <v>826</v>
      </c>
      <c r="I647" s="63" t="s">
        <v>187</v>
      </c>
      <c r="J647" s="66" t="str">
        <f>IFERROR(INDEX(M_SKU!$A$18:$J$57,MATCH(I647,M_SKU!$B$18:$B$57,0),1),"UNKNOWN SKU")</f>
        <v>Sprite 350ml</v>
      </c>
      <c r="K647" s="63" t="s">
        <v>535</v>
      </c>
      <c r="L647" s="276">
        <v>3.1337000000000002</v>
      </c>
      <c r="M647" s="91" cm="1">
        <f t="array" ref="M647">IFERROR(INDEX(M_DepotPrice!$C$10:$C$52,MATCH(1,(M_DepotPrice!$A$10:$A$52=I647)*(M_DepotPrice!$H$10:$H$52=IFERROR(INDEX(M_Depot!$A$7:$A$24,MATCH(F647,M_Depot!$B$7:$B$24,0)),""))*(M_DepotPrice!$G$10:$G$52="Special"),0)),INDEX(M_DepotPrice!$C$10:$C$52,MATCH(1,(M_DepotPrice!$A$10:$A$52=I647)*(M_DepotPrice!$G$10:$G$52="Default"),0)))</f>
        <v>11780</v>
      </c>
      <c r="N647" s="67">
        <f t="shared" si="19"/>
        <v>43559.68348</v>
      </c>
      <c r="O647" s="66" t="str">
        <f t="shared" si="18"/>
        <v>MOS100645|FG006|CK3-33414</v>
      </c>
    </row>
    <row r="648" spans="1:15" ht="15" customHeight="1" x14ac:dyDescent="0.3">
      <c r="A648" s="70" t="s">
        <v>1327</v>
      </c>
      <c r="B648" s="70" t="s">
        <v>527</v>
      </c>
      <c r="C648" s="72">
        <v>46179</v>
      </c>
      <c r="D648" s="73" t="s">
        <v>404</v>
      </c>
      <c r="E648" s="76" t="str">
        <f>IFERROR(INDEX(M_User!$A$12:$J$67,MATCH(D648,M_User!$D$12:$D$67,0),3),"UNMAPPED")</f>
        <v>Riziki Rajabu Mghamba</v>
      </c>
      <c r="F648" s="75" t="str">
        <f>IFERROR(INDEX(M_User!$A$12:$J$67,MATCH(D648,M_User!$D$12:$D$67,0),5),"UNMAPPED")</f>
        <v>MOS</v>
      </c>
      <c r="G648" s="73" t="s">
        <v>825</v>
      </c>
      <c r="H648" s="92" t="s">
        <v>826</v>
      </c>
      <c r="I648" s="73" t="s">
        <v>199</v>
      </c>
      <c r="J648" s="76" t="str">
        <f>IFERROR(INDEX(M_SKU!$A$18:$J$57,MATCH(I648,M_SKU!$B$18:$B$57,0),1),"UNKNOWN SKU")</f>
        <v>Krest Club Soda RGB 300ml</v>
      </c>
      <c r="K648" s="73" t="s">
        <v>539</v>
      </c>
      <c r="L648" s="276">
        <v>0.2999</v>
      </c>
      <c r="M648" s="94" cm="1">
        <f t="array" ref="M648">IFERROR(INDEX(M_DepotPrice!$C$10:$C$52,MATCH(1,(M_DepotPrice!$A$10:$A$52=I648)*(M_DepotPrice!$H$10:$H$52=IFERROR(INDEX(M_Depot!$A$7:$A$24,MATCH(F648,M_Depot!$B$7:$B$24,0)),""))*(M_DepotPrice!$G$10:$G$52="Special"),0)),INDEX(M_DepotPrice!$C$10:$C$52,MATCH(1,(M_DepotPrice!$A$10:$A$52=I648)*(M_DepotPrice!$G$10:$G$52="Default"),0)))</f>
        <v>11780</v>
      </c>
      <c r="N648" s="95">
        <f t="shared" si="19"/>
        <v>4168.7299599999997</v>
      </c>
      <c r="O648" s="82" t="str">
        <f t="shared" si="18"/>
        <v>MOS100645|FG010|CK3-33301</v>
      </c>
    </row>
    <row r="649" spans="1:15" ht="15" customHeight="1" x14ac:dyDescent="0.3">
      <c r="A649" s="60" t="s">
        <v>1328</v>
      </c>
      <c r="B649" s="60" t="s">
        <v>527</v>
      </c>
      <c r="C649" s="62">
        <v>46179</v>
      </c>
      <c r="D649" s="63" t="s">
        <v>404</v>
      </c>
      <c r="E649" s="66" t="str">
        <f>IFERROR(INDEX(M_User!$A$12:$J$67,MATCH(D649,M_User!$D$12:$D$67,0),3),"UNMAPPED")</f>
        <v>Riziki Rajabu Mghamba</v>
      </c>
      <c r="F649" s="65" t="str">
        <f>IFERROR(INDEX(M_User!$A$12:$J$67,MATCH(D649,M_User!$D$12:$D$67,0),5),"UNMAPPED")</f>
        <v>MOS</v>
      </c>
      <c r="G649" s="63" t="s">
        <v>825</v>
      </c>
      <c r="H649" s="69" t="s">
        <v>826</v>
      </c>
      <c r="I649" s="63" t="s">
        <v>209</v>
      </c>
      <c r="J649" s="66" t="str">
        <f>IFERROR(INDEX(M_SKU!$A$18:$J$57,MATCH(I649,M_SKU!$B$18:$B$57,0),1),"UNKNOWN SKU")</f>
        <v>Sparletta Red Apple RGB 350ml</v>
      </c>
      <c r="K649" s="63" t="s">
        <v>542</v>
      </c>
      <c r="L649" s="276">
        <v>0.5323</v>
      </c>
      <c r="M649" s="91" cm="1">
        <f t="array" ref="M649">IFERROR(INDEX(M_DepotPrice!$C$10:$C$52,MATCH(1,(M_DepotPrice!$A$10:$A$52=I649)*(M_DepotPrice!$H$10:$H$52=IFERROR(INDEX(M_Depot!$A$7:$A$24,MATCH(F649,M_Depot!$B$7:$B$24,0)),""))*(M_DepotPrice!$G$10:$G$52="Special"),0)),INDEX(M_DepotPrice!$C$10:$C$52,MATCH(1,(M_DepotPrice!$A$10:$A$52=I649)*(M_DepotPrice!$G$10:$G$52="Default"),0)))</f>
        <v>11780</v>
      </c>
      <c r="N649" s="67">
        <f t="shared" si="19"/>
        <v>7399.1829199999993</v>
      </c>
      <c r="O649" s="66" t="str">
        <f t="shared" ref="O649:O712" si="20">D649 &amp; "|" &amp; I649 &amp; "|" &amp; K649</f>
        <v>MOS100645|FG024|CK3-32758</v>
      </c>
    </row>
    <row r="650" spans="1:15" ht="15" customHeight="1" x14ac:dyDescent="0.3">
      <c r="A650" s="70" t="s">
        <v>1329</v>
      </c>
      <c r="B650" s="70" t="s">
        <v>527</v>
      </c>
      <c r="C650" s="72">
        <v>46179</v>
      </c>
      <c r="D650" s="73" t="s">
        <v>404</v>
      </c>
      <c r="E650" s="76" t="str">
        <f>IFERROR(INDEX(M_User!$A$12:$J$67,MATCH(D650,M_User!$D$12:$D$67,0),3),"UNMAPPED")</f>
        <v>Riziki Rajabu Mghamba</v>
      </c>
      <c r="F650" s="75" t="str">
        <f>IFERROR(INDEX(M_User!$A$12:$J$67,MATCH(D650,M_User!$D$12:$D$67,0),5),"UNMAPPED")</f>
        <v>MOS</v>
      </c>
      <c r="G650" s="73" t="s">
        <v>825</v>
      </c>
      <c r="H650" s="92" t="s">
        <v>826</v>
      </c>
      <c r="I650" s="73" t="s">
        <v>232</v>
      </c>
      <c r="J650" s="76" t="str">
        <f>IFERROR(INDEX(M_SKU!$A$18:$J$57,MATCH(I650,M_SKU!$B$18:$B$57,0),1),"UNKNOWN SKU")</f>
        <v>Sprite Pet 500ML (x 12)</v>
      </c>
      <c r="K650" s="73" t="s">
        <v>522</v>
      </c>
      <c r="L650" s="276">
        <v>6</v>
      </c>
      <c r="M650" s="94" cm="1">
        <f t="array" ref="M650">IFERROR(INDEX(M_DepotPrice!$C$10:$C$52,MATCH(1,(M_DepotPrice!$A$10:$A$52=I650)*(M_DepotPrice!$H$10:$H$52=IFERROR(INDEX(M_Depot!$A$7:$A$24,MATCH(F650,M_Depot!$B$7:$B$24,0)),""))*(M_DepotPrice!$G$10:$G$52="Special"),0)),INDEX(M_DepotPrice!$C$10:$C$52,MATCH(1,(M_DepotPrice!$A$10:$A$52=I650)*(M_DepotPrice!$G$10:$G$52="Default"),0)))</f>
        <v>8898</v>
      </c>
      <c r="N650" s="95">
        <f t="shared" ref="N650:N713" si="21">(L650*M650)*1.18</f>
        <v>62997.84</v>
      </c>
      <c r="O650" s="82" t="str">
        <f t="shared" si="20"/>
        <v>MOS100645|PH002|CK6-33362</v>
      </c>
    </row>
    <row r="651" spans="1:15" ht="15" customHeight="1" x14ac:dyDescent="0.3">
      <c r="A651" s="60" t="s">
        <v>1330</v>
      </c>
      <c r="B651" s="60" t="s">
        <v>527</v>
      </c>
      <c r="C651" s="62">
        <v>46179</v>
      </c>
      <c r="D651" s="63" t="s">
        <v>404</v>
      </c>
      <c r="E651" s="66" t="str">
        <f>IFERROR(INDEX(M_User!$A$12:$J$67,MATCH(D651,M_User!$D$12:$D$67,0),3),"UNMAPPED")</f>
        <v>Riziki Rajabu Mghamba</v>
      </c>
      <c r="F651" s="65" t="str">
        <f>IFERROR(INDEX(M_User!$A$12:$J$67,MATCH(D651,M_User!$D$12:$D$67,0),5),"UNMAPPED")</f>
        <v>MOS</v>
      </c>
      <c r="G651" s="63" t="s">
        <v>825</v>
      </c>
      <c r="H651" s="69" t="s">
        <v>826</v>
      </c>
      <c r="I651" s="63" t="s">
        <v>234</v>
      </c>
      <c r="J651" s="66" t="str">
        <f>IFERROR(INDEX(M_SKU!$A$18:$J$57,MATCH(I651,M_SKU!$B$18:$B$57,0),1),"UNKNOWN SKU")</f>
        <v>Fanta Orange Pet 500ML ( x 12)</v>
      </c>
      <c r="K651" s="63" t="s">
        <v>523</v>
      </c>
      <c r="L651" s="276">
        <v>20</v>
      </c>
      <c r="M651" s="91" cm="1">
        <f t="array" ref="M651">IFERROR(INDEX(M_DepotPrice!$C$10:$C$52,MATCH(1,(M_DepotPrice!$A$10:$A$52=I651)*(M_DepotPrice!$H$10:$H$52=IFERROR(INDEX(M_Depot!$A$7:$A$24,MATCH(F651,M_Depot!$B$7:$B$24,0)),""))*(M_DepotPrice!$G$10:$G$52="Special"),0)),INDEX(M_DepotPrice!$C$10:$C$52,MATCH(1,(M_DepotPrice!$A$10:$A$52=I651)*(M_DepotPrice!$G$10:$G$52="Default"),0)))</f>
        <v>8898</v>
      </c>
      <c r="N651" s="67">
        <f t="shared" si="21"/>
        <v>209992.8</v>
      </c>
      <c r="O651" s="66" t="str">
        <f t="shared" si="20"/>
        <v>MOS100645|PH003|CK6-33405</v>
      </c>
    </row>
    <row r="652" spans="1:15" ht="15" customHeight="1" x14ac:dyDescent="0.3">
      <c r="A652" s="70" t="s">
        <v>1331</v>
      </c>
      <c r="B652" s="70" t="s">
        <v>527</v>
      </c>
      <c r="C652" s="72">
        <v>46179</v>
      </c>
      <c r="D652" s="73" t="s">
        <v>404</v>
      </c>
      <c r="E652" s="76" t="str">
        <f>IFERROR(INDEX(M_User!$A$12:$J$67,MATCH(D652,M_User!$D$12:$D$67,0),3),"UNMAPPED")</f>
        <v>Riziki Rajabu Mghamba</v>
      </c>
      <c r="F652" s="75" t="str">
        <f>IFERROR(INDEX(M_User!$A$12:$J$67,MATCH(D652,M_User!$D$12:$D$67,0),5),"UNMAPPED")</f>
        <v>MOS</v>
      </c>
      <c r="G652" s="73" t="s">
        <v>825</v>
      </c>
      <c r="H652" s="92" t="s">
        <v>826</v>
      </c>
      <c r="I652" s="73" t="s">
        <v>242</v>
      </c>
      <c r="J652" s="76" t="str">
        <f>IFERROR(INDEX(M_SKU!$A$18:$J$57,MATCH(I652,M_SKU!$B$18:$B$57,0),1),"UNKNOWN SKU")</f>
        <v>Stoney Tangawizi Pet 500 ml ( x12)</v>
      </c>
      <c r="K652" s="73" t="s">
        <v>525</v>
      </c>
      <c r="L652" s="276">
        <v>1</v>
      </c>
      <c r="M652" s="94" cm="1">
        <f t="array" ref="M652">IFERROR(INDEX(M_DepotPrice!$C$10:$C$52,MATCH(1,(M_DepotPrice!$A$10:$A$52=I652)*(M_DepotPrice!$H$10:$H$52=IFERROR(INDEX(M_Depot!$A$7:$A$24,MATCH(F652,M_Depot!$B$7:$B$24,0)),""))*(M_DepotPrice!$G$10:$G$52="Special"),0)),INDEX(M_DepotPrice!$C$10:$C$52,MATCH(1,(M_DepotPrice!$A$10:$A$52=I652)*(M_DepotPrice!$G$10:$G$52="Default"),0)))</f>
        <v>8898</v>
      </c>
      <c r="N652" s="95">
        <f t="shared" si="21"/>
        <v>10499.64</v>
      </c>
      <c r="O652" s="82" t="str">
        <f t="shared" si="20"/>
        <v>MOS100645|PH007|CK6-33375</v>
      </c>
    </row>
    <row r="653" spans="1:15" ht="15" customHeight="1" x14ac:dyDescent="0.3">
      <c r="A653" s="60" t="s">
        <v>1332</v>
      </c>
      <c r="B653" s="60" t="s">
        <v>527</v>
      </c>
      <c r="C653" s="62">
        <v>46179</v>
      </c>
      <c r="D653" s="63" t="s">
        <v>404</v>
      </c>
      <c r="E653" s="66" t="str">
        <f>IFERROR(INDEX(M_User!$A$12:$J$67,MATCH(D653,M_User!$D$12:$D$67,0),3),"UNMAPPED")</f>
        <v>Riziki Rajabu Mghamba</v>
      </c>
      <c r="F653" s="65" t="str">
        <f>IFERROR(INDEX(M_User!$A$12:$J$67,MATCH(D653,M_User!$D$12:$D$67,0),5),"UNMAPPED")</f>
        <v>MOS</v>
      </c>
      <c r="G653" s="63" t="s">
        <v>825</v>
      </c>
      <c r="H653" s="69" t="s">
        <v>826</v>
      </c>
      <c r="I653" s="63" t="s">
        <v>252</v>
      </c>
      <c r="J653" s="66" t="str">
        <f>IFERROR(INDEX(M_SKU!$A$18:$J$57,MATCH(I653,M_SKU!$B$18:$B$57,0),1),"UNKNOWN SKU")</f>
        <v>Sprite Zero Pet 300ML (x 12)</v>
      </c>
      <c r="K653" s="63" t="s">
        <v>545</v>
      </c>
      <c r="L653" s="276">
        <v>6</v>
      </c>
      <c r="M653" s="91" cm="1">
        <f t="array" ref="M653">IFERROR(INDEX(M_DepotPrice!$C$10:$C$52,MATCH(1,(M_DepotPrice!$A$10:$A$52=I653)*(M_DepotPrice!$H$10:$H$52=IFERROR(INDEX(M_Depot!$A$7:$A$24,MATCH(F653,M_Depot!$B$7:$B$24,0)),""))*(M_DepotPrice!$G$10:$G$52="Special"),0)),INDEX(M_DepotPrice!$C$10:$C$52,MATCH(1,(M_DepotPrice!$A$10:$A$52=I653)*(M_DepotPrice!$G$10:$G$52="Default"),0)))</f>
        <v>5085</v>
      </c>
      <c r="N653" s="67">
        <f t="shared" si="21"/>
        <v>36001.799999999996</v>
      </c>
      <c r="O653" s="66" t="str">
        <f t="shared" si="20"/>
        <v>MOS100645|PO010|CK5-33360</v>
      </c>
    </row>
    <row r="654" spans="1:15" ht="15" customHeight="1" x14ac:dyDescent="0.3">
      <c r="A654" s="70" t="s">
        <v>1333</v>
      </c>
      <c r="B654" s="70" t="s">
        <v>527</v>
      </c>
      <c r="C654" s="72">
        <v>46179</v>
      </c>
      <c r="D654" s="73" t="s">
        <v>404</v>
      </c>
      <c r="E654" s="76" t="str">
        <f>IFERROR(INDEX(M_User!$A$12:$J$67,MATCH(D654,M_User!$D$12:$D$67,0),3),"UNMAPPED")</f>
        <v>Riziki Rajabu Mghamba</v>
      </c>
      <c r="F654" s="75" t="str">
        <f>IFERROR(INDEX(M_User!$A$12:$J$67,MATCH(D654,M_User!$D$12:$D$67,0),5),"UNMAPPED")</f>
        <v>MOS</v>
      </c>
      <c r="G654" s="73" t="s">
        <v>825</v>
      </c>
      <c r="H654" s="92" t="s">
        <v>826</v>
      </c>
      <c r="I654" s="73" t="s">
        <v>254</v>
      </c>
      <c r="J654" s="76" t="str">
        <f>IFERROR(INDEX(M_SKU!$A$18:$J$57,MATCH(I654,M_SKU!$B$18:$B$57,0),1),"UNKNOWN SKU")</f>
        <v>Fanta Zero Pet 300ML (x 12)</v>
      </c>
      <c r="K654" s="73" t="s">
        <v>546</v>
      </c>
      <c r="L654" s="276">
        <v>2</v>
      </c>
      <c r="M654" s="94" cm="1">
        <f t="array" ref="M654">IFERROR(INDEX(M_DepotPrice!$C$10:$C$52,MATCH(1,(M_DepotPrice!$A$10:$A$52=I654)*(M_DepotPrice!$H$10:$H$52=IFERROR(INDEX(M_Depot!$A$7:$A$24,MATCH(F654,M_Depot!$B$7:$B$24,0)),""))*(M_DepotPrice!$G$10:$G$52="Special"),0)),INDEX(M_DepotPrice!$C$10:$C$52,MATCH(1,(M_DepotPrice!$A$10:$A$52=I654)*(M_DepotPrice!$G$10:$G$52="Default"),0)))</f>
        <v>5085</v>
      </c>
      <c r="N654" s="95">
        <f t="shared" si="21"/>
        <v>12000.599999999999</v>
      </c>
      <c r="O654" s="82" t="str">
        <f t="shared" si="20"/>
        <v>MOS100645|PO012|CK5-33369</v>
      </c>
    </row>
    <row r="655" spans="1:15" ht="15" customHeight="1" x14ac:dyDescent="0.3">
      <c r="A655" s="60" t="s">
        <v>1334</v>
      </c>
      <c r="B655" s="60" t="s">
        <v>572</v>
      </c>
      <c r="C655" s="62">
        <v>46179</v>
      </c>
      <c r="D655" s="63" t="s">
        <v>427</v>
      </c>
      <c r="E655" s="66" t="str">
        <f>IFERROR(INDEX(M_User!$A$12:$J$67,MATCH(D655,M_User!$D$12:$D$67,0),3),"UNMAPPED")</f>
        <v>Piniel Julius Singo</v>
      </c>
      <c r="F655" s="65" t="str">
        <f>IFERROR(INDEX(M_User!$A$12:$J$67,MATCH(D655,M_User!$D$12:$D$67,0),5),"UNMAPPED")</f>
        <v>MOS</v>
      </c>
      <c r="G655" s="63" t="s">
        <v>756</v>
      </c>
      <c r="H655" s="69" t="s">
        <v>757</v>
      </c>
      <c r="I655" s="63" t="s">
        <v>181</v>
      </c>
      <c r="J655" s="66" t="str">
        <f>IFERROR(INDEX(M_SKU!$A$18:$J$57,MATCH(I655,M_SKU!$B$18:$B$57,0),1),"UNKNOWN SKU")</f>
        <v>Fanta Passion RGB 350ml</v>
      </c>
      <c r="K655" s="63" t="s">
        <v>550</v>
      </c>
      <c r="L655" s="276">
        <v>2.3079000000000001</v>
      </c>
      <c r="M655" s="91" cm="1">
        <f t="array" ref="M655">IFERROR(INDEX(M_DepotPrice!$C$10:$C$52,MATCH(1,(M_DepotPrice!$A$10:$A$52=I655)*(M_DepotPrice!$H$10:$H$52=IFERROR(INDEX(M_Depot!$A$7:$A$24,MATCH(F655,M_Depot!$B$7:$B$24,0)),""))*(M_DepotPrice!$G$10:$G$52="Special"),0)),INDEX(M_DepotPrice!$C$10:$C$52,MATCH(1,(M_DepotPrice!$A$10:$A$52=I655)*(M_DepotPrice!$G$10:$G$52="Default"),0)))</f>
        <v>11780</v>
      </c>
      <c r="N655" s="67">
        <f t="shared" si="21"/>
        <v>32080.73316</v>
      </c>
      <c r="O655" s="66" t="str">
        <f t="shared" si="20"/>
        <v>MOS100654|FG003|CK3-33356</v>
      </c>
    </row>
    <row r="656" spans="1:15" ht="15" customHeight="1" x14ac:dyDescent="0.3">
      <c r="A656" s="70" t="s">
        <v>1335</v>
      </c>
      <c r="B656" s="70" t="s">
        <v>572</v>
      </c>
      <c r="C656" s="72">
        <v>46179</v>
      </c>
      <c r="D656" s="73" t="s">
        <v>427</v>
      </c>
      <c r="E656" s="76" t="str">
        <f>IFERROR(INDEX(M_User!$A$12:$J$67,MATCH(D656,M_User!$D$12:$D$67,0),3),"UNMAPPED")</f>
        <v>Piniel Julius Singo</v>
      </c>
      <c r="F656" s="75" t="str">
        <f>IFERROR(INDEX(M_User!$A$12:$J$67,MATCH(D656,M_User!$D$12:$D$67,0),5),"UNMAPPED")</f>
        <v>MOS</v>
      </c>
      <c r="G656" s="73" t="s">
        <v>756</v>
      </c>
      <c r="H656" s="92" t="s">
        <v>757</v>
      </c>
      <c r="I656" s="73" t="s">
        <v>183</v>
      </c>
      <c r="J656" s="76" t="str">
        <f>IFERROR(INDEX(M_SKU!$A$18:$J$57,MATCH(I656,M_SKU!$B$18:$B$57,0),1),"UNKNOWN SKU")</f>
        <v>Fanta Pineapple RGB 350ml</v>
      </c>
      <c r="K656" s="73" t="s">
        <v>533</v>
      </c>
      <c r="L656" s="276">
        <v>1.9011</v>
      </c>
      <c r="M656" s="94" cm="1">
        <f t="array" ref="M656">IFERROR(INDEX(M_DepotPrice!$C$10:$C$52,MATCH(1,(M_DepotPrice!$A$10:$A$52=I656)*(M_DepotPrice!$H$10:$H$52=IFERROR(INDEX(M_Depot!$A$7:$A$24,MATCH(F656,M_Depot!$B$7:$B$24,0)),""))*(M_DepotPrice!$G$10:$G$52="Special"),0)),INDEX(M_DepotPrice!$C$10:$C$52,MATCH(1,(M_DepotPrice!$A$10:$A$52=I656)*(M_DepotPrice!$G$10:$G$52="Default"),0)))</f>
        <v>11780</v>
      </c>
      <c r="N656" s="95">
        <f t="shared" si="21"/>
        <v>26426.050439999995</v>
      </c>
      <c r="O656" s="82" t="str">
        <f t="shared" si="20"/>
        <v>MOS100654|FG004|CK3-33385</v>
      </c>
    </row>
    <row r="657" spans="1:15" ht="15" customHeight="1" x14ac:dyDescent="0.3">
      <c r="A657" s="60" t="s">
        <v>1336</v>
      </c>
      <c r="B657" s="60" t="s">
        <v>572</v>
      </c>
      <c r="C657" s="62">
        <v>46179</v>
      </c>
      <c r="D657" s="63" t="s">
        <v>427</v>
      </c>
      <c r="E657" s="66" t="str">
        <f>IFERROR(INDEX(M_User!$A$12:$J$67,MATCH(D657,M_User!$D$12:$D$67,0),3),"UNMAPPED")</f>
        <v>Piniel Julius Singo</v>
      </c>
      <c r="F657" s="65" t="str">
        <f>IFERROR(INDEX(M_User!$A$12:$J$67,MATCH(D657,M_User!$D$12:$D$67,0),5),"UNMAPPED")</f>
        <v>MOS</v>
      </c>
      <c r="G657" s="63" t="s">
        <v>756</v>
      </c>
      <c r="H657" s="69" t="s">
        <v>757</v>
      </c>
      <c r="I657" s="63" t="s">
        <v>187</v>
      </c>
      <c r="J657" s="66" t="str">
        <f>IFERROR(INDEX(M_SKU!$A$18:$J$57,MATCH(I657,M_SKU!$B$18:$B$57,0),1),"UNKNOWN SKU")</f>
        <v>Sprite 350ml</v>
      </c>
      <c r="K657" s="63" t="s">
        <v>535</v>
      </c>
      <c r="L657" s="276">
        <v>2.6724000000000001</v>
      </c>
      <c r="M657" s="91" cm="1">
        <f t="array" ref="M657">IFERROR(INDEX(M_DepotPrice!$C$10:$C$52,MATCH(1,(M_DepotPrice!$A$10:$A$52=I657)*(M_DepotPrice!$H$10:$H$52=IFERROR(INDEX(M_Depot!$A$7:$A$24,MATCH(F657,M_Depot!$B$7:$B$24,0)),""))*(M_DepotPrice!$G$10:$G$52="Special"),0)),INDEX(M_DepotPrice!$C$10:$C$52,MATCH(1,(M_DepotPrice!$A$10:$A$52=I657)*(M_DepotPrice!$G$10:$G$52="Default"),0)))</f>
        <v>11780</v>
      </c>
      <c r="N657" s="67">
        <f t="shared" si="21"/>
        <v>37147.428960000005</v>
      </c>
      <c r="O657" s="66" t="str">
        <f t="shared" si="20"/>
        <v>MOS100654|FG006|CK3-33414</v>
      </c>
    </row>
    <row r="658" spans="1:15" ht="15" customHeight="1" x14ac:dyDescent="0.3">
      <c r="A658" s="70" t="s">
        <v>1337</v>
      </c>
      <c r="B658" s="70" t="s">
        <v>572</v>
      </c>
      <c r="C658" s="72">
        <v>46179</v>
      </c>
      <c r="D658" s="73" t="s">
        <v>427</v>
      </c>
      <c r="E658" s="76" t="str">
        <f>IFERROR(INDEX(M_User!$A$12:$J$67,MATCH(D658,M_User!$D$12:$D$67,0),3),"UNMAPPED")</f>
        <v>Piniel Julius Singo</v>
      </c>
      <c r="F658" s="75" t="str">
        <f>IFERROR(INDEX(M_User!$A$12:$J$67,MATCH(D658,M_User!$D$12:$D$67,0),5),"UNMAPPED")</f>
        <v>MOS</v>
      </c>
      <c r="G658" s="73" t="s">
        <v>756</v>
      </c>
      <c r="H658" s="92" t="s">
        <v>757</v>
      </c>
      <c r="I658" s="73" t="s">
        <v>190</v>
      </c>
      <c r="J658" s="76" t="str">
        <f>IFERROR(INDEX(M_SKU!$A$18:$J$57,MATCH(I658,M_SKU!$B$18:$B$57,0),1),"UNKNOWN SKU")</f>
        <v>Stoney Tangawizi RGB 350ml</v>
      </c>
      <c r="K658" s="73" t="s">
        <v>536</v>
      </c>
      <c r="L658" s="276">
        <v>1.10041924041378</v>
      </c>
      <c r="M658" s="94" cm="1">
        <f t="array" ref="M658">IFERROR(INDEX(M_DepotPrice!$C$10:$C$52,MATCH(1,(M_DepotPrice!$A$10:$A$52=I658)*(M_DepotPrice!$H$10:$H$52=IFERROR(INDEX(M_Depot!$A$7:$A$24,MATCH(F658,M_Depot!$B$7:$B$24,0)),""))*(M_DepotPrice!$G$10:$G$52="Special"),0)),INDEX(M_DepotPrice!$C$10:$C$52,MATCH(1,(M_DepotPrice!$A$10:$A$52=I658)*(M_DepotPrice!$G$10:$G$52="Default"),0)))</f>
        <v>11780</v>
      </c>
      <c r="N658" s="95">
        <f t="shared" si="21"/>
        <v>15296.267609447706</v>
      </c>
      <c r="O658" s="82" t="str">
        <f t="shared" si="20"/>
        <v>MOS100654|FG007|CK3-33404</v>
      </c>
    </row>
    <row r="659" spans="1:15" ht="15" customHeight="1" x14ac:dyDescent="0.3">
      <c r="A659" s="60" t="s">
        <v>1338</v>
      </c>
      <c r="B659" s="60" t="s">
        <v>572</v>
      </c>
      <c r="C659" s="62">
        <v>46179</v>
      </c>
      <c r="D659" s="63" t="s">
        <v>427</v>
      </c>
      <c r="E659" s="66" t="str">
        <f>IFERROR(INDEX(M_User!$A$12:$J$67,MATCH(D659,M_User!$D$12:$D$67,0),3),"UNMAPPED")</f>
        <v>Piniel Julius Singo</v>
      </c>
      <c r="F659" s="65" t="str">
        <f>IFERROR(INDEX(M_User!$A$12:$J$67,MATCH(D659,M_User!$D$12:$D$67,0),5),"UNMAPPED")</f>
        <v>MOS</v>
      </c>
      <c r="G659" s="63" t="s">
        <v>756</v>
      </c>
      <c r="H659" s="69" t="s">
        <v>757</v>
      </c>
      <c r="I659" s="63" t="s">
        <v>193</v>
      </c>
      <c r="J659" s="66" t="str">
        <f>IFERROR(INDEX(M_SKU!$A$18:$J$57,MATCH(I659,M_SKU!$B$18:$B$57,0),1),"UNKNOWN SKU")</f>
        <v>Sparletta Pinenut RGB 350ml</v>
      </c>
      <c r="K659" s="63" t="s">
        <v>537</v>
      </c>
      <c r="L659" s="276">
        <v>0.78920000000000001</v>
      </c>
      <c r="M659" s="91" cm="1">
        <f t="array" ref="M659">IFERROR(INDEX(M_DepotPrice!$C$10:$C$52,MATCH(1,(M_DepotPrice!$A$10:$A$52=I659)*(M_DepotPrice!$H$10:$H$52=IFERROR(INDEX(M_Depot!$A$7:$A$24,MATCH(F659,M_Depot!$B$7:$B$24,0)),""))*(M_DepotPrice!$G$10:$G$52="Special"),0)),INDEX(M_DepotPrice!$C$10:$C$52,MATCH(1,(M_DepotPrice!$A$10:$A$52=I659)*(M_DepotPrice!$G$10:$G$52="Default"),0)))</f>
        <v>11780</v>
      </c>
      <c r="N659" s="67">
        <f t="shared" si="21"/>
        <v>10970.195679999999</v>
      </c>
      <c r="O659" s="66" t="str">
        <f t="shared" si="20"/>
        <v>MOS100654|FG008|CK3-33365</v>
      </c>
    </row>
    <row r="660" spans="1:15" ht="15" customHeight="1" x14ac:dyDescent="0.3">
      <c r="A660" s="70" t="s">
        <v>1339</v>
      </c>
      <c r="B660" s="70" t="s">
        <v>572</v>
      </c>
      <c r="C660" s="72">
        <v>46179</v>
      </c>
      <c r="D660" s="73" t="s">
        <v>427</v>
      </c>
      <c r="E660" s="76" t="str">
        <f>IFERROR(INDEX(M_User!$A$12:$J$67,MATCH(D660,M_User!$D$12:$D$67,0),3),"UNMAPPED")</f>
        <v>Piniel Julius Singo</v>
      </c>
      <c r="F660" s="75" t="str">
        <f>IFERROR(INDEX(M_User!$A$12:$J$67,MATCH(D660,M_User!$D$12:$D$67,0),5),"UNMAPPED")</f>
        <v>MOS</v>
      </c>
      <c r="G660" s="73" t="s">
        <v>756</v>
      </c>
      <c r="H660" s="92" t="s">
        <v>757</v>
      </c>
      <c r="I660" s="73" t="s">
        <v>201</v>
      </c>
      <c r="J660" s="76" t="str">
        <f>IFERROR(INDEX(M_SKU!$A$18:$J$57,MATCH(I660,M_SKU!$B$18:$B$57,0),1),"UNKNOWN SKU")</f>
        <v>Krest Tonic Water RGB 300ml</v>
      </c>
      <c r="K660" s="73" t="s">
        <v>540</v>
      </c>
      <c r="L660" s="276">
        <v>2.6653971568919901</v>
      </c>
      <c r="M660" s="94" cm="1">
        <f t="array" ref="M660">IFERROR(INDEX(M_DepotPrice!$C$10:$C$52,MATCH(1,(M_DepotPrice!$A$10:$A$52=I660)*(M_DepotPrice!$H$10:$H$52=IFERROR(INDEX(M_Depot!$A$7:$A$24,MATCH(F660,M_Depot!$B$7:$B$24,0)),""))*(M_DepotPrice!$G$10:$G$52="Special"),0)),INDEX(M_DepotPrice!$C$10:$C$52,MATCH(1,(M_DepotPrice!$A$10:$A$52=I660)*(M_DepotPrice!$G$10:$G$52="Default"),0)))</f>
        <v>11780</v>
      </c>
      <c r="N660" s="95">
        <f t="shared" si="21"/>
        <v>37050.086639661422</v>
      </c>
      <c r="O660" s="82" t="str">
        <f t="shared" si="20"/>
        <v>MOS100654|FG011|CK3-33347</v>
      </c>
    </row>
    <row r="661" spans="1:15" ht="15" customHeight="1" x14ac:dyDescent="0.3">
      <c r="A661" s="60" t="s">
        <v>1340</v>
      </c>
      <c r="B661" s="60" t="s">
        <v>572</v>
      </c>
      <c r="C661" s="62">
        <v>46179</v>
      </c>
      <c r="D661" s="63" t="s">
        <v>427</v>
      </c>
      <c r="E661" s="66" t="str">
        <f>IFERROR(INDEX(M_User!$A$12:$J$67,MATCH(D661,M_User!$D$12:$D$67,0),3),"UNMAPPED")</f>
        <v>Piniel Julius Singo</v>
      </c>
      <c r="F661" s="65" t="str">
        <f>IFERROR(INDEX(M_User!$A$12:$J$67,MATCH(D661,M_User!$D$12:$D$67,0),5),"UNMAPPED")</f>
        <v>MOS</v>
      </c>
      <c r="G661" s="63" t="s">
        <v>756</v>
      </c>
      <c r="H661" s="69" t="s">
        <v>757</v>
      </c>
      <c r="I661" s="63" t="s">
        <v>209</v>
      </c>
      <c r="J661" s="66" t="str">
        <f>IFERROR(INDEX(M_SKU!$A$18:$J$57,MATCH(I661,M_SKU!$B$18:$B$57,0),1),"UNKNOWN SKU")</f>
        <v>Sparletta Red Apple RGB 350ml</v>
      </c>
      <c r="K661" s="63" t="s">
        <v>542</v>
      </c>
      <c r="L661" s="276">
        <v>0.24399999999999999</v>
      </c>
      <c r="M661" s="91" cm="1">
        <f t="array" ref="M661">IFERROR(INDEX(M_DepotPrice!$C$10:$C$52,MATCH(1,(M_DepotPrice!$A$10:$A$52=I661)*(M_DepotPrice!$H$10:$H$52=IFERROR(INDEX(M_Depot!$A$7:$A$24,MATCH(F661,M_Depot!$B$7:$B$24,0)),""))*(M_DepotPrice!$G$10:$G$52="Special"),0)),INDEX(M_DepotPrice!$C$10:$C$52,MATCH(1,(M_DepotPrice!$A$10:$A$52=I661)*(M_DepotPrice!$G$10:$G$52="Default"),0)))</f>
        <v>11780</v>
      </c>
      <c r="N661" s="67">
        <f t="shared" si="21"/>
        <v>3391.6976</v>
      </c>
      <c r="O661" s="66" t="str">
        <f t="shared" si="20"/>
        <v>MOS100654|FG024|CK3-32758</v>
      </c>
    </row>
    <row r="662" spans="1:15" ht="15" customHeight="1" x14ac:dyDescent="0.3">
      <c r="A662" s="70" t="s">
        <v>1341</v>
      </c>
      <c r="B662" s="70" t="s">
        <v>572</v>
      </c>
      <c r="C662" s="72">
        <v>46179</v>
      </c>
      <c r="D662" s="73" t="s">
        <v>427</v>
      </c>
      <c r="E662" s="76" t="str">
        <f>IFERROR(INDEX(M_User!$A$12:$J$67,MATCH(D662,M_User!$D$12:$D$67,0),3),"UNMAPPED")</f>
        <v>Piniel Julius Singo</v>
      </c>
      <c r="F662" s="75" t="str">
        <f>IFERROR(INDEX(M_User!$A$12:$J$67,MATCH(D662,M_User!$D$12:$D$67,0),5),"UNMAPPED")</f>
        <v>MOS</v>
      </c>
      <c r="G662" s="73" t="s">
        <v>756</v>
      </c>
      <c r="H662" s="92" t="s">
        <v>757</v>
      </c>
      <c r="I662" s="73" t="s">
        <v>211</v>
      </c>
      <c r="J662" s="76" t="str">
        <f>IFERROR(INDEX(M_SKU!$A$18:$J$57,MATCH(I662,M_SKU!$B$18:$B$57,0),1),"UNKNOWN SKU")</f>
        <v>KNMW 500ml</v>
      </c>
      <c r="K662" s="73" t="s">
        <v>543</v>
      </c>
      <c r="L662" s="276">
        <v>23</v>
      </c>
      <c r="M662" s="94" cm="1">
        <f t="array" ref="M662">IFERROR(INDEX(M_DepotPrice!$C$10:$C$52,MATCH(1,(M_DepotPrice!$A$10:$A$52=I662)*(M_DepotPrice!$H$10:$H$52=IFERROR(INDEX(M_Depot!$A$7:$A$24,MATCH(F662,M_Depot!$B$7:$B$24,0)),""))*(M_DepotPrice!$G$10:$G$52="Special"),0)),INDEX(M_DepotPrice!$C$10:$C$52,MATCH(1,(M_DepotPrice!$A$10:$A$52=I662)*(M_DepotPrice!$G$10:$G$52="Default"),0)))</f>
        <v>3559</v>
      </c>
      <c r="N662" s="95">
        <f t="shared" si="21"/>
        <v>96591.26</v>
      </c>
      <c r="O662" s="82" t="str">
        <f t="shared" si="20"/>
        <v>MOS100654|KD001|CK6-986</v>
      </c>
    </row>
    <row r="663" spans="1:15" ht="15" customHeight="1" x14ac:dyDescent="0.3">
      <c r="A663" s="60" t="s">
        <v>1342</v>
      </c>
      <c r="B663" s="60" t="s">
        <v>572</v>
      </c>
      <c r="C663" s="62">
        <v>46179</v>
      </c>
      <c r="D663" s="63" t="s">
        <v>427</v>
      </c>
      <c r="E663" s="66" t="str">
        <f>IFERROR(INDEX(M_User!$A$12:$J$67,MATCH(D663,M_User!$D$12:$D$67,0),3),"UNMAPPED")</f>
        <v>Piniel Julius Singo</v>
      </c>
      <c r="F663" s="65" t="str">
        <f>IFERROR(INDEX(M_User!$A$12:$J$67,MATCH(D663,M_User!$D$12:$D$67,0),5),"UNMAPPED")</f>
        <v>MOS</v>
      </c>
      <c r="G663" s="63" t="s">
        <v>756</v>
      </c>
      <c r="H663" s="69" t="s">
        <v>757</v>
      </c>
      <c r="I663" s="63" t="s">
        <v>222</v>
      </c>
      <c r="J663" s="66" t="str">
        <f>IFERROR(INDEX(M_SKU!$A$18:$J$57,MATCH(I663,M_SKU!$B$18:$B$57,0),1),"UNKNOWN SKU")</f>
        <v>Kilimanjaro Drinking Water 12000 ML</v>
      </c>
      <c r="K663" s="63" t="s">
        <v>566</v>
      </c>
      <c r="L663" s="276">
        <v>1</v>
      </c>
      <c r="M663" s="91" cm="1">
        <f t="array" ref="M663">IFERROR(INDEX(M_DepotPrice!$C$10:$C$52,MATCH(1,(M_DepotPrice!$A$10:$A$52=I663)*(M_DepotPrice!$H$10:$H$52=IFERROR(INDEX(M_Depot!$A$7:$A$24,MATCH(F663,M_Depot!$B$7:$B$24,0)),""))*(M_DepotPrice!$G$10:$G$52="Special"),0)),INDEX(M_DepotPrice!$C$10:$C$52,MATCH(1,(M_DepotPrice!$A$10:$A$52=I663)*(M_DepotPrice!$G$10:$G$52="Default"),0)))</f>
        <v>3559</v>
      </c>
      <c r="N663" s="67">
        <f t="shared" si="21"/>
        <v>4199.62</v>
      </c>
      <c r="O663" s="66" t="str">
        <f t="shared" si="20"/>
        <v>MOS100654|KD005|CK7-913</v>
      </c>
    </row>
    <row r="664" spans="1:15" ht="15" customHeight="1" x14ac:dyDescent="0.3">
      <c r="A664" s="70" t="s">
        <v>1343</v>
      </c>
      <c r="B664" s="70" t="s">
        <v>572</v>
      </c>
      <c r="C664" s="72">
        <v>46179</v>
      </c>
      <c r="D664" s="73" t="s">
        <v>427</v>
      </c>
      <c r="E664" s="76" t="str">
        <f>IFERROR(INDEX(M_User!$A$12:$J$67,MATCH(D664,M_User!$D$12:$D$67,0),3),"UNMAPPED")</f>
        <v>Piniel Julius Singo</v>
      </c>
      <c r="F664" s="75" t="str">
        <f>IFERROR(INDEX(M_User!$A$12:$J$67,MATCH(D664,M_User!$D$12:$D$67,0),5),"UNMAPPED")</f>
        <v>MOS</v>
      </c>
      <c r="G664" s="73" t="s">
        <v>756</v>
      </c>
      <c r="H664" s="92" t="s">
        <v>757</v>
      </c>
      <c r="I664" s="73" t="s">
        <v>234</v>
      </c>
      <c r="J664" s="76" t="str">
        <f>IFERROR(INDEX(M_SKU!$A$18:$J$57,MATCH(I664,M_SKU!$B$18:$B$57,0),1),"UNKNOWN SKU")</f>
        <v>Fanta Orange Pet 500ML ( x 12)</v>
      </c>
      <c r="K664" s="73" t="s">
        <v>523</v>
      </c>
      <c r="L664" s="276">
        <v>2</v>
      </c>
      <c r="M664" s="94" cm="1">
        <f t="array" ref="M664">IFERROR(INDEX(M_DepotPrice!$C$10:$C$52,MATCH(1,(M_DepotPrice!$A$10:$A$52=I664)*(M_DepotPrice!$H$10:$H$52=IFERROR(INDEX(M_Depot!$A$7:$A$24,MATCH(F664,M_Depot!$B$7:$B$24,0)),""))*(M_DepotPrice!$G$10:$G$52="Special"),0)),INDEX(M_DepotPrice!$C$10:$C$52,MATCH(1,(M_DepotPrice!$A$10:$A$52=I664)*(M_DepotPrice!$G$10:$G$52="Default"),0)))</f>
        <v>8898</v>
      </c>
      <c r="N664" s="95">
        <f t="shared" si="21"/>
        <v>20999.279999999999</v>
      </c>
      <c r="O664" s="82" t="str">
        <f t="shared" si="20"/>
        <v>MOS100654|PH003|CK6-33405</v>
      </c>
    </row>
    <row r="665" spans="1:15" ht="15" customHeight="1" x14ac:dyDescent="0.3">
      <c r="A665" s="60" t="s">
        <v>1344</v>
      </c>
      <c r="B665" s="60" t="s">
        <v>572</v>
      </c>
      <c r="C665" s="62">
        <v>46179</v>
      </c>
      <c r="D665" s="63" t="s">
        <v>427</v>
      </c>
      <c r="E665" s="66" t="str">
        <f>IFERROR(INDEX(M_User!$A$12:$J$67,MATCH(D665,M_User!$D$12:$D$67,0),3),"UNMAPPED")</f>
        <v>Piniel Julius Singo</v>
      </c>
      <c r="F665" s="65" t="str">
        <f>IFERROR(INDEX(M_User!$A$12:$J$67,MATCH(D665,M_User!$D$12:$D$67,0),5),"UNMAPPED")</f>
        <v>MOS</v>
      </c>
      <c r="G665" s="63" t="s">
        <v>756</v>
      </c>
      <c r="H665" s="69" t="s">
        <v>757</v>
      </c>
      <c r="I665" s="63" t="s">
        <v>236</v>
      </c>
      <c r="J665" s="66" t="str">
        <f>IFERROR(INDEX(M_SKU!$A$18:$J$57,MATCH(I665,M_SKU!$B$18:$B$57,0),1),"UNKNOWN SKU")</f>
        <v>Fanta Passion Pet 500ML ( x12)</v>
      </c>
      <c r="K665" s="63" t="s">
        <v>524</v>
      </c>
      <c r="L665" s="276">
        <v>1</v>
      </c>
      <c r="M665" s="91" cm="1">
        <f t="array" ref="M665">IFERROR(INDEX(M_DepotPrice!$C$10:$C$52,MATCH(1,(M_DepotPrice!$A$10:$A$52=I665)*(M_DepotPrice!$H$10:$H$52=IFERROR(INDEX(M_Depot!$A$7:$A$24,MATCH(F665,M_Depot!$B$7:$B$24,0)),""))*(M_DepotPrice!$G$10:$G$52="Special"),0)),INDEX(M_DepotPrice!$C$10:$C$52,MATCH(1,(M_DepotPrice!$A$10:$A$52=I665)*(M_DepotPrice!$G$10:$G$52="Default"),0)))</f>
        <v>8898</v>
      </c>
      <c r="N665" s="67">
        <f t="shared" si="21"/>
        <v>10499.64</v>
      </c>
      <c r="O665" s="66" t="str">
        <f t="shared" si="20"/>
        <v>MOS100654|PH004|CK5-33334</v>
      </c>
    </row>
    <row r="666" spans="1:15" ht="15" customHeight="1" x14ac:dyDescent="0.3">
      <c r="A666" s="70" t="s">
        <v>1345</v>
      </c>
      <c r="B666" s="70" t="s">
        <v>572</v>
      </c>
      <c r="C666" s="72">
        <v>46179</v>
      </c>
      <c r="D666" s="73" t="s">
        <v>427</v>
      </c>
      <c r="E666" s="76" t="str">
        <f>IFERROR(INDEX(M_User!$A$12:$J$67,MATCH(D666,M_User!$D$12:$D$67,0),3),"UNMAPPED")</f>
        <v>Piniel Julius Singo</v>
      </c>
      <c r="F666" s="75" t="str">
        <f>IFERROR(INDEX(M_User!$A$12:$J$67,MATCH(D666,M_User!$D$12:$D$67,0),5),"UNMAPPED")</f>
        <v>MOS</v>
      </c>
      <c r="G666" s="73" t="s">
        <v>756</v>
      </c>
      <c r="H666" s="92" t="s">
        <v>757</v>
      </c>
      <c r="I666" s="73" t="s">
        <v>244</v>
      </c>
      <c r="J666" s="76" t="str">
        <f>IFERROR(INDEX(M_SKU!$A$18:$J$57,MATCH(I666,M_SKU!$B$18:$B$57,0),1),"UNKNOWN SKU")</f>
        <v>Sparletta Pinenut Pet 500 ml ( x12)</v>
      </c>
      <c r="K666" s="73" t="s">
        <v>526</v>
      </c>
      <c r="L666" s="276">
        <v>1</v>
      </c>
      <c r="M666" s="94" cm="1">
        <f t="array" ref="M666">IFERROR(INDEX(M_DepotPrice!$C$10:$C$52,MATCH(1,(M_DepotPrice!$A$10:$A$52=I666)*(M_DepotPrice!$H$10:$H$52=IFERROR(INDEX(M_Depot!$A$7:$A$24,MATCH(F666,M_Depot!$B$7:$B$24,0)),""))*(M_DepotPrice!$G$10:$G$52="Special"),0)),INDEX(M_DepotPrice!$C$10:$C$52,MATCH(1,(M_DepotPrice!$A$10:$A$52=I666)*(M_DepotPrice!$G$10:$G$52="Default"),0)))</f>
        <v>8898</v>
      </c>
      <c r="N666" s="95">
        <f t="shared" si="21"/>
        <v>10499.64</v>
      </c>
      <c r="O666" s="82" t="str">
        <f t="shared" si="20"/>
        <v>MOS100654|PH008|CK5-33370</v>
      </c>
    </row>
    <row r="667" spans="1:15" ht="15" customHeight="1" x14ac:dyDescent="0.3">
      <c r="A667" s="60" t="s">
        <v>1346</v>
      </c>
      <c r="B667" s="60" t="s">
        <v>572</v>
      </c>
      <c r="C667" s="62">
        <v>46179</v>
      </c>
      <c r="D667" s="63" t="s">
        <v>427</v>
      </c>
      <c r="E667" s="66" t="str">
        <f>IFERROR(INDEX(M_User!$A$12:$J$67,MATCH(D667,M_User!$D$12:$D$67,0),3),"UNMAPPED")</f>
        <v>Piniel Julius Singo</v>
      </c>
      <c r="F667" s="65" t="str">
        <f>IFERROR(INDEX(M_User!$A$12:$J$67,MATCH(D667,M_User!$D$12:$D$67,0),5),"UNMAPPED")</f>
        <v>MOS</v>
      </c>
      <c r="G667" s="63" t="s">
        <v>904</v>
      </c>
      <c r="H667" s="69" t="s">
        <v>905</v>
      </c>
      <c r="I667" s="63" t="s">
        <v>178</v>
      </c>
      <c r="J667" s="66" t="str">
        <f>IFERROR(INDEX(M_SKU!$A$18:$J$57,MATCH(I667,M_SKU!$B$18:$B$57,0),1),"UNKNOWN SKU")</f>
        <v>Fanta Orange RGB 350ml</v>
      </c>
      <c r="K667" s="63" t="s">
        <v>531</v>
      </c>
      <c r="L667" s="276">
        <v>4.282</v>
      </c>
      <c r="M667" s="91" cm="1">
        <f t="array" ref="M667">IFERROR(INDEX(M_DepotPrice!$C$10:$C$52,MATCH(1,(M_DepotPrice!$A$10:$A$52=I667)*(M_DepotPrice!$H$10:$H$52=IFERROR(INDEX(M_Depot!$A$7:$A$24,MATCH(F667,M_Depot!$B$7:$B$24,0)),""))*(M_DepotPrice!$G$10:$G$52="Special"),0)),INDEX(M_DepotPrice!$C$10:$C$52,MATCH(1,(M_DepotPrice!$A$10:$A$52=I667)*(M_DepotPrice!$G$10:$G$52="Default"),0)))</f>
        <v>11780</v>
      </c>
      <c r="N667" s="67">
        <f t="shared" si="21"/>
        <v>59521.512799999997</v>
      </c>
      <c r="O667" s="66" t="str">
        <f t="shared" si="20"/>
        <v>MOS100654|FG002|CK3-33407</v>
      </c>
    </row>
    <row r="668" spans="1:15" ht="15" customHeight="1" x14ac:dyDescent="0.3">
      <c r="A668" s="70" t="s">
        <v>1347</v>
      </c>
      <c r="B668" s="70" t="s">
        <v>572</v>
      </c>
      <c r="C668" s="72">
        <v>46179</v>
      </c>
      <c r="D668" s="73" t="s">
        <v>427</v>
      </c>
      <c r="E668" s="76" t="str">
        <f>IFERROR(INDEX(M_User!$A$12:$J$67,MATCH(D668,M_User!$D$12:$D$67,0),3),"UNMAPPED")</f>
        <v>Piniel Julius Singo</v>
      </c>
      <c r="F668" s="75" t="str">
        <f>IFERROR(INDEX(M_User!$A$12:$J$67,MATCH(D668,M_User!$D$12:$D$67,0),5),"UNMAPPED")</f>
        <v>MOS</v>
      </c>
      <c r="G668" s="73" t="s">
        <v>904</v>
      </c>
      <c r="H668" s="92" t="s">
        <v>905</v>
      </c>
      <c r="I668" s="73" t="s">
        <v>181</v>
      </c>
      <c r="J668" s="76" t="str">
        <f>IFERROR(INDEX(M_SKU!$A$18:$J$57,MATCH(I668,M_SKU!$B$18:$B$57,0),1),"UNKNOWN SKU")</f>
        <v>Fanta Passion RGB 350ml</v>
      </c>
      <c r="K668" s="73" t="s">
        <v>550</v>
      </c>
      <c r="L668" s="276">
        <v>1.93116983725495</v>
      </c>
      <c r="M668" s="94" cm="1">
        <f t="array" ref="M668">IFERROR(INDEX(M_DepotPrice!$C$10:$C$52,MATCH(1,(M_DepotPrice!$A$10:$A$52=I668)*(M_DepotPrice!$H$10:$H$52=IFERROR(INDEX(M_Depot!$A$7:$A$24,MATCH(F668,M_Depot!$B$7:$B$24,0)),""))*(M_DepotPrice!$G$10:$G$52="Special"),0)),INDEX(M_DepotPrice!$C$10:$C$52,MATCH(1,(M_DepotPrice!$A$10:$A$52=I668)*(M_DepotPrice!$G$10:$G$52="Default"),0)))</f>
        <v>11780</v>
      </c>
      <c r="N668" s="95">
        <f t="shared" si="21"/>
        <v>26844.033205778702</v>
      </c>
      <c r="O668" s="82" t="str">
        <f t="shared" si="20"/>
        <v>MOS100654|FG003|CK3-33356</v>
      </c>
    </row>
    <row r="669" spans="1:15" ht="15" customHeight="1" x14ac:dyDescent="0.3">
      <c r="A669" s="60" t="s">
        <v>1348</v>
      </c>
      <c r="B669" s="60" t="s">
        <v>572</v>
      </c>
      <c r="C669" s="62">
        <v>46179</v>
      </c>
      <c r="D669" s="63" t="s">
        <v>427</v>
      </c>
      <c r="E669" s="66" t="str">
        <f>IFERROR(INDEX(M_User!$A$12:$J$67,MATCH(D669,M_User!$D$12:$D$67,0),3),"UNMAPPED")</f>
        <v>Piniel Julius Singo</v>
      </c>
      <c r="F669" s="65" t="str">
        <f>IFERROR(INDEX(M_User!$A$12:$J$67,MATCH(D669,M_User!$D$12:$D$67,0),5),"UNMAPPED")</f>
        <v>MOS</v>
      </c>
      <c r="G669" s="63" t="s">
        <v>904</v>
      </c>
      <c r="H669" s="69" t="s">
        <v>905</v>
      </c>
      <c r="I669" s="63" t="s">
        <v>185</v>
      </c>
      <c r="J669" s="66" t="str">
        <f>IFERROR(INDEX(M_SKU!$A$18:$J$57,MATCH(I669,M_SKU!$B$18:$B$57,0),1),"UNKNOWN SKU")</f>
        <v>Fanta Fruit Blast RGB 350 ml</v>
      </c>
      <c r="K669" s="63" t="s">
        <v>534</v>
      </c>
      <c r="L669" s="276">
        <v>1.1476999999999999</v>
      </c>
      <c r="M669" s="91" cm="1">
        <f t="array" ref="M669">IFERROR(INDEX(M_DepotPrice!$C$10:$C$52,MATCH(1,(M_DepotPrice!$A$10:$A$52=I669)*(M_DepotPrice!$H$10:$H$52=IFERROR(INDEX(M_Depot!$A$7:$A$24,MATCH(F669,M_Depot!$B$7:$B$24,0)),""))*(M_DepotPrice!$G$10:$G$52="Special"),0)),INDEX(M_DepotPrice!$C$10:$C$52,MATCH(1,(M_DepotPrice!$A$10:$A$52=I669)*(M_DepotPrice!$G$10:$G$52="Default"),0)))</f>
        <v>11780</v>
      </c>
      <c r="N669" s="67">
        <f t="shared" si="21"/>
        <v>15953.489079999998</v>
      </c>
      <c r="O669" s="66" t="str">
        <f t="shared" si="20"/>
        <v>MOS100654|FG005|CK3-33402</v>
      </c>
    </row>
    <row r="670" spans="1:15" ht="15" customHeight="1" x14ac:dyDescent="0.3">
      <c r="A670" s="70" t="s">
        <v>1349</v>
      </c>
      <c r="B670" s="70" t="s">
        <v>572</v>
      </c>
      <c r="C670" s="72">
        <v>46179</v>
      </c>
      <c r="D670" s="73" t="s">
        <v>427</v>
      </c>
      <c r="E670" s="76" t="str">
        <f>IFERROR(INDEX(M_User!$A$12:$J$67,MATCH(D670,M_User!$D$12:$D$67,0),3),"UNMAPPED")</f>
        <v>Piniel Julius Singo</v>
      </c>
      <c r="F670" s="75" t="str">
        <f>IFERROR(INDEX(M_User!$A$12:$J$67,MATCH(D670,M_User!$D$12:$D$67,0),5),"UNMAPPED")</f>
        <v>MOS</v>
      </c>
      <c r="G670" s="73" t="s">
        <v>904</v>
      </c>
      <c r="H670" s="92" t="s">
        <v>905</v>
      </c>
      <c r="I670" s="73" t="s">
        <v>190</v>
      </c>
      <c r="J670" s="76" t="str">
        <f>IFERROR(INDEX(M_SKU!$A$18:$J$57,MATCH(I670,M_SKU!$B$18:$B$57,0),1),"UNKNOWN SKU")</f>
        <v>Stoney Tangawizi RGB 350ml</v>
      </c>
      <c r="K670" s="73" t="s">
        <v>536</v>
      </c>
      <c r="L670" s="276">
        <v>0.49469999999999997</v>
      </c>
      <c r="M670" s="94" cm="1">
        <f t="array" ref="M670">IFERROR(INDEX(M_DepotPrice!$C$10:$C$52,MATCH(1,(M_DepotPrice!$A$10:$A$52=I670)*(M_DepotPrice!$H$10:$H$52=IFERROR(INDEX(M_Depot!$A$7:$A$24,MATCH(F670,M_Depot!$B$7:$B$24,0)),""))*(M_DepotPrice!$G$10:$G$52="Special"),0)),INDEX(M_DepotPrice!$C$10:$C$52,MATCH(1,(M_DepotPrice!$A$10:$A$52=I670)*(M_DepotPrice!$G$10:$G$52="Default"),0)))</f>
        <v>11780</v>
      </c>
      <c r="N670" s="95">
        <f t="shared" si="21"/>
        <v>6876.5278799999996</v>
      </c>
      <c r="O670" s="82" t="str">
        <f t="shared" si="20"/>
        <v>MOS100654|FG007|CK3-33404</v>
      </c>
    </row>
    <row r="671" spans="1:15" ht="15" customHeight="1" x14ac:dyDescent="0.3">
      <c r="A671" s="60" t="s">
        <v>1350</v>
      </c>
      <c r="B671" s="60" t="s">
        <v>572</v>
      </c>
      <c r="C671" s="62">
        <v>46179</v>
      </c>
      <c r="D671" s="63" t="s">
        <v>427</v>
      </c>
      <c r="E671" s="66" t="str">
        <f>IFERROR(INDEX(M_User!$A$12:$J$67,MATCH(D671,M_User!$D$12:$D$67,0),3),"UNMAPPED")</f>
        <v>Piniel Julius Singo</v>
      </c>
      <c r="F671" s="65" t="str">
        <f>IFERROR(INDEX(M_User!$A$12:$J$67,MATCH(D671,M_User!$D$12:$D$67,0),5),"UNMAPPED")</f>
        <v>MOS</v>
      </c>
      <c r="G671" s="63" t="s">
        <v>904</v>
      </c>
      <c r="H671" s="69" t="s">
        <v>905</v>
      </c>
      <c r="I671" s="63" t="s">
        <v>193</v>
      </c>
      <c r="J671" s="66" t="str">
        <f>IFERROR(INDEX(M_SKU!$A$18:$J$57,MATCH(I671,M_SKU!$B$18:$B$57,0),1),"UNKNOWN SKU")</f>
        <v>Sparletta Pinenut RGB 350ml</v>
      </c>
      <c r="K671" s="63" t="s">
        <v>537</v>
      </c>
      <c r="L671" s="276">
        <v>0.46629999999999999</v>
      </c>
      <c r="M671" s="91" cm="1">
        <f t="array" ref="M671">IFERROR(INDEX(M_DepotPrice!$C$10:$C$52,MATCH(1,(M_DepotPrice!$A$10:$A$52=I671)*(M_DepotPrice!$H$10:$H$52=IFERROR(INDEX(M_Depot!$A$7:$A$24,MATCH(F671,M_Depot!$B$7:$B$24,0)),""))*(M_DepotPrice!$G$10:$G$52="Special"),0)),INDEX(M_DepotPrice!$C$10:$C$52,MATCH(1,(M_DepotPrice!$A$10:$A$52=I671)*(M_DepotPrice!$G$10:$G$52="Default"),0)))</f>
        <v>11780</v>
      </c>
      <c r="N671" s="67">
        <f t="shared" si="21"/>
        <v>6481.7565199999999</v>
      </c>
      <c r="O671" s="66" t="str">
        <f t="shared" si="20"/>
        <v>MOS100654|FG008|CK3-33365</v>
      </c>
    </row>
    <row r="672" spans="1:15" ht="15" customHeight="1" x14ac:dyDescent="0.3">
      <c r="A672" s="70" t="s">
        <v>1351</v>
      </c>
      <c r="B672" s="70" t="s">
        <v>572</v>
      </c>
      <c r="C672" s="72">
        <v>46179</v>
      </c>
      <c r="D672" s="73" t="s">
        <v>427</v>
      </c>
      <c r="E672" s="76" t="str">
        <f>IFERROR(INDEX(M_User!$A$12:$J$67,MATCH(D672,M_User!$D$12:$D$67,0),3),"UNMAPPED")</f>
        <v>Piniel Julius Singo</v>
      </c>
      <c r="F672" s="75" t="str">
        <f>IFERROR(INDEX(M_User!$A$12:$J$67,MATCH(D672,M_User!$D$12:$D$67,0),5),"UNMAPPED")</f>
        <v>MOS</v>
      </c>
      <c r="G672" s="73" t="s">
        <v>904</v>
      </c>
      <c r="H672" s="92" t="s">
        <v>905</v>
      </c>
      <c r="I672" s="73" t="s">
        <v>201</v>
      </c>
      <c r="J672" s="76" t="str">
        <f>IFERROR(INDEX(M_SKU!$A$18:$J$57,MATCH(I672,M_SKU!$B$18:$B$57,0),1),"UNKNOWN SKU")</f>
        <v>Krest Tonic Water RGB 300ml</v>
      </c>
      <c r="K672" s="73" t="s">
        <v>540</v>
      </c>
      <c r="L672" s="276">
        <v>1.5363</v>
      </c>
      <c r="M672" s="94" cm="1">
        <f t="array" ref="M672">IFERROR(INDEX(M_DepotPrice!$C$10:$C$52,MATCH(1,(M_DepotPrice!$A$10:$A$52=I672)*(M_DepotPrice!$H$10:$H$52=IFERROR(INDEX(M_Depot!$A$7:$A$24,MATCH(F672,M_Depot!$B$7:$B$24,0)),""))*(M_DepotPrice!$G$10:$G$52="Special"),0)),INDEX(M_DepotPrice!$C$10:$C$52,MATCH(1,(M_DepotPrice!$A$10:$A$52=I672)*(M_DepotPrice!$G$10:$G$52="Default"),0)))</f>
        <v>11780</v>
      </c>
      <c r="N672" s="95">
        <f t="shared" si="21"/>
        <v>21355.184519999999</v>
      </c>
      <c r="O672" s="82" t="str">
        <f t="shared" si="20"/>
        <v>MOS100654|FG011|CK3-33347</v>
      </c>
    </row>
    <row r="673" spans="1:15" ht="15" customHeight="1" x14ac:dyDescent="0.3">
      <c r="A673" s="60" t="s">
        <v>1352</v>
      </c>
      <c r="B673" s="60" t="s">
        <v>572</v>
      </c>
      <c r="C673" s="62">
        <v>46179</v>
      </c>
      <c r="D673" s="63" t="s">
        <v>427</v>
      </c>
      <c r="E673" s="66" t="str">
        <f>IFERROR(INDEX(M_User!$A$12:$J$67,MATCH(D673,M_User!$D$12:$D$67,0),3),"UNMAPPED")</f>
        <v>Piniel Julius Singo</v>
      </c>
      <c r="F673" s="65" t="str">
        <f>IFERROR(INDEX(M_User!$A$12:$J$67,MATCH(D673,M_User!$D$12:$D$67,0),5),"UNMAPPED")</f>
        <v>MOS</v>
      </c>
      <c r="G673" s="63" t="s">
        <v>904</v>
      </c>
      <c r="H673" s="69" t="s">
        <v>905</v>
      </c>
      <c r="I673" s="63" t="s">
        <v>203</v>
      </c>
      <c r="J673" s="66" t="str">
        <f>IFERROR(INDEX(M_SKU!$A$18:$J$57,MATCH(I673,M_SKU!$B$18:$B$57,0),1),"UNKNOWN SKU")</f>
        <v>Krest Ginger Ale RGB 300ml</v>
      </c>
      <c r="K673" s="63" t="s">
        <v>541</v>
      </c>
      <c r="L673" s="276">
        <v>0.96066039974857997</v>
      </c>
      <c r="M673" s="91" cm="1">
        <f t="array" ref="M673">IFERROR(INDEX(M_DepotPrice!$C$10:$C$52,MATCH(1,(M_DepotPrice!$A$10:$A$52=I673)*(M_DepotPrice!$H$10:$H$52=IFERROR(INDEX(M_Depot!$A$7:$A$24,MATCH(F673,M_Depot!$B$7:$B$24,0)),""))*(M_DepotPrice!$G$10:$G$52="Special"),0)),INDEX(M_DepotPrice!$C$10:$C$52,MATCH(1,(M_DepotPrice!$A$10:$A$52=I673)*(M_DepotPrice!$G$10:$G$52="Default"),0)))</f>
        <v>11780</v>
      </c>
      <c r="N673" s="67">
        <f t="shared" si="21"/>
        <v>13353.56382066516</v>
      </c>
      <c r="O673" s="66" t="str">
        <f t="shared" si="20"/>
        <v>MOS100654|FG012|CK3-33126</v>
      </c>
    </row>
    <row r="674" spans="1:15" ht="15" customHeight="1" x14ac:dyDescent="0.3">
      <c r="A674" s="70" t="s">
        <v>1353</v>
      </c>
      <c r="B674" s="70" t="s">
        <v>572</v>
      </c>
      <c r="C674" s="72">
        <v>46179</v>
      </c>
      <c r="D674" s="73" t="s">
        <v>427</v>
      </c>
      <c r="E674" s="76" t="str">
        <f>IFERROR(INDEX(M_User!$A$12:$J$67,MATCH(D674,M_User!$D$12:$D$67,0),3),"UNMAPPED")</f>
        <v>Piniel Julius Singo</v>
      </c>
      <c r="F674" s="75" t="str">
        <f>IFERROR(INDEX(M_User!$A$12:$J$67,MATCH(D674,M_User!$D$12:$D$67,0),5),"UNMAPPED")</f>
        <v>MOS</v>
      </c>
      <c r="G674" s="73" t="s">
        <v>904</v>
      </c>
      <c r="H674" s="92" t="s">
        <v>905</v>
      </c>
      <c r="I674" s="73" t="s">
        <v>209</v>
      </c>
      <c r="J674" s="76" t="str">
        <f>IFERROR(INDEX(M_SKU!$A$18:$J$57,MATCH(I674,M_SKU!$B$18:$B$57,0),1),"UNKNOWN SKU")</f>
        <v>Sparletta Red Apple RGB 350ml</v>
      </c>
      <c r="K674" s="73" t="s">
        <v>542</v>
      </c>
      <c r="L674" s="276">
        <v>0.57350000000000001</v>
      </c>
      <c r="M674" s="94" cm="1">
        <f t="array" ref="M674">IFERROR(INDEX(M_DepotPrice!$C$10:$C$52,MATCH(1,(M_DepotPrice!$A$10:$A$52=I674)*(M_DepotPrice!$H$10:$H$52=IFERROR(INDEX(M_Depot!$A$7:$A$24,MATCH(F674,M_Depot!$B$7:$B$24,0)),""))*(M_DepotPrice!$G$10:$G$52="Special"),0)),INDEX(M_DepotPrice!$C$10:$C$52,MATCH(1,(M_DepotPrice!$A$10:$A$52=I674)*(M_DepotPrice!$G$10:$G$52="Default"),0)))</f>
        <v>11780</v>
      </c>
      <c r="N674" s="95">
        <f t="shared" si="21"/>
        <v>7971.8793999999998</v>
      </c>
      <c r="O674" s="82" t="str">
        <f t="shared" si="20"/>
        <v>MOS100654|FG024|CK3-32758</v>
      </c>
    </row>
    <row r="675" spans="1:15" ht="15" customHeight="1" x14ac:dyDescent="0.3">
      <c r="A675" s="60" t="s">
        <v>1354</v>
      </c>
      <c r="B675" s="60" t="s">
        <v>572</v>
      </c>
      <c r="C675" s="62">
        <v>46179</v>
      </c>
      <c r="D675" s="63" t="s">
        <v>427</v>
      </c>
      <c r="E675" s="66" t="str">
        <f>IFERROR(INDEX(M_User!$A$12:$J$67,MATCH(D675,M_User!$D$12:$D$67,0),3),"UNMAPPED")</f>
        <v>Piniel Julius Singo</v>
      </c>
      <c r="F675" s="65" t="str">
        <f>IFERROR(INDEX(M_User!$A$12:$J$67,MATCH(D675,M_User!$D$12:$D$67,0),5),"UNMAPPED")</f>
        <v>MOS</v>
      </c>
      <c r="G675" s="63" t="s">
        <v>904</v>
      </c>
      <c r="H675" s="69" t="s">
        <v>905</v>
      </c>
      <c r="I675" s="63" t="s">
        <v>217</v>
      </c>
      <c r="J675" s="66" t="str">
        <f>IFERROR(INDEX(M_SKU!$A$18:$J$57,MATCH(I675,M_SKU!$B$18:$B$57,0),1),"UNKNOWN SKU")</f>
        <v>KNMW 1500ml</v>
      </c>
      <c r="K675" s="63" t="s">
        <v>551</v>
      </c>
      <c r="L675" s="276">
        <v>21</v>
      </c>
      <c r="M675" s="91" cm="1">
        <f t="array" ref="M675">IFERROR(INDEX(M_DepotPrice!$C$10:$C$52,MATCH(1,(M_DepotPrice!$A$10:$A$52=I675)*(M_DepotPrice!$H$10:$H$52=IFERROR(INDEX(M_Depot!$A$7:$A$24,MATCH(F675,M_Depot!$B$7:$B$24,0)),""))*(M_DepotPrice!$G$10:$G$52="Special"),0)),INDEX(M_DepotPrice!$C$10:$C$52,MATCH(1,(M_DepotPrice!$A$10:$A$52=I675)*(M_DepotPrice!$G$10:$G$52="Default"),0)))</f>
        <v>3983</v>
      </c>
      <c r="N675" s="67">
        <f t="shared" si="21"/>
        <v>98698.739999999991</v>
      </c>
      <c r="O675" s="66" t="str">
        <f t="shared" si="20"/>
        <v>MOS100654|KD003|CK4-842</v>
      </c>
    </row>
    <row r="676" spans="1:15" ht="15" customHeight="1" x14ac:dyDescent="0.3">
      <c r="A676" s="70" t="s">
        <v>1355</v>
      </c>
      <c r="B676" s="70" t="s">
        <v>572</v>
      </c>
      <c r="C676" s="72">
        <v>46179</v>
      </c>
      <c r="D676" s="73" t="s">
        <v>427</v>
      </c>
      <c r="E676" s="76" t="str">
        <f>IFERROR(INDEX(M_User!$A$12:$J$67,MATCH(D676,M_User!$D$12:$D$67,0),3),"UNMAPPED")</f>
        <v>Piniel Julius Singo</v>
      </c>
      <c r="F676" s="75" t="str">
        <f>IFERROR(INDEX(M_User!$A$12:$J$67,MATCH(D676,M_User!$D$12:$D$67,0),5),"UNMAPPED")</f>
        <v>MOS</v>
      </c>
      <c r="G676" s="73" t="s">
        <v>904</v>
      </c>
      <c r="H676" s="92" t="s">
        <v>905</v>
      </c>
      <c r="I676" s="73" t="s">
        <v>225</v>
      </c>
      <c r="J676" s="76" t="str">
        <f>IFERROR(INDEX(M_SKU!$A$18:$J$57,MATCH(I676,M_SKU!$B$18:$B$57,0),1),"UNKNOWN SKU")</f>
        <v>Kilimanjaro Drinking Water 18900 ML</v>
      </c>
      <c r="K676" s="73" t="s">
        <v>574</v>
      </c>
      <c r="L676" s="276">
        <v>3</v>
      </c>
      <c r="M676" s="94" cm="1">
        <f t="array" ref="M676">IFERROR(INDEX(M_DepotPrice!$C$10:$C$52,MATCH(1,(M_DepotPrice!$A$10:$A$52=I676)*(M_DepotPrice!$H$10:$H$52=IFERROR(INDEX(M_Depot!$A$7:$A$24,MATCH(F676,M_Depot!$B$7:$B$24,0)),""))*(M_DepotPrice!$G$10:$G$52="Special"),0)),INDEX(M_DepotPrice!$C$10:$C$52,MATCH(1,(M_DepotPrice!$A$10:$A$52=I676)*(M_DepotPrice!$G$10:$G$52="Default"),0)))</f>
        <v>5932</v>
      </c>
      <c r="N676" s="95">
        <f t="shared" si="21"/>
        <v>20999.279999999999</v>
      </c>
      <c r="O676" s="82" t="str">
        <f t="shared" si="20"/>
        <v>MOS100654|KD006|CK7-918</v>
      </c>
    </row>
    <row r="677" spans="1:15" ht="15" customHeight="1" x14ac:dyDescent="0.3">
      <c r="A677" s="60" t="s">
        <v>1356</v>
      </c>
      <c r="B677" s="60" t="s">
        <v>572</v>
      </c>
      <c r="C677" s="62">
        <v>46179</v>
      </c>
      <c r="D677" s="63" t="s">
        <v>427</v>
      </c>
      <c r="E677" s="66" t="str">
        <f>IFERROR(INDEX(M_User!$A$12:$J$67,MATCH(D677,M_User!$D$12:$D$67,0),3),"UNMAPPED")</f>
        <v>Piniel Julius Singo</v>
      </c>
      <c r="F677" s="65" t="str">
        <f>IFERROR(INDEX(M_User!$A$12:$J$67,MATCH(D677,M_User!$D$12:$D$67,0),5),"UNMAPPED")</f>
        <v>MOS</v>
      </c>
      <c r="G677" s="63" t="s">
        <v>904</v>
      </c>
      <c r="H677" s="69" t="s">
        <v>905</v>
      </c>
      <c r="I677" s="63" t="s">
        <v>229</v>
      </c>
      <c r="J677" s="66" t="str">
        <f>IFERROR(INDEX(M_SKU!$A$18:$J$57,MATCH(I677,M_SKU!$B$18:$B$57,0),1),"UNKNOWN SKU")</f>
        <v>Coke Pet 500ML ( x12)</v>
      </c>
      <c r="K677" s="63" t="s">
        <v>520</v>
      </c>
      <c r="L677" s="276">
        <v>1</v>
      </c>
      <c r="M677" s="91" cm="1">
        <f t="array" ref="M677">IFERROR(INDEX(M_DepotPrice!$C$10:$C$52,MATCH(1,(M_DepotPrice!$A$10:$A$52=I677)*(M_DepotPrice!$H$10:$H$52=IFERROR(INDEX(M_Depot!$A$7:$A$24,MATCH(F677,M_Depot!$B$7:$B$24,0)),""))*(M_DepotPrice!$G$10:$G$52="Special"),0)),INDEX(M_DepotPrice!$C$10:$C$52,MATCH(1,(M_DepotPrice!$A$10:$A$52=I677)*(M_DepotPrice!$G$10:$G$52="Default"),0)))</f>
        <v>8898</v>
      </c>
      <c r="N677" s="67">
        <f t="shared" si="21"/>
        <v>10499.64</v>
      </c>
      <c r="O677" s="66" t="str">
        <f t="shared" si="20"/>
        <v>MOS100654|PH001|CK6-33411</v>
      </c>
    </row>
    <row r="678" spans="1:15" ht="15" customHeight="1" x14ac:dyDescent="0.3">
      <c r="A678" s="70" t="s">
        <v>1357</v>
      </c>
      <c r="B678" s="70" t="s">
        <v>572</v>
      </c>
      <c r="C678" s="72">
        <v>46179</v>
      </c>
      <c r="D678" s="73" t="s">
        <v>427</v>
      </c>
      <c r="E678" s="76" t="str">
        <f>IFERROR(INDEX(M_User!$A$12:$J$67,MATCH(D678,M_User!$D$12:$D$67,0),3),"UNMAPPED")</f>
        <v>Piniel Julius Singo</v>
      </c>
      <c r="F678" s="75" t="str">
        <f>IFERROR(INDEX(M_User!$A$12:$J$67,MATCH(D678,M_User!$D$12:$D$67,0),5),"UNMAPPED")</f>
        <v>MOS</v>
      </c>
      <c r="G678" s="73" t="s">
        <v>904</v>
      </c>
      <c r="H678" s="92" t="s">
        <v>905</v>
      </c>
      <c r="I678" s="73" t="s">
        <v>234</v>
      </c>
      <c r="J678" s="76" t="str">
        <f>IFERROR(INDEX(M_SKU!$A$18:$J$57,MATCH(I678,M_SKU!$B$18:$B$57,0),1),"UNKNOWN SKU")</f>
        <v>Fanta Orange Pet 500ML ( x 12)</v>
      </c>
      <c r="K678" s="73" t="s">
        <v>523</v>
      </c>
      <c r="L678" s="276">
        <v>2</v>
      </c>
      <c r="M678" s="94" cm="1">
        <f t="array" ref="M678">IFERROR(INDEX(M_DepotPrice!$C$10:$C$52,MATCH(1,(M_DepotPrice!$A$10:$A$52=I678)*(M_DepotPrice!$H$10:$H$52=IFERROR(INDEX(M_Depot!$A$7:$A$24,MATCH(F678,M_Depot!$B$7:$B$24,0)),""))*(M_DepotPrice!$G$10:$G$52="Special"),0)),INDEX(M_DepotPrice!$C$10:$C$52,MATCH(1,(M_DepotPrice!$A$10:$A$52=I678)*(M_DepotPrice!$G$10:$G$52="Default"),0)))</f>
        <v>8898</v>
      </c>
      <c r="N678" s="95">
        <f t="shared" si="21"/>
        <v>20999.279999999999</v>
      </c>
      <c r="O678" s="82" t="str">
        <f t="shared" si="20"/>
        <v>MOS100654|PH003|CK6-33405</v>
      </c>
    </row>
    <row r="679" spans="1:15" ht="15" customHeight="1" x14ac:dyDescent="0.3">
      <c r="A679" s="60" t="s">
        <v>1358</v>
      </c>
      <c r="B679" s="60" t="s">
        <v>572</v>
      </c>
      <c r="C679" s="62">
        <v>46179</v>
      </c>
      <c r="D679" s="63" t="s">
        <v>427</v>
      </c>
      <c r="E679" s="66" t="str">
        <f>IFERROR(INDEX(M_User!$A$12:$J$67,MATCH(D679,M_User!$D$12:$D$67,0),3),"UNMAPPED")</f>
        <v>Piniel Julius Singo</v>
      </c>
      <c r="F679" s="65" t="str">
        <f>IFERROR(INDEX(M_User!$A$12:$J$67,MATCH(D679,M_User!$D$12:$D$67,0),5),"UNMAPPED")</f>
        <v>MOS</v>
      </c>
      <c r="G679" s="63" t="s">
        <v>904</v>
      </c>
      <c r="H679" s="69" t="s">
        <v>905</v>
      </c>
      <c r="I679" s="63" t="s">
        <v>242</v>
      </c>
      <c r="J679" s="66" t="str">
        <f>IFERROR(INDEX(M_SKU!$A$18:$J$57,MATCH(I679,M_SKU!$B$18:$B$57,0),1),"UNKNOWN SKU")</f>
        <v>Stoney Tangawizi Pet 500 ml ( x12)</v>
      </c>
      <c r="K679" s="63" t="s">
        <v>525</v>
      </c>
      <c r="L679" s="276">
        <v>1</v>
      </c>
      <c r="M679" s="91" cm="1">
        <f t="array" ref="M679">IFERROR(INDEX(M_DepotPrice!$C$10:$C$52,MATCH(1,(M_DepotPrice!$A$10:$A$52=I679)*(M_DepotPrice!$H$10:$H$52=IFERROR(INDEX(M_Depot!$A$7:$A$24,MATCH(F679,M_Depot!$B$7:$B$24,0)),""))*(M_DepotPrice!$G$10:$G$52="Special"),0)),INDEX(M_DepotPrice!$C$10:$C$52,MATCH(1,(M_DepotPrice!$A$10:$A$52=I679)*(M_DepotPrice!$G$10:$G$52="Default"),0)))</f>
        <v>8898</v>
      </c>
      <c r="N679" s="67">
        <f t="shared" si="21"/>
        <v>10499.64</v>
      </c>
      <c r="O679" s="66" t="str">
        <f t="shared" si="20"/>
        <v>MOS100654|PH007|CK6-33375</v>
      </c>
    </row>
    <row r="680" spans="1:15" ht="15" customHeight="1" x14ac:dyDescent="0.3">
      <c r="A680" s="70" t="s">
        <v>1359</v>
      </c>
      <c r="B680" s="70" t="s">
        <v>572</v>
      </c>
      <c r="C680" s="72">
        <v>46179</v>
      </c>
      <c r="D680" s="73" t="s">
        <v>427</v>
      </c>
      <c r="E680" s="76" t="str">
        <f>IFERROR(INDEX(M_User!$A$12:$J$67,MATCH(D680,M_User!$D$12:$D$67,0),3),"UNMAPPED")</f>
        <v>Piniel Julius Singo</v>
      </c>
      <c r="F680" s="75" t="str">
        <f>IFERROR(INDEX(M_User!$A$12:$J$67,MATCH(D680,M_User!$D$12:$D$67,0),5),"UNMAPPED")</f>
        <v>MOS</v>
      </c>
      <c r="G680" s="73" t="s">
        <v>783</v>
      </c>
      <c r="H680" s="92" t="s">
        <v>784</v>
      </c>
      <c r="I680" s="73" t="s">
        <v>170</v>
      </c>
      <c r="J680" s="76" t="str">
        <f>IFERROR(INDEX(M_SKU!$A$18:$J$57,MATCH(I680,M_SKU!$B$18:$B$57,0),1),"UNKNOWN SKU")</f>
        <v>Coke RGB 350ml</v>
      </c>
      <c r="K680" s="73" t="s">
        <v>530</v>
      </c>
      <c r="L680" s="276">
        <v>12.9039077178907</v>
      </c>
      <c r="M680" s="94" cm="1">
        <f t="array" ref="M680">IFERROR(INDEX(M_DepotPrice!$C$10:$C$52,MATCH(1,(M_DepotPrice!$A$10:$A$52=I680)*(M_DepotPrice!$H$10:$H$52=IFERROR(INDEX(M_Depot!$A$7:$A$24,MATCH(F680,M_Depot!$B$7:$B$24,0)),""))*(M_DepotPrice!$G$10:$G$52="Special"),0)),INDEX(M_DepotPrice!$C$10:$C$52,MATCH(1,(M_DepotPrice!$A$10:$A$52=I680)*(M_DepotPrice!$G$10:$G$52="Default"),0)))</f>
        <v>11780</v>
      </c>
      <c r="N680" s="95">
        <f t="shared" si="21"/>
        <v>179369.47884176788</v>
      </c>
      <c r="O680" s="82" t="str">
        <f t="shared" si="20"/>
        <v>MOS100654|FG001|CK3-33409</v>
      </c>
    </row>
    <row r="681" spans="1:15" ht="15" customHeight="1" x14ac:dyDescent="0.3">
      <c r="A681" s="60" t="s">
        <v>1360</v>
      </c>
      <c r="B681" s="60" t="s">
        <v>572</v>
      </c>
      <c r="C681" s="62">
        <v>46179</v>
      </c>
      <c r="D681" s="63" t="s">
        <v>427</v>
      </c>
      <c r="E681" s="66" t="str">
        <f>IFERROR(INDEX(M_User!$A$12:$J$67,MATCH(D681,M_User!$D$12:$D$67,0),3),"UNMAPPED")</f>
        <v>Piniel Julius Singo</v>
      </c>
      <c r="F681" s="65" t="str">
        <f>IFERROR(INDEX(M_User!$A$12:$J$67,MATCH(D681,M_User!$D$12:$D$67,0),5),"UNMAPPED")</f>
        <v>MOS</v>
      </c>
      <c r="G681" s="63" t="s">
        <v>783</v>
      </c>
      <c r="H681" s="69" t="s">
        <v>784</v>
      </c>
      <c r="I681" s="63" t="s">
        <v>178</v>
      </c>
      <c r="J681" s="66" t="str">
        <f>IFERROR(INDEX(M_SKU!$A$18:$J$57,MATCH(I681,M_SKU!$B$18:$B$57,0),1),"UNKNOWN SKU")</f>
        <v>Fanta Orange RGB 350ml</v>
      </c>
      <c r="K681" s="63" t="s">
        <v>531</v>
      </c>
      <c r="L681" s="276">
        <v>4.1730999999999998</v>
      </c>
      <c r="M681" s="91" cm="1">
        <f t="array" ref="M681">IFERROR(INDEX(M_DepotPrice!$C$10:$C$52,MATCH(1,(M_DepotPrice!$A$10:$A$52=I681)*(M_DepotPrice!$H$10:$H$52=IFERROR(INDEX(M_Depot!$A$7:$A$24,MATCH(F681,M_Depot!$B$7:$B$24,0)),""))*(M_DepotPrice!$G$10:$G$52="Special"),0)),INDEX(M_DepotPrice!$C$10:$C$52,MATCH(1,(M_DepotPrice!$A$10:$A$52=I681)*(M_DepotPrice!$G$10:$G$52="Default"),0)))</f>
        <v>11780</v>
      </c>
      <c r="N681" s="67">
        <f t="shared" si="21"/>
        <v>58007.759239999992</v>
      </c>
      <c r="O681" s="66" t="str">
        <f t="shared" si="20"/>
        <v>MOS100654|FG002|CK3-33407</v>
      </c>
    </row>
    <row r="682" spans="1:15" ht="15" customHeight="1" x14ac:dyDescent="0.3">
      <c r="A682" s="70" t="s">
        <v>1361</v>
      </c>
      <c r="B682" s="70" t="s">
        <v>572</v>
      </c>
      <c r="C682" s="72">
        <v>46179</v>
      </c>
      <c r="D682" s="73" t="s">
        <v>427</v>
      </c>
      <c r="E682" s="76" t="str">
        <f>IFERROR(INDEX(M_User!$A$12:$J$67,MATCH(D682,M_User!$D$12:$D$67,0),3),"UNMAPPED")</f>
        <v>Piniel Julius Singo</v>
      </c>
      <c r="F682" s="75" t="str">
        <f>IFERROR(INDEX(M_User!$A$12:$J$67,MATCH(D682,M_User!$D$12:$D$67,0),5),"UNMAPPED")</f>
        <v>MOS</v>
      </c>
      <c r="G682" s="73" t="s">
        <v>783</v>
      </c>
      <c r="H682" s="92" t="s">
        <v>784</v>
      </c>
      <c r="I682" s="73" t="s">
        <v>183</v>
      </c>
      <c r="J682" s="76" t="str">
        <f>IFERROR(INDEX(M_SKU!$A$18:$J$57,MATCH(I682,M_SKU!$B$18:$B$57,0),1),"UNKNOWN SKU")</f>
        <v>Fanta Pineapple RGB 350ml</v>
      </c>
      <c r="K682" s="73" t="s">
        <v>533</v>
      </c>
      <c r="L682" s="276">
        <v>2.2770000000000001</v>
      </c>
      <c r="M682" s="94" cm="1">
        <f t="array" ref="M682">IFERROR(INDEX(M_DepotPrice!$C$10:$C$52,MATCH(1,(M_DepotPrice!$A$10:$A$52=I682)*(M_DepotPrice!$H$10:$H$52=IFERROR(INDEX(M_Depot!$A$7:$A$24,MATCH(F682,M_Depot!$B$7:$B$24,0)),""))*(M_DepotPrice!$G$10:$G$52="Special"),0)),INDEX(M_DepotPrice!$C$10:$C$52,MATCH(1,(M_DepotPrice!$A$10:$A$52=I682)*(M_DepotPrice!$G$10:$G$52="Default"),0)))</f>
        <v>11780</v>
      </c>
      <c r="N682" s="95">
        <f t="shared" si="21"/>
        <v>31651.210800000001</v>
      </c>
      <c r="O682" s="82" t="str">
        <f t="shared" si="20"/>
        <v>MOS100654|FG004|CK3-33385</v>
      </c>
    </row>
    <row r="683" spans="1:15" ht="15" customHeight="1" x14ac:dyDescent="0.3">
      <c r="A683" s="60" t="s">
        <v>1362</v>
      </c>
      <c r="B683" s="60" t="s">
        <v>572</v>
      </c>
      <c r="C683" s="62">
        <v>46179</v>
      </c>
      <c r="D683" s="63" t="s">
        <v>427</v>
      </c>
      <c r="E683" s="66" t="str">
        <f>IFERROR(INDEX(M_User!$A$12:$J$67,MATCH(D683,M_User!$D$12:$D$67,0),3),"UNMAPPED")</f>
        <v>Piniel Julius Singo</v>
      </c>
      <c r="F683" s="65" t="str">
        <f>IFERROR(INDEX(M_User!$A$12:$J$67,MATCH(D683,M_User!$D$12:$D$67,0),5),"UNMAPPED")</f>
        <v>MOS</v>
      </c>
      <c r="G683" s="63" t="s">
        <v>783</v>
      </c>
      <c r="H683" s="69" t="s">
        <v>784</v>
      </c>
      <c r="I683" s="63" t="s">
        <v>193</v>
      </c>
      <c r="J683" s="66" t="str">
        <f>IFERROR(INDEX(M_SKU!$A$18:$J$57,MATCH(I683,M_SKU!$B$18:$B$57,0),1),"UNKNOWN SKU")</f>
        <v>Sparletta Pinenut RGB 350ml</v>
      </c>
      <c r="K683" s="63" t="s">
        <v>537</v>
      </c>
      <c r="L683" s="276">
        <v>0.43669999999999998</v>
      </c>
      <c r="M683" s="91" cm="1">
        <f t="array" ref="M683">IFERROR(INDEX(M_DepotPrice!$C$10:$C$52,MATCH(1,(M_DepotPrice!$A$10:$A$52=I683)*(M_DepotPrice!$H$10:$H$52=IFERROR(INDEX(M_Depot!$A$7:$A$24,MATCH(F683,M_Depot!$B$7:$B$24,0)),""))*(M_DepotPrice!$G$10:$G$52="Special"),0)),INDEX(M_DepotPrice!$C$10:$C$52,MATCH(1,(M_DepotPrice!$A$10:$A$52=I683)*(M_DepotPrice!$G$10:$G$52="Default"),0)))</f>
        <v>11780</v>
      </c>
      <c r="N683" s="67">
        <f t="shared" si="21"/>
        <v>6070.3046799999993</v>
      </c>
      <c r="O683" s="66" t="str">
        <f t="shared" si="20"/>
        <v>MOS100654|FG008|CK3-33365</v>
      </c>
    </row>
    <row r="684" spans="1:15" ht="15" customHeight="1" x14ac:dyDescent="0.3">
      <c r="A684" s="70" t="s">
        <v>1363</v>
      </c>
      <c r="B684" s="70" t="s">
        <v>572</v>
      </c>
      <c r="C684" s="72">
        <v>46179</v>
      </c>
      <c r="D684" s="73" t="s">
        <v>427</v>
      </c>
      <c r="E684" s="76" t="str">
        <f>IFERROR(INDEX(M_User!$A$12:$J$67,MATCH(D684,M_User!$D$12:$D$67,0),3),"UNMAPPED")</f>
        <v>Piniel Julius Singo</v>
      </c>
      <c r="F684" s="75" t="str">
        <f>IFERROR(INDEX(M_User!$A$12:$J$67,MATCH(D684,M_User!$D$12:$D$67,0),5),"UNMAPPED")</f>
        <v>MOS</v>
      </c>
      <c r="G684" s="73" t="s">
        <v>783</v>
      </c>
      <c r="H684" s="92" t="s">
        <v>784</v>
      </c>
      <c r="I684" s="73" t="s">
        <v>199</v>
      </c>
      <c r="J684" s="76" t="str">
        <f>IFERROR(INDEX(M_SKU!$A$18:$J$57,MATCH(I684,M_SKU!$B$18:$B$57,0),1),"UNKNOWN SKU")</f>
        <v>Krest Club Soda RGB 300ml</v>
      </c>
      <c r="K684" s="73" t="s">
        <v>539</v>
      </c>
      <c r="L684" s="276">
        <v>1.23034952415615</v>
      </c>
      <c r="M684" s="94" cm="1">
        <f t="array" ref="M684">IFERROR(INDEX(M_DepotPrice!$C$10:$C$52,MATCH(1,(M_DepotPrice!$A$10:$A$52=I684)*(M_DepotPrice!$H$10:$H$52=IFERROR(INDEX(M_Depot!$A$7:$A$24,MATCH(F684,M_Depot!$B$7:$B$24,0)),""))*(M_DepotPrice!$G$10:$G$52="Special"),0)),INDEX(M_DepotPrice!$C$10:$C$52,MATCH(1,(M_DepotPrice!$A$10:$A$52=I684)*(M_DepotPrice!$G$10:$G$52="Default"),0)))</f>
        <v>11780</v>
      </c>
      <c r="N684" s="95">
        <f t="shared" si="21"/>
        <v>17102.350525580146</v>
      </c>
      <c r="O684" s="82" t="str">
        <f t="shared" si="20"/>
        <v>MOS100654|FG010|CK3-33301</v>
      </c>
    </row>
    <row r="685" spans="1:15" ht="15" customHeight="1" x14ac:dyDescent="0.3">
      <c r="A685" s="60" t="s">
        <v>1364</v>
      </c>
      <c r="B685" s="60" t="s">
        <v>572</v>
      </c>
      <c r="C685" s="62">
        <v>46179</v>
      </c>
      <c r="D685" s="63" t="s">
        <v>427</v>
      </c>
      <c r="E685" s="66" t="str">
        <f>IFERROR(INDEX(M_User!$A$12:$J$67,MATCH(D685,M_User!$D$12:$D$67,0),3),"UNMAPPED")</f>
        <v>Piniel Julius Singo</v>
      </c>
      <c r="F685" s="65" t="str">
        <f>IFERROR(INDEX(M_User!$A$12:$J$67,MATCH(D685,M_User!$D$12:$D$67,0),5),"UNMAPPED")</f>
        <v>MOS</v>
      </c>
      <c r="G685" s="63" t="s">
        <v>783</v>
      </c>
      <c r="H685" s="69" t="s">
        <v>784</v>
      </c>
      <c r="I685" s="63" t="s">
        <v>203</v>
      </c>
      <c r="J685" s="66" t="str">
        <f>IFERROR(INDEX(M_SKU!$A$18:$J$57,MATCH(I685,M_SKU!$B$18:$B$57,0),1),"UNKNOWN SKU")</f>
        <v>Krest Ginger Ale RGB 300ml</v>
      </c>
      <c r="K685" s="63" t="s">
        <v>541</v>
      </c>
      <c r="L685" s="276">
        <v>1.5344</v>
      </c>
      <c r="M685" s="91" cm="1">
        <f t="array" ref="M685">IFERROR(INDEX(M_DepotPrice!$C$10:$C$52,MATCH(1,(M_DepotPrice!$A$10:$A$52=I685)*(M_DepotPrice!$H$10:$H$52=IFERROR(INDEX(M_Depot!$A$7:$A$24,MATCH(F685,M_Depot!$B$7:$B$24,0)),""))*(M_DepotPrice!$G$10:$G$52="Special"),0)),INDEX(M_DepotPrice!$C$10:$C$52,MATCH(1,(M_DepotPrice!$A$10:$A$52=I685)*(M_DepotPrice!$G$10:$G$52="Default"),0)))</f>
        <v>11780</v>
      </c>
      <c r="N685" s="67">
        <f t="shared" si="21"/>
        <v>21328.77376</v>
      </c>
      <c r="O685" s="66" t="str">
        <f t="shared" si="20"/>
        <v>MOS100654|FG012|CK3-33126</v>
      </c>
    </row>
    <row r="686" spans="1:15" ht="15" customHeight="1" x14ac:dyDescent="0.3">
      <c r="A686" s="70" t="s">
        <v>1365</v>
      </c>
      <c r="B686" s="70" t="s">
        <v>572</v>
      </c>
      <c r="C686" s="72">
        <v>46179</v>
      </c>
      <c r="D686" s="73" t="s">
        <v>427</v>
      </c>
      <c r="E686" s="76" t="str">
        <f>IFERROR(INDEX(M_User!$A$12:$J$67,MATCH(D686,M_User!$D$12:$D$67,0),3),"UNMAPPED")</f>
        <v>Piniel Julius Singo</v>
      </c>
      <c r="F686" s="75" t="str">
        <f>IFERROR(INDEX(M_User!$A$12:$J$67,MATCH(D686,M_User!$D$12:$D$67,0),5),"UNMAPPED")</f>
        <v>MOS</v>
      </c>
      <c r="G686" s="73" t="s">
        <v>783</v>
      </c>
      <c r="H686" s="92" t="s">
        <v>784</v>
      </c>
      <c r="I686" s="73" t="s">
        <v>209</v>
      </c>
      <c r="J686" s="76" t="str">
        <f>IFERROR(INDEX(M_SKU!$A$18:$J$57,MATCH(I686,M_SKU!$B$18:$B$57,0),1),"UNKNOWN SKU")</f>
        <v>Sparletta Red Apple RGB 350ml</v>
      </c>
      <c r="K686" s="73" t="s">
        <v>542</v>
      </c>
      <c r="L686" s="276">
        <v>0.43519999999999998</v>
      </c>
      <c r="M686" s="94" cm="1">
        <f t="array" ref="M686">IFERROR(INDEX(M_DepotPrice!$C$10:$C$52,MATCH(1,(M_DepotPrice!$A$10:$A$52=I686)*(M_DepotPrice!$H$10:$H$52=IFERROR(INDEX(M_Depot!$A$7:$A$24,MATCH(F686,M_Depot!$B$7:$B$24,0)),""))*(M_DepotPrice!$G$10:$G$52="Special"),0)),INDEX(M_DepotPrice!$C$10:$C$52,MATCH(1,(M_DepotPrice!$A$10:$A$52=I686)*(M_DepotPrice!$G$10:$G$52="Default"),0)))</f>
        <v>11780</v>
      </c>
      <c r="N686" s="95">
        <f t="shared" si="21"/>
        <v>6049.4540799999995</v>
      </c>
      <c r="O686" s="82" t="str">
        <f t="shared" si="20"/>
        <v>MOS100654|FG024|CK3-32758</v>
      </c>
    </row>
    <row r="687" spans="1:15" ht="15" customHeight="1" x14ac:dyDescent="0.3">
      <c r="A687" s="60" t="s">
        <v>1366</v>
      </c>
      <c r="B687" s="60" t="s">
        <v>572</v>
      </c>
      <c r="C687" s="62">
        <v>46179</v>
      </c>
      <c r="D687" s="63" t="s">
        <v>427</v>
      </c>
      <c r="E687" s="66" t="str">
        <f>IFERROR(INDEX(M_User!$A$12:$J$67,MATCH(D687,M_User!$D$12:$D$67,0),3),"UNMAPPED")</f>
        <v>Piniel Julius Singo</v>
      </c>
      <c r="F687" s="65" t="str">
        <f>IFERROR(INDEX(M_User!$A$12:$J$67,MATCH(D687,M_User!$D$12:$D$67,0),5),"UNMAPPED")</f>
        <v>MOS</v>
      </c>
      <c r="G687" s="63" t="s">
        <v>783</v>
      </c>
      <c r="H687" s="69" t="s">
        <v>784</v>
      </c>
      <c r="I687" s="63" t="s">
        <v>217</v>
      </c>
      <c r="J687" s="66" t="str">
        <f>IFERROR(INDEX(M_SKU!$A$18:$J$57,MATCH(I687,M_SKU!$B$18:$B$57,0),1),"UNKNOWN SKU")</f>
        <v>KNMW 1500ml</v>
      </c>
      <c r="K687" s="63" t="s">
        <v>551</v>
      </c>
      <c r="L687" s="276">
        <v>13</v>
      </c>
      <c r="M687" s="91" cm="1">
        <f t="array" ref="M687">IFERROR(INDEX(M_DepotPrice!$C$10:$C$52,MATCH(1,(M_DepotPrice!$A$10:$A$52=I687)*(M_DepotPrice!$H$10:$H$52=IFERROR(INDEX(M_Depot!$A$7:$A$24,MATCH(F687,M_Depot!$B$7:$B$24,0)),""))*(M_DepotPrice!$G$10:$G$52="Special"),0)),INDEX(M_DepotPrice!$C$10:$C$52,MATCH(1,(M_DepotPrice!$A$10:$A$52=I687)*(M_DepotPrice!$G$10:$G$52="Default"),0)))</f>
        <v>3983</v>
      </c>
      <c r="N687" s="67">
        <f t="shared" si="21"/>
        <v>61099.219999999994</v>
      </c>
      <c r="O687" s="66" t="str">
        <f t="shared" si="20"/>
        <v>MOS100654|KD003|CK4-842</v>
      </c>
    </row>
    <row r="688" spans="1:15" ht="15" customHeight="1" x14ac:dyDescent="0.3">
      <c r="A688" s="70" t="s">
        <v>1367</v>
      </c>
      <c r="B688" s="70" t="s">
        <v>572</v>
      </c>
      <c r="C688" s="72">
        <v>46179</v>
      </c>
      <c r="D688" s="73" t="s">
        <v>427</v>
      </c>
      <c r="E688" s="76" t="str">
        <f>IFERROR(INDEX(M_User!$A$12:$J$67,MATCH(D688,M_User!$D$12:$D$67,0),3),"UNMAPPED")</f>
        <v>Piniel Julius Singo</v>
      </c>
      <c r="F688" s="75" t="str">
        <f>IFERROR(INDEX(M_User!$A$12:$J$67,MATCH(D688,M_User!$D$12:$D$67,0),5),"UNMAPPED")</f>
        <v>MOS</v>
      </c>
      <c r="G688" s="73" t="s">
        <v>783</v>
      </c>
      <c r="H688" s="92" t="s">
        <v>784</v>
      </c>
      <c r="I688" s="73" t="s">
        <v>222</v>
      </c>
      <c r="J688" s="76" t="str">
        <f>IFERROR(INDEX(M_SKU!$A$18:$J$57,MATCH(I688,M_SKU!$B$18:$B$57,0),1),"UNKNOWN SKU")</f>
        <v>Kilimanjaro Drinking Water 12000 ML</v>
      </c>
      <c r="K688" s="73" t="s">
        <v>566</v>
      </c>
      <c r="L688" s="276">
        <v>2</v>
      </c>
      <c r="M688" s="94" cm="1">
        <f t="array" ref="M688">IFERROR(INDEX(M_DepotPrice!$C$10:$C$52,MATCH(1,(M_DepotPrice!$A$10:$A$52=I688)*(M_DepotPrice!$H$10:$H$52=IFERROR(INDEX(M_Depot!$A$7:$A$24,MATCH(F688,M_Depot!$B$7:$B$24,0)),""))*(M_DepotPrice!$G$10:$G$52="Special"),0)),INDEX(M_DepotPrice!$C$10:$C$52,MATCH(1,(M_DepotPrice!$A$10:$A$52=I688)*(M_DepotPrice!$G$10:$G$52="Default"),0)))</f>
        <v>3559</v>
      </c>
      <c r="N688" s="95">
        <f t="shared" si="21"/>
        <v>8399.24</v>
      </c>
      <c r="O688" s="82" t="str">
        <f t="shared" si="20"/>
        <v>MOS100654|KD005|CK7-913</v>
      </c>
    </row>
    <row r="689" spans="1:15" ht="15" customHeight="1" x14ac:dyDescent="0.3">
      <c r="A689" s="60" t="s">
        <v>1368</v>
      </c>
      <c r="B689" s="60" t="s">
        <v>572</v>
      </c>
      <c r="C689" s="62">
        <v>46179</v>
      </c>
      <c r="D689" s="63" t="s">
        <v>427</v>
      </c>
      <c r="E689" s="66" t="str">
        <f>IFERROR(INDEX(M_User!$A$12:$J$67,MATCH(D689,M_User!$D$12:$D$67,0),3),"UNMAPPED")</f>
        <v>Piniel Julius Singo</v>
      </c>
      <c r="F689" s="65" t="str">
        <f>IFERROR(INDEX(M_User!$A$12:$J$67,MATCH(D689,M_User!$D$12:$D$67,0),5),"UNMAPPED")</f>
        <v>MOS</v>
      </c>
      <c r="G689" s="63" t="s">
        <v>783</v>
      </c>
      <c r="H689" s="69" t="s">
        <v>784</v>
      </c>
      <c r="I689" s="63" t="s">
        <v>225</v>
      </c>
      <c r="J689" s="66" t="str">
        <f>IFERROR(INDEX(M_SKU!$A$18:$J$57,MATCH(I689,M_SKU!$B$18:$B$57,0),1),"UNKNOWN SKU")</f>
        <v>Kilimanjaro Drinking Water 18900 ML</v>
      </c>
      <c r="K689" s="63" t="s">
        <v>574</v>
      </c>
      <c r="L689" s="276">
        <v>4</v>
      </c>
      <c r="M689" s="91" cm="1">
        <f t="array" ref="M689">IFERROR(INDEX(M_DepotPrice!$C$10:$C$52,MATCH(1,(M_DepotPrice!$A$10:$A$52=I689)*(M_DepotPrice!$H$10:$H$52=IFERROR(INDEX(M_Depot!$A$7:$A$24,MATCH(F689,M_Depot!$B$7:$B$24,0)),""))*(M_DepotPrice!$G$10:$G$52="Special"),0)),INDEX(M_DepotPrice!$C$10:$C$52,MATCH(1,(M_DepotPrice!$A$10:$A$52=I689)*(M_DepotPrice!$G$10:$G$52="Default"),0)))</f>
        <v>5932</v>
      </c>
      <c r="N689" s="67">
        <f t="shared" si="21"/>
        <v>27999.039999999997</v>
      </c>
      <c r="O689" s="66" t="str">
        <f t="shared" si="20"/>
        <v>MOS100654|KD006|CK7-918</v>
      </c>
    </row>
    <row r="690" spans="1:15" ht="15" customHeight="1" x14ac:dyDescent="0.3">
      <c r="A690" s="70" t="s">
        <v>1369</v>
      </c>
      <c r="B690" s="70" t="s">
        <v>572</v>
      </c>
      <c r="C690" s="72">
        <v>46179</v>
      </c>
      <c r="D690" s="73" t="s">
        <v>427</v>
      </c>
      <c r="E690" s="76" t="str">
        <f>IFERROR(INDEX(M_User!$A$12:$J$67,MATCH(D690,M_User!$D$12:$D$67,0),3),"UNMAPPED")</f>
        <v>Piniel Julius Singo</v>
      </c>
      <c r="F690" s="75" t="str">
        <f>IFERROR(INDEX(M_User!$A$12:$J$67,MATCH(D690,M_User!$D$12:$D$67,0),5),"UNMAPPED")</f>
        <v>MOS</v>
      </c>
      <c r="G690" s="73" t="s">
        <v>783</v>
      </c>
      <c r="H690" s="92" t="s">
        <v>784</v>
      </c>
      <c r="I690" s="73" t="s">
        <v>229</v>
      </c>
      <c r="J690" s="76" t="str">
        <f>IFERROR(INDEX(M_SKU!$A$18:$J$57,MATCH(I690,M_SKU!$B$18:$B$57,0),1),"UNKNOWN SKU")</f>
        <v>Coke Pet 500ML ( x12)</v>
      </c>
      <c r="K690" s="73" t="s">
        <v>520</v>
      </c>
      <c r="L690" s="276">
        <v>4</v>
      </c>
      <c r="M690" s="94" cm="1">
        <f t="array" ref="M690">IFERROR(INDEX(M_DepotPrice!$C$10:$C$52,MATCH(1,(M_DepotPrice!$A$10:$A$52=I690)*(M_DepotPrice!$H$10:$H$52=IFERROR(INDEX(M_Depot!$A$7:$A$24,MATCH(F690,M_Depot!$B$7:$B$24,0)),""))*(M_DepotPrice!$G$10:$G$52="Special"),0)),INDEX(M_DepotPrice!$C$10:$C$52,MATCH(1,(M_DepotPrice!$A$10:$A$52=I690)*(M_DepotPrice!$G$10:$G$52="Default"),0)))</f>
        <v>8898</v>
      </c>
      <c r="N690" s="95">
        <f t="shared" si="21"/>
        <v>41998.559999999998</v>
      </c>
      <c r="O690" s="82" t="str">
        <f t="shared" si="20"/>
        <v>MOS100654|PH001|CK6-33411</v>
      </c>
    </row>
    <row r="691" spans="1:15" ht="15" customHeight="1" x14ac:dyDescent="0.3">
      <c r="A691" s="60" t="s">
        <v>1370</v>
      </c>
      <c r="B691" s="60" t="s">
        <v>572</v>
      </c>
      <c r="C691" s="62">
        <v>46179</v>
      </c>
      <c r="D691" s="63" t="s">
        <v>427</v>
      </c>
      <c r="E691" s="66" t="str">
        <f>IFERROR(INDEX(M_User!$A$12:$J$67,MATCH(D691,M_User!$D$12:$D$67,0),3),"UNMAPPED")</f>
        <v>Piniel Julius Singo</v>
      </c>
      <c r="F691" s="65" t="str">
        <f>IFERROR(INDEX(M_User!$A$12:$J$67,MATCH(D691,M_User!$D$12:$D$67,0),5),"UNMAPPED")</f>
        <v>MOS</v>
      </c>
      <c r="G691" s="63" t="s">
        <v>783</v>
      </c>
      <c r="H691" s="69" t="s">
        <v>784</v>
      </c>
      <c r="I691" s="63" t="s">
        <v>232</v>
      </c>
      <c r="J691" s="66" t="str">
        <f>IFERROR(INDEX(M_SKU!$A$18:$J$57,MATCH(I691,M_SKU!$B$18:$B$57,0),1),"UNKNOWN SKU")</f>
        <v>Sprite Pet 500ML (x 12)</v>
      </c>
      <c r="K691" s="63" t="s">
        <v>522</v>
      </c>
      <c r="L691" s="276">
        <v>1</v>
      </c>
      <c r="M691" s="91" cm="1">
        <f t="array" ref="M691">IFERROR(INDEX(M_DepotPrice!$C$10:$C$52,MATCH(1,(M_DepotPrice!$A$10:$A$52=I691)*(M_DepotPrice!$H$10:$H$52=IFERROR(INDEX(M_Depot!$A$7:$A$24,MATCH(F691,M_Depot!$B$7:$B$24,0)),""))*(M_DepotPrice!$G$10:$G$52="Special"),0)),INDEX(M_DepotPrice!$C$10:$C$52,MATCH(1,(M_DepotPrice!$A$10:$A$52=I691)*(M_DepotPrice!$G$10:$G$52="Default"),0)))</f>
        <v>8898</v>
      </c>
      <c r="N691" s="67">
        <f t="shared" si="21"/>
        <v>10499.64</v>
      </c>
      <c r="O691" s="66" t="str">
        <f t="shared" si="20"/>
        <v>MOS100654|PH002|CK6-33362</v>
      </c>
    </row>
    <row r="692" spans="1:15" ht="15" customHeight="1" x14ac:dyDescent="0.3">
      <c r="A692" s="70" t="s">
        <v>1371</v>
      </c>
      <c r="B692" s="70" t="s">
        <v>572</v>
      </c>
      <c r="C692" s="72">
        <v>46179</v>
      </c>
      <c r="D692" s="73" t="s">
        <v>427</v>
      </c>
      <c r="E692" s="76" t="str">
        <f>IFERROR(INDEX(M_User!$A$12:$J$67,MATCH(D692,M_User!$D$12:$D$67,0),3),"UNMAPPED")</f>
        <v>Piniel Julius Singo</v>
      </c>
      <c r="F692" s="75" t="str">
        <f>IFERROR(INDEX(M_User!$A$12:$J$67,MATCH(D692,M_User!$D$12:$D$67,0),5),"UNMAPPED")</f>
        <v>MOS</v>
      </c>
      <c r="G692" s="73" t="s">
        <v>783</v>
      </c>
      <c r="H692" s="92" t="s">
        <v>784</v>
      </c>
      <c r="I692" s="73" t="s">
        <v>234</v>
      </c>
      <c r="J692" s="76" t="str">
        <f>IFERROR(INDEX(M_SKU!$A$18:$J$57,MATCH(I692,M_SKU!$B$18:$B$57,0),1),"UNKNOWN SKU")</f>
        <v>Fanta Orange Pet 500ML ( x 12)</v>
      </c>
      <c r="K692" s="73" t="s">
        <v>523</v>
      </c>
      <c r="L692" s="276">
        <v>1</v>
      </c>
      <c r="M692" s="94" cm="1">
        <f t="array" ref="M692">IFERROR(INDEX(M_DepotPrice!$C$10:$C$52,MATCH(1,(M_DepotPrice!$A$10:$A$52=I692)*(M_DepotPrice!$H$10:$H$52=IFERROR(INDEX(M_Depot!$A$7:$A$24,MATCH(F692,M_Depot!$B$7:$B$24,0)),""))*(M_DepotPrice!$G$10:$G$52="Special"),0)),INDEX(M_DepotPrice!$C$10:$C$52,MATCH(1,(M_DepotPrice!$A$10:$A$52=I692)*(M_DepotPrice!$G$10:$G$52="Default"),0)))</f>
        <v>8898</v>
      </c>
      <c r="N692" s="95">
        <f t="shared" si="21"/>
        <v>10499.64</v>
      </c>
      <c r="O692" s="82" t="str">
        <f t="shared" si="20"/>
        <v>MOS100654|PH003|CK6-33405</v>
      </c>
    </row>
    <row r="693" spans="1:15" ht="15" customHeight="1" x14ac:dyDescent="0.3">
      <c r="A693" s="60" t="s">
        <v>1372</v>
      </c>
      <c r="B693" s="60" t="s">
        <v>572</v>
      </c>
      <c r="C693" s="62">
        <v>46179</v>
      </c>
      <c r="D693" s="63" t="s">
        <v>427</v>
      </c>
      <c r="E693" s="66" t="str">
        <f>IFERROR(INDEX(M_User!$A$12:$J$67,MATCH(D693,M_User!$D$12:$D$67,0),3),"UNMAPPED")</f>
        <v>Piniel Julius Singo</v>
      </c>
      <c r="F693" s="65" t="str">
        <f>IFERROR(INDEX(M_User!$A$12:$J$67,MATCH(D693,M_User!$D$12:$D$67,0),5),"UNMAPPED")</f>
        <v>MOS</v>
      </c>
      <c r="G693" s="63" t="s">
        <v>812</v>
      </c>
      <c r="H693" s="69" t="s">
        <v>813</v>
      </c>
      <c r="I693" s="63" t="s">
        <v>170</v>
      </c>
      <c r="J693" s="66" t="str">
        <f>IFERROR(INDEX(M_SKU!$A$18:$J$57,MATCH(I693,M_SKU!$B$18:$B$57,0),1),"UNKNOWN SKU")</f>
        <v>Coke RGB 350ml</v>
      </c>
      <c r="K693" s="63" t="s">
        <v>530</v>
      </c>
      <c r="L693" s="276">
        <v>15.7349</v>
      </c>
      <c r="M693" s="91" cm="1">
        <f t="array" ref="M693">IFERROR(INDEX(M_DepotPrice!$C$10:$C$52,MATCH(1,(M_DepotPrice!$A$10:$A$52=I693)*(M_DepotPrice!$H$10:$H$52=IFERROR(INDEX(M_Depot!$A$7:$A$24,MATCH(F693,M_Depot!$B$7:$B$24,0)),""))*(M_DepotPrice!$G$10:$G$52="Special"),0)),INDEX(M_DepotPrice!$C$10:$C$52,MATCH(1,(M_DepotPrice!$A$10:$A$52=I693)*(M_DepotPrice!$G$10:$G$52="Default"),0)))</f>
        <v>11780</v>
      </c>
      <c r="N693" s="67">
        <f t="shared" si="21"/>
        <v>218721.40396</v>
      </c>
      <c r="O693" s="66" t="str">
        <f t="shared" si="20"/>
        <v>MOS100654|FG001|CK3-33409</v>
      </c>
    </row>
    <row r="694" spans="1:15" ht="15" customHeight="1" x14ac:dyDescent="0.3">
      <c r="A694" s="70" t="s">
        <v>1373</v>
      </c>
      <c r="B694" s="70" t="s">
        <v>572</v>
      </c>
      <c r="C694" s="72">
        <v>46179</v>
      </c>
      <c r="D694" s="73" t="s">
        <v>427</v>
      </c>
      <c r="E694" s="76" t="str">
        <f>IFERROR(INDEX(M_User!$A$12:$J$67,MATCH(D694,M_User!$D$12:$D$67,0),3),"UNMAPPED")</f>
        <v>Piniel Julius Singo</v>
      </c>
      <c r="F694" s="75" t="str">
        <f>IFERROR(INDEX(M_User!$A$12:$J$67,MATCH(D694,M_User!$D$12:$D$67,0),5),"UNMAPPED")</f>
        <v>MOS</v>
      </c>
      <c r="G694" s="73" t="s">
        <v>812</v>
      </c>
      <c r="H694" s="92" t="s">
        <v>813</v>
      </c>
      <c r="I694" s="73" t="s">
        <v>178</v>
      </c>
      <c r="J694" s="76" t="str">
        <f>IFERROR(INDEX(M_SKU!$A$18:$J$57,MATCH(I694,M_SKU!$B$18:$B$57,0),1),"UNKNOWN SKU")</f>
        <v>Fanta Orange RGB 350ml</v>
      </c>
      <c r="K694" s="73" t="s">
        <v>531</v>
      </c>
      <c r="L694" s="276">
        <v>5.4451999999999998</v>
      </c>
      <c r="M694" s="94" cm="1">
        <f t="array" ref="M694">IFERROR(INDEX(M_DepotPrice!$C$10:$C$52,MATCH(1,(M_DepotPrice!$A$10:$A$52=I694)*(M_DepotPrice!$H$10:$H$52=IFERROR(INDEX(M_Depot!$A$7:$A$24,MATCH(F694,M_Depot!$B$7:$B$24,0)),""))*(M_DepotPrice!$G$10:$G$52="Special"),0)),INDEX(M_DepotPrice!$C$10:$C$52,MATCH(1,(M_DepotPrice!$A$10:$A$52=I694)*(M_DepotPrice!$G$10:$G$52="Default"),0)))</f>
        <v>11780</v>
      </c>
      <c r="N694" s="95">
        <f t="shared" si="21"/>
        <v>75690.458079999997</v>
      </c>
      <c r="O694" s="82" t="str">
        <f t="shared" si="20"/>
        <v>MOS100654|FG002|CK3-33407</v>
      </c>
    </row>
    <row r="695" spans="1:15" ht="15" customHeight="1" x14ac:dyDescent="0.3">
      <c r="A695" s="60" t="s">
        <v>1374</v>
      </c>
      <c r="B695" s="60" t="s">
        <v>572</v>
      </c>
      <c r="C695" s="62">
        <v>46179</v>
      </c>
      <c r="D695" s="63" t="s">
        <v>427</v>
      </c>
      <c r="E695" s="66" t="str">
        <f>IFERROR(INDEX(M_User!$A$12:$J$67,MATCH(D695,M_User!$D$12:$D$67,0),3),"UNMAPPED")</f>
        <v>Piniel Julius Singo</v>
      </c>
      <c r="F695" s="65" t="str">
        <f>IFERROR(INDEX(M_User!$A$12:$J$67,MATCH(D695,M_User!$D$12:$D$67,0),5),"UNMAPPED")</f>
        <v>MOS</v>
      </c>
      <c r="G695" s="63" t="s">
        <v>812</v>
      </c>
      <c r="H695" s="69" t="s">
        <v>813</v>
      </c>
      <c r="I695" s="63" t="s">
        <v>185</v>
      </c>
      <c r="J695" s="66" t="str">
        <f>IFERROR(INDEX(M_SKU!$A$18:$J$57,MATCH(I695,M_SKU!$B$18:$B$57,0),1),"UNKNOWN SKU")</f>
        <v>Fanta Fruit Blast RGB 350 ml</v>
      </c>
      <c r="K695" s="63" t="s">
        <v>534</v>
      </c>
      <c r="L695" s="276">
        <v>1.2939000000000001</v>
      </c>
      <c r="M695" s="91" cm="1">
        <f t="array" ref="M695">IFERROR(INDEX(M_DepotPrice!$C$10:$C$52,MATCH(1,(M_DepotPrice!$A$10:$A$52=I695)*(M_DepotPrice!$H$10:$H$52=IFERROR(INDEX(M_Depot!$A$7:$A$24,MATCH(F695,M_Depot!$B$7:$B$24,0)),""))*(M_DepotPrice!$G$10:$G$52="Special"),0)),INDEX(M_DepotPrice!$C$10:$C$52,MATCH(1,(M_DepotPrice!$A$10:$A$52=I695)*(M_DepotPrice!$G$10:$G$52="Default"),0)))</f>
        <v>11780</v>
      </c>
      <c r="N695" s="67">
        <f t="shared" si="21"/>
        <v>17985.727559999999</v>
      </c>
      <c r="O695" s="66" t="str">
        <f t="shared" si="20"/>
        <v>MOS100654|FG005|CK3-33402</v>
      </c>
    </row>
    <row r="696" spans="1:15" ht="15" customHeight="1" x14ac:dyDescent="0.3">
      <c r="A696" s="70" t="s">
        <v>1375</v>
      </c>
      <c r="B696" s="70" t="s">
        <v>572</v>
      </c>
      <c r="C696" s="72">
        <v>46179</v>
      </c>
      <c r="D696" s="73" t="s">
        <v>427</v>
      </c>
      <c r="E696" s="76" t="str">
        <f>IFERROR(INDEX(M_User!$A$12:$J$67,MATCH(D696,M_User!$D$12:$D$67,0),3),"UNMAPPED")</f>
        <v>Piniel Julius Singo</v>
      </c>
      <c r="F696" s="75" t="str">
        <f>IFERROR(INDEX(M_User!$A$12:$J$67,MATCH(D696,M_User!$D$12:$D$67,0),5),"UNMAPPED")</f>
        <v>MOS</v>
      </c>
      <c r="G696" s="73" t="s">
        <v>812</v>
      </c>
      <c r="H696" s="92" t="s">
        <v>813</v>
      </c>
      <c r="I696" s="73" t="s">
        <v>187</v>
      </c>
      <c r="J696" s="76" t="str">
        <f>IFERROR(INDEX(M_SKU!$A$18:$J$57,MATCH(I696,M_SKU!$B$18:$B$57,0),1),"UNKNOWN SKU")</f>
        <v>Sprite 350ml</v>
      </c>
      <c r="K696" s="73" t="s">
        <v>535</v>
      </c>
      <c r="L696" s="276">
        <v>2.0764</v>
      </c>
      <c r="M696" s="94" cm="1">
        <f t="array" ref="M696">IFERROR(INDEX(M_DepotPrice!$C$10:$C$52,MATCH(1,(M_DepotPrice!$A$10:$A$52=I696)*(M_DepotPrice!$H$10:$H$52=IFERROR(INDEX(M_Depot!$A$7:$A$24,MATCH(F696,M_Depot!$B$7:$B$24,0)),""))*(M_DepotPrice!$G$10:$G$52="Special"),0)),INDEX(M_DepotPrice!$C$10:$C$52,MATCH(1,(M_DepotPrice!$A$10:$A$52=I696)*(M_DepotPrice!$G$10:$G$52="Default"),0)))</f>
        <v>11780</v>
      </c>
      <c r="N696" s="95">
        <f t="shared" si="21"/>
        <v>28862.790560000001</v>
      </c>
      <c r="O696" s="82" t="str">
        <f t="shared" si="20"/>
        <v>MOS100654|FG006|CK3-33414</v>
      </c>
    </row>
    <row r="697" spans="1:15" ht="15" customHeight="1" x14ac:dyDescent="0.3">
      <c r="A697" s="60" t="s">
        <v>1376</v>
      </c>
      <c r="B697" s="60" t="s">
        <v>572</v>
      </c>
      <c r="C697" s="62">
        <v>46179</v>
      </c>
      <c r="D697" s="63" t="s">
        <v>427</v>
      </c>
      <c r="E697" s="66" t="str">
        <f>IFERROR(INDEX(M_User!$A$12:$J$67,MATCH(D697,M_User!$D$12:$D$67,0),3),"UNMAPPED")</f>
        <v>Piniel Julius Singo</v>
      </c>
      <c r="F697" s="65" t="str">
        <f>IFERROR(INDEX(M_User!$A$12:$J$67,MATCH(D697,M_User!$D$12:$D$67,0),5),"UNMAPPED")</f>
        <v>MOS</v>
      </c>
      <c r="G697" s="63" t="s">
        <v>812</v>
      </c>
      <c r="H697" s="69" t="s">
        <v>813</v>
      </c>
      <c r="I697" s="63" t="s">
        <v>190</v>
      </c>
      <c r="J697" s="66" t="str">
        <f>IFERROR(INDEX(M_SKU!$A$18:$J$57,MATCH(I697,M_SKU!$B$18:$B$57,0),1),"UNKNOWN SKU")</f>
        <v>Stoney Tangawizi RGB 350ml</v>
      </c>
      <c r="K697" s="63" t="s">
        <v>536</v>
      </c>
      <c r="L697" s="276">
        <v>1.0451999999999999</v>
      </c>
      <c r="M697" s="91" cm="1">
        <f t="array" ref="M697">IFERROR(INDEX(M_DepotPrice!$C$10:$C$52,MATCH(1,(M_DepotPrice!$A$10:$A$52=I697)*(M_DepotPrice!$H$10:$H$52=IFERROR(INDEX(M_Depot!$A$7:$A$24,MATCH(F697,M_Depot!$B$7:$B$24,0)),""))*(M_DepotPrice!$G$10:$G$52="Special"),0)),INDEX(M_DepotPrice!$C$10:$C$52,MATCH(1,(M_DepotPrice!$A$10:$A$52=I697)*(M_DepotPrice!$G$10:$G$52="Default"),0)))</f>
        <v>11780</v>
      </c>
      <c r="N697" s="67">
        <f t="shared" si="21"/>
        <v>14528.698079999996</v>
      </c>
      <c r="O697" s="66" t="str">
        <f t="shared" si="20"/>
        <v>MOS100654|FG007|CK3-33404</v>
      </c>
    </row>
    <row r="698" spans="1:15" ht="15" customHeight="1" x14ac:dyDescent="0.3">
      <c r="A698" s="70" t="s">
        <v>1377</v>
      </c>
      <c r="B698" s="70" t="s">
        <v>572</v>
      </c>
      <c r="C698" s="72">
        <v>46179</v>
      </c>
      <c r="D698" s="73" t="s">
        <v>427</v>
      </c>
      <c r="E698" s="76" t="str">
        <f>IFERROR(INDEX(M_User!$A$12:$J$67,MATCH(D698,M_User!$D$12:$D$67,0),3),"UNMAPPED")</f>
        <v>Piniel Julius Singo</v>
      </c>
      <c r="F698" s="75" t="str">
        <f>IFERROR(INDEX(M_User!$A$12:$J$67,MATCH(D698,M_User!$D$12:$D$67,0),5),"UNMAPPED")</f>
        <v>MOS</v>
      </c>
      <c r="G698" s="73" t="s">
        <v>812</v>
      </c>
      <c r="H698" s="92" t="s">
        <v>813</v>
      </c>
      <c r="I698" s="73" t="s">
        <v>193</v>
      </c>
      <c r="J698" s="76" t="str">
        <f>IFERROR(INDEX(M_SKU!$A$18:$J$57,MATCH(I698,M_SKU!$B$18:$B$57,0),1),"UNKNOWN SKU")</f>
        <v>Sparletta Pinenut RGB 350ml</v>
      </c>
      <c r="K698" s="73" t="s">
        <v>537</v>
      </c>
      <c r="L698" s="276">
        <v>0.559955923809483</v>
      </c>
      <c r="M698" s="94" cm="1">
        <f t="array" ref="M698">IFERROR(INDEX(M_DepotPrice!$C$10:$C$52,MATCH(1,(M_DepotPrice!$A$10:$A$52=I698)*(M_DepotPrice!$H$10:$H$52=IFERROR(INDEX(M_Depot!$A$7:$A$24,MATCH(F698,M_Depot!$B$7:$B$24,0)),""))*(M_DepotPrice!$G$10:$G$52="Special"),0)),INDEX(M_DepotPrice!$C$10:$C$52,MATCH(1,(M_DepotPrice!$A$10:$A$52=I698)*(M_DepotPrice!$G$10:$G$52="Default"),0)))</f>
        <v>11780</v>
      </c>
      <c r="N698" s="95">
        <f t="shared" si="21"/>
        <v>7783.6113233213373</v>
      </c>
      <c r="O698" s="82" t="str">
        <f t="shared" si="20"/>
        <v>MOS100654|FG008|CK3-33365</v>
      </c>
    </row>
    <row r="699" spans="1:15" ht="15" customHeight="1" x14ac:dyDescent="0.3">
      <c r="A699" s="60" t="s">
        <v>1378</v>
      </c>
      <c r="B699" s="60" t="s">
        <v>572</v>
      </c>
      <c r="C699" s="62">
        <v>46179</v>
      </c>
      <c r="D699" s="63" t="s">
        <v>427</v>
      </c>
      <c r="E699" s="66" t="str">
        <f>IFERROR(INDEX(M_User!$A$12:$J$67,MATCH(D699,M_User!$D$12:$D$67,0),3),"UNMAPPED")</f>
        <v>Piniel Julius Singo</v>
      </c>
      <c r="F699" s="65" t="str">
        <f>IFERROR(INDEX(M_User!$A$12:$J$67,MATCH(D699,M_User!$D$12:$D$67,0),5),"UNMAPPED")</f>
        <v>MOS</v>
      </c>
      <c r="G699" s="63" t="s">
        <v>812</v>
      </c>
      <c r="H699" s="69" t="s">
        <v>813</v>
      </c>
      <c r="I699" s="63" t="s">
        <v>209</v>
      </c>
      <c r="J699" s="66" t="str">
        <f>IFERROR(INDEX(M_SKU!$A$18:$J$57,MATCH(I699,M_SKU!$B$18:$B$57,0),1),"UNKNOWN SKU")</f>
        <v>Sparletta Red Apple RGB 350ml</v>
      </c>
      <c r="K699" s="63" t="s">
        <v>542</v>
      </c>
      <c r="L699" s="276">
        <v>0.54042067558796503</v>
      </c>
      <c r="M699" s="91" cm="1">
        <f t="array" ref="M699">IFERROR(INDEX(M_DepotPrice!$C$10:$C$52,MATCH(1,(M_DepotPrice!$A$10:$A$52=I699)*(M_DepotPrice!$H$10:$H$52=IFERROR(INDEX(M_Depot!$A$7:$A$24,MATCH(F699,M_Depot!$B$7:$B$24,0)),""))*(M_DepotPrice!$G$10:$G$52="Special"),0)),INDEX(M_DepotPrice!$C$10:$C$52,MATCH(1,(M_DepotPrice!$A$10:$A$52=I699)*(M_DepotPrice!$G$10:$G$52="Default"),0)))</f>
        <v>11780</v>
      </c>
      <c r="N699" s="67">
        <f t="shared" si="21"/>
        <v>7512.0635589429485</v>
      </c>
      <c r="O699" s="66" t="str">
        <f t="shared" si="20"/>
        <v>MOS100654|FG024|CK3-32758</v>
      </c>
    </row>
    <row r="700" spans="1:15" ht="15" customHeight="1" x14ac:dyDescent="0.3">
      <c r="A700" s="70" t="s">
        <v>1379</v>
      </c>
      <c r="B700" s="70" t="s">
        <v>572</v>
      </c>
      <c r="C700" s="72">
        <v>46179</v>
      </c>
      <c r="D700" s="73" t="s">
        <v>427</v>
      </c>
      <c r="E700" s="76" t="str">
        <f>IFERROR(INDEX(M_User!$A$12:$J$67,MATCH(D700,M_User!$D$12:$D$67,0),3),"UNMAPPED")</f>
        <v>Piniel Julius Singo</v>
      </c>
      <c r="F700" s="75" t="str">
        <f>IFERROR(INDEX(M_User!$A$12:$J$67,MATCH(D700,M_User!$D$12:$D$67,0),5),"UNMAPPED")</f>
        <v>MOS</v>
      </c>
      <c r="G700" s="73" t="s">
        <v>812</v>
      </c>
      <c r="H700" s="92" t="s">
        <v>813</v>
      </c>
      <c r="I700" s="73" t="s">
        <v>211</v>
      </c>
      <c r="J700" s="76" t="str">
        <f>IFERROR(INDEX(M_SKU!$A$18:$J$57,MATCH(I700,M_SKU!$B$18:$B$57,0),1),"UNKNOWN SKU")</f>
        <v>KNMW 500ml</v>
      </c>
      <c r="K700" s="73" t="s">
        <v>543</v>
      </c>
      <c r="L700" s="276">
        <v>10</v>
      </c>
      <c r="M700" s="94" cm="1">
        <f t="array" ref="M700">IFERROR(INDEX(M_DepotPrice!$C$10:$C$52,MATCH(1,(M_DepotPrice!$A$10:$A$52=I700)*(M_DepotPrice!$H$10:$H$52=IFERROR(INDEX(M_Depot!$A$7:$A$24,MATCH(F700,M_Depot!$B$7:$B$24,0)),""))*(M_DepotPrice!$G$10:$G$52="Special"),0)),INDEX(M_DepotPrice!$C$10:$C$52,MATCH(1,(M_DepotPrice!$A$10:$A$52=I700)*(M_DepotPrice!$G$10:$G$52="Default"),0)))</f>
        <v>3559</v>
      </c>
      <c r="N700" s="95">
        <f t="shared" si="21"/>
        <v>41996.2</v>
      </c>
      <c r="O700" s="82" t="str">
        <f t="shared" si="20"/>
        <v>MOS100654|KD001|CK6-986</v>
      </c>
    </row>
    <row r="701" spans="1:15" ht="15" customHeight="1" x14ac:dyDescent="0.3">
      <c r="A701" s="60" t="s">
        <v>1380</v>
      </c>
      <c r="B701" s="60" t="s">
        <v>572</v>
      </c>
      <c r="C701" s="62">
        <v>46179</v>
      </c>
      <c r="D701" s="63" t="s">
        <v>427</v>
      </c>
      <c r="E701" s="66" t="str">
        <f>IFERROR(INDEX(M_User!$A$12:$J$67,MATCH(D701,M_User!$D$12:$D$67,0),3),"UNMAPPED")</f>
        <v>Piniel Julius Singo</v>
      </c>
      <c r="F701" s="65" t="str">
        <f>IFERROR(INDEX(M_User!$A$12:$J$67,MATCH(D701,M_User!$D$12:$D$67,0),5),"UNMAPPED")</f>
        <v>MOS</v>
      </c>
      <c r="G701" s="63" t="s">
        <v>812</v>
      </c>
      <c r="H701" s="69" t="s">
        <v>813</v>
      </c>
      <c r="I701" s="63" t="s">
        <v>217</v>
      </c>
      <c r="J701" s="66" t="str">
        <f>IFERROR(INDEX(M_SKU!$A$18:$J$57,MATCH(I701,M_SKU!$B$18:$B$57,0),1),"UNKNOWN SKU")</f>
        <v>KNMW 1500ml</v>
      </c>
      <c r="K701" s="63" t="s">
        <v>551</v>
      </c>
      <c r="L701" s="276">
        <v>17</v>
      </c>
      <c r="M701" s="91" cm="1">
        <f t="array" ref="M701">IFERROR(INDEX(M_DepotPrice!$C$10:$C$52,MATCH(1,(M_DepotPrice!$A$10:$A$52=I701)*(M_DepotPrice!$H$10:$H$52=IFERROR(INDEX(M_Depot!$A$7:$A$24,MATCH(F701,M_Depot!$B$7:$B$24,0)),""))*(M_DepotPrice!$G$10:$G$52="Special"),0)),INDEX(M_DepotPrice!$C$10:$C$52,MATCH(1,(M_DepotPrice!$A$10:$A$52=I701)*(M_DepotPrice!$G$10:$G$52="Default"),0)))</f>
        <v>3983</v>
      </c>
      <c r="N701" s="67">
        <f t="shared" si="21"/>
        <v>79898.98</v>
      </c>
      <c r="O701" s="66" t="str">
        <f t="shared" si="20"/>
        <v>MOS100654|KD003|CK4-842</v>
      </c>
    </row>
    <row r="702" spans="1:15" ht="15" customHeight="1" x14ac:dyDescent="0.3">
      <c r="A702" s="70" t="s">
        <v>1381</v>
      </c>
      <c r="B702" s="70" t="s">
        <v>572</v>
      </c>
      <c r="C702" s="72">
        <v>46179</v>
      </c>
      <c r="D702" s="73" t="s">
        <v>427</v>
      </c>
      <c r="E702" s="76" t="str">
        <f>IFERROR(INDEX(M_User!$A$12:$J$67,MATCH(D702,M_User!$D$12:$D$67,0),3),"UNMAPPED")</f>
        <v>Piniel Julius Singo</v>
      </c>
      <c r="F702" s="75" t="str">
        <f>IFERROR(INDEX(M_User!$A$12:$J$67,MATCH(D702,M_User!$D$12:$D$67,0),5),"UNMAPPED")</f>
        <v>MOS</v>
      </c>
      <c r="G702" s="73" t="s">
        <v>812</v>
      </c>
      <c r="H702" s="92" t="s">
        <v>813</v>
      </c>
      <c r="I702" s="73" t="s">
        <v>222</v>
      </c>
      <c r="J702" s="76" t="str">
        <f>IFERROR(INDEX(M_SKU!$A$18:$J$57,MATCH(I702,M_SKU!$B$18:$B$57,0),1),"UNKNOWN SKU")</f>
        <v>Kilimanjaro Drinking Water 12000 ML</v>
      </c>
      <c r="K702" s="73" t="s">
        <v>566</v>
      </c>
      <c r="L702" s="276">
        <v>1</v>
      </c>
      <c r="M702" s="94" cm="1">
        <f t="array" ref="M702">IFERROR(INDEX(M_DepotPrice!$C$10:$C$52,MATCH(1,(M_DepotPrice!$A$10:$A$52=I702)*(M_DepotPrice!$H$10:$H$52=IFERROR(INDEX(M_Depot!$A$7:$A$24,MATCH(F702,M_Depot!$B$7:$B$24,0)),""))*(M_DepotPrice!$G$10:$G$52="Special"),0)),INDEX(M_DepotPrice!$C$10:$C$52,MATCH(1,(M_DepotPrice!$A$10:$A$52=I702)*(M_DepotPrice!$G$10:$G$52="Default"),0)))</f>
        <v>3559</v>
      </c>
      <c r="N702" s="95">
        <f t="shared" si="21"/>
        <v>4199.62</v>
      </c>
      <c r="O702" s="82" t="str">
        <f t="shared" si="20"/>
        <v>MOS100654|KD005|CK7-913</v>
      </c>
    </row>
    <row r="703" spans="1:15" ht="15" customHeight="1" x14ac:dyDescent="0.3">
      <c r="A703" s="60" t="s">
        <v>1382</v>
      </c>
      <c r="B703" s="60" t="s">
        <v>572</v>
      </c>
      <c r="C703" s="62">
        <v>46179</v>
      </c>
      <c r="D703" s="63" t="s">
        <v>427</v>
      </c>
      <c r="E703" s="66" t="str">
        <f>IFERROR(INDEX(M_User!$A$12:$J$67,MATCH(D703,M_User!$D$12:$D$67,0),3),"UNMAPPED")</f>
        <v>Piniel Julius Singo</v>
      </c>
      <c r="F703" s="65" t="str">
        <f>IFERROR(INDEX(M_User!$A$12:$J$67,MATCH(D703,M_User!$D$12:$D$67,0),5),"UNMAPPED")</f>
        <v>MOS</v>
      </c>
      <c r="G703" s="63" t="s">
        <v>812</v>
      </c>
      <c r="H703" s="69" t="s">
        <v>813</v>
      </c>
      <c r="I703" s="63" t="s">
        <v>225</v>
      </c>
      <c r="J703" s="66" t="str">
        <f>IFERROR(INDEX(M_SKU!$A$18:$J$57,MATCH(I703,M_SKU!$B$18:$B$57,0),1),"UNKNOWN SKU")</f>
        <v>Kilimanjaro Drinking Water 18900 ML</v>
      </c>
      <c r="K703" s="63" t="s">
        <v>574</v>
      </c>
      <c r="L703" s="276">
        <v>3</v>
      </c>
      <c r="M703" s="91" cm="1">
        <f t="array" ref="M703">IFERROR(INDEX(M_DepotPrice!$C$10:$C$52,MATCH(1,(M_DepotPrice!$A$10:$A$52=I703)*(M_DepotPrice!$H$10:$H$52=IFERROR(INDEX(M_Depot!$A$7:$A$24,MATCH(F703,M_Depot!$B$7:$B$24,0)),""))*(M_DepotPrice!$G$10:$G$52="Special"),0)),INDEX(M_DepotPrice!$C$10:$C$52,MATCH(1,(M_DepotPrice!$A$10:$A$52=I703)*(M_DepotPrice!$G$10:$G$52="Default"),0)))</f>
        <v>5932</v>
      </c>
      <c r="N703" s="67">
        <f t="shared" si="21"/>
        <v>20999.279999999999</v>
      </c>
      <c r="O703" s="66" t="str">
        <f t="shared" si="20"/>
        <v>MOS100654|KD006|CK7-918</v>
      </c>
    </row>
    <row r="704" spans="1:15" ht="15" customHeight="1" x14ac:dyDescent="0.3">
      <c r="A704" s="70" t="s">
        <v>1383</v>
      </c>
      <c r="B704" s="70" t="s">
        <v>572</v>
      </c>
      <c r="C704" s="72">
        <v>46179</v>
      </c>
      <c r="D704" s="73" t="s">
        <v>427</v>
      </c>
      <c r="E704" s="76" t="str">
        <f>IFERROR(INDEX(M_User!$A$12:$J$67,MATCH(D704,M_User!$D$12:$D$67,0),3),"UNMAPPED")</f>
        <v>Piniel Julius Singo</v>
      </c>
      <c r="F704" s="75" t="str">
        <f>IFERROR(INDEX(M_User!$A$12:$J$67,MATCH(D704,M_User!$D$12:$D$67,0),5),"UNMAPPED")</f>
        <v>MOS</v>
      </c>
      <c r="G704" s="73" t="s">
        <v>812</v>
      </c>
      <c r="H704" s="92" t="s">
        <v>813</v>
      </c>
      <c r="I704" s="73" t="s">
        <v>229</v>
      </c>
      <c r="J704" s="76" t="str">
        <f>IFERROR(INDEX(M_SKU!$A$18:$J$57,MATCH(I704,M_SKU!$B$18:$B$57,0),1),"UNKNOWN SKU")</f>
        <v>Coke Pet 500ML ( x12)</v>
      </c>
      <c r="K704" s="73" t="s">
        <v>520</v>
      </c>
      <c r="L704" s="276">
        <v>3</v>
      </c>
      <c r="M704" s="94" cm="1">
        <f t="array" ref="M704">IFERROR(INDEX(M_DepotPrice!$C$10:$C$52,MATCH(1,(M_DepotPrice!$A$10:$A$52=I704)*(M_DepotPrice!$H$10:$H$52=IFERROR(INDEX(M_Depot!$A$7:$A$24,MATCH(F704,M_Depot!$B$7:$B$24,0)),""))*(M_DepotPrice!$G$10:$G$52="Special"),0)),INDEX(M_DepotPrice!$C$10:$C$52,MATCH(1,(M_DepotPrice!$A$10:$A$52=I704)*(M_DepotPrice!$G$10:$G$52="Default"),0)))</f>
        <v>8898</v>
      </c>
      <c r="N704" s="95">
        <f t="shared" si="21"/>
        <v>31498.92</v>
      </c>
      <c r="O704" s="82" t="str">
        <f t="shared" si="20"/>
        <v>MOS100654|PH001|CK6-33411</v>
      </c>
    </row>
    <row r="705" spans="1:15" ht="15" customHeight="1" x14ac:dyDescent="0.3">
      <c r="A705" s="60" t="s">
        <v>1384</v>
      </c>
      <c r="B705" s="60" t="s">
        <v>572</v>
      </c>
      <c r="C705" s="62">
        <v>46179</v>
      </c>
      <c r="D705" s="63" t="s">
        <v>427</v>
      </c>
      <c r="E705" s="66" t="str">
        <f>IFERROR(INDEX(M_User!$A$12:$J$67,MATCH(D705,M_User!$D$12:$D$67,0),3),"UNMAPPED")</f>
        <v>Piniel Julius Singo</v>
      </c>
      <c r="F705" s="65" t="str">
        <f>IFERROR(INDEX(M_User!$A$12:$J$67,MATCH(D705,M_User!$D$12:$D$67,0),5),"UNMAPPED")</f>
        <v>MOS</v>
      </c>
      <c r="G705" s="63" t="s">
        <v>812</v>
      </c>
      <c r="H705" s="69" t="s">
        <v>813</v>
      </c>
      <c r="I705" s="63" t="s">
        <v>232</v>
      </c>
      <c r="J705" s="66" t="str">
        <f>IFERROR(INDEX(M_SKU!$A$18:$J$57,MATCH(I705,M_SKU!$B$18:$B$57,0),1),"UNKNOWN SKU")</f>
        <v>Sprite Pet 500ML (x 12)</v>
      </c>
      <c r="K705" s="63" t="s">
        <v>522</v>
      </c>
      <c r="L705" s="276">
        <v>1</v>
      </c>
      <c r="M705" s="91" cm="1">
        <f t="array" ref="M705">IFERROR(INDEX(M_DepotPrice!$C$10:$C$52,MATCH(1,(M_DepotPrice!$A$10:$A$52=I705)*(M_DepotPrice!$H$10:$H$52=IFERROR(INDEX(M_Depot!$A$7:$A$24,MATCH(F705,M_Depot!$B$7:$B$24,0)),""))*(M_DepotPrice!$G$10:$G$52="Special"),0)),INDEX(M_DepotPrice!$C$10:$C$52,MATCH(1,(M_DepotPrice!$A$10:$A$52=I705)*(M_DepotPrice!$G$10:$G$52="Default"),0)))</f>
        <v>8898</v>
      </c>
      <c r="N705" s="67">
        <f t="shared" si="21"/>
        <v>10499.64</v>
      </c>
      <c r="O705" s="66" t="str">
        <f t="shared" si="20"/>
        <v>MOS100654|PH002|CK6-33362</v>
      </c>
    </row>
    <row r="706" spans="1:15" ht="15" customHeight="1" x14ac:dyDescent="0.3">
      <c r="A706" s="70" t="s">
        <v>1385</v>
      </c>
      <c r="B706" s="70" t="s">
        <v>572</v>
      </c>
      <c r="C706" s="72">
        <v>46179</v>
      </c>
      <c r="D706" s="73" t="s">
        <v>427</v>
      </c>
      <c r="E706" s="76" t="str">
        <f>IFERROR(INDEX(M_User!$A$12:$J$67,MATCH(D706,M_User!$D$12:$D$67,0),3),"UNMAPPED")</f>
        <v>Piniel Julius Singo</v>
      </c>
      <c r="F706" s="75" t="str">
        <f>IFERROR(INDEX(M_User!$A$12:$J$67,MATCH(D706,M_User!$D$12:$D$67,0),5),"UNMAPPED")</f>
        <v>MOS</v>
      </c>
      <c r="G706" s="73" t="s">
        <v>812</v>
      </c>
      <c r="H706" s="92" t="s">
        <v>813</v>
      </c>
      <c r="I706" s="73" t="s">
        <v>234</v>
      </c>
      <c r="J706" s="76" t="str">
        <f>IFERROR(INDEX(M_SKU!$A$18:$J$57,MATCH(I706,M_SKU!$B$18:$B$57,0),1),"UNKNOWN SKU")</f>
        <v>Fanta Orange Pet 500ML ( x 12)</v>
      </c>
      <c r="K706" s="73" t="s">
        <v>523</v>
      </c>
      <c r="L706" s="276">
        <v>2</v>
      </c>
      <c r="M706" s="94" cm="1">
        <f t="array" ref="M706">IFERROR(INDEX(M_DepotPrice!$C$10:$C$52,MATCH(1,(M_DepotPrice!$A$10:$A$52=I706)*(M_DepotPrice!$H$10:$H$52=IFERROR(INDEX(M_Depot!$A$7:$A$24,MATCH(F706,M_Depot!$B$7:$B$24,0)),""))*(M_DepotPrice!$G$10:$G$52="Special"),0)),INDEX(M_DepotPrice!$C$10:$C$52,MATCH(1,(M_DepotPrice!$A$10:$A$52=I706)*(M_DepotPrice!$G$10:$G$52="Default"),0)))</f>
        <v>8898</v>
      </c>
      <c r="N706" s="95">
        <f t="shared" si="21"/>
        <v>20999.279999999999</v>
      </c>
      <c r="O706" s="82" t="str">
        <f t="shared" si="20"/>
        <v>MOS100654|PH003|CK6-33405</v>
      </c>
    </row>
    <row r="707" spans="1:15" ht="15" customHeight="1" x14ac:dyDescent="0.3">
      <c r="A707" s="60" t="s">
        <v>1386</v>
      </c>
      <c r="B707" s="60" t="s">
        <v>572</v>
      </c>
      <c r="C707" s="62">
        <v>46179</v>
      </c>
      <c r="D707" s="63" t="s">
        <v>427</v>
      </c>
      <c r="E707" s="66" t="str">
        <f>IFERROR(INDEX(M_User!$A$12:$J$67,MATCH(D707,M_User!$D$12:$D$67,0),3),"UNMAPPED")</f>
        <v>Piniel Julius Singo</v>
      </c>
      <c r="F707" s="65" t="str">
        <f>IFERROR(INDEX(M_User!$A$12:$J$67,MATCH(D707,M_User!$D$12:$D$67,0),5),"UNMAPPED")</f>
        <v>MOS</v>
      </c>
      <c r="G707" s="63" t="s">
        <v>812</v>
      </c>
      <c r="H707" s="69" t="s">
        <v>813</v>
      </c>
      <c r="I707" s="63" t="s">
        <v>236</v>
      </c>
      <c r="J707" s="66" t="str">
        <f>IFERROR(INDEX(M_SKU!$A$18:$J$57,MATCH(I707,M_SKU!$B$18:$B$57,0),1),"UNKNOWN SKU")</f>
        <v>Fanta Passion Pet 500ML ( x12)</v>
      </c>
      <c r="K707" s="63" t="s">
        <v>524</v>
      </c>
      <c r="L707" s="276">
        <v>1</v>
      </c>
      <c r="M707" s="91" cm="1">
        <f t="array" ref="M707">IFERROR(INDEX(M_DepotPrice!$C$10:$C$52,MATCH(1,(M_DepotPrice!$A$10:$A$52=I707)*(M_DepotPrice!$H$10:$H$52=IFERROR(INDEX(M_Depot!$A$7:$A$24,MATCH(F707,M_Depot!$B$7:$B$24,0)),""))*(M_DepotPrice!$G$10:$G$52="Special"),0)),INDEX(M_DepotPrice!$C$10:$C$52,MATCH(1,(M_DepotPrice!$A$10:$A$52=I707)*(M_DepotPrice!$G$10:$G$52="Default"),0)))</f>
        <v>8898</v>
      </c>
      <c r="N707" s="67">
        <f t="shared" si="21"/>
        <v>10499.64</v>
      </c>
      <c r="O707" s="66" t="str">
        <f t="shared" si="20"/>
        <v>MOS100654|PH004|CK5-33334</v>
      </c>
    </row>
    <row r="708" spans="1:15" ht="15" customHeight="1" x14ac:dyDescent="0.3">
      <c r="A708" s="70" t="s">
        <v>1387</v>
      </c>
      <c r="B708" s="70" t="s">
        <v>572</v>
      </c>
      <c r="C708" s="72">
        <v>46179</v>
      </c>
      <c r="D708" s="73" t="s">
        <v>427</v>
      </c>
      <c r="E708" s="76" t="str">
        <f>IFERROR(INDEX(M_User!$A$12:$J$67,MATCH(D708,M_User!$D$12:$D$67,0),3),"UNMAPPED")</f>
        <v>Piniel Julius Singo</v>
      </c>
      <c r="F708" s="75" t="str">
        <f>IFERROR(INDEX(M_User!$A$12:$J$67,MATCH(D708,M_User!$D$12:$D$67,0),5),"UNMAPPED")</f>
        <v>MOS</v>
      </c>
      <c r="G708" s="73" t="s">
        <v>825</v>
      </c>
      <c r="H708" s="92" t="s">
        <v>826</v>
      </c>
      <c r="I708" s="73" t="s">
        <v>170</v>
      </c>
      <c r="J708" s="76" t="str">
        <f>IFERROR(INDEX(M_SKU!$A$18:$J$57,MATCH(I708,M_SKU!$B$18:$B$57,0),1),"UNKNOWN SKU")</f>
        <v>Coke RGB 350ml</v>
      </c>
      <c r="K708" s="73" t="s">
        <v>530</v>
      </c>
      <c r="L708" s="276">
        <v>17.2501</v>
      </c>
      <c r="M708" s="94" cm="1">
        <f t="array" ref="M708">IFERROR(INDEX(M_DepotPrice!$C$10:$C$52,MATCH(1,(M_DepotPrice!$A$10:$A$52=I708)*(M_DepotPrice!$H$10:$H$52=IFERROR(INDEX(M_Depot!$A$7:$A$24,MATCH(F708,M_Depot!$B$7:$B$24,0)),""))*(M_DepotPrice!$G$10:$G$52="Special"),0)),INDEX(M_DepotPrice!$C$10:$C$52,MATCH(1,(M_DepotPrice!$A$10:$A$52=I708)*(M_DepotPrice!$G$10:$G$52="Default"),0)))</f>
        <v>11780</v>
      </c>
      <c r="N708" s="95">
        <f t="shared" si="21"/>
        <v>239783.29003999996</v>
      </c>
      <c r="O708" s="82" t="str">
        <f t="shared" si="20"/>
        <v>MOS100654|FG001|CK3-33409</v>
      </c>
    </row>
    <row r="709" spans="1:15" ht="15" customHeight="1" x14ac:dyDescent="0.3">
      <c r="A709" s="60" t="s">
        <v>1388</v>
      </c>
      <c r="B709" s="60" t="s">
        <v>572</v>
      </c>
      <c r="C709" s="62">
        <v>46179</v>
      </c>
      <c r="D709" s="63" t="s">
        <v>427</v>
      </c>
      <c r="E709" s="66" t="str">
        <f>IFERROR(INDEX(M_User!$A$12:$J$67,MATCH(D709,M_User!$D$12:$D$67,0),3),"UNMAPPED")</f>
        <v>Piniel Julius Singo</v>
      </c>
      <c r="F709" s="65" t="str">
        <f>IFERROR(INDEX(M_User!$A$12:$J$67,MATCH(D709,M_User!$D$12:$D$67,0),5),"UNMAPPED")</f>
        <v>MOS</v>
      </c>
      <c r="G709" s="63" t="s">
        <v>825</v>
      </c>
      <c r="H709" s="69" t="s">
        <v>826</v>
      </c>
      <c r="I709" s="63" t="s">
        <v>178</v>
      </c>
      <c r="J709" s="66" t="str">
        <f>IFERROR(INDEX(M_SKU!$A$18:$J$57,MATCH(I709,M_SKU!$B$18:$B$57,0),1),"UNKNOWN SKU")</f>
        <v>Fanta Orange RGB 350ml</v>
      </c>
      <c r="K709" s="63" t="s">
        <v>531</v>
      </c>
      <c r="L709" s="276">
        <v>5.1088790159971902</v>
      </c>
      <c r="M709" s="91" cm="1">
        <f t="array" ref="M709">IFERROR(INDEX(M_DepotPrice!$C$10:$C$52,MATCH(1,(M_DepotPrice!$A$10:$A$52=I709)*(M_DepotPrice!$H$10:$H$52=IFERROR(INDEX(M_Depot!$A$7:$A$24,MATCH(F709,M_Depot!$B$7:$B$24,0)),""))*(M_DepotPrice!$G$10:$G$52="Special"),0)),INDEX(M_DepotPrice!$C$10:$C$52,MATCH(1,(M_DepotPrice!$A$10:$A$52=I709)*(M_DepotPrice!$G$10:$G$52="Default"),0)))</f>
        <v>11780</v>
      </c>
      <c r="N709" s="67">
        <f t="shared" si="21"/>
        <v>71015.461873967331</v>
      </c>
      <c r="O709" s="66" t="str">
        <f t="shared" si="20"/>
        <v>MOS100654|FG002|CK3-33407</v>
      </c>
    </row>
    <row r="710" spans="1:15" ht="15" customHeight="1" x14ac:dyDescent="0.3">
      <c r="A710" s="70" t="s">
        <v>1389</v>
      </c>
      <c r="B710" s="70" t="s">
        <v>572</v>
      </c>
      <c r="C710" s="72">
        <v>46179</v>
      </c>
      <c r="D710" s="73" t="s">
        <v>427</v>
      </c>
      <c r="E710" s="76" t="str">
        <f>IFERROR(INDEX(M_User!$A$12:$J$67,MATCH(D710,M_User!$D$12:$D$67,0),3),"UNMAPPED")</f>
        <v>Piniel Julius Singo</v>
      </c>
      <c r="F710" s="75" t="str">
        <f>IFERROR(INDEX(M_User!$A$12:$J$67,MATCH(D710,M_User!$D$12:$D$67,0),5),"UNMAPPED")</f>
        <v>MOS</v>
      </c>
      <c r="G710" s="73" t="s">
        <v>825</v>
      </c>
      <c r="H710" s="92" t="s">
        <v>826</v>
      </c>
      <c r="I710" s="73" t="s">
        <v>181</v>
      </c>
      <c r="J710" s="76" t="str">
        <f>IFERROR(INDEX(M_SKU!$A$18:$J$57,MATCH(I710,M_SKU!$B$18:$B$57,0),1),"UNKNOWN SKU")</f>
        <v>Fanta Passion RGB 350ml</v>
      </c>
      <c r="K710" s="73" t="s">
        <v>550</v>
      </c>
      <c r="L710" s="276">
        <v>1.5323</v>
      </c>
      <c r="M710" s="94" cm="1">
        <f t="array" ref="M710">IFERROR(INDEX(M_DepotPrice!$C$10:$C$52,MATCH(1,(M_DepotPrice!$A$10:$A$52=I710)*(M_DepotPrice!$H$10:$H$52=IFERROR(INDEX(M_Depot!$A$7:$A$24,MATCH(F710,M_Depot!$B$7:$B$24,0)),""))*(M_DepotPrice!$G$10:$G$52="Special"),0)),INDEX(M_DepotPrice!$C$10:$C$52,MATCH(1,(M_DepotPrice!$A$10:$A$52=I710)*(M_DepotPrice!$G$10:$G$52="Default"),0)))</f>
        <v>11780</v>
      </c>
      <c r="N710" s="95">
        <f t="shared" si="21"/>
        <v>21299.582919999997</v>
      </c>
      <c r="O710" s="82" t="str">
        <f t="shared" si="20"/>
        <v>MOS100654|FG003|CK3-33356</v>
      </c>
    </row>
    <row r="711" spans="1:15" ht="15" customHeight="1" x14ac:dyDescent="0.3">
      <c r="A711" s="60" t="s">
        <v>1390</v>
      </c>
      <c r="B711" s="60" t="s">
        <v>572</v>
      </c>
      <c r="C711" s="62">
        <v>46179</v>
      </c>
      <c r="D711" s="63" t="s">
        <v>427</v>
      </c>
      <c r="E711" s="66" t="str">
        <f>IFERROR(INDEX(M_User!$A$12:$J$67,MATCH(D711,M_User!$D$12:$D$67,0),3),"UNMAPPED")</f>
        <v>Piniel Julius Singo</v>
      </c>
      <c r="F711" s="65" t="str">
        <f>IFERROR(INDEX(M_User!$A$12:$J$67,MATCH(D711,M_User!$D$12:$D$67,0),5),"UNMAPPED")</f>
        <v>MOS</v>
      </c>
      <c r="G711" s="63" t="s">
        <v>825</v>
      </c>
      <c r="H711" s="69" t="s">
        <v>826</v>
      </c>
      <c r="I711" s="63" t="s">
        <v>183</v>
      </c>
      <c r="J711" s="66" t="str">
        <f>IFERROR(INDEX(M_SKU!$A$18:$J$57,MATCH(I711,M_SKU!$B$18:$B$57,0),1),"UNKNOWN SKU")</f>
        <v>Fanta Pineapple RGB 350ml</v>
      </c>
      <c r="K711" s="63" t="s">
        <v>533</v>
      </c>
      <c r="L711" s="276">
        <v>3.8238608399573502</v>
      </c>
      <c r="M711" s="91" cm="1">
        <f t="array" ref="M711">IFERROR(INDEX(M_DepotPrice!$C$10:$C$52,MATCH(1,(M_DepotPrice!$A$10:$A$52=I711)*(M_DepotPrice!$H$10:$H$52=IFERROR(INDEX(M_Depot!$A$7:$A$24,MATCH(F711,M_Depot!$B$7:$B$24,0)),""))*(M_DepotPrice!$G$10:$G$52="Special"),0)),INDEX(M_DepotPrice!$C$10:$C$52,MATCH(1,(M_DepotPrice!$A$10:$A$52=I711)*(M_DepotPrice!$G$10:$G$52="Default"),0)))</f>
        <v>11780</v>
      </c>
      <c r="N711" s="67">
        <f t="shared" si="21"/>
        <v>53153.195219743146</v>
      </c>
      <c r="O711" s="66" t="str">
        <f t="shared" si="20"/>
        <v>MOS100654|FG004|CK3-33385</v>
      </c>
    </row>
    <row r="712" spans="1:15" ht="15" customHeight="1" x14ac:dyDescent="0.3">
      <c r="A712" s="70" t="s">
        <v>1391</v>
      </c>
      <c r="B712" s="70" t="s">
        <v>572</v>
      </c>
      <c r="C712" s="72">
        <v>46179</v>
      </c>
      <c r="D712" s="73" t="s">
        <v>427</v>
      </c>
      <c r="E712" s="76" t="str">
        <f>IFERROR(INDEX(M_User!$A$12:$J$67,MATCH(D712,M_User!$D$12:$D$67,0),3),"UNMAPPED")</f>
        <v>Piniel Julius Singo</v>
      </c>
      <c r="F712" s="75" t="str">
        <f>IFERROR(INDEX(M_User!$A$12:$J$67,MATCH(D712,M_User!$D$12:$D$67,0),5),"UNMAPPED")</f>
        <v>MOS</v>
      </c>
      <c r="G712" s="73" t="s">
        <v>825</v>
      </c>
      <c r="H712" s="92" t="s">
        <v>826</v>
      </c>
      <c r="I712" s="73" t="s">
        <v>185</v>
      </c>
      <c r="J712" s="76" t="str">
        <f>IFERROR(INDEX(M_SKU!$A$18:$J$57,MATCH(I712,M_SKU!$B$18:$B$57,0),1),"UNKNOWN SKU")</f>
        <v>Fanta Fruit Blast RGB 350 ml</v>
      </c>
      <c r="K712" s="73" t="s">
        <v>534</v>
      </c>
      <c r="L712" s="276">
        <v>0.93934897014331398</v>
      </c>
      <c r="M712" s="94" cm="1">
        <f t="array" ref="M712">IFERROR(INDEX(M_DepotPrice!$C$10:$C$52,MATCH(1,(M_DepotPrice!$A$10:$A$52=I712)*(M_DepotPrice!$H$10:$H$52=IFERROR(INDEX(M_Depot!$A$7:$A$24,MATCH(F712,M_Depot!$B$7:$B$24,0)),""))*(M_DepotPrice!$G$10:$G$52="Special"),0)),INDEX(M_DepotPrice!$C$10:$C$52,MATCH(1,(M_DepotPrice!$A$10:$A$52=I712)*(M_DepotPrice!$G$10:$G$52="Default"),0)))</f>
        <v>11780</v>
      </c>
      <c r="N712" s="95">
        <f t="shared" si="21"/>
        <v>13057.32642458012</v>
      </c>
      <c r="O712" s="82" t="str">
        <f t="shared" si="20"/>
        <v>MOS100654|FG005|CK3-33402</v>
      </c>
    </row>
    <row r="713" spans="1:15" ht="15" customHeight="1" x14ac:dyDescent="0.3">
      <c r="A713" s="60" t="s">
        <v>1392</v>
      </c>
      <c r="B713" s="60" t="s">
        <v>572</v>
      </c>
      <c r="C713" s="62">
        <v>46179</v>
      </c>
      <c r="D713" s="63" t="s">
        <v>427</v>
      </c>
      <c r="E713" s="66" t="str">
        <f>IFERROR(INDEX(M_User!$A$12:$J$67,MATCH(D713,M_User!$D$12:$D$67,0),3),"UNMAPPED")</f>
        <v>Piniel Julius Singo</v>
      </c>
      <c r="F713" s="65" t="str">
        <f>IFERROR(INDEX(M_User!$A$12:$J$67,MATCH(D713,M_User!$D$12:$D$67,0),5),"UNMAPPED")</f>
        <v>MOS</v>
      </c>
      <c r="G713" s="63" t="s">
        <v>825</v>
      </c>
      <c r="H713" s="69" t="s">
        <v>826</v>
      </c>
      <c r="I713" s="63" t="s">
        <v>187</v>
      </c>
      <c r="J713" s="66" t="str">
        <f>IFERROR(INDEX(M_SKU!$A$18:$J$57,MATCH(I713,M_SKU!$B$18:$B$57,0),1),"UNKNOWN SKU")</f>
        <v>Sprite 350ml</v>
      </c>
      <c r="K713" s="63" t="s">
        <v>535</v>
      </c>
      <c r="L713" s="276">
        <v>3.1117459238078098</v>
      </c>
      <c r="M713" s="91" cm="1">
        <f t="array" ref="M713">IFERROR(INDEX(M_DepotPrice!$C$10:$C$52,MATCH(1,(M_DepotPrice!$A$10:$A$52=I713)*(M_DepotPrice!$H$10:$H$52=IFERROR(INDEX(M_Depot!$A$7:$A$24,MATCH(F713,M_Depot!$B$7:$B$24,0)),""))*(M_DepotPrice!$G$10:$G$52="Special"),0)),INDEX(M_DepotPrice!$C$10:$C$52,MATCH(1,(M_DepotPrice!$A$10:$A$52=I713)*(M_DepotPrice!$G$10:$G$52="Default"),0)))</f>
        <v>11780</v>
      </c>
      <c r="N713" s="67">
        <f t="shared" si="21"/>
        <v>43254.513039298079</v>
      </c>
      <c r="O713" s="66" t="str">
        <f t="shared" ref="O713:O776" si="22">D713 &amp; "|" &amp; I713 &amp; "|" &amp; K713</f>
        <v>MOS100654|FG006|CK3-33414</v>
      </c>
    </row>
    <row r="714" spans="1:15" ht="15" customHeight="1" x14ac:dyDescent="0.3">
      <c r="A714" s="70" t="s">
        <v>1393</v>
      </c>
      <c r="B714" s="70" t="s">
        <v>572</v>
      </c>
      <c r="C714" s="72">
        <v>46179</v>
      </c>
      <c r="D714" s="73" t="s">
        <v>427</v>
      </c>
      <c r="E714" s="76" t="str">
        <f>IFERROR(INDEX(M_User!$A$12:$J$67,MATCH(D714,M_User!$D$12:$D$67,0),3),"UNMAPPED")</f>
        <v>Piniel Julius Singo</v>
      </c>
      <c r="F714" s="75" t="str">
        <f>IFERROR(INDEX(M_User!$A$12:$J$67,MATCH(D714,M_User!$D$12:$D$67,0),5),"UNMAPPED")</f>
        <v>MOS</v>
      </c>
      <c r="G714" s="73" t="s">
        <v>825</v>
      </c>
      <c r="H714" s="92" t="s">
        <v>826</v>
      </c>
      <c r="I714" s="73" t="s">
        <v>190</v>
      </c>
      <c r="J714" s="76" t="str">
        <f>IFERROR(INDEX(M_SKU!$A$18:$J$57,MATCH(I714,M_SKU!$B$18:$B$57,0),1),"UNKNOWN SKU")</f>
        <v>Stoney Tangawizi RGB 350ml</v>
      </c>
      <c r="K714" s="73" t="s">
        <v>536</v>
      </c>
      <c r="L714" s="276">
        <v>0.54500000000000004</v>
      </c>
      <c r="M714" s="94" cm="1">
        <f t="array" ref="M714">IFERROR(INDEX(M_DepotPrice!$C$10:$C$52,MATCH(1,(M_DepotPrice!$A$10:$A$52=I714)*(M_DepotPrice!$H$10:$H$52=IFERROR(INDEX(M_Depot!$A$7:$A$24,MATCH(F714,M_Depot!$B$7:$B$24,0)),""))*(M_DepotPrice!$G$10:$G$52="Special"),0)),INDEX(M_DepotPrice!$C$10:$C$52,MATCH(1,(M_DepotPrice!$A$10:$A$52=I714)*(M_DepotPrice!$G$10:$G$52="Default"),0)))</f>
        <v>11780</v>
      </c>
      <c r="N714" s="95">
        <f t="shared" ref="N714:N777" si="23">(L714*M714)*1.18</f>
        <v>7575.7179999999998</v>
      </c>
      <c r="O714" s="82" t="str">
        <f t="shared" si="22"/>
        <v>MOS100654|FG007|CK3-33404</v>
      </c>
    </row>
    <row r="715" spans="1:15" ht="15" customHeight="1" x14ac:dyDescent="0.3">
      <c r="A715" s="60" t="s">
        <v>1394</v>
      </c>
      <c r="B715" s="60" t="s">
        <v>572</v>
      </c>
      <c r="C715" s="62">
        <v>46179</v>
      </c>
      <c r="D715" s="63" t="s">
        <v>427</v>
      </c>
      <c r="E715" s="66" t="str">
        <f>IFERROR(INDEX(M_User!$A$12:$J$67,MATCH(D715,M_User!$D$12:$D$67,0),3),"UNMAPPED")</f>
        <v>Piniel Julius Singo</v>
      </c>
      <c r="F715" s="65" t="str">
        <f>IFERROR(INDEX(M_User!$A$12:$J$67,MATCH(D715,M_User!$D$12:$D$67,0),5),"UNMAPPED")</f>
        <v>MOS</v>
      </c>
      <c r="G715" s="63" t="s">
        <v>825</v>
      </c>
      <c r="H715" s="69" t="s">
        <v>826</v>
      </c>
      <c r="I715" s="63" t="s">
        <v>199</v>
      </c>
      <c r="J715" s="66" t="str">
        <f>IFERROR(INDEX(M_SKU!$A$18:$J$57,MATCH(I715,M_SKU!$B$18:$B$57,0),1),"UNKNOWN SKU")</f>
        <v>Krest Club Soda RGB 300ml</v>
      </c>
      <c r="K715" s="63" t="s">
        <v>539</v>
      </c>
      <c r="L715" s="276">
        <v>0.53959999999999997</v>
      </c>
      <c r="M715" s="91" cm="1">
        <f t="array" ref="M715">IFERROR(INDEX(M_DepotPrice!$C$10:$C$52,MATCH(1,(M_DepotPrice!$A$10:$A$52=I715)*(M_DepotPrice!$H$10:$H$52=IFERROR(INDEX(M_Depot!$A$7:$A$24,MATCH(F715,M_Depot!$B$7:$B$24,0)),""))*(M_DepotPrice!$G$10:$G$52="Special"),0)),INDEX(M_DepotPrice!$C$10:$C$52,MATCH(1,(M_DepotPrice!$A$10:$A$52=I715)*(M_DepotPrice!$G$10:$G$52="Default"),0)))</f>
        <v>11780</v>
      </c>
      <c r="N715" s="67">
        <f t="shared" si="23"/>
        <v>7500.6558399999985</v>
      </c>
      <c r="O715" s="66" t="str">
        <f t="shared" si="22"/>
        <v>MOS100654|FG010|CK3-33301</v>
      </c>
    </row>
    <row r="716" spans="1:15" ht="15" customHeight="1" x14ac:dyDescent="0.3">
      <c r="A716" s="70" t="s">
        <v>1395</v>
      </c>
      <c r="B716" s="70" t="s">
        <v>572</v>
      </c>
      <c r="C716" s="72">
        <v>46179</v>
      </c>
      <c r="D716" s="73" t="s">
        <v>427</v>
      </c>
      <c r="E716" s="76" t="str">
        <f>IFERROR(INDEX(M_User!$A$12:$J$67,MATCH(D716,M_User!$D$12:$D$67,0),3),"UNMAPPED")</f>
        <v>Piniel Julius Singo</v>
      </c>
      <c r="F716" s="75" t="str">
        <f>IFERROR(INDEX(M_User!$A$12:$J$67,MATCH(D716,M_User!$D$12:$D$67,0),5),"UNMAPPED")</f>
        <v>MOS</v>
      </c>
      <c r="G716" s="73" t="s">
        <v>825</v>
      </c>
      <c r="H716" s="92" t="s">
        <v>826</v>
      </c>
      <c r="I716" s="73" t="s">
        <v>217</v>
      </c>
      <c r="J716" s="76" t="str">
        <f>IFERROR(INDEX(M_SKU!$A$18:$J$57,MATCH(I716,M_SKU!$B$18:$B$57,0),1),"UNKNOWN SKU")</f>
        <v>KNMW 1500ml</v>
      </c>
      <c r="K716" s="73" t="s">
        <v>551</v>
      </c>
      <c r="L716" s="276">
        <v>20</v>
      </c>
      <c r="M716" s="94" cm="1">
        <f t="array" ref="M716">IFERROR(INDEX(M_DepotPrice!$C$10:$C$52,MATCH(1,(M_DepotPrice!$A$10:$A$52=I716)*(M_DepotPrice!$H$10:$H$52=IFERROR(INDEX(M_Depot!$A$7:$A$24,MATCH(F716,M_Depot!$B$7:$B$24,0)),""))*(M_DepotPrice!$G$10:$G$52="Special"),0)),INDEX(M_DepotPrice!$C$10:$C$52,MATCH(1,(M_DepotPrice!$A$10:$A$52=I716)*(M_DepotPrice!$G$10:$G$52="Default"),0)))</f>
        <v>3983</v>
      </c>
      <c r="N716" s="95">
        <f t="shared" si="23"/>
        <v>93998.799999999988</v>
      </c>
      <c r="O716" s="82" t="str">
        <f t="shared" si="22"/>
        <v>MOS100654|KD003|CK4-842</v>
      </c>
    </row>
    <row r="717" spans="1:15" ht="15" customHeight="1" x14ac:dyDescent="0.3">
      <c r="A717" s="60" t="s">
        <v>1396</v>
      </c>
      <c r="B717" s="60" t="s">
        <v>572</v>
      </c>
      <c r="C717" s="62">
        <v>46179</v>
      </c>
      <c r="D717" s="63" t="s">
        <v>427</v>
      </c>
      <c r="E717" s="66" t="str">
        <f>IFERROR(INDEX(M_User!$A$12:$J$67,MATCH(D717,M_User!$D$12:$D$67,0),3),"UNMAPPED")</f>
        <v>Piniel Julius Singo</v>
      </c>
      <c r="F717" s="65" t="str">
        <f>IFERROR(INDEX(M_User!$A$12:$J$67,MATCH(D717,M_User!$D$12:$D$67,0),5),"UNMAPPED")</f>
        <v>MOS</v>
      </c>
      <c r="G717" s="63" t="s">
        <v>825</v>
      </c>
      <c r="H717" s="69" t="s">
        <v>826</v>
      </c>
      <c r="I717" s="63" t="s">
        <v>236</v>
      </c>
      <c r="J717" s="66" t="str">
        <f>IFERROR(INDEX(M_SKU!$A$18:$J$57,MATCH(I717,M_SKU!$B$18:$B$57,0),1),"UNKNOWN SKU")</f>
        <v>Fanta Passion Pet 500ML ( x12)</v>
      </c>
      <c r="K717" s="63" t="s">
        <v>524</v>
      </c>
      <c r="L717" s="276">
        <v>1</v>
      </c>
      <c r="M717" s="91" cm="1">
        <f t="array" ref="M717">IFERROR(INDEX(M_DepotPrice!$C$10:$C$52,MATCH(1,(M_DepotPrice!$A$10:$A$52=I717)*(M_DepotPrice!$H$10:$H$52=IFERROR(INDEX(M_Depot!$A$7:$A$24,MATCH(F717,M_Depot!$B$7:$B$24,0)),""))*(M_DepotPrice!$G$10:$G$52="Special"),0)),INDEX(M_DepotPrice!$C$10:$C$52,MATCH(1,(M_DepotPrice!$A$10:$A$52=I717)*(M_DepotPrice!$G$10:$G$52="Default"),0)))</f>
        <v>8898</v>
      </c>
      <c r="N717" s="67">
        <f t="shared" si="23"/>
        <v>10499.64</v>
      </c>
      <c r="O717" s="66" t="str">
        <f t="shared" si="22"/>
        <v>MOS100654|PH004|CK5-33334</v>
      </c>
    </row>
    <row r="718" spans="1:15" ht="15" customHeight="1" x14ac:dyDescent="0.3">
      <c r="A718" s="70" t="s">
        <v>1397</v>
      </c>
      <c r="B718" s="70" t="s">
        <v>572</v>
      </c>
      <c r="C718" s="72">
        <v>46179</v>
      </c>
      <c r="D718" s="73" t="s">
        <v>427</v>
      </c>
      <c r="E718" s="76" t="str">
        <f>IFERROR(INDEX(M_User!$A$12:$J$67,MATCH(D718,M_User!$D$12:$D$67,0),3),"UNMAPPED")</f>
        <v>Piniel Julius Singo</v>
      </c>
      <c r="F718" s="75" t="str">
        <f>IFERROR(INDEX(M_User!$A$12:$J$67,MATCH(D718,M_User!$D$12:$D$67,0),5),"UNMAPPED")</f>
        <v>MOS</v>
      </c>
      <c r="G718" s="73" t="s">
        <v>825</v>
      </c>
      <c r="H718" s="92" t="s">
        <v>826</v>
      </c>
      <c r="I718" s="73" t="s">
        <v>244</v>
      </c>
      <c r="J718" s="76" t="str">
        <f>IFERROR(INDEX(M_SKU!$A$18:$J$57,MATCH(I718,M_SKU!$B$18:$B$57,0),1),"UNKNOWN SKU")</f>
        <v>Sparletta Pinenut Pet 500 ml ( x12)</v>
      </c>
      <c r="K718" s="73" t="s">
        <v>526</v>
      </c>
      <c r="L718" s="276">
        <v>1</v>
      </c>
      <c r="M718" s="94" cm="1">
        <f t="array" ref="M718">IFERROR(INDEX(M_DepotPrice!$C$10:$C$52,MATCH(1,(M_DepotPrice!$A$10:$A$52=I718)*(M_DepotPrice!$H$10:$H$52=IFERROR(INDEX(M_Depot!$A$7:$A$24,MATCH(F718,M_Depot!$B$7:$B$24,0)),""))*(M_DepotPrice!$G$10:$G$52="Special"),0)),INDEX(M_DepotPrice!$C$10:$C$52,MATCH(1,(M_DepotPrice!$A$10:$A$52=I718)*(M_DepotPrice!$G$10:$G$52="Default"),0)))</f>
        <v>8898</v>
      </c>
      <c r="N718" s="95">
        <f t="shared" si="23"/>
        <v>10499.64</v>
      </c>
      <c r="O718" s="82" t="str">
        <f t="shared" si="22"/>
        <v>MOS100654|PH008|CK5-33370</v>
      </c>
    </row>
    <row r="719" spans="1:15" ht="15" customHeight="1" x14ac:dyDescent="0.3">
      <c r="A719" s="60" t="s">
        <v>1398</v>
      </c>
      <c r="B719" s="60" t="s">
        <v>556</v>
      </c>
      <c r="C719" s="62">
        <v>46179</v>
      </c>
      <c r="D719" s="63" t="s">
        <v>424</v>
      </c>
      <c r="E719" s="66" t="str">
        <f>IFERROR(INDEX(M_User!$A$12:$J$67,MATCH(D719,M_User!$D$12:$D$67,0),3),"UNMAPPED")</f>
        <v>Raymond P Sangawe</v>
      </c>
      <c r="F719" s="65" t="str">
        <f>IFERROR(INDEX(M_User!$A$12:$J$67,MATCH(D719,M_User!$D$12:$D$67,0),5),"UNMAPPED")</f>
        <v>MOS</v>
      </c>
      <c r="G719" s="63" t="s">
        <v>756</v>
      </c>
      <c r="H719" s="69" t="s">
        <v>757</v>
      </c>
      <c r="I719" s="63" t="s">
        <v>170</v>
      </c>
      <c r="J719" s="66" t="str">
        <f>IFERROR(INDEX(M_SKU!$A$18:$J$57,MATCH(I719,M_SKU!$B$18:$B$57,0),1),"UNKNOWN SKU")</f>
        <v>Coke RGB 350ml</v>
      </c>
      <c r="K719" s="63" t="s">
        <v>530</v>
      </c>
      <c r="L719" s="276">
        <v>14.394500000000001</v>
      </c>
      <c r="M719" s="91" cm="1">
        <f t="array" ref="M719">IFERROR(INDEX(M_DepotPrice!$C$10:$C$52,MATCH(1,(M_DepotPrice!$A$10:$A$52=I719)*(M_DepotPrice!$H$10:$H$52=IFERROR(INDEX(M_Depot!$A$7:$A$24,MATCH(F719,M_Depot!$B$7:$B$24,0)),""))*(M_DepotPrice!$G$10:$G$52="Special"),0)),INDEX(M_DepotPrice!$C$10:$C$52,MATCH(1,(M_DepotPrice!$A$10:$A$52=I719)*(M_DepotPrice!$G$10:$G$52="Default"),0)))</f>
        <v>11780</v>
      </c>
      <c r="N719" s="67">
        <f t="shared" si="23"/>
        <v>200089.30780000001</v>
      </c>
      <c r="O719" s="66" t="str">
        <f t="shared" si="22"/>
        <v>MOS100716|FG001|CK3-33409</v>
      </c>
    </row>
    <row r="720" spans="1:15" ht="15" customHeight="1" x14ac:dyDescent="0.3">
      <c r="A720" s="70" t="s">
        <v>1399</v>
      </c>
      <c r="B720" s="70" t="s">
        <v>556</v>
      </c>
      <c r="C720" s="72">
        <v>46179</v>
      </c>
      <c r="D720" s="73" t="s">
        <v>424</v>
      </c>
      <c r="E720" s="76" t="str">
        <f>IFERROR(INDEX(M_User!$A$12:$J$67,MATCH(D720,M_User!$D$12:$D$67,0),3),"UNMAPPED")</f>
        <v>Raymond P Sangawe</v>
      </c>
      <c r="F720" s="75" t="str">
        <f>IFERROR(INDEX(M_User!$A$12:$J$67,MATCH(D720,M_User!$D$12:$D$67,0),5),"UNMAPPED")</f>
        <v>MOS</v>
      </c>
      <c r="G720" s="73" t="s">
        <v>756</v>
      </c>
      <c r="H720" s="92" t="s">
        <v>757</v>
      </c>
      <c r="I720" s="73" t="s">
        <v>178</v>
      </c>
      <c r="J720" s="76" t="str">
        <f>IFERROR(INDEX(M_SKU!$A$18:$J$57,MATCH(I720,M_SKU!$B$18:$B$57,0),1),"UNKNOWN SKU")</f>
        <v>Fanta Orange RGB 350ml</v>
      </c>
      <c r="K720" s="73" t="s">
        <v>531</v>
      </c>
      <c r="L720" s="276">
        <v>10.5459449276293</v>
      </c>
      <c r="M720" s="94" cm="1">
        <f t="array" ref="M720">IFERROR(INDEX(M_DepotPrice!$C$10:$C$52,MATCH(1,(M_DepotPrice!$A$10:$A$52=I720)*(M_DepotPrice!$H$10:$H$52=IFERROR(INDEX(M_Depot!$A$7:$A$24,MATCH(F720,M_Depot!$B$7:$B$24,0)),""))*(M_DepotPrice!$G$10:$G$52="Special"),0)),INDEX(M_DepotPrice!$C$10:$C$52,MATCH(1,(M_DepotPrice!$A$10:$A$52=I720)*(M_DepotPrice!$G$10:$G$52="Default"),0)))</f>
        <v>11780</v>
      </c>
      <c r="N720" s="95">
        <f t="shared" si="23"/>
        <v>146592.85287201832</v>
      </c>
      <c r="O720" s="82" t="str">
        <f t="shared" si="22"/>
        <v>MOS100716|FG002|CK3-33407</v>
      </c>
    </row>
    <row r="721" spans="1:15" ht="15" customHeight="1" x14ac:dyDescent="0.3">
      <c r="A721" s="60" t="s">
        <v>1400</v>
      </c>
      <c r="B721" s="60" t="s">
        <v>556</v>
      </c>
      <c r="C721" s="62">
        <v>46179</v>
      </c>
      <c r="D721" s="63" t="s">
        <v>424</v>
      </c>
      <c r="E721" s="66" t="str">
        <f>IFERROR(INDEX(M_User!$A$12:$J$67,MATCH(D721,M_User!$D$12:$D$67,0),3),"UNMAPPED")</f>
        <v>Raymond P Sangawe</v>
      </c>
      <c r="F721" s="65" t="str">
        <f>IFERROR(INDEX(M_User!$A$12:$J$67,MATCH(D721,M_User!$D$12:$D$67,0),5),"UNMAPPED")</f>
        <v>MOS</v>
      </c>
      <c r="G721" s="63" t="s">
        <v>756</v>
      </c>
      <c r="H721" s="69" t="s">
        <v>757</v>
      </c>
      <c r="I721" s="63" t="s">
        <v>181</v>
      </c>
      <c r="J721" s="66" t="str">
        <f>IFERROR(INDEX(M_SKU!$A$18:$J$57,MATCH(I721,M_SKU!$B$18:$B$57,0),1),"UNKNOWN SKU")</f>
        <v>Fanta Passion RGB 350ml</v>
      </c>
      <c r="K721" s="63" t="s">
        <v>550</v>
      </c>
      <c r="L721" s="276">
        <v>3.9236</v>
      </c>
      <c r="M721" s="91" cm="1">
        <f t="array" ref="M721">IFERROR(INDEX(M_DepotPrice!$C$10:$C$52,MATCH(1,(M_DepotPrice!$A$10:$A$52=I721)*(M_DepotPrice!$H$10:$H$52=IFERROR(INDEX(M_Depot!$A$7:$A$24,MATCH(F721,M_Depot!$B$7:$B$24,0)),""))*(M_DepotPrice!$G$10:$G$52="Special"),0)),INDEX(M_DepotPrice!$C$10:$C$52,MATCH(1,(M_DepotPrice!$A$10:$A$52=I721)*(M_DepotPrice!$G$10:$G$52="Default"),0)))</f>
        <v>11780</v>
      </c>
      <c r="N721" s="67">
        <f t="shared" si="23"/>
        <v>54539.60944</v>
      </c>
      <c r="O721" s="66" t="str">
        <f t="shared" si="22"/>
        <v>MOS100716|FG003|CK3-33356</v>
      </c>
    </row>
    <row r="722" spans="1:15" ht="15" customHeight="1" x14ac:dyDescent="0.3">
      <c r="A722" s="70" t="s">
        <v>1401</v>
      </c>
      <c r="B722" s="70" t="s">
        <v>556</v>
      </c>
      <c r="C722" s="72">
        <v>46179</v>
      </c>
      <c r="D722" s="73" t="s">
        <v>424</v>
      </c>
      <c r="E722" s="76" t="str">
        <f>IFERROR(INDEX(M_User!$A$12:$J$67,MATCH(D722,M_User!$D$12:$D$67,0),3),"UNMAPPED")</f>
        <v>Raymond P Sangawe</v>
      </c>
      <c r="F722" s="75" t="str">
        <f>IFERROR(INDEX(M_User!$A$12:$J$67,MATCH(D722,M_User!$D$12:$D$67,0),5),"UNMAPPED")</f>
        <v>MOS</v>
      </c>
      <c r="G722" s="73" t="s">
        <v>756</v>
      </c>
      <c r="H722" s="92" t="s">
        <v>757</v>
      </c>
      <c r="I722" s="73" t="s">
        <v>183</v>
      </c>
      <c r="J722" s="76" t="str">
        <f>IFERROR(INDEX(M_SKU!$A$18:$J$57,MATCH(I722,M_SKU!$B$18:$B$57,0),1),"UNKNOWN SKU")</f>
        <v>Fanta Pineapple RGB 350ml</v>
      </c>
      <c r="K722" s="73" t="s">
        <v>533</v>
      </c>
      <c r="L722" s="276">
        <v>3.7399</v>
      </c>
      <c r="M722" s="94" cm="1">
        <f t="array" ref="M722">IFERROR(INDEX(M_DepotPrice!$C$10:$C$52,MATCH(1,(M_DepotPrice!$A$10:$A$52=I722)*(M_DepotPrice!$H$10:$H$52=IFERROR(INDEX(M_Depot!$A$7:$A$24,MATCH(F722,M_Depot!$B$7:$B$24,0)),""))*(M_DepotPrice!$G$10:$G$52="Special"),0)),INDEX(M_DepotPrice!$C$10:$C$52,MATCH(1,(M_DepotPrice!$A$10:$A$52=I722)*(M_DepotPrice!$G$10:$G$52="Default"),0)))</f>
        <v>11780</v>
      </c>
      <c r="N722" s="95">
        <f t="shared" si="23"/>
        <v>51986.105959999994</v>
      </c>
      <c r="O722" s="82" t="str">
        <f t="shared" si="22"/>
        <v>MOS100716|FG004|CK3-33385</v>
      </c>
    </row>
    <row r="723" spans="1:15" ht="15" customHeight="1" x14ac:dyDescent="0.3">
      <c r="A723" s="60" t="s">
        <v>1402</v>
      </c>
      <c r="B723" s="60" t="s">
        <v>556</v>
      </c>
      <c r="C723" s="62">
        <v>46179</v>
      </c>
      <c r="D723" s="63" t="s">
        <v>424</v>
      </c>
      <c r="E723" s="66" t="str">
        <f>IFERROR(INDEX(M_User!$A$12:$J$67,MATCH(D723,M_User!$D$12:$D$67,0),3),"UNMAPPED")</f>
        <v>Raymond P Sangawe</v>
      </c>
      <c r="F723" s="65" t="str">
        <f>IFERROR(INDEX(M_User!$A$12:$J$67,MATCH(D723,M_User!$D$12:$D$67,0),5),"UNMAPPED")</f>
        <v>MOS</v>
      </c>
      <c r="G723" s="63" t="s">
        <v>756</v>
      </c>
      <c r="H723" s="69" t="s">
        <v>757</v>
      </c>
      <c r="I723" s="63" t="s">
        <v>187</v>
      </c>
      <c r="J723" s="66" t="str">
        <f>IFERROR(INDEX(M_SKU!$A$18:$J$57,MATCH(I723,M_SKU!$B$18:$B$57,0),1),"UNKNOWN SKU")</f>
        <v>Sprite 350ml</v>
      </c>
      <c r="K723" s="63" t="s">
        <v>558</v>
      </c>
      <c r="L723" s="276">
        <v>5.8586</v>
      </c>
      <c r="M723" s="91" cm="1">
        <f t="array" ref="M723">IFERROR(INDEX(M_DepotPrice!$C$10:$C$52,MATCH(1,(M_DepotPrice!$A$10:$A$52=I723)*(M_DepotPrice!$H$10:$H$52=IFERROR(INDEX(M_Depot!$A$7:$A$24,MATCH(F723,M_Depot!$B$7:$B$24,0)),""))*(M_DepotPrice!$G$10:$G$52="Special"),0)),INDEX(M_DepotPrice!$C$10:$C$52,MATCH(1,(M_DepotPrice!$A$10:$A$52=I723)*(M_DepotPrice!$G$10:$G$52="Default"),0)))</f>
        <v>11780</v>
      </c>
      <c r="N723" s="67">
        <f t="shared" si="23"/>
        <v>81436.883440000005</v>
      </c>
      <c r="O723" s="66" t="str">
        <f t="shared" si="22"/>
        <v>MOS100716|FG006|CK3-33383</v>
      </c>
    </row>
    <row r="724" spans="1:15" ht="15" customHeight="1" x14ac:dyDescent="0.3">
      <c r="A724" s="70" t="s">
        <v>1403</v>
      </c>
      <c r="B724" s="70" t="s">
        <v>556</v>
      </c>
      <c r="C724" s="72">
        <v>46179</v>
      </c>
      <c r="D724" s="73" t="s">
        <v>424</v>
      </c>
      <c r="E724" s="76" t="str">
        <f>IFERROR(INDEX(M_User!$A$12:$J$67,MATCH(D724,M_User!$D$12:$D$67,0),3),"UNMAPPED")</f>
        <v>Raymond P Sangawe</v>
      </c>
      <c r="F724" s="75" t="str">
        <f>IFERROR(INDEX(M_User!$A$12:$J$67,MATCH(D724,M_User!$D$12:$D$67,0),5),"UNMAPPED")</f>
        <v>MOS</v>
      </c>
      <c r="G724" s="73" t="s">
        <v>756</v>
      </c>
      <c r="H724" s="92" t="s">
        <v>757</v>
      </c>
      <c r="I724" s="73" t="s">
        <v>190</v>
      </c>
      <c r="J724" s="76" t="str">
        <f>IFERROR(INDEX(M_SKU!$A$18:$J$57,MATCH(I724,M_SKU!$B$18:$B$57,0),1),"UNKNOWN SKU")</f>
        <v>Stoney Tangawizi RGB 350ml</v>
      </c>
      <c r="K724" s="73" t="s">
        <v>536</v>
      </c>
      <c r="L724" s="276">
        <v>0.60429999999999995</v>
      </c>
      <c r="M724" s="94" cm="1">
        <f t="array" ref="M724">IFERROR(INDEX(M_DepotPrice!$C$10:$C$52,MATCH(1,(M_DepotPrice!$A$10:$A$52=I724)*(M_DepotPrice!$H$10:$H$52=IFERROR(INDEX(M_Depot!$A$7:$A$24,MATCH(F724,M_Depot!$B$7:$B$24,0)),""))*(M_DepotPrice!$G$10:$G$52="Special"),0)),INDEX(M_DepotPrice!$C$10:$C$52,MATCH(1,(M_DepotPrice!$A$10:$A$52=I724)*(M_DepotPrice!$G$10:$G$52="Default"),0)))</f>
        <v>11780</v>
      </c>
      <c r="N724" s="95">
        <f t="shared" si="23"/>
        <v>8400.0117199999986</v>
      </c>
      <c r="O724" s="82" t="str">
        <f t="shared" si="22"/>
        <v>MOS100716|FG007|CK3-33404</v>
      </c>
    </row>
    <row r="725" spans="1:15" ht="15" customHeight="1" x14ac:dyDescent="0.3">
      <c r="A725" s="60" t="s">
        <v>1404</v>
      </c>
      <c r="B725" s="60" t="s">
        <v>556</v>
      </c>
      <c r="C725" s="62">
        <v>46179</v>
      </c>
      <c r="D725" s="63" t="s">
        <v>424</v>
      </c>
      <c r="E725" s="66" t="str">
        <f>IFERROR(INDEX(M_User!$A$12:$J$67,MATCH(D725,M_User!$D$12:$D$67,0),3),"UNMAPPED")</f>
        <v>Raymond P Sangawe</v>
      </c>
      <c r="F725" s="65" t="str">
        <f>IFERROR(INDEX(M_User!$A$12:$J$67,MATCH(D725,M_User!$D$12:$D$67,0),5),"UNMAPPED")</f>
        <v>MOS</v>
      </c>
      <c r="G725" s="63" t="s">
        <v>756</v>
      </c>
      <c r="H725" s="69" t="s">
        <v>757</v>
      </c>
      <c r="I725" s="63" t="s">
        <v>229</v>
      </c>
      <c r="J725" s="66" t="str">
        <f>IFERROR(INDEX(M_SKU!$A$18:$J$57,MATCH(I725,M_SKU!$B$18:$B$57,0),1),"UNKNOWN SKU")</f>
        <v>Coke Pet 500ML ( x12)</v>
      </c>
      <c r="K725" s="63" t="s">
        <v>520</v>
      </c>
      <c r="L725" s="276">
        <v>5</v>
      </c>
      <c r="M725" s="91" cm="1">
        <f t="array" ref="M725">IFERROR(INDEX(M_DepotPrice!$C$10:$C$52,MATCH(1,(M_DepotPrice!$A$10:$A$52=I725)*(M_DepotPrice!$H$10:$H$52=IFERROR(INDEX(M_Depot!$A$7:$A$24,MATCH(F725,M_Depot!$B$7:$B$24,0)),""))*(M_DepotPrice!$G$10:$G$52="Special"),0)),INDEX(M_DepotPrice!$C$10:$C$52,MATCH(1,(M_DepotPrice!$A$10:$A$52=I725)*(M_DepotPrice!$G$10:$G$52="Default"),0)))</f>
        <v>8898</v>
      </c>
      <c r="N725" s="67">
        <f t="shared" si="23"/>
        <v>52498.2</v>
      </c>
      <c r="O725" s="66" t="str">
        <f t="shared" si="22"/>
        <v>MOS100716|PH001|CK6-33411</v>
      </c>
    </row>
    <row r="726" spans="1:15" ht="15" customHeight="1" x14ac:dyDescent="0.3">
      <c r="A726" s="70" t="s">
        <v>1405</v>
      </c>
      <c r="B726" s="70" t="s">
        <v>556</v>
      </c>
      <c r="C726" s="72">
        <v>46179</v>
      </c>
      <c r="D726" s="73" t="s">
        <v>424</v>
      </c>
      <c r="E726" s="76" t="str">
        <f>IFERROR(INDEX(M_User!$A$12:$J$67,MATCH(D726,M_User!$D$12:$D$67,0),3),"UNMAPPED")</f>
        <v>Raymond P Sangawe</v>
      </c>
      <c r="F726" s="75" t="str">
        <f>IFERROR(INDEX(M_User!$A$12:$J$67,MATCH(D726,M_User!$D$12:$D$67,0),5),"UNMAPPED")</f>
        <v>MOS</v>
      </c>
      <c r="G726" s="73" t="s">
        <v>756</v>
      </c>
      <c r="H726" s="92" t="s">
        <v>757</v>
      </c>
      <c r="I726" s="73" t="s">
        <v>232</v>
      </c>
      <c r="J726" s="76" t="str">
        <f>IFERROR(INDEX(M_SKU!$A$18:$J$57,MATCH(I726,M_SKU!$B$18:$B$57,0),1),"UNKNOWN SKU")</f>
        <v>Sprite Pet 500ML (x 12)</v>
      </c>
      <c r="K726" s="73" t="s">
        <v>522</v>
      </c>
      <c r="L726" s="276">
        <v>1</v>
      </c>
      <c r="M726" s="94" cm="1">
        <f t="array" ref="M726">IFERROR(INDEX(M_DepotPrice!$C$10:$C$52,MATCH(1,(M_DepotPrice!$A$10:$A$52=I726)*(M_DepotPrice!$H$10:$H$52=IFERROR(INDEX(M_Depot!$A$7:$A$24,MATCH(F726,M_Depot!$B$7:$B$24,0)),""))*(M_DepotPrice!$G$10:$G$52="Special"),0)),INDEX(M_DepotPrice!$C$10:$C$52,MATCH(1,(M_DepotPrice!$A$10:$A$52=I726)*(M_DepotPrice!$G$10:$G$52="Default"),0)))</f>
        <v>8898</v>
      </c>
      <c r="N726" s="95">
        <f t="shared" si="23"/>
        <v>10499.64</v>
      </c>
      <c r="O726" s="82" t="str">
        <f t="shared" si="22"/>
        <v>MOS100716|PH002|CK6-33362</v>
      </c>
    </row>
    <row r="727" spans="1:15" ht="15" customHeight="1" x14ac:dyDescent="0.3">
      <c r="A727" s="60" t="s">
        <v>1406</v>
      </c>
      <c r="B727" s="60" t="s">
        <v>556</v>
      </c>
      <c r="C727" s="62">
        <v>46179</v>
      </c>
      <c r="D727" s="63" t="s">
        <v>424</v>
      </c>
      <c r="E727" s="66" t="str">
        <f>IFERROR(INDEX(M_User!$A$12:$J$67,MATCH(D727,M_User!$D$12:$D$67,0),3),"UNMAPPED")</f>
        <v>Raymond P Sangawe</v>
      </c>
      <c r="F727" s="65" t="str">
        <f>IFERROR(INDEX(M_User!$A$12:$J$67,MATCH(D727,M_User!$D$12:$D$67,0),5),"UNMAPPED")</f>
        <v>MOS</v>
      </c>
      <c r="G727" s="63" t="s">
        <v>756</v>
      </c>
      <c r="H727" s="69" t="s">
        <v>757</v>
      </c>
      <c r="I727" s="63" t="s">
        <v>234</v>
      </c>
      <c r="J727" s="66" t="str">
        <f>IFERROR(INDEX(M_SKU!$A$18:$J$57,MATCH(I727,M_SKU!$B$18:$B$57,0),1),"UNKNOWN SKU")</f>
        <v>Fanta Orange Pet 500ML ( x 12)</v>
      </c>
      <c r="K727" s="63" t="s">
        <v>523</v>
      </c>
      <c r="L727" s="276">
        <v>5</v>
      </c>
      <c r="M727" s="91" cm="1">
        <f t="array" ref="M727">IFERROR(INDEX(M_DepotPrice!$C$10:$C$52,MATCH(1,(M_DepotPrice!$A$10:$A$52=I727)*(M_DepotPrice!$H$10:$H$52=IFERROR(INDEX(M_Depot!$A$7:$A$24,MATCH(F727,M_Depot!$B$7:$B$24,0)),""))*(M_DepotPrice!$G$10:$G$52="Special"),0)),INDEX(M_DepotPrice!$C$10:$C$52,MATCH(1,(M_DepotPrice!$A$10:$A$52=I727)*(M_DepotPrice!$G$10:$G$52="Default"),0)))</f>
        <v>8898</v>
      </c>
      <c r="N727" s="67">
        <f t="shared" si="23"/>
        <v>52498.2</v>
      </c>
      <c r="O727" s="66" t="str">
        <f t="shared" si="22"/>
        <v>MOS100716|PH003|CK6-33405</v>
      </c>
    </row>
    <row r="728" spans="1:15" ht="15" customHeight="1" x14ac:dyDescent="0.3">
      <c r="A728" s="70" t="s">
        <v>1407</v>
      </c>
      <c r="B728" s="70" t="s">
        <v>556</v>
      </c>
      <c r="C728" s="72">
        <v>46179</v>
      </c>
      <c r="D728" s="73" t="s">
        <v>424</v>
      </c>
      <c r="E728" s="76" t="str">
        <f>IFERROR(INDEX(M_User!$A$12:$J$67,MATCH(D728,M_User!$D$12:$D$67,0),3),"UNMAPPED")</f>
        <v>Raymond P Sangawe</v>
      </c>
      <c r="F728" s="75" t="str">
        <f>IFERROR(INDEX(M_User!$A$12:$J$67,MATCH(D728,M_User!$D$12:$D$67,0),5),"UNMAPPED")</f>
        <v>MOS</v>
      </c>
      <c r="G728" s="73" t="s">
        <v>756</v>
      </c>
      <c r="H728" s="92" t="s">
        <v>757</v>
      </c>
      <c r="I728" s="73" t="s">
        <v>236</v>
      </c>
      <c r="J728" s="76" t="str">
        <f>IFERROR(INDEX(M_SKU!$A$18:$J$57,MATCH(I728,M_SKU!$B$18:$B$57,0),1),"UNKNOWN SKU")</f>
        <v>Fanta Passion Pet 500ML ( x12)</v>
      </c>
      <c r="K728" s="73" t="s">
        <v>524</v>
      </c>
      <c r="L728" s="276">
        <v>1</v>
      </c>
      <c r="M728" s="94" cm="1">
        <f t="array" ref="M728">IFERROR(INDEX(M_DepotPrice!$C$10:$C$52,MATCH(1,(M_DepotPrice!$A$10:$A$52=I728)*(M_DepotPrice!$H$10:$H$52=IFERROR(INDEX(M_Depot!$A$7:$A$24,MATCH(F728,M_Depot!$B$7:$B$24,0)),""))*(M_DepotPrice!$G$10:$G$52="Special"),0)),INDEX(M_DepotPrice!$C$10:$C$52,MATCH(1,(M_DepotPrice!$A$10:$A$52=I728)*(M_DepotPrice!$G$10:$G$52="Default"),0)))</f>
        <v>8898</v>
      </c>
      <c r="N728" s="95">
        <f t="shared" si="23"/>
        <v>10499.64</v>
      </c>
      <c r="O728" s="82" t="str">
        <f t="shared" si="22"/>
        <v>MOS100716|PH004|CK5-33334</v>
      </c>
    </row>
    <row r="729" spans="1:15" ht="15" customHeight="1" x14ac:dyDescent="0.3">
      <c r="A729" s="60" t="s">
        <v>1408</v>
      </c>
      <c r="B729" s="60" t="s">
        <v>556</v>
      </c>
      <c r="C729" s="62">
        <v>46179</v>
      </c>
      <c r="D729" s="63" t="s">
        <v>424</v>
      </c>
      <c r="E729" s="66" t="str">
        <f>IFERROR(INDEX(M_User!$A$12:$J$67,MATCH(D729,M_User!$D$12:$D$67,0),3),"UNMAPPED")</f>
        <v>Raymond P Sangawe</v>
      </c>
      <c r="F729" s="65" t="str">
        <f>IFERROR(INDEX(M_User!$A$12:$J$67,MATCH(D729,M_User!$D$12:$D$67,0),5),"UNMAPPED")</f>
        <v>MOS</v>
      </c>
      <c r="G729" s="63" t="s">
        <v>756</v>
      </c>
      <c r="H729" s="69" t="s">
        <v>757</v>
      </c>
      <c r="I729" s="63" t="s">
        <v>242</v>
      </c>
      <c r="J729" s="66" t="str">
        <f>IFERROR(INDEX(M_SKU!$A$18:$J$57,MATCH(I729,M_SKU!$B$18:$B$57,0),1),"UNKNOWN SKU")</f>
        <v>Stoney Tangawizi Pet 500 ml ( x12)</v>
      </c>
      <c r="K729" s="63" t="s">
        <v>525</v>
      </c>
      <c r="L729" s="276">
        <v>1</v>
      </c>
      <c r="M729" s="91" cm="1">
        <f t="array" ref="M729">IFERROR(INDEX(M_DepotPrice!$C$10:$C$52,MATCH(1,(M_DepotPrice!$A$10:$A$52=I729)*(M_DepotPrice!$H$10:$H$52=IFERROR(INDEX(M_Depot!$A$7:$A$24,MATCH(F729,M_Depot!$B$7:$B$24,0)),""))*(M_DepotPrice!$G$10:$G$52="Special"),0)),INDEX(M_DepotPrice!$C$10:$C$52,MATCH(1,(M_DepotPrice!$A$10:$A$52=I729)*(M_DepotPrice!$G$10:$G$52="Default"),0)))</f>
        <v>8898</v>
      </c>
      <c r="N729" s="67">
        <f t="shared" si="23"/>
        <v>10499.64</v>
      </c>
      <c r="O729" s="66" t="str">
        <f t="shared" si="22"/>
        <v>MOS100716|PH007|CK6-33375</v>
      </c>
    </row>
    <row r="730" spans="1:15" ht="15" customHeight="1" x14ac:dyDescent="0.3">
      <c r="A730" s="70" t="s">
        <v>1409</v>
      </c>
      <c r="B730" s="70" t="s">
        <v>556</v>
      </c>
      <c r="C730" s="72">
        <v>46179</v>
      </c>
      <c r="D730" s="73" t="s">
        <v>424</v>
      </c>
      <c r="E730" s="76" t="str">
        <f>IFERROR(INDEX(M_User!$A$12:$J$67,MATCH(D730,M_User!$D$12:$D$67,0),3),"UNMAPPED")</f>
        <v>Raymond P Sangawe</v>
      </c>
      <c r="F730" s="75" t="str">
        <f>IFERROR(INDEX(M_User!$A$12:$J$67,MATCH(D730,M_User!$D$12:$D$67,0),5),"UNMAPPED")</f>
        <v>MOS</v>
      </c>
      <c r="G730" s="73" t="s">
        <v>756</v>
      </c>
      <c r="H730" s="92" t="s">
        <v>757</v>
      </c>
      <c r="I730" s="73" t="s">
        <v>244</v>
      </c>
      <c r="J730" s="76" t="str">
        <f>IFERROR(INDEX(M_SKU!$A$18:$J$57,MATCH(I730,M_SKU!$B$18:$B$57,0),1),"UNKNOWN SKU")</f>
        <v>Sparletta Pinenut Pet 500 ml ( x12)</v>
      </c>
      <c r="K730" s="73" t="s">
        <v>526</v>
      </c>
      <c r="L730" s="276">
        <v>1</v>
      </c>
      <c r="M730" s="94" cm="1">
        <f t="array" ref="M730">IFERROR(INDEX(M_DepotPrice!$C$10:$C$52,MATCH(1,(M_DepotPrice!$A$10:$A$52=I730)*(M_DepotPrice!$H$10:$H$52=IFERROR(INDEX(M_Depot!$A$7:$A$24,MATCH(F730,M_Depot!$B$7:$B$24,0)),""))*(M_DepotPrice!$G$10:$G$52="Special"),0)),INDEX(M_DepotPrice!$C$10:$C$52,MATCH(1,(M_DepotPrice!$A$10:$A$52=I730)*(M_DepotPrice!$G$10:$G$52="Default"),0)))</f>
        <v>8898</v>
      </c>
      <c r="N730" s="95">
        <f t="shared" si="23"/>
        <v>10499.64</v>
      </c>
      <c r="O730" s="82" t="str">
        <f t="shared" si="22"/>
        <v>MOS100716|PH008|CK5-33370</v>
      </c>
    </row>
    <row r="731" spans="1:15" ht="15" customHeight="1" x14ac:dyDescent="0.3">
      <c r="A731" s="60" t="s">
        <v>1410</v>
      </c>
      <c r="B731" s="60" t="s">
        <v>556</v>
      </c>
      <c r="C731" s="62">
        <v>46179</v>
      </c>
      <c r="D731" s="63" t="s">
        <v>424</v>
      </c>
      <c r="E731" s="66" t="str">
        <f>IFERROR(INDEX(M_User!$A$12:$J$67,MATCH(D731,M_User!$D$12:$D$67,0),3),"UNMAPPED")</f>
        <v>Raymond P Sangawe</v>
      </c>
      <c r="F731" s="65" t="str">
        <f>IFERROR(INDEX(M_User!$A$12:$J$67,MATCH(D731,M_User!$D$12:$D$67,0),5),"UNMAPPED")</f>
        <v>MOS</v>
      </c>
      <c r="G731" s="63" t="s">
        <v>756</v>
      </c>
      <c r="H731" s="69" t="s">
        <v>757</v>
      </c>
      <c r="I731" s="63" t="s">
        <v>252</v>
      </c>
      <c r="J731" s="66" t="str">
        <f>IFERROR(INDEX(M_SKU!$A$18:$J$57,MATCH(I731,M_SKU!$B$18:$B$57,0),1),"UNKNOWN SKU")</f>
        <v>Sprite Zero Pet 300ML (x 12)</v>
      </c>
      <c r="K731" s="63" t="s">
        <v>545</v>
      </c>
      <c r="L731" s="276">
        <v>1</v>
      </c>
      <c r="M731" s="91" cm="1">
        <f t="array" ref="M731">IFERROR(INDEX(M_DepotPrice!$C$10:$C$52,MATCH(1,(M_DepotPrice!$A$10:$A$52=I731)*(M_DepotPrice!$H$10:$H$52=IFERROR(INDEX(M_Depot!$A$7:$A$24,MATCH(F731,M_Depot!$B$7:$B$24,0)),""))*(M_DepotPrice!$G$10:$G$52="Special"),0)),INDEX(M_DepotPrice!$C$10:$C$52,MATCH(1,(M_DepotPrice!$A$10:$A$52=I731)*(M_DepotPrice!$G$10:$G$52="Default"),0)))</f>
        <v>5085</v>
      </c>
      <c r="N731" s="67">
        <f t="shared" si="23"/>
        <v>6000.2999999999993</v>
      </c>
      <c r="O731" s="66" t="str">
        <f t="shared" si="22"/>
        <v>MOS100716|PO010|CK5-33360</v>
      </c>
    </row>
    <row r="732" spans="1:15" ht="15" customHeight="1" x14ac:dyDescent="0.3">
      <c r="A732" s="70" t="s">
        <v>1411</v>
      </c>
      <c r="B732" s="70" t="s">
        <v>556</v>
      </c>
      <c r="C732" s="72">
        <v>46179</v>
      </c>
      <c r="D732" s="73" t="s">
        <v>424</v>
      </c>
      <c r="E732" s="76" t="str">
        <f>IFERROR(INDEX(M_User!$A$12:$J$67,MATCH(D732,M_User!$D$12:$D$67,0),3),"UNMAPPED")</f>
        <v>Raymond P Sangawe</v>
      </c>
      <c r="F732" s="75" t="str">
        <f>IFERROR(INDEX(M_User!$A$12:$J$67,MATCH(D732,M_User!$D$12:$D$67,0),5),"UNMAPPED")</f>
        <v>MOS</v>
      </c>
      <c r="G732" s="73" t="s">
        <v>756</v>
      </c>
      <c r="H732" s="92" t="s">
        <v>757</v>
      </c>
      <c r="I732" s="73" t="s">
        <v>254</v>
      </c>
      <c r="J732" s="76" t="str">
        <f>IFERROR(INDEX(M_SKU!$A$18:$J$57,MATCH(I732,M_SKU!$B$18:$B$57,0),1),"UNKNOWN SKU")</f>
        <v>Fanta Zero Pet 300ML (x 12)</v>
      </c>
      <c r="K732" s="73" t="s">
        <v>546</v>
      </c>
      <c r="L732" s="276">
        <v>1</v>
      </c>
      <c r="M732" s="94" cm="1">
        <f t="array" ref="M732">IFERROR(INDEX(M_DepotPrice!$C$10:$C$52,MATCH(1,(M_DepotPrice!$A$10:$A$52=I732)*(M_DepotPrice!$H$10:$H$52=IFERROR(INDEX(M_Depot!$A$7:$A$24,MATCH(F732,M_Depot!$B$7:$B$24,0)),""))*(M_DepotPrice!$G$10:$G$52="Special"),0)),INDEX(M_DepotPrice!$C$10:$C$52,MATCH(1,(M_DepotPrice!$A$10:$A$52=I732)*(M_DepotPrice!$G$10:$G$52="Default"),0)))</f>
        <v>5085</v>
      </c>
      <c r="N732" s="95">
        <f t="shared" si="23"/>
        <v>6000.2999999999993</v>
      </c>
      <c r="O732" s="82" t="str">
        <f t="shared" si="22"/>
        <v>MOS100716|PO012|CK5-33369</v>
      </c>
    </row>
    <row r="733" spans="1:15" ht="15" customHeight="1" x14ac:dyDescent="0.3">
      <c r="A733" s="60" t="s">
        <v>1412</v>
      </c>
      <c r="B733" s="60" t="s">
        <v>556</v>
      </c>
      <c r="C733" s="62">
        <v>46179</v>
      </c>
      <c r="D733" s="63" t="s">
        <v>424</v>
      </c>
      <c r="E733" s="66" t="str">
        <f>IFERROR(INDEX(M_User!$A$12:$J$67,MATCH(D733,M_User!$D$12:$D$67,0),3),"UNMAPPED")</f>
        <v>Raymond P Sangawe</v>
      </c>
      <c r="F733" s="65" t="str">
        <f>IFERROR(INDEX(M_User!$A$12:$J$67,MATCH(D733,M_User!$D$12:$D$67,0),5),"UNMAPPED")</f>
        <v>MOS</v>
      </c>
      <c r="G733" s="63" t="s">
        <v>904</v>
      </c>
      <c r="H733" s="69" t="s">
        <v>905</v>
      </c>
      <c r="I733" s="63" t="s">
        <v>183</v>
      </c>
      <c r="J733" s="66" t="str">
        <f>IFERROR(INDEX(M_SKU!$A$18:$J$57,MATCH(I733,M_SKU!$B$18:$B$57,0),1),"UNKNOWN SKU")</f>
        <v>Fanta Pineapple RGB 350ml</v>
      </c>
      <c r="K733" s="63" t="s">
        <v>533</v>
      </c>
      <c r="L733" s="276">
        <v>2.2151999999999998</v>
      </c>
      <c r="M733" s="91" cm="1">
        <f t="array" ref="M733">IFERROR(INDEX(M_DepotPrice!$C$10:$C$52,MATCH(1,(M_DepotPrice!$A$10:$A$52=I733)*(M_DepotPrice!$H$10:$H$52=IFERROR(INDEX(M_Depot!$A$7:$A$24,MATCH(F733,M_Depot!$B$7:$B$24,0)),""))*(M_DepotPrice!$G$10:$G$52="Special"),0)),INDEX(M_DepotPrice!$C$10:$C$52,MATCH(1,(M_DepotPrice!$A$10:$A$52=I733)*(M_DepotPrice!$G$10:$G$52="Default"),0)))</f>
        <v>11780</v>
      </c>
      <c r="N733" s="67">
        <f t="shared" si="23"/>
        <v>30792.166079999995</v>
      </c>
      <c r="O733" s="66" t="str">
        <f t="shared" si="22"/>
        <v>MOS100716|FG004|CK3-33385</v>
      </c>
    </row>
    <row r="734" spans="1:15" ht="15" customHeight="1" x14ac:dyDescent="0.3">
      <c r="A734" s="70" t="s">
        <v>1413</v>
      </c>
      <c r="B734" s="70" t="s">
        <v>556</v>
      </c>
      <c r="C734" s="72">
        <v>46179</v>
      </c>
      <c r="D734" s="73" t="s">
        <v>424</v>
      </c>
      <c r="E734" s="76" t="str">
        <f>IFERROR(INDEX(M_User!$A$12:$J$67,MATCH(D734,M_User!$D$12:$D$67,0),3),"UNMAPPED")</f>
        <v>Raymond P Sangawe</v>
      </c>
      <c r="F734" s="75" t="str">
        <f>IFERROR(INDEX(M_User!$A$12:$J$67,MATCH(D734,M_User!$D$12:$D$67,0),5),"UNMAPPED")</f>
        <v>MOS</v>
      </c>
      <c r="G734" s="73" t="s">
        <v>904</v>
      </c>
      <c r="H734" s="92" t="s">
        <v>905</v>
      </c>
      <c r="I734" s="73" t="s">
        <v>193</v>
      </c>
      <c r="J734" s="76" t="str">
        <f>IFERROR(INDEX(M_SKU!$A$18:$J$57,MATCH(I734,M_SKU!$B$18:$B$57,0),1),"UNKNOWN SKU")</f>
        <v>Sparletta Pinenut RGB 350ml</v>
      </c>
      <c r="K734" s="73" t="s">
        <v>537</v>
      </c>
      <c r="L734" s="276">
        <v>0.45290000000000002</v>
      </c>
      <c r="M734" s="94" cm="1">
        <f t="array" ref="M734">IFERROR(INDEX(M_DepotPrice!$C$10:$C$52,MATCH(1,(M_DepotPrice!$A$10:$A$52=I734)*(M_DepotPrice!$H$10:$H$52=IFERROR(INDEX(M_Depot!$A$7:$A$24,MATCH(F734,M_Depot!$B$7:$B$24,0)),""))*(M_DepotPrice!$G$10:$G$52="Special"),0)),INDEX(M_DepotPrice!$C$10:$C$52,MATCH(1,(M_DepotPrice!$A$10:$A$52=I734)*(M_DepotPrice!$G$10:$G$52="Default"),0)))</f>
        <v>11780</v>
      </c>
      <c r="N734" s="95">
        <f t="shared" si="23"/>
        <v>6295.4911599999996</v>
      </c>
      <c r="O734" s="82" t="str">
        <f t="shared" si="22"/>
        <v>MOS100716|FG008|CK3-33365</v>
      </c>
    </row>
    <row r="735" spans="1:15" ht="15" customHeight="1" x14ac:dyDescent="0.3">
      <c r="A735" s="60" t="s">
        <v>1414</v>
      </c>
      <c r="B735" s="60" t="s">
        <v>556</v>
      </c>
      <c r="C735" s="62">
        <v>46179</v>
      </c>
      <c r="D735" s="63" t="s">
        <v>424</v>
      </c>
      <c r="E735" s="66" t="str">
        <f>IFERROR(INDEX(M_User!$A$12:$J$67,MATCH(D735,M_User!$D$12:$D$67,0),3),"UNMAPPED")</f>
        <v>Raymond P Sangawe</v>
      </c>
      <c r="F735" s="65" t="str">
        <f>IFERROR(INDEX(M_User!$A$12:$J$67,MATCH(D735,M_User!$D$12:$D$67,0),5),"UNMAPPED")</f>
        <v>MOS</v>
      </c>
      <c r="G735" s="63" t="s">
        <v>904</v>
      </c>
      <c r="H735" s="69" t="s">
        <v>905</v>
      </c>
      <c r="I735" s="63" t="s">
        <v>209</v>
      </c>
      <c r="J735" s="66" t="str">
        <f>IFERROR(INDEX(M_SKU!$A$18:$J$57,MATCH(I735,M_SKU!$B$18:$B$57,0),1),"UNKNOWN SKU")</f>
        <v>Sparletta Red Apple RGB 350ml</v>
      </c>
      <c r="K735" s="63" t="s">
        <v>542</v>
      </c>
      <c r="L735" s="276">
        <v>0.68762160315412302</v>
      </c>
      <c r="M735" s="91" cm="1">
        <f t="array" ref="M735">IFERROR(INDEX(M_DepotPrice!$C$10:$C$52,MATCH(1,(M_DepotPrice!$A$10:$A$52=I735)*(M_DepotPrice!$H$10:$H$52=IFERROR(INDEX(M_Depot!$A$7:$A$24,MATCH(F735,M_Depot!$B$7:$B$24,0)),""))*(M_DepotPrice!$G$10:$G$52="Special"),0)),INDEX(M_DepotPrice!$C$10:$C$52,MATCH(1,(M_DepotPrice!$A$10:$A$52=I735)*(M_DepotPrice!$G$10:$G$52="Default"),0)))</f>
        <v>11780</v>
      </c>
      <c r="N735" s="67">
        <f t="shared" si="23"/>
        <v>9558.2153324835708</v>
      </c>
      <c r="O735" s="66" t="str">
        <f t="shared" si="22"/>
        <v>MOS100716|FG024|CK3-32758</v>
      </c>
    </row>
    <row r="736" spans="1:15" ht="15" customHeight="1" x14ac:dyDescent="0.3">
      <c r="A736" s="70" t="s">
        <v>1415</v>
      </c>
      <c r="B736" s="70" t="s">
        <v>556</v>
      </c>
      <c r="C736" s="72">
        <v>46179</v>
      </c>
      <c r="D736" s="73" t="s">
        <v>424</v>
      </c>
      <c r="E736" s="76" t="str">
        <f>IFERROR(INDEX(M_User!$A$12:$J$67,MATCH(D736,M_User!$D$12:$D$67,0),3),"UNMAPPED")</f>
        <v>Raymond P Sangawe</v>
      </c>
      <c r="F736" s="75" t="str">
        <f>IFERROR(INDEX(M_User!$A$12:$J$67,MATCH(D736,M_User!$D$12:$D$67,0),5),"UNMAPPED")</f>
        <v>MOS</v>
      </c>
      <c r="G736" s="73" t="s">
        <v>904</v>
      </c>
      <c r="H736" s="92" t="s">
        <v>905</v>
      </c>
      <c r="I736" s="73" t="s">
        <v>211</v>
      </c>
      <c r="J736" s="76" t="str">
        <f>IFERROR(INDEX(M_SKU!$A$18:$J$57,MATCH(I736,M_SKU!$B$18:$B$57,0),1),"UNKNOWN SKU")</f>
        <v>KNMW 500ml</v>
      </c>
      <c r="K736" s="73" t="s">
        <v>543</v>
      </c>
      <c r="L736" s="276">
        <v>11</v>
      </c>
      <c r="M736" s="94" cm="1">
        <f t="array" ref="M736">IFERROR(INDEX(M_DepotPrice!$C$10:$C$52,MATCH(1,(M_DepotPrice!$A$10:$A$52=I736)*(M_DepotPrice!$H$10:$H$52=IFERROR(INDEX(M_Depot!$A$7:$A$24,MATCH(F736,M_Depot!$B$7:$B$24,0)),""))*(M_DepotPrice!$G$10:$G$52="Special"),0)),INDEX(M_DepotPrice!$C$10:$C$52,MATCH(1,(M_DepotPrice!$A$10:$A$52=I736)*(M_DepotPrice!$G$10:$G$52="Default"),0)))</f>
        <v>3559</v>
      </c>
      <c r="N736" s="95">
        <f t="shared" si="23"/>
        <v>46195.82</v>
      </c>
      <c r="O736" s="82" t="str">
        <f t="shared" si="22"/>
        <v>MOS100716|KD001|CK6-986</v>
      </c>
    </row>
    <row r="737" spans="1:15" ht="15" customHeight="1" x14ac:dyDescent="0.3">
      <c r="A737" s="60" t="s">
        <v>1416</v>
      </c>
      <c r="B737" s="60" t="s">
        <v>556</v>
      </c>
      <c r="C737" s="62">
        <v>46179</v>
      </c>
      <c r="D737" s="63" t="s">
        <v>424</v>
      </c>
      <c r="E737" s="66" t="str">
        <f>IFERROR(INDEX(M_User!$A$12:$J$67,MATCH(D737,M_User!$D$12:$D$67,0),3),"UNMAPPED")</f>
        <v>Raymond P Sangawe</v>
      </c>
      <c r="F737" s="65" t="str">
        <f>IFERROR(INDEX(M_User!$A$12:$J$67,MATCH(D737,M_User!$D$12:$D$67,0),5),"UNMAPPED")</f>
        <v>MOS</v>
      </c>
      <c r="G737" s="63" t="s">
        <v>904</v>
      </c>
      <c r="H737" s="69" t="s">
        <v>905</v>
      </c>
      <c r="I737" s="63" t="s">
        <v>229</v>
      </c>
      <c r="J737" s="66" t="str">
        <f>IFERROR(INDEX(M_SKU!$A$18:$J$57,MATCH(I737,M_SKU!$B$18:$B$57,0),1),"UNKNOWN SKU")</f>
        <v>Coke Pet 500ML ( x12)</v>
      </c>
      <c r="K737" s="63" t="s">
        <v>520</v>
      </c>
      <c r="L737" s="276">
        <v>11</v>
      </c>
      <c r="M737" s="91" cm="1">
        <f t="array" ref="M737">IFERROR(INDEX(M_DepotPrice!$C$10:$C$52,MATCH(1,(M_DepotPrice!$A$10:$A$52=I737)*(M_DepotPrice!$H$10:$H$52=IFERROR(INDEX(M_Depot!$A$7:$A$24,MATCH(F737,M_Depot!$B$7:$B$24,0)),""))*(M_DepotPrice!$G$10:$G$52="Special"),0)),INDEX(M_DepotPrice!$C$10:$C$52,MATCH(1,(M_DepotPrice!$A$10:$A$52=I737)*(M_DepotPrice!$G$10:$G$52="Default"),0)))</f>
        <v>8898</v>
      </c>
      <c r="N737" s="67">
        <f t="shared" si="23"/>
        <v>115496.04</v>
      </c>
      <c r="O737" s="66" t="str">
        <f t="shared" si="22"/>
        <v>MOS100716|PH001|CK6-33411</v>
      </c>
    </row>
    <row r="738" spans="1:15" ht="15" customHeight="1" x14ac:dyDescent="0.3">
      <c r="A738" s="70" t="s">
        <v>1417</v>
      </c>
      <c r="B738" s="70" t="s">
        <v>556</v>
      </c>
      <c r="C738" s="72">
        <v>46179</v>
      </c>
      <c r="D738" s="73" t="s">
        <v>424</v>
      </c>
      <c r="E738" s="76" t="str">
        <f>IFERROR(INDEX(M_User!$A$12:$J$67,MATCH(D738,M_User!$D$12:$D$67,0),3),"UNMAPPED")</f>
        <v>Raymond P Sangawe</v>
      </c>
      <c r="F738" s="75" t="str">
        <f>IFERROR(INDEX(M_User!$A$12:$J$67,MATCH(D738,M_User!$D$12:$D$67,0),5),"UNMAPPED")</f>
        <v>MOS</v>
      </c>
      <c r="G738" s="73" t="s">
        <v>904</v>
      </c>
      <c r="H738" s="92" t="s">
        <v>905</v>
      </c>
      <c r="I738" s="73" t="s">
        <v>232</v>
      </c>
      <c r="J738" s="76" t="str">
        <f>IFERROR(INDEX(M_SKU!$A$18:$J$57,MATCH(I738,M_SKU!$B$18:$B$57,0),1),"UNKNOWN SKU")</f>
        <v>Sprite Pet 500ML (x 12)</v>
      </c>
      <c r="K738" s="73" t="s">
        <v>522</v>
      </c>
      <c r="L738" s="276">
        <v>1</v>
      </c>
      <c r="M738" s="94" cm="1">
        <f t="array" ref="M738">IFERROR(INDEX(M_DepotPrice!$C$10:$C$52,MATCH(1,(M_DepotPrice!$A$10:$A$52=I738)*(M_DepotPrice!$H$10:$H$52=IFERROR(INDEX(M_Depot!$A$7:$A$24,MATCH(F738,M_Depot!$B$7:$B$24,0)),""))*(M_DepotPrice!$G$10:$G$52="Special"),0)),INDEX(M_DepotPrice!$C$10:$C$52,MATCH(1,(M_DepotPrice!$A$10:$A$52=I738)*(M_DepotPrice!$G$10:$G$52="Default"),0)))</f>
        <v>8898</v>
      </c>
      <c r="N738" s="95">
        <f t="shared" si="23"/>
        <v>10499.64</v>
      </c>
      <c r="O738" s="82" t="str">
        <f t="shared" si="22"/>
        <v>MOS100716|PH002|CK6-33362</v>
      </c>
    </row>
    <row r="739" spans="1:15" ht="15" customHeight="1" x14ac:dyDescent="0.3">
      <c r="A739" s="60" t="s">
        <v>1418</v>
      </c>
      <c r="B739" s="60" t="s">
        <v>556</v>
      </c>
      <c r="C739" s="62">
        <v>46179</v>
      </c>
      <c r="D739" s="63" t="s">
        <v>424</v>
      </c>
      <c r="E739" s="66" t="str">
        <f>IFERROR(INDEX(M_User!$A$12:$J$67,MATCH(D739,M_User!$D$12:$D$67,0),3),"UNMAPPED")</f>
        <v>Raymond P Sangawe</v>
      </c>
      <c r="F739" s="65" t="str">
        <f>IFERROR(INDEX(M_User!$A$12:$J$67,MATCH(D739,M_User!$D$12:$D$67,0),5),"UNMAPPED")</f>
        <v>MOS</v>
      </c>
      <c r="G739" s="63" t="s">
        <v>904</v>
      </c>
      <c r="H739" s="69" t="s">
        <v>905</v>
      </c>
      <c r="I739" s="63" t="s">
        <v>236</v>
      </c>
      <c r="J739" s="66" t="str">
        <f>IFERROR(INDEX(M_SKU!$A$18:$J$57,MATCH(I739,M_SKU!$B$18:$B$57,0),1),"UNKNOWN SKU")</f>
        <v>Fanta Passion Pet 500ML ( x12)</v>
      </c>
      <c r="K739" s="63" t="s">
        <v>524</v>
      </c>
      <c r="L739" s="276">
        <v>1</v>
      </c>
      <c r="M739" s="91" cm="1">
        <f t="array" ref="M739">IFERROR(INDEX(M_DepotPrice!$C$10:$C$52,MATCH(1,(M_DepotPrice!$A$10:$A$52=I739)*(M_DepotPrice!$H$10:$H$52=IFERROR(INDEX(M_Depot!$A$7:$A$24,MATCH(F739,M_Depot!$B$7:$B$24,0)),""))*(M_DepotPrice!$G$10:$G$52="Special"),0)),INDEX(M_DepotPrice!$C$10:$C$52,MATCH(1,(M_DepotPrice!$A$10:$A$52=I739)*(M_DepotPrice!$G$10:$G$52="Default"),0)))</f>
        <v>8898</v>
      </c>
      <c r="N739" s="67">
        <f t="shared" si="23"/>
        <v>10499.64</v>
      </c>
      <c r="O739" s="66" t="str">
        <f t="shared" si="22"/>
        <v>MOS100716|PH004|CK5-33334</v>
      </c>
    </row>
    <row r="740" spans="1:15" ht="15" customHeight="1" x14ac:dyDescent="0.3">
      <c r="A740" s="70" t="s">
        <v>1419</v>
      </c>
      <c r="B740" s="70" t="s">
        <v>556</v>
      </c>
      <c r="C740" s="72">
        <v>46179</v>
      </c>
      <c r="D740" s="73" t="s">
        <v>424</v>
      </c>
      <c r="E740" s="76" t="str">
        <f>IFERROR(INDEX(M_User!$A$12:$J$67,MATCH(D740,M_User!$D$12:$D$67,0),3),"UNMAPPED")</f>
        <v>Raymond P Sangawe</v>
      </c>
      <c r="F740" s="75" t="str">
        <f>IFERROR(INDEX(M_User!$A$12:$J$67,MATCH(D740,M_User!$D$12:$D$67,0),5),"UNMAPPED")</f>
        <v>MOS</v>
      </c>
      <c r="G740" s="73" t="s">
        <v>904</v>
      </c>
      <c r="H740" s="92" t="s">
        <v>905</v>
      </c>
      <c r="I740" s="73" t="s">
        <v>242</v>
      </c>
      <c r="J740" s="76" t="str">
        <f>IFERROR(INDEX(M_SKU!$A$18:$J$57,MATCH(I740,M_SKU!$B$18:$B$57,0),1),"UNKNOWN SKU")</f>
        <v>Stoney Tangawizi Pet 500 ml ( x12)</v>
      </c>
      <c r="K740" s="73" t="s">
        <v>525</v>
      </c>
      <c r="L740" s="276">
        <v>1</v>
      </c>
      <c r="M740" s="94" cm="1">
        <f t="array" ref="M740">IFERROR(INDEX(M_DepotPrice!$C$10:$C$52,MATCH(1,(M_DepotPrice!$A$10:$A$52=I740)*(M_DepotPrice!$H$10:$H$52=IFERROR(INDEX(M_Depot!$A$7:$A$24,MATCH(F740,M_Depot!$B$7:$B$24,0)),""))*(M_DepotPrice!$G$10:$G$52="Special"),0)),INDEX(M_DepotPrice!$C$10:$C$52,MATCH(1,(M_DepotPrice!$A$10:$A$52=I740)*(M_DepotPrice!$G$10:$G$52="Default"),0)))</f>
        <v>8898</v>
      </c>
      <c r="N740" s="95">
        <f t="shared" si="23"/>
        <v>10499.64</v>
      </c>
      <c r="O740" s="82" t="str">
        <f t="shared" si="22"/>
        <v>MOS100716|PH007|CK6-33375</v>
      </c>
    </row>
    <row r="741" spans="1:15" ht="15" customHeight="1" x14ac:dyDescent="0.3">
      <c r="A741" s="60" t="s">
        <v>1420</v>
      </c>
      <c r="B741" s="60" t="s">
        <v>556</v>
      </c>
      <c r="C741" s="62">
        <v>46179</v>
      </c>
      <c r="D741" s="63" t="s">
        <v>424</v>
      </c>
      <c r="E741" s="66" t="str">
        <f>IFERROR(INDEX(M_User!$A$12:$J$67,MATCH(D741,M_User!$D$12:$D$67,0),3),"UNMAPPED")</f>
        <v>Raymond P Sangawe</v>
      </c>
      <c r="F741" s="65" t="str">
        <f>IFERROR(INDEX(M_User!$A$12:$J$67,MATCH(D741,M_User!$D$12:$D$67,0),5),"UNMAPPED")</f>
        <v>MOS</v>
      </c>
      <c r="G741" s="63" t="s">
        <v>768</v>
      </c>
      <c r="H741" s="69" t="s">
        <v>769</v>
      </c>
      <c r="I741" s="63" t="s">
        <v>183</v>
      </c>
      <c r="J741" s="66" t="str">
        <f>IFERROR(INDEX(M_SKU!$A$18:$J$57,MATCH(I741,M_SKU!$B$18:$B$57,0),1),"UNKNOWN SKU")</f>
        <v>Fanta Pineapple RGB 350ml</v>
      </c>
      <c r="K741" s="63" t="s">
        <v>533</v>
      </c>
      <c r="L741" s="276">
        <v>2.2805430252932899</v>
      </c>
      <c r="M741" s="91" cm="1">
        <f t="array" ref="M741">IFERROR(INDEX(M_DepotPrice!$C$10:$C$52,MATCH(1,(M_DepotPrice!$A$10:$A$52=I741)*(M_DepotPrice!$H$10:$H$52=IFERROR(INDEX(M_Depot!$A$7:$A$24,MATCH(F741,M_Depot!$B$7:$B$24,0)),""))*(M_DepotPrice!$G$10:$G$52="Special"),0)),INDEX(M_DepotPrice!$C$10:$C$52,MATCH(1,(M_DepotPrice!$A$10:$A$52=I741)*(M_DepotPrice!$G$10:$G$52="Default"),0)))</f>
        <v>11780</v>
      </c>
      <c r="N741" s="67">
        <f t="shared" si="23"/>
        <v>31700.460268786846</v>
      </c>
      <c r="O741" s="66" t="str">
        <f t="shared" si="22"/>
        <v>MOS100716|FG004|CK3-33385</v>
      </c>
    </row>
    <row r="742" spans="1:15" ht="15" customHeight="1" x14ac:dyDescent="0.3">
      <c r="A742" s="70" t="s">
        <v>1421</v>
      </c>
      <c r="B742" s="70" t="s">
        <v>556</v>
      </c>
      <c r="C742" s="72">
        <v>46179</v>
      </c>
      <c r="D742" s="73" t="s">
        <v>424</v>
      </c>
      <c r="E742" s="76" t="str">
        <f>IFERROR(INDEX(M_User!$A$12:$J$67,MATCH(D742,M_User!$D$12:$D$67,0),3),"UNMAPPED")</f>
        <v>Raymond P Sangawe</v>
      </c>
      <c r="F742" s="75" t="str">
        <f>IFERROR(INDEX(M_User!$A$12:$J$67,MATCH(D742,M_User!$D$12:$D$67,0),5),"UNMAPPED")</f>
        <v>MOS</v>
      </c>
      <c r="G742" s="73" t="s">
        <v>768</v>
      </c>
      <c r="H742" s="92" t="s">
        <v>769</v>
      </c>
      <c r="I742" s="73" t="s">
        <v>187</v>
      </c>
      <c r="J742" s="76" t="str">
        <f>IFERROR(INDEX(M_SKU!$A$18:$J$57,MATCH(I742,M_SKU!$B$18:$B$57,0),1),"UNKNOWN SKU")</f>
        <v>Sprite 350ml</v>
      </c>
      <c r="K742" s="73" t="s">
        <v>558</v>
      </c>
      <c r="L742" s="276">
        <v>2.6638581650260398</v>
      </c>
      <c r="M742" s="94" cm="1">
        <f t="array" ref="M742">IFERROR(INDEX(M_DepotPrice!$C$10:$C$52,MATCH(1,(M_DepotPrice!$A$10:$A$52=I742)*(M_DepotPrice!$H$10:$H$52=IFERROR(INDEX(M_Depot!$A$7:$A$24,MATCH(F742,M_Depot!$B$7:$B$24,0)),""))*(M_DepotPrice!$G$10:$G$52="Special"),0)),INDEX(M_DepotPrice!$C$10:$C$52,MATCH(1,(M_DepotPrice!$A$10:$A$52=I742)*(M_DepotPrice!$G$10:$G$52="Default"),0)))</f>
        <v>11780</v>
      </c>
      <c r="N742" s="95">
        <f t="shared" si="23"/>
        <v>37028.694037127963</v>
      </c>
      <c r="O742" s="82" t="str">
        <f t="shared" si="22"/>
        <v>MOS100716|FG006|CK3-33383</v>
      </c>
    </row>
    <row r="743" spans="1:15" ht="15" customHeight="1" x14ac:dyDescent="0.3">
      <c r="A743" s="60" t="s">
        <v>1422</v>
      </c>
      <c r="B743" s="60" t="s">
        <v>556</v>
      </c>
      <c r="C743" s="62">
        <v>46179</v>
      </c>
      <c r="D743" s="63" t="s">
        <v>424</v>
      </c>
      <c r="E743" s="66" t="str">
        <f>IFERROR(INDEX(M_User!$A$12:$J$67,MATCH(D743,M_User!$D$12:$D$67,0),3),"UNMAPPED")</f>
        <v>Raymond P Sangawe</v>
      </c>
      <c r="F743" s="65" t="str">
        <f>IFERROR(INDEX(M_User!$A$12:$J$67,MATCH(D743,M_User!$D$12:$D$67,0),5),"UNMAPPED")</f>
        <v>MOS</v>
      </c>
      <c r="G743" s="63" t="s">
        <v>768</v>
      </c>
      <c r="H743" s="69" t="s">
        <v>769</v>
      </c>
      <c r="I743" s="63" t="s">
        <v>193</v>
      </c>
      <c r="J743" s="66" t="str">
        <f>IFERROR(INDEX(M_SKU!$A$18:$J$57,MATCH(I743,M_SKU!$B$18:$B$57,0),1),"UNKNOWN SKU")</f>
        <v>Sparletta Pinenut RGB 350ml</v>
      </c>
      <c r="K743" s="63" t="s">
        <v>537</v>
      </c>
      <c r="L743" s="276">
        <v>0.3785</v>
      </c>
      <c r="M743" s="91" cm="1">
        <f t="array" ref="M743">IFERROR(INDEX(M_DepotPrice!$C$10:$C$52,MATCH(1,(M_DepotPrice!$A$10:$A$52=I743)*(M_DepotPrice!$H$10:$H$52=IFERROR(INDEX(M_Depot!$A$7:$A$24,MATCH(F743,M_Depot!$B$7:$B$24,0)),""))*(M_DepotPrice!$G$10:$G$52="Special"),0)),INDEX(M_DepotPrice!$C$10:$C$52,MATCH(1,(M_DepotPrice!$A$10:$A$52=I743)*(M_DepotPrice!$G$10:$G$52="Default"),0)))</f>
        <v>11780</v>
      </c>
      <c r="N743" s="67">
        <f t="shared" si="23"/>
        <v>5261.3014000000003</v>
      </c>
      <c r="O743" s="66" t="str">
        <f t="shared" si="22"/>
        <v>MOS100716|FG008|CK3-33365</v>
      </c>
    </row>
    <row r="744" spans="1:15" ht="15" customHeight="1" x14ac:dyDescent="0.3">
      <c r="A744" s="70" t="s">
        <v>1423</v>
      </c>
      <c r="B744" s="70" t="s">
        <v>556</v>
      </c>
      <c r="C744" s="72">
        <v>46179</v>
      </c>
      <c r="D744" s="73" t="s">
        <v>424</v>
      </c>
      <c r="E744" s="76" t="str">
        <f>IFERROR(INDEX(M_User!$A$12:$J$67,MATCH(D744,M_User!$D$12:$D$67,0),3),"UNMAPPED")</f>
        <v>Raymond P Sangawe</v>
      </c>
      <c r="F744" s="75" t="str">
        <f>IFERROR(INDEX(M_User!$A$12:$J$67,MATCH(D744,M_User!$D$12:$D$67,0),5),"UNMAPPED")</f>
        <v>MOS</v>
      </c>
      <c r="G744" s="73" t="s">
        <v>768</v>
      </c>
      <c r="H744" s="92" t="s">
        <v>769</v>
      </c>
      <c r="I744" s="73" t="s">
        <v>199</v>
      </c>
      <c r="J744" s="76" t="str">
        <f>IFERROR(INDEX(M_SKU!$A$18:$J$57,MATCH(I744,M_SKU!$B$18:$B$57,0),1),"UNKNOWN SKU")</f>
        <v>Krest Club Soda RGB 300ml</v>
      </c>
      <c r="K744" s="73" t="s">
        <v>539</v>
      </c>
      <c r="L744" s="276">
        <v>0.79810000000000003</v>
      </c>
      <c r="M744" s="94" cm="1">
        <f t="array" ref="M744">IFERROR(INDEX(M_DepotPrice!$C$10:$C$52,MATCH(1,(M_DepotPrice!$A$10:$A$52=I744)*(M_DepotPrice!$H$10:$H$52=IFERROR(INDEX(M_Depot!$A$7:$A$24,MATCH(F744,M_Depot!$B$7:$B$24,0)),""))*(M_DepotPrice!$G$10:$G$52="Special"),0)),INDEX(M_DepotPrice!$C$10:$C$52,MATCH(1,(M_DepotPrice!$A$10:$A$52=I744)*(M_DepotPrice!$G$10:$G$52="Default"),0)))</f>
        <v>11780</v>
      </c>
      <c r="N744" s="95">
        <f t="shared" si="23"/>
        <v>11093.909239999999</v>
      </c>
      <c r="O744" s="82" t="str">
        <f t="shared" si="22"/>
        <v>MOS100716|FG010|CK3-33301</v>
      </c>
    </row>
    <row r="745" spans="1:15" ht="15" customHeight="1" x14ac:dyDescent="0.3">
      <c r="A745" s="60" t="s">
        <v>1424</v>
      </c>
      <c r="B745" s="60" t="s">
        <v>556</v>
      </c>
      <c r="C745" s="62">
        <v>46179</v>
      </c>
      <c r="D745" s="63" t="s">
        <v>424</v>
      </c>
      <c r="E745" s="66" t="str">
        <f>IFERROR(INDEX(M_User!$A$12:$J$67,MATCH(D745,M_User!$D$12:$D$67,0),3),"UNMAPPED")</f>
        <v>Raymond P Sangawe</v>
      </c>
      <c r="F745" s="65" t="str">
        <f>IFERROR(INDEX(M_User!$A$12:$J$67,MATCH(D745,M_User!$D$12:$D$67,0),5),"UNMAPPED")</f>
        <v>MOS</v>
      </c>
      <c r="G745" s="63" t="s">
        <v>768</v>
      </c>
      <c r="H745" s="69" t="s">
        <v>769</v>
      </c>
      <c r="I745" s="63" t="s">
        <v>203</v>
      </c>
      <c r="J745" s="66" t="str">
        <f>IFERROR(INDEX(M_SKU!$A$18:$J$57,MATCH(I745,M_SKU!$B$18:$B$57,0),1),"UNKNOWN SKU")</f>
        <v>Krest Ginger Ale RGB 300ml</v>
      </c>
      <c r="K745" s="63" t="s">
        <v>541</v>
      </c>
      <c r="L745" s="276">
        <v>0.51759999999999995</v>
      </c>
      <c r="M745" s="91" cm="1">
        <f t="array" ref="M745">IFERROR(INDEX(M_DepotPrice!$C$10:$C$52,MATCH(1,(M_DepotPrice!$A$10:$A$52=I745)*(M_DepotPrice!$H$10:$H$52=IFERROR(INDEX(M_Depot!$A$7:$A$24,MATCH(F745,M_Depot!$B$7:$B$24,0)),""))*(M_DepotPrice!$G$10:$G$52="Special"),0)),INDEX(M_DepotPrice!$C$10:$C$52,MATCH(1,(M_DepotPrice!$A$10:$A$52=I745)*(M_DepotPrice!$G$10:$G$52="Default"),0)))</f>
        <v>11780</v>
      </c>
      <c r="N745" s="67">
        <f t="shared" si="23"/>
        <v>7194.8470399999987</v>
      </c>
      <c r="O745" s="66" t="str">
        <f t="shared" si="22"/>
        <v>MOS100716|FG012|CK3-33126</v>
      </c>
    </row>
    <row r="746" spans="1:15" ht="15" customHeight="1" x14ac:dyDescent="0.3">
      <c r="A746" s="70" t="s">
        <v>1425</v>
      </c>
      <c r="B746" s="70" t="s">
        <v>556</v>
      </c>
      <c r="C746" s="72">
        <v>46179</v>
      </c>
      <c r="D746" s="73" t="s">
        <v>424</v>
      </c>
      <c r="E746" s="76" t="str">
        <f>IFERROR(INDEX(M_User!$A$12:$J$67,MATCH(D746,M_User!$D$12:$D$67,0),3),"UNMAPPED")</f>
        <v>Raymond P Sangawe</v>
      </c>
      <c r="F746" s="75" t="str">
        <f>IFERROR(INDEX(M_User!$A$12:$J$67,MATCH(D746,M_User!$D$12:$D$67,0),5),"UNMAPPED")</f>
        <v>MOS</v>
      </c>
      <c r="G746" s="73" t="s">
        <v>768</v>
      </c>
      <c r="H746" s="92" t="s">
        <v>769</v>
      </c>
      <c r="I746" s="73" t="s">
        <v>209</v>
      </c>
      <c r="J746" s="76" t="str">
        <f>IFERROR(INDEX(M_SKU!$A$18:$J$57,MATCH(I746,M_SKU!$B$18:$B$57,0),1),"UNKNOWN SKU")</f>
        <v>Sparletta Red Apple RGB 350ml</v>
      </c>
      <c r="K746" s="73" t="s">
        <v>542</v>
      </c>
      <c r="L746" s="276">
        <v>0.9042</v>
      </c>
      <c r="M746" s="94" cm="1">
        <f t="array" ref="M746">IFERROR(INDEX(M_DepotPrice!$C$10:$C$52,MATCH(1,(M_DepotPrice!$A$10:$A$52=I746)*(M_DepotPrice!$H$10:$H$52=IFERROR(INDEX(M_Depot!$A$7:$A$24,MATCH(F746,M_Depot!$B$7:$B$24,0)),""))*(M_DepotPrice!$G$10:$G$52="Special"),0)),INDEX(M_DepotPrice!$C$10:$C$52,MATCH(1,(M_DepotPrice!$A$10:$A$52=I746)*(M_DepotPrice!$G$10:$G$52="Default"),0)))</f>
        <v>11780</v>
      </c>
      <c r="N746" s="95">
        <f t="shared" si="23"/>
        <v>12568.741679999999</v>
      </c>
      <c r="O746" s="82" t="str">
        <f t="shared" si="22"/>
        <v>MOS100716|FG024|CK3-32758</v>
      </c>
    </row>
    <row r="747" spans="1:15" ht="15" customHeight="1" x14ac:dyDescent="0.3">
      <c r="A747" s="60" t="s">
        <v>1426</v>
      </c>
      <c r="B747" s="60" t="s">
        <v>556</v>
      </c>
      <c r="C747" s="62">
        <v>46179</v>
      </c>
      <c r="D747" s="63" t="s">
        <v>424</v>
      </c>
      <c r="E747" s="66" t="str">
        <f>IFERROR(INDEX(M_User!$A$12:$J$67,MATCH(D747,M_User!$D$12:$D$67,0),3),"UNMAPPED")</f>
        <v>Raymond P Sangawe</v>
      </c>
      <c r="F747" s="65" t="str">
        <f>IFERROR(INDEX(M_User!$A$12:$J$67,MATCH(D747,M_User!$D$12:$D$67,0),5),"UNMAPPED")</f>
        <v>MOS</v>
      </c>
      <c r="G747" s="63" t="s">
        <v>768</v>
      </c>
      <c r="H747" s="69" t="s">
        <v>769</v>
      </c>
      <c r="I747" s="63" t="s">
        <v>234</v>
      </c>
      <c r="J747" s="66" t="str">
        <f>IFERROR(INDEX(M_SKU!$A$18:$J$57,MATCH(I747,M_SKU!$B$18:$B$57,0),1),"UNKNOWN SKU")</f>
        <v>Fanta Orange Pet 500ML ( x 12)</v>
      </c>
      <c r="K747" s="63" t="s">
        <v>523</v>
      </c>
      <c r="L747" s="276">
        <v>3</v>
      </c>
      <c r="M747" s="91" cm="1">
        <f t="array" ref="M747">IFERROR(INDEX(M_DepotPrice!$C$10:$C$52,MATCH(1,(M_DepotPrice!$A$10:$A$52=I747)*(M_DepotPrice!$H$10:$H$52=IFERROR(INDEX(M_Depot!$A$7:$A$24,MATCH(F747,M_Depot!$B$7:$B$24,0)),""))*(M_DepotPrice!$G$10:$G$52="Special"),0)),INDEX(M_DepotPrice!$C$10:$C$52,MATCH(1,(M_DepotPrice!$A$10:$A$52=I747)*(M_DepotPrice!$G$10:$G$52="Default"),0)))</f>
        <v>8898</v>
      </c>
      <c r="N747" s="67">
        <f t="shared" si="23"/>
        <v>31498.92</v>
      </c>
      <c r="O747" s="66" t="str">
        <f t="shared" si="22"/>
        <v>MOS100716|PH003|CK6-33405</v>
      </c>
    </row>
    <row r="748" spans="1:15" ht="15" customHeight="1" x14ac:dyDescent="0.3">
      <c r="A748" s="70" t="s">
        <v>1427</v>
      </c>
      <c r="B748" s="70" t="s">
        <v>556</v>
      </c>
      <c r="C748" s="72">
        <v>46179</v>
      </c>
      <c r="D748" s="73" t="s">
        <v>424</v>
      </c>
      <c r="E748" s="76" t="str">
        <f>IFERROR(INDEX(M_User!$A$12:$J$67,MATCH(D748,M_User!$D$12:$D$67,0),3),"UNMAPPED")</f>
        <v>Raymond P Sangawe</v>
      </c>
      <c r="F748" s="75" t="str">
        <f>IFERROR(INDEX(M_User!$A$12:$J$67,MATCH(D748,M_User!$D$12:$D$67,0),5),"UNMAPPED")</f>
        <v>MOS</v>
      </c>
      <c r="G748" s="73" t="s">
        <v>768</v>
      </c>
      <c r="H748" s="92" t="s">
        <v>769</v>
      </c>
      <c r="I748" s="73" t="s">
        <v>236</v>
      </c>
      <c r="J748" s="76" t="str">
        <f>IFERROR(INDEX(M_SKU!$A$18:$J$57,MATCH(I748,M_SKU!$B$18:$B$57,0),1),"UNKNOWN SKU")</f>
        <v>Fanta Passion Pet 500ML ( x12)</v>
      </c>
      <c r="K748" s="73" t="s">
        <v>524</v>
      </c>
      <c r="L748" s="276">
        <v>1</v>
      </c>
      <c r="M748" s="94" cm="1">
        <f t="array" ref="M748">IFERROR(INDEX(M_DepotPrice!$C$10:$C$52,MATCH(1,(M_DepotPrice!$A$10:$A$52=I748)*(M_DepotPrice!$H$10:$H$52=IFERROR(INDEX(M_Depot!$A$7:$A$24,MATCH(F748,M_Depot!$B$7:$B$24,0)),""))*(M_DepotPrice!$G$10:$G$52="Special"),0)),INDEX(M_DepotPrice!$C$10:$C$52,MATCH(1,(M_DepotPrice!$A$10:$A$52=I748)*(M_DepotPrice!$G$10:$G$52="Default"),0)))</f>
        <v>8898</v>
      </c>
      <c r="N748" s="95">
        <f t="shared" si="23"/>
        <v>10499.64</v>
      </c>
      <c r="O748" s="82" t="str">
        <f t="shared" si="22"/>
        <v>MOS100716|PH004|CK5-33334</v>
      </c>
    </row>
    <row r="749" spans="1:15" ht="15" customHeight="1" x14ac:dyDescent="0.3">
      <c r="A749" s="60" t="s">
        <v>1428</v>
      </c>
      <c r="B749" s="60" t="s">
        <v>556</v>
      </c>
      <c r="C749" s="62">
        <v>46179</v>
      </c>
      <c r="D749" s="63" t="s">
        <v>424</v>
      </c>
      <c r="E749" s="66" t="str">
        <f>IFERROR(INDEX(M_User!$A$12:$J$67,MATCH(D749,M_User!$D$12:$D$67,0),3),"UNMAPPED")</f>
        <v>Raymond P Sangawe</v>
      </c>
      <c r="F749" s="65" t="str">
        <f>IFERROR(INDEX(M_User!$A$12:$J$67,MATCH(D749,M_User!$D$12:$D$67,0),5),"UNMAPPED")</f>
        <v>MOS</v>
      </c>
      <c r="G749" s="63" t="s">
        <v>768</v>
      </c>
      <c r="H749" s="69" t="s">
        <v>769</v>
      </c>
      <c r="I749" s="63" t="s">
        <v>242</v>
      </c>
      <c r="J749" s="66" t="str">
        <f>IFERROR(INDEX(M_SKU!$A$18:$J$57,MATCH(I749,M_SKU!$B$18:$B$57,0),1),"UNKNOWN SKU")</f>
        <v>Stoney Tangawizi Pet 500 ml ( x12)</v>
      </c>
      <c r="K749" s="63" t="s">
        <v>525</v>
      </c>
      <c r="L749" s="276">
        <v>1</v>
      </c>
      <c r="M749" s="91" cm="1">
        <f t="array" ref="M749">IFERROR(INDEX(M_DepotPrice!$C$10:$C$52,MATCH(1,(M_DepotPrice!$A$10:$A$52=I749)*(M_DepotPrice!$H$10:$H$52=IFERROR(INDEX(M_Depot!$A$7:$A$24,MATCH(F749,M_Depot!$B$7:$B$24,0)),""))*(M_DepotPrice!$G$10:$G$52="Special"),0)),INDEX(M_DepotPrice!$C$10:$C$52,MATCH(1,(M_DepotPrice!$A$10:$A$52=I749)*(M_DepotPrice!$G$10:$G$52="Default"),0)))</f>
        <v>8898</v>
      </c>
      <c r="N749" s="67">
        <f t="shared" si="23"/>
        <v>10499.64</v>
      </c>
      <c r="O749" s="66" t="str">
        <f t="shared" si="22"/>
        <v>MOS100716|PH007|CK6-33375</v>
      </c>
    </row>
    <row r="750" spans="1:15" ht="15" customHeight="1" x14ac:dyDescent="0.3">
      <c r="A750" s="70" t="s">
        <v>1429</v>
      </c>
      <c r="B750" s="70" t="s">
        <v>556</v>
      </c>
      <c r="C750" s="72">
        <v>46179</v>
      </c>
      <c r="D750" s="73" t="s">
        <v>424</v>
      </c>
      <c r="E750" s="76" t="str">
        <f>IFERROR(INDEX(M_User!$A$12:$J$67,MATCH(D750,M_User!$D$12:$D$67,0),3),"UNMAPPED")</f>
        <v>Raymond P Sangawe</v>
      </c>
      <c r="F750" s="75" t="str">
        <f>IFERROR(INDEX(M_User!$A$12:$J$67,MATCH(D750,M_User!$D$12:$D$67,0),5),"UNMAPPED")</f>
        <v>MOS</v>
      </c>
      <c r="G750" s="73" t="s">
        <v>783</v>
      </c>
      <c r="H750" s="92" t="s">
        <v>784</v>
      </c>
      <c r="I750" s="73" t="s">
        <v>170</v>
      </c>
      <c r="J750" s="76" t="str">
        <f>IFERROR(INDEX(M_SKU!$A$18:$J$57,MATCH(I750,M_SKU!$B$18:$B$57,0),1),"UNKNOWN SKU")</f>
        <v>Coke RGB 350ml</v>
      </c>
      <c r="K750" s="73" t="s">
        <v>530</v>
      </c>
      <c r="L750" s="276">
        <v>18.827300000000001</v>
      </c>
      <c r="M750" s="94" cm="1">
        <f t="array" ref="M750">IFERROR(INDEX(M_DepotPrice!$C$10:$C$52,MATCH(1,(M_DepotPrice!$A$10:$A$52=I750)*(M_DepotPrice!$H$10:$H$52=IFERROR(INDEX(M_Depot!$A$7:$A$24,MATCH(F750,M_Depot!$B$7:$B$24,0)),""))*(M_DepotPrice!$G$10:$G$52="Special"),0)),INDEX(M_DepotPrice!$C$10:$C$52,MATCH(1,(M_DepotPrice!$A$10:$A$52=I750)*(M_DepotPrice!$G$10:$G$52="Default"),0)))</f>
        <v>11780</v>
      </c>
      <c r="N750" s="95">
        <f t="shared" si="23"/>
        <v>261707.00091999999</v>
      </c>
      <c r="O750" s="82" t="str">
        <f t="shared" si="22"/>
        <v>MOS100716|FG001|CK3-33409</v>
      </c>
    </row>
    <row r="751" spans="1:15" ht="15" customHeight="1" x14ac:dyDescent="0.3">
      <c r="A751" s="60" t="s">
        <v>1430</v>
      </c>
      <c r="B751" s="60" t="s">
        <v>556</v>
      </c>
      <c r="C751" s="62">
        <v>46179</v>
      </c>
      <c r="D751" s="63" t="s">
        <v>424</v>
      </c>
      <c r="E751" s="66" t="str">
        <f>IFERROR(INDEX(M_User!$A$12:$J$67,MATCH(D751,M_User!$D$12:$D$67,0),3),"UNMAPPED")</f>
        <v>Raymond P Sangawe</v>
      </c>
      <c r="F751" s="65" t="str">
        <f>IFERROR(INDEX(M_User!$A$12:$J$67,MATCH(D751,M_User!$D$12:$D$67,0),5),"UNMAPPED")</f>
        <v>MOS</v>
      </c>
      <c r="G751" s="63" t="s">
        <v>783</v>
      </c>
      <c r="H751" s="69" t="s">
        <v>784</v>
      </c>
      <c r="I751" s="63" t="s">
        <v>181</v>
      </c>
      <c r="J751" s="66" t="str">
        <f>IFERROR(INDEX(M_SKU!$A$18:$J$57,MATCH(I751,M_SKU!$B$18:$B$57,0),1),"UNKNOWN SKU")</f>
        <v>Fanta Passion RGB 350ml</v>
      </c>
      <c r="K751" s="63" t="s">
        <v>550</v>
      </c>
      <c r="L751" s="276">
        <v>4.7762985731043202</v>
      </c>
      <c r="M751" s="91" cm="1">
        <f t="array" ref="M751">IFERROR(INDEX(M_DepotPrice!$C$10:$C$52,MATCH(1,(M_DepotPrice!$A$10:$A$52=I751)*(M_DepotPrice!$H$10:$H$52=IFERROR(INDEX(M_Depot!$A$7:$A$24,MATCH(F751,M_Depot!$B$7:$B$24,0)),""))*(M_DepotPrice!$G$10:$G$52="Special"),0)),INDEX(M_DepotPrice!$C$10:$C$52,MATCH(1,(M_DepotPrice!$A$10:$A$52=I751)*(M_DepotPrice!$G$10:$G$52="Default"),0)))</f>
        <v>11780</v>
      </c>
      <c r="N751" s="67">
        <f t="shared" si="23"/>
        <v>66392.460685579295</v>
      </c>
      <c r="O751" s="66" t="str">
        <f t="shared" si="22"/>
        <v>MOS100716|FG003|CK3-33356</v>
      </c>
    </row>
    <row r="752" spans="1:15" ht="15" customHeight="1" x14ac:dyDescent="0.3">
      <c r="A752" s="70" t="s">
        <v>1431</v>
      </c>
      <c r="B752" s="70" t="s">
        <v>556</v>
      </c>
      <c r="C752" s="72">
        <v>46179</v>
      </c>
      <c r="D752" s="73" t="s">
        <v>424</v>
      </c>
      <c r="E752" s="76" t="str">
        <f>IFERROR(INDEX(M_User!$A$12:$J$67,MATCH(D752,M_User!$D$12:$D$67,0),3),"UNMAPPED")</f>
        <v>Raymond P Sangawe</v>
      </c>
      <c r="F752" s="75" t="str">
        <f>IFERROR(INDEX(M_User!$A$12:$J$67,MATCH(D752,M_User!$D$12:$D$67,0),5),"UNMAPPED")</f>
        <v>MOS</v>
      </c>
      <c r="G752" s="73" t="s">
        <v>783</v>
      </c>
      <c r="H752" s="92" t="s">
        <v>784</v>
      </c>
      <c r="I752" s="73" t="s">
        <v>185</v>
      </c>
      <c r="J752" s="76" t="str">
        <f>IFERROR(INDEX(M_SKU!$A$18:$J$57,MATCH(I752,M_SKU!$B$18:$B$57,0),1),"UNKNOWN SKU")</f>
        <v>Fanta Fruit Blast RGB 350 ml</v>
      </c>
      <c r="K752" s="73" t="s">
        <v>534</v>
      </c>
      <c r="L752" s="276">
        <v>0.68631473933773002</v>
      </c>
      <c r="M752" s="94" cm="1">
        <f t="array" ref="M752">IFERROR(INDEX(M_DepotPrice!$C$10:$C$52,MATCH(1,(M_DepotPrice!$A$10:$A$52=I752)*(M_DepotPrice!$H$10:$H$52=IFERROR(INDEX(M_Depot!$A$7:$A$24,MATCH(F752,M_Depot!$B$7:$B$24,0)),""))*(M_DepotPrice!$G$10:$G$52="Special"),0)),INDEX(M_DepotPrice!$C$10:$C$52,MATCH(1,(M_DepotPrice!$A$10:$A$52=I752)*(M_DepotPrice!$G$10:$G$52="Default"),0)))</f>
        <v>11780</v>
      </c>
      <c r="N752" s="95">
        <f t="shared" si="23"/>
        <v>9540.0494026901815</v>
      </c>
      <c r="O752" s="82" t="str">
        <f t="shared" si="22"/>
        <v>MOS100716|FG005|CK3-33402</v>
      </c>
    </row>
    <row r="753" spans="1:15" ht="15" customHeight="1" x14ac:dyDescent="0.3">
      <c r="A753" s="60" t="s">
        <v>1432</v>
      </c>
      <c r="B753" s="60" t="s">
        <v>556</v>
      </c>
      <c r="C753" s="62">
        <v>46179</v>
      </c>
      <c r="D753" s="63" t="s">
        <v>424</v>
      </c>
      <c r="E753" s="66" t="str">
        <f>IFERROR(INDEX(M_User!$A$12:$J$67,MATCH(D753,M_User!$D$12:$D$67,0),3),"UNMAPPED")</f>
        <v>Raymond P Sangawe</v>
      </c>
      <c r="F753" s="65" t="str">
        <f>IFERROR(INDEX(M_User!$A$12:$J$67,MATCH(D753,M_User!$D$12:$D$67,0),5),"UNMAPPED")</f>
        <v>MOS</v>
      </c>
      <c r="G753" s="63" t="s">
        <v>783</v>
      </c>
      <c r="H753" s="69" t="s">
        <v>784</v>
      </c>
      <c r="I753" s="63" t="s">
        <v>190</v>
      </c>
      <c r="J753" s="66" t="str">
        <f>IFERROR(INDEX(M_SKU!$A$18:$J$57,MATCH(I753,M_SKU!$B$18:$B$57,0),1),"UNKNOWN SKU")</f>
        <v>Stoney Tangawizi RGB 350ml</v>
      </c>
      <c r="K753" s="63" t="s">
        <v>536</v>
      </c>
      <c r="L753" s="276">
        <v>0.99390000000000001</v>
      </c>
      <c r="M753" s="91" cm="1">
        <f t="array" ref="M753">IFERROR(INDEX(M_DepotPrice!$C$10:$C$52,MATCH(1,(M_DepotPrice!$A$10:$A$52=I753)*(M_DepotPrice!$H$10:$H$52=IFERROR(INDEX(M_Depot!$A$7:$A$24,MATCH(F753,M_Depot!$B$7:$B$24,0)),""))*(M_DepotPrice!$G$10:$G$52="Special"),0)),INDEX(M_DepotPrice!$C$10:$C$52,MATCH(1,(M_DepotPrice!$A$10:$A$52=I753)*(M_DepotPrice!$G$10:$G$52="Default"),0)))</f>
        <v>11780</v>
      </c>
      <c r="N753" s="67">
        <f t="shared" si="23"/>
        <v>13815.607559999999</v>
      </c>
      <c r="O753" s="66" t="str">
        <f t="shared" si="22"/>
        <v>MOS100716|FG007|CK3-33404</v>
      </c>
    </row>
    <row r="754" spans="1:15" ht="15" customHeight="1" x14ac:dyDescent="0.3">
      <c r="A754" s="70" t="s">
        <v>1433</v>
      </c>
      <c r="B754" s="70" t="s">
        <v>556</v>
      </c>
      <c r="C754" s="72">
        <v>46179</v>
      </c>
      <c r="D754" s="73" t="s">
        <v>424</v>
      </c>
      <c r="E754" s="76" t="str">
        <f>IFERROR(INDEX(M_User!$A$12:$J$67,MATCH(D754,M_User!$D$12:$D$67,0),3),"UNMAPPED")</f>
        <v>Raymond P Sangawe</v>
      </c>
      <c r="F754" s="75" t="str">
        <f>IFERROR(INDEX(M_User!$A$12:$J$67,MATCH(D754,M_User!$D$12:$D$67,0),5),"UNMAPPED")</f>
        <v>MOS</v>
      </c>
      <c r="G754" s="73" t="s">
        <v>783</v>
      </c>
      <c r="H754" s="92" t="s">
        <v>784</v>
      </c>
      <c r="I754" s="73" t="s">
        <v>196</v>
      </c>
      <c r="J754" s="76" t="str">
        <f>IFERROR(INDEX(M_SKU!$A$18:$J$57,MATCH(I754,M_SKU!$B$18:$B$57,0),1),"UNKNOWN SKU")</f>
        <v>Krest Bitter Lemon RGB 300ml</v>
      </c>
      <c r="K754" s="73" t="s">
        <v>538</v>
      </c>
      <c r="L754" s="276">
        <v>0.85760000000000003</v>
      </c>
      <c r="M754" s="94" cm="1">
        <f t="array" ref="M754">IFERROR(INDEX(M_DepotPrice!$C$10:$C$52,MATCH(1,(M_DepotPrice!$A$10:$A$52=I754)*(M_DepotPrice!$H$10:$H$52=IFERROR(INDEX(M_Depot!$A$7:$A$24,MATCH(F754,M_Depot!$B$7:$B$24,0)),""))*(M_DepotPrice!$G$10:$G$52="Special"),0)),INDEX(M_DepotPrice!$C$10:$C$52,MATCH(1,(M_DepotPrice!$A$10:$A$52=I754)*(M_DepotPrice!$G$10:$G$52="Default"),0)))</f>
        <v>11780</v>
      </c>
      <c r="N754" s="95">
        <f t="shared" si="23"/>
        <v>11920.983039999999</v>
      </c>
      <c r="O754" s="82" t="str">
        <f t="shared" si="22"/>
        <v>MOS100716|FG009|CK3-33348</v>
      </c>
    </row>
    <row r="755" spans="1:15" ht="15" customHeight="1" x14ac:dyDescent="0.3">
      <c r="A755" s="60" t="s">
        <v>1434</v>
      </c>
      <c r="B755" s="60" t="s">
        <v>556</v>
      </c>
      <c r="C755" s="62">
        <v>46179</v>
      </c>
      <c r="D755" s="63" t="s">
        <v>424</v>
      </c>
      <c r="E755" s="66" t="str">
        <f>IFERROR(INDEX(M_User!$A$12:$J$67,MATCH(D755,M_User!$D$12:$D$67,0),3),"UNMAPPED")</f>
        <v>Raymond P Sangawe</v>
      </c>
      <c r="F755" s="65" t="str">
        <f>IFERROR(INDEX(M_User!$A$12:$J$67,MATCH(D755,M_User!$D$12:$D$67,0),5),"UNMAPPED")</f>
        <v>MOS</v>
      </c>
      <c r="G755" s="63" t="s">
        <v>783</v>
      </c>
      <c r="H755" s="69" t="s">
        <v>784</v>
      </c>
      <c r="I755" s="63" t="s">
        <v>199</v>
      </c>
      <c r="J755" s="66" t="str">
        <f>IFERROR(INDEX(M_SKU!$A$18:$J$57,MATCH(I755,M_SKU!$B$18:$B$57,0),1),"UNKNOWN SKU")</f>
        <v>Krest Club Soda RGB 300ml</v>
      </c>
      <c r="K755" s="63" t="s">
        <v>539</v>
      </c>
      <c r="L755" s="276">
        <v>0.78462049295916603</v>
      </c>
      <c r="M755" s="91" cm="1">
        <f t="array" ref="M755">IFERROR(INDEX(M_DepotPrice!$C$10:$C$52,MATCH(1,(M_DepotPrice!$A$10:$A$52=I755)*(M_DepotPrice!$H$10:$H$52=IFERROR(INDEX(M_Depot!$A$7:$A$24,MATCH(F755,M_Depot!$B$7:$B$24,0)),""))*(M_DepotPrice!$G$10:$G$52="Special"),0)),INDEX(M_DepotPrice!$C$10:$C$52,MATCH(1,(M_DepotPrice!$A$10:$A$52=I755)*(M_DepotPrice!$G$10:$G$52="Default"),0)))</f>
        <v>11780</v>
      </c>
      <c r="N755" s="67">
        <f t="shared" si="23"/>
        <v>10906.538700329591</v>
      </c>
      <c r="O755" s="66" t="str">
        <f t="shared" si="22"/>
        <v>MOS100716|FG010|CK3-33301</v>
      </c>
    </row>
    <row r="756" spans="1:15" ht="15" customHeight="1" x14ac:dyDescent="0.3">
      <c r="A756" s="70" t="s">
        <v>1435</v>
      </c>
      <c r="B756" s="70" t="s">
        <v>556</v>
      </c>
      <c r="C756" s="72">
        <v>46179</v>
      </c>
      <c r="D756" s="73" t="s">
        <v>424</v>
      </c>
      <c r="E756" s="76" t="str">
        <f>IFERROR(INDEX(M_User!$A$12:$J$67,MATCH(D756,M_User!$D$12:$D$67,0),3),"UNMAPPED")</f>
        <v>Raymond P Sangawe</v>
      </c>
      <c r="F756" s="75" t="str">
        <f>IFERROR(INDEX(M_User!$A$12:$J$67,MATCH(D756,M_User!$D$12:$D$67,0),5),"UNMAPPED")</f>
        <v>MOS</v>
      </c>
      <c r="G756" s="73" t="s">
        <v>783</v>
      </c>
      <c r="H756" s="92" t="s">
        <v>784</v>
      </c>
      <c r="I756" s="73" t="s">
        <v>201</v>
      </c>
      <c r="J756" s="76" t="str">
        <f>IFERROR(INDEX(M_SKU!$A$18:$J$57,MATCH(I756,M_SKU!$B$18:$B$57,0),1),"UNKNOWN SKU")</f>
        <v>Krest Tonic Water RGB 300ml</v>
      </c>
      <c r="K756" s="73" t="s">
        <v>540</v>
      </c>
      <c r="L756" s="276">
        <v>0.57186760063720499</v>
      </c>
      <c r="M756" s="94" cm="1">
        <f t="array" ref="M756">IFERROR(INDEX(M_DepotPrice!$C$10:$C$52,MATCH(1,(M_DepotPrice!$A$10:$A$52=I756)*(M_DepotPrice!$H$10:$H$52=IFERROR(INDEX(M_Depot!$A$7:$A$24,MATCH(F756,M_Depot!$B$7:$B$24,0)),""))*(M_DepotPrice!$G$10:$G$52="Special"),0)),INDEX(M_DepotPrice!$C$10:$C$52,MATCH(1,(M_DepotPrice!$A$10:$A$52=I756)*(M_DepotPrice!$G$10:$G$52="Default"),0)))</f>
        <v>11780</v>
      </c>
      <c r="N756" s="95">
        <f t="shared" si="23"/>
        <v>7949.188395897404</v>
      </c>
      <c r="O756" s="82" t="str">
        <f t="shared" si="22"/>
        <v>MOS100716|FG011|CK3-33347</v>
      </c>
    </row>
    <row r="757" spans="1:15" ht="15" customHeight="1" x14ac:dyDescent="0.3">
      <c r="A757" s="60" t="s">
        <v>1436</v>
      </c>
      <c r="B757" s="60" t="s">
        <v>556</v>
      </c>
      <c r="C757" s="62">
        <v>46179</v>
      </c>
      <c r="D757" s="63" t="s">
        <v>424</v>
      </c>
      <c r="E757" s="66" t="str">
        <f>IFERROR(INDEX(M_User!$A$12:$J$67,MATCH(D757,M_User!$D$12:$D$67,0),3),"UNMAPPED")</f>
        <v>Raymond P Sangawe</v>
      </c>
      <c r="F757" s="65" t="str">
        <f>IFERROR(INDEX(M_User!$A$12:$J$67,MATCH(D757,M_User!$D$12:$D$67,0),5),"UNMAPPED")</f>
        <v>MOS</v>
      </c>
      <c r="G757" s="63" t="s">
        <v>783</v>
      </c>
      <c r="H757" s="69" t="s">
        <v>784</v>
      </c>
      <c r="I757" s="63" t="s">
        <v>203</v>
      </c>
      <c r="J757" s="66" t="str">
        <f>IFERROR(INDEX(M_SKU!$A$18:$J$57,MATCH(I757,M_SKU!$B$18:$B$57,0),1),"UNKNOWN SKU")</f>
        <v>Krest Ginger Ale RGB 300ml</v>
      </c>
      <c r="K757" s="63" t="s">
        <v>541</v>
      </c>
      <c r="L757" s="276">
        <v>1.2079251385409999</v>
      </c>
      <c r="M757" s="91" cm="1">
        <f t="array" ref="M757">IFERROR(INDEX(M_DepotPrice!$C$10:$C$52,MATCH(1,(M_DepotPrice!$A$10:$A$52=I757)*(M_DepotPrice!$H$10:$H$52=IFERROR(INDEX(M_Depot!$A$7:$A$24,MATCH(F757,M_Depot!$B$7:$B$24,0)),""))*(M_DepotPrice!$G$10:$G$52="Special"),0)),INDEX(M_DepotPrice!$C$10:$C$52,MATCH(1,(M_DepotPrice!$A$10:$A$52=I757)*(M_DepotPrice!$G$10:$G$52="Default"),0)))</f>
        <v>11780</v>
      </c>
      <c r="N757" s="67">
        <f t="shared" si="23"/>
        <v>16790.642595775316</v>
      </c>
      <c r="O757" s="66" t="str">
        <f t="shared" si="22"/>
        <v>MOS100716|FG012|CK3-33126</v>
      </c>
    </row>
    <row r="758" spans="1:15" ht="15" customHeight="1" x14ac:dyDescent="0.3">
      <c r="A758" s="70" t="s">
        <v>1437</v>
      </c>
      <c r="B758" s="70" t="s">
        <v>556</v>
      </c>
      <c r="C758" s="72">
        <v>46179</v>
      </c>
      <c r="D758" s="73" t="s">
        <v>424</v>
      </c>
      <c r="E758" s="76" t="str">
        <f>IFERROR(INDEX(M_User!$A$12:$J$67,MATCH(D758,M_User!$D$12:$D$67,0),3),"UNMAPPED")</f>
        <v>Raymond P Sangawe</v>
      </c>
      <c r="F758" s="75" t="str">
        <f>IFERROR(INDEX(M_User!$A$12:$J$67,MATCH(D758,M_User!$D$12:$D$67,0),5),"UNMAPPED")</f>
        <v>MOS</v>
      </c>
      <c r="G758" s="73" t="s">
        <v>783</v>
      </c>
      <c r="H758" s="92" t="s">
        <v>784</v>
      </c>
      <c r="I758" s="73" t="s">
        <v>217</v>
      </c>
      <c r="J758" s="76" t="str">
        <f>IFERROR(INDEX(M_SKU!$A$18:$J$57,MATCH(I758,M_SKU!$B$18:$B$57,0),1),"UNKNOWN SKU")</f>
        <v>KNMW 1500ml</v>
      </c>
      <c r="K758" s="73" t="s">
        <v>551</v>
      </c>
      <c r="L758" s="276">
        <v>31</v>
      </c>
      <c r="M758" s="94" cm="1">
        <f t="array" ref="M758">IFERROR(INDEX(M_DepotPrice!$C$10:$C$52,MATCH(1,(M_DepotPrice!$A$10:$A$52=I758)*(M_DepotPrice!$H$10:$H$52=IFERROR(INDEX(M_Depot!$A$7:$A$24,MATCH(F758,M_Depot!$B$7:$B$24,0)),""))*(M_DepotPrice!$G$10:$G$52="Special"),0)),INDEX(M_DepotPrice!$C$10:$C$52,MATCH(1,(M_DepotPrice!$A$10:$A$52=I758)*(M_DepotPrice!$G$10:$G$52="Default"),0)))</f>
        <v>3983</v>
      </c>
      <c r="N758" s="95">
        <f t="shared" si="23"/>
        <v>145698.13999999998</v>
      </c>
      <c r="O758" s="82" t="str">
        <f t="shared" si="22"/>
        <v>MOS100716|KD003|CK4-842</v>
      </c>
    </row>
    <row r="759" spans="1:15" ht="15" customHeight="1" x14ac:dyDescent="0.3">
      <c r="A759" s="60" t="s">
        <v>1438</v>
      </c>
      <c r="B759" s="60" t="s">
        <v>556</v>
      </c>
      <c r="C759" s="62">
        <v>46179</v>
      </c>
      <c r="D759" s="63" t="s">
        <v>424</v>
      </c>
      <c r="E759" s="66" t="str">
        <f>IFERROR(INDEX(M_User!$A$12:$J$67,MATCH(D759,M_User!$D$12:$D$67,0),3),"UNMAPPED")</f>
        <v>Raymond P Sangawe</v>
      </c>
      <c r="F759" s="65" t="str">
        <f>IFERROR(INDEX(M_User!$A$12:$J$67,MATCH(D759,M_User!$D$12:$D$67,0),5),"UNMAPPED")</f>
        <v>MOS</v>
      </c>
      <c r="G759" s="63" t="s">
        <v>783</v>
      </c>
      <c r="H759" s="69" t="s">
        <v>784</v>
      </c>
      <c r="I759" s="63" t="s">
        <v>229</v>
      </c>
      <c r="J759" s="66" t="str">
        <f>IFERROR(INDEX(M_SKU!$A$18:$J$57,MATCH(I759,M_SKU!$B$18:$B$57,0),1),"UNKNOWN SKU")</f>
        <v>Coke Pet 500ML ( x12)</v>
      </c>
      <c r="K759" s="63" t="s">
        <v>520</v>
      </c>
      <c r="L759" s="276">
        <v>5</v>
      </c>
      <c r="M759" s="91" cm="1">
        <f t="array" ref="M759">IFERROR(INDEX(M_DepotPrice!$C$10:$C$52,MATCH(1,(M_DepotPrice!$A$10:$A$52=I759)*(M_DepotPrice!$H$10:$H$52=IFERROR(INDEX(M_Depot!$A$7:$A$24,MATCH(F759,M_Depot!$B$7:$B$24,0)),""))*(M_DepotPrice!$G$10:$G$52="Special"),0)),INDEX(M_DepotPrice!$C$10:$C$52,MATCH(1,(M_DepotPrice!$A$10:$A$52=I759)*(M_DepotPrice!$G$10:$G$52="Default"),0)))</f>
        <v>8898</v>
      </c>
      <c r="N759" s="67">
        <f t="shared" si="23"/>
        <v>52498.2</v>
      </c>
      <c r="O759" s="66" t="str">
        <f t="shared" si="22"/>
        <v>MOS100716|PH001|CK6-33411</v>
      </c>
    </row>
    <row r="760" spans="1:15" ht="15" customHeight="1" x14ac:dyDescent="0.3">
      <c r="A760" s="70" t="s">
        <v>1439</v>
      </c>
      <c r="B760" s="70" t="s">
        <v>556</v>
      </c>
      <c r="C760" s="72">
        <v>46179</v>
      </c>
      <c r="D760" s="73" t="s">
        <v>424</v>
      </c>
      <c r="E760" s="76" t="str">
        <f>IFERROR(INDEX(M_User!$A$12:$J$67,MATCH(D760,M_User!$D$12:$D$67,0),3),"UNMAPPED")</f>
        <v>Raymond P Sangawe</v>
      </c>
      <c r="F760" s="75" t="str">
        <f>IFERROR(INDEX(M_User!$A$12:$J$67,MATCH(D760,M_User!$D$12:$D$67,0),5),"UNMAPPED")</f>
        <v>MOS</v>
      </c>
      <c r="G760" s="73" t="s">
        <v>783</v>
      </c>
      <c r="H760" s="92" t="s">
        <v>784</v>
      </c>
      <c r="I760" s="73" t="s">
        <v>234</v>
      </c>
      <c r="J760" s="76" t="str">
        <f>IFERROR(INDEX(M_SKU!$A$18:$J$57,MATCH(I760,M_SKU!$B$18:$B$57,0),1),"UNKNOWN SKU")</f>
        <v>Fanta Orange Pet 500ML ( x 12)</v>
      </c>
      <c r="K760" s="73" t="s">
        <v>523</v>
      </c>
      <c r="L760" s="276">
        <v>5</v>
      </c>
      <c r="M760" s="94" cm="1">
        <f t="array" ref="M760">IFERROR(INDEX(M_DepotPrice!$C$10:$C$52,MATCH(1,(M_DepotPrice!$A$10:$A$52=I760)*(M_DepotPrice!$H$10:$H$52=IFERROR(INDEX(M_Depot!$A$7:$A$24,MATCH(F760,M_Depot!$B$7:$B$24,0)),""))*(M_DepotPrice!$G$10:$G$52="Special"),0)),INDEX(M_DepotPrice!$C$10:$C$52,MATCH(1,(M_DepotPrice!$A$10:$A$52=I760)*(M_DepotPrice!$G$10:$G$52="Default"),0)))</f>
        <v>8898</v>
      </c>
      <c r="N760" s="95">
        <f t="shared" si="23"/>
        <v>52498.2</v>
      </c>
      <c r="O760" s="82" t="str">
        <f t="shared" si="22"/>
        <v>MOS100716|PH003|CK6-33405</v>
      </c>
    </row>
    <row r="761" spans="1:15" ht="15" customHeight="1" x14ac:dyDescent="0.3">
      <c r="A761" s="60" t="s">
        <v>1440</v>
      </c>
      <c r="B761" s="60" t="s">
        <v>556</v>
      </c>
      <c r="C761" s="62">
        <v>46179</v>
      </c>
      <c r="D761" s="63" t="s">
        <v>424</v>
      </c>
      <c r="E761" s="66" t="str">
        <f>IFERROR(INDEX(M_User!$A$12:$J$67,MATCH(D761,M_User!$D$12:$D$67,0),3),"UNMAPPED")</f>
        <v>Raymond P Sangawe</v>
      </c>
      <c r="F761" s="65" t="str">
        <f>IFERROR(INDEX(M_User!$A$12:$J$67,MATCH(D761,M_User!$D$12:$D$67,0),5),"UNMAPPED")</f>
        <v>MOS</v>
      </c>
      <c r="G761" s="63" t="s">
        <v>797</v>
      </c>
      <c r="H761" s="69" t="s">
        <v>798</v>
      </c>
      <c r="I761" s="63" t="s">
        <v>170</v>
      </c>
      <c r="J761" s="66" t="str">
        <f>IFERROR(INDEX(M_SKU!$A$18:$J$57,MATCH(I761,M_SKU!$B$18:$B$57,0),1),"UNKNOWN SKU")</f>
        <v>Coke RGB 350ml</v>
      </c>
      <c r="K761" s="63" t="s">
        <v>530</v>
      </c>
      <c r="L761" s="276">
        <v>15.985587065013799</v>
      </c>
      <c r="M761" s="91" cm="1">
        <f t="array" ref="M761">IFERROR(INDEX(M_DepotPrice!$C$10:$C$52,MATCH(1,(M_DepotPrice!$A$10:$A$52=I761)*(M_DepotPrice!$H$10:$H$52=IFERROR(INDEX(M_Depot!$A$7:$A$24,MATCH(F761,M_Depot!$B$7:$B$24,0)),""))*(M_DepotPrice!$G$10:$G$52="Special"),0)),INDEX(M_DepotPrice!$C$10:$C$52,MATCH(1,(M_DepotPrice!$A$10:$A$52=I761)*(M_DepotPrice!$G$10:$G$52="Default"),0)))</f>
        <v>11780</v>
      </c>
      <c r="N761" s="67">
        <f t="shared" si="23"/>
        <v>222206.05443851781</v>
      </c>
      <c r="O761" s="66" t="str">
        <f t="shared" si="22"/>
        <v>MOS100716|FG001|CK3-33409</v>
      </c>
    </row>
    <row r="762" spans="1:15" ht="15" customHeight="1" x14ac:dyDescent="0.3">
      <c r="A762" s="70" t="s">
        <v>1441</v>
      </c>
      <c r="B762" s="70" t="s">
        <v>556</v>
      </c>
      <c r="C762" s="72">
        <v>46179</v>
      </c>
      <c r="D762" s="73" t="s">
        <v>424</v>
      </c>
      <c r="E762" s="76" t="str">
        <f>IFERROR(INDEX(M_User!$A$12:$J$67,MATCH(D762,M_User!$D$12:$D$67,0),3),"UNMAPPED")</f>
        <v>Raymond P Sangawe</v>
      </c>
      <c r="F762" s="75" t="str">
        <f>IFERROR(INDEX(M_User!$A$12:$J$67,MATCH(D762,M_User!$D$12:$D$67,0),5),"UNMAPPED")</f>
        <v>MOS</v>
      </c>
      <c r="G762" s="73" t="s">
        <v>797</v>
      </c>
      <c r="H762" s="92" t="s">
        <v>798</v>
      </c>
      <c r="I762" s="73" t="s">
        <v>178</v>
      </c>
      <c r="J762" s="76" t="str">
        <f>IFERROR(INDEX(M_SKU!$A$18:$J$57,MATCH(I762,M_SKU!$B$18:$B$57,0),1),"UNKNOWN SKU")</f>
        <v>Fanta Orange RGB 350ml</v>
      </c>
      <c r="K762" s="73" t="s">
        <v>531</v>
      </c>
      <c r="L762" s="276">
        <v>5.9694000000000003</v>
      </c>
      <c r="M762" s="94" cm="1">
        <f t="array" ref="M762">IFERROR(INDEX(M_DepotPrice!$C$10:$C$52,MATCH(1,(M_DepotPrice!$A$10:$A$52=I762)*(M_DepotPrice!$H$10:$H$52=IFERROR(INDEX(M_Depot!$A$7:$A$24,MATCH(F762,M_Depot!$B$7:$B$24,0)),""))*(M_DepotPrice!$G$10:$G$52="Special"),0)),INDEX(M_DepotPrice!$C$10:$C$52,MATCH(1,(M_DepotPrice!$A$10:$A$52=I762)*(M_DepotPrice!$G$10:$G$52="Default"),0)))</f>
        <v>11780</v>
      </c>
      <c r="N762" s="95">
        <f t="shared" si="23"/>
        <v>82977.047760000001</v>
      </c>
      <c r="O762" s="82" t="str">
        <f t="shared" si="22"/>
        <v>MOS100716|FG002|CK3-33407</v>
      </c>
    </row>
    <row r="763" spans="1:15" ht="15" customHeight="1" x14ac:dyDescent="0.3">
      <c r="A763" s="60" t="s">
        <v>1442</v>
      </c>
      <c r="B763" s="60" t="s">
        <v>556</v>
      </c>
      <c r="C763" s="62">
        <v>46179</v>
      </c>
      <c r="D763" s="63" t="s">
        <v>424</v>
      </c>
      <c r="E763" s="66" t="str">
        <f>IFERROR(INDEX(M_User!$A$12:$J$67,MATCH(D763,M_User!$D$12:$D$67,0),3),"UNMAPPED")</f>
        <v>Raymond P Sangawe</v>
      </c>
      <c r="F763" s="65" t="str">
        <f>IFERROR(INDEX(M_User!$A$12:$J$67,MATCH(D763,M_User!$D$12:$D$67,0),5),"UNMAPPED")</f>
        <v>MOS</v>
      </c>
      <c r="G763" s="63" t="s">
        <v>797</v>
      </c>
      <c r="H763" s="69" t="s">
        <v>798</v>
      </c>
      <c r="I763" s="63" t="s">
        <v>185</v>
      </c>
      <c r="J763" s="66" t="str">
        <f>IFERROR(INDEX(M_SKU!$A$18:$J$57,MATCH(I763,M_SKU!$B$18:$B$57,0),1),"UNKNOWN SKU")</f>
        <v>Fanta Fruit Blast RGB 350 ml</v>
      </c>
      <c r="K763" s="63" t="s">
        <v>534</v>
      </c>
      <c r="L763" s="276">
        <v>0.67930000000000001</v>
      </c>
      <c r="M763" s="91" cm="1">
        <f t="array" ref="M763">IFERROR(INDEX(M_DepotPrice!$C$10:$C$52,MATCH(1,(M_DepotPrice!$A$10:$A$52=I763)*(M_DepotPrice!$H$10:$H$52=IFERROR(INDEX(M_Depot!$A$7:$A$24,MATCH(F763,M_Depot!$B$7:$B$24,0)),""))*(M_DepotPrice!$G$10:$G$52="Special"),0)),INDEX(M_DepotPrice!$C$10:$C$52,MATCH(1,(M_DepotPrice!$A$10:$A$52=I763)*(M_DepotPrice!$G$10:$G$52="Default"),0)))</f>
        <v>11780</v>
      </c>
      <c r="N763" s="67">
        <f t="shared" si="23"/>
        <v>9442.5417199999993</v>
      </c>
      <c r="O763" s="66" t="str">
        <f t="shared" si="22"/>
        <v>MOS100716|FG005|CK3-33402</v>
      </c>
    </row>
    <row r="764" spans="1:15" ht="15" customHeight="1" x14ac:dyDescent="0.3">
      <c r="A764" s="70" t="s">
        <v>1443</v>
      </c>
      <c r="B764" s="70" t="s">
        <v>556</v>
      </c>
      <c r="C764" s="72">
        <v>46179</v>
      </c>
      <c r="D764" s="73" t="s">
        <v>424</v>
      </c>
      <c r="E764" s="76" t="str">
        <f>IFERROR(INDEX(M_User!$A$12:$J$67,MATCH(D764,M_User!$D$12:$D$67,0),3),"UNMAPPED")</f>
        <v>Raymond P Sangawe</v>
      </c>
      <c r="F764" s="75" t="str">
        <f>IFERROR(INDEX(M_User!$A$12:$J$67,MATCH(D764,M_User!$D$12:$D$67,0),5),"UNMAPPED")</f>
        <v>MOS</v>
      </c>
      <c r="G764" s="73" t="s">
        <v>797</v>
      </c>
      <c r="H764" s="92" t="s">
        <v>798</v>
      </c>
      <c r="I764" s="73" t="s">
        <v>193</v>
      </c>
      <c r="J764" s="76" t="str">
        <f>IFERROR(INDEX(M_SKU!$A$18:$J$57,MATCH(I764,M_SKU!$B$18:$B$57,0),1),"UNKNOWN SKU")</f>
        <v>Sparletta Pinenut RGB 350ml</v>
      </c>
      <c r="K764" s="73" t="s">
        <v>537</v>
      </c>
      <c r="L764" s="276">
        <v>0.89780966047946398</v>
      </c>
      <c r="M764" s="94" cm="1">
        <f t="array" ref="M764">IFERROR(INDEX(M_DepotPrice!$C$10:$C$52,MATCH(1,(M_DepotPrice!$A$10:$A$52=I764)*(M_DepotPrice!$H$10:$H$52=IFERROR(INDEX(M_Depot!$A$7:$A$24,MATCH(F764,M_Depot!$B$7:$B$24,0)),""))*(M_DepotPrice!$G$10:$G$52="Special"),0)),INDEX(M_DepotPrice!$C$10:$C$52,MATCH(1,(M_DepotPrice!$A$10:$A$52=I764)*(M_DepotPrice!$G$10:$G$52="Default"),0)))</f>
        <v>11780</v>
      </c>
      <c r="N764" s="95">
        <f t="shared" si="23"/>
        <v>12479.913404528741</v>
      </c>
      <c r="O764" s="82" t="str">
        <f t="shared" si="22"/>
        <v>MOS100716|FG008|CK3-33365</v>
      </c>
    </row>
    <row r="765" spans="1:15" ht="15" customHeight="1" x14ac:dyDescent="0.3">
      <c r="A765" s="60" t="s">
        <v>1444</v>
      </c>
      <c r="B765" s="60" t="s">
        <v>556</v>
      </c>
      <c r="C765" s="62">
        <v>46179</v>
      </c>
      <c r="D765" s="63" t="s">
        <v>424</v>
      </c>
      <c r="E765" s="66" t="str">
        <f>IFERROR(INDEX(M_User!$A$12:$J$67,MATCH(D765,M_User!$D$12:$D$67,0),3),"UNMAPPED")</f>
        <v>Raymond P Sangawe</v>
      </c>
      <c r="F765" s="65" t="str">
        <f>IFERROR(INDEX(M_User!$A$12:$J$67,MATCH(D765,M_User!$D$12:$D$67,0),5),"UNMAPPED")</f>
        <v>MOS</v>
      </c>
      <c r="G765" s="63" t="s">
        <v>797</v>
      </c>
      <c r="H765" s="69" t="s">
        <v>798</v>
      </c>
      <c r="I765" s="63" t="s">
        <v>196</v>
      </c>
      <c r="J765" s="66" t="str">
        <f>IFERROR(INDEX(M_SKU!$A$18:$J$57,MATCH(I765,M_SKU!$B$18:$B$57,0),1),"UNKNOWN SKU")</f>
        <v>Krest Bitter Lemon RGB 300ml</v>
      </c>
      <c r="K765" s="63" t="s">
        <v>538</v>
      </c>
      <c r="L765" s="276">
        <v>0.74616716122795101</v>
      </c>
      <c r="M765" s="91" cm="1">
        <f t="array" ref="M765">IFERROR(INDEX(M_DepotPrice!$C$10:$C$52,MATCH(1,(M_DepotPrice!$A$10:$A$52=I765)*(M_DepotPrice!$H$10:$H$52=IFERROR(INDEX(M_Depot!$A$7:$A$24,MATCH(F765,M_Depot!$B$7:$B$24,0)),""))*(M_DepotPrice!$G$10:$G$52="Special"),0)),INDEX(M_DepotPrice!$C$10:$C$52,MATCH(1,(M_DepotPrice!$A$10:$A$52=I765)*(M_DepotPrice!$G$10:$G$52="Default"),0)))</f>
        <v>11780</v>
      </c>
      <c r="N765" s="67">
        <f t="shared" si="23"/>
        <v>10372.02200793301</v>
      </c>
      <c r="O765" s="66" t="str">
        <f t="shared" si="22"/>
        <v>MOS100716|FG009|CK3-33348</v>
      </c>
    </row>
    <row r="766" spans="1:15" ht="15" customHeight="1" x14ac:dyDescent="0.3">
      <c r="A766" s="70" t="s">
        <v>1445</v>
      </c>
      <c r="B766" s="70" t="s">
        <v>556</v>
      </c>
      <c r="C766" s="72">
        <v>46179</v>
      </c>
      <c r="D766" s="73" t="s">
        <v>424</v>
      </c>
      <c r="E766" s="76" t="str">
        <f>IFERROR(INDEX(M_User!$A$12:$J$67,MATCH(D766,M_User!$D$12:$D$67,0),3),"UNMAPPED")</f>
        <v>Raymond P Sangawe</v>
      </c>
      <c r="F766" s="75" t="str">
        <f>IFERROR(INDEX(M_User!$A$12:$J$67,MATCH(D766,M_User!$D$12:$D$67,0),5),"UNMAPPED")</f>
        <v>MOS</v>
      </c>
      <c r="G766" s="73" t="s">
        <v>797</v>
      </c>
      <c r="H766" s="92" t="s">
        <v>798</v>
      </c>
      <c r="I766" s="73" t="s">
        <v>211</v>
      </c>
      <c r="J766" s="76" t="str">
        <f>IFERROR(INDEX(M_SKU!$A$18:$J$57,MATCH(I766,M_SKU!$B$18:$B$57,0),1),"UNKNOWN SKU")</f>
        <v>KNMW 500ml</v>
      </c>
      <c r="K766" s="73" t="s">
        <v>543</v>
      </c>
      <c r="L766" s="276">
        <v>13</v>
      </c>
      <c r="M766" s="94" cm="1">
        <f t="array" ref="M766">IFERROR(INDEX(M_DepotPrice!$C$10:$C$52,MATCH(1,(M_DepotPrice!$A$10:$A$52=I766)*(M_DepotPrice!$H$10:$H$52=IFERROR(INDEX(M_Depot!$A$7:$A$24,MATCH(F766,M_Depot!$B$7:$B$24,0)),""))*(M_DepotPrice!$G$10:$G$52="Special"),0)),INDEX(M_DepotPrice!$C$10:$C$52,MATCH(1,(M_DepotPrice!$A$10:$A$52=I766)*(M_DepotPrice!$G$10:$G$52="Default"),0)))</f>
        <v>3559</v>
      </c>
      <c r="N766" s="95">
        <f t="shared" si="23"/>
        <v>54595.06</v>
      </c>
      <c r="O766" s="82" t="str">
        <f t="shared" si="22"/>
        <v>MOS100716|KD001|CK6-986</v>
      </c>
    </row>
    <row r="767" spans="1:15" ht="15" customHeight="1" x14ac:dyDescent="0.3">
      <c r="A767" s="60" t="s">
        <v>1446</v>
      </c>
      <c r="B767" s="60" t="s">
        <v>556</v>
      </c>
      <c r="C767" s="62">
        <v>46179</v>
      </c>
      <c r="D767" s="63" t="s">
        <v>424</v>
      </c>
      <c r="E767" s="66" t="str">
        <f>IFERROR(INDEX(M_User!$A$12:$J$67,MATCH(D767,M_User!$D$12:$D$67,0),3),"UNMAPPED")</f>
        <v>Raymond P Sangawe</v>
      </c>
      <c r="F767" s="65" t="str">
        <f>IFERROR(INDEX(M_User!$A$12:$J$67,MATCH(D767,M_User!$D$12:$D$67,0),5),"UNMAPPED")</f>
        <v>MOS</v>
      </c>
      <c r="G767" s="63" t="s">
        <v>797</v>
      </c>
      <c r="H767" s="69" t="s">
        <v>798</v>
      </c>
      <c r="I767" s="63" t="s">
        <v>232</v>
      </c>
      <c r="J767" s="66" t="str">
        <f>IFERROR(INDEX(M_SKU!$A$18:$J$57,MATCH(I767,M_SKU!$B$18:$B$57,0),1),"UNKNOWN SKU")</f>
        <v>Sprite Pet 500ML (x 12)</v>
      </c>
      <c r="K767" s="63" t="s">
        <v>522</v>
      </c>
      <c r="L767" s="276">
        <v>1</v>
      </c>
      <c r="M767" s="91" cm="1">
        <f t="array" ref="M767">IFERROR(INDEX(M_DepotPrice!$C$10:$C$52,MATCH(1,(M_DepotPrice!$A$10:$A$52=I767)*(M_DepotPrice!$H$10:$H$52=IFERROR(INDEX(M_Depot!$A$7:$A$24,MATCH(F767,M_Depot!$B$7:$B$24,0)),""))*(M_DepotPrice!$G$10:$G$52="Special"),0)),INDEX(M_DepotPrice!$C$10:$C$52,MATCH(1,(M_DepotPrice!$A$10:$A$52=I767)*(M_DepotPrice!$G$10:$G$52="Default"),0)))</f>
        <v>8898</v>
      </c>
      <c r="N767" s="67">
        <f t="shared" si="23"/>
        <v>10499.64</v>
      </c>
      <c r="O767" s="66" t="str">
        <f t="shared" si="22"/>
        <v>MOS100716|PH002|CK6-33362</v>
      </c>
    </row>
    <row r="768" spans="1:15" ht="15" customHeight="1" x14ac:dyDescent="0.3">
      <c r="A768" s="70" t="s">
        <v>1447</v>
      </c>
      <c r="B768" s="70" t="s">
        <v>556</v>
      </c>
      <c r="C768" s="72">
        <v>46179</v>
      </c>
      <c r="D768" s="73" t="s">
        <v>424</v>
      </c>
      <c r="E768" s="76" t="str">
        <f>IFERROR(INDEX(M_User!$A$12:$J$67,MATCH(D768,M_User!$D$12:$D$67,0),3),"UNMAPPED")</f>
        <v>Raymond P Sangawe</v>
      </c>
      <c r="F768" s="75" t="str">
        <f>IFERROR(INDEX(M_User!$A$12:$J$67,MATCH(D768,M_User!$D$12:$D$67,0),5),"UNMAPPED")</f>
        <v>MOS</v>
      </c>
      <c r="G768" s="73" t="s">
        <v>797</v>
      </c>
      <c r="H768" s="92" t="s">
        <v>798</v>
      </c>
      <c r="I768" s="73" t="s">
        <v>236</v>
      </c>
      <c r="J768" s="76" t="str">
        <f>IFERROR(INDEX(M_SKU!$A$18:$J$57,MATCH(I768,M_SKU!$B$18:$B$57,0),1),"UNKNOWN SKU")</f>
        <v>Fanta Passion Pet 500ML ( x12)</v>
      </c>
      <c r="K768" s="73" t="s">
        <v>524</v>
      </c>
      <c r="L768" s="276">
        <v>1</v>
      </c>
      <c r="M768" s="94" cm="1">
        <f t="array" ref="M768">IFERROR(INDEX(M_DepotPrice!$C$10:$C$52,MATCH(1,(M_DepotPrice!$A$10:$A$52=I768)*(M_DepotPrice!$H$10:$H$52=IFERROR(INDEX(M_Depot!$A$7:$A$24,MATCH(F768,M_Depot!$B$7:$B$24,0)),""))*(M_DepotPrice!$G$10:$G$52="Special"),0)),INDEX(M_DepotPrice!$C$10:$C$52,MATCH(1,(M_DepotPrice!$A$10:$A$52=I768)*(M_DepotPrice!$G$10:$G$52="Default"),0)))</f>
        <v>8898</v>
      </c>
      <c r="N768" s="95">
        <f t="shared" si="23"/>
        <v>10499.64</v>
      </c>
      <c r="O768" s="82" t="str">
        <f t="shared" si="22"/>
        <v>MOS100716|PH004|CK5-33334</v>
      </c>
    </row>
    <row r="769" spans="1:15" ht="15" customHeight="1" x14ac:dyDescent="0.3">
      <c r="A769" s="60" t="s">
        <v>1448</v>
      </c>
      <c r="B769" s="60" t="s">
        <v>556</v>
      </c>
      <c r="C769" s="62">
        <v>46179</v>
      </c>
      <c r="D769" s="63" t="s">
        <v>424</v>
      </c>
      <c r="E769" s="66" t="str">
        <f>IFERROR(INDEX(M_User!$A$12:$J$67,MATCH(D769,M_User!$D$12:$D$67,0),3),"UNMAPPED")</f>
        <v>Raymond P Sangawe</v>
      </c>
      <c r="F769" s="65" t="str">
        <f>IFERROR(INDEX(M_User!$A$12:$J$67,MATCH(D769,M_User!$D$12:$D$67,0),5),"UNMAPPED")</f>
        <v>MOS</v>
      </c>
      <c r="G769" s="63" t="s">
        <v>797</v>
      </c>
      <c r="H769" s="69" t="s">
        <v>798</v>
      </c>
      <c r="I769" s="63" t="s">
        <v>252</v>
      </c>
      <c r="J769" s="66" t="str">
        <f>IFERROR(INDEX(M_SKU!$A$18:$J$57,MATCH(I769,M_SKU!$B$18:$B$57,0),1),"UNKNOWN SKU")</f>
        <v>Sprite Zero Pet 300ML (x 12)</v>
      </c>
      <c r="K769" s="63" t="s">
        <v>545</v>
      </c>
      <c r="L769" s="276">
        <v>1</v>
      </c>
      <c r="M769" s="91" cm="1">
        <f t="array" ref="M769">IFERROR(INDEX(M_DepotPrice!$C$10:$C$52,MATCH(1,(M_DepotPrice!$A$10:$A$52=I769)*(M_DepotPrice!$H$10:$H$52=IFERROR(INDEX(M_Depot!$A$7:$A$24,MATCH(F769,M_Depot!$B$7:$B$24,0)),""))*(M_DepotPrice!$G$10:$G$52="Special"),0)),INDEX(M_DepotPrice!$C$10:$C$52,MATCH(1,(M_DepotPrice!$A$10:$A$52=I769)*(M_DepotPrice!$G$10:$G$52="Default"),0)))</f>
        <v>5085</v>
      </c>
      <c r="N769" s="67">
        <f t="shared" si="23"/>
        <v>6000.2999999999993</v>
      </c>
      <c r="O769" s="66" t="str">
        <f t="shared" si="22"/>
        <v>MOS100716|PO010|CK5-33360</v>
      </c>
    </row>
    <row r="770" spans="1:15" ht="15" customHeight="1" x14ac:dyDescent="0.3">
      <c r="A770" s="70" t="s">
        <v>1449</v>
      </c>
      <c r="B770" s="70" t="s">
        <v>556</v>
      </c>
      <c r="C770" s="72">
        <v>46179</v>
      </c>
      <c r="D770" s="73" t="s">
        <v>424</v>
      </c>
      <c r="E770" s="76" t="str">
        <f>IFERROR(INDEX(M_User!$A$12:$J$67,MATCH(D770,M_User!$D$12:$D$67,0),3),"UNMAPPED")</f>
        <v>Raymond P Sangawe</v>
      </c>
      <c r="F770" s="75" t="str">
        <f>IFERROR(INDEX(M_User!$A$12:$J$67,MATCH(D770,M_User!$D$12:$D$67,0),5),"UNMAPPED")</f>
        <v>MOS</v>
      </c>
      <c r="G770" s="73" t="s">
        <v>797</v>
      </c>
      <c r="H770" s="92" t="s">
        <v>798</v>
      </c>
      <c r="I770" s="73" t="s">
        <v>261</v>
      </c>
      <c r="J770" s="76" t="str">
        <f>IFERROR(INDEX(M_SKU!$A$18:$J$57,MATCH(I770,M_SKU!$B$18:$B$57,0),1),"UNKNOWN SKU")</f>
        <v>Sparletta Pine Apple Pet 300ML (x 12)</v>
      </c>
      <c r="K770" s="73" t="s">
        <v>547</v>
      </c>
      <c r="L770" s="276">
        <v>1</v>
      </c>
      <c r="M770" s="94" cm="1">
        <f t="array" ref="M770">IFERROR(INDEX(M_DepotPrice!$C$10:$C$52,MATCH(1,(M_DepotPrice!$A$10:$A$52=I770)*(M_DepotPrice!$H$10:$H$52=IFERROR(INDEX(M_Depot!$A$7:$A$24,MATCH(F770,M_Depot!$B$7:$B$24,0)),""))*(M_DepotPrice!$G$10:$G$52="Special"),0)),INDEX(M_DepotPrice!$C$10:$C$52,MATCH(1,(M_DepotPrice!$A$10:$A$52=I770)*(M_DepotPrice!$G$10:$G$52="Default"),0)))</f>
        <v>5085</v>
      </c>
      <c r="N770" s="95">
        <f t="shared" si="23"/>
        <v>6000.2999999999993</v>
      </c>
      <c r="O770" s="82" t="str">
        <f t="shared" si="22"/>
        <v>MOS100716|PO015|CK5-33366</v>
      </c>
    </row>
    <row r="771" spans="1:15" ht="15" customHeight="1" x14ac:dyDescent="0.3">
      <c r="A771" s="60" t="s">
        <v>1450</v>
      </c>
      <c r="B771" s="60" t="s">
        <v>556</v>
      </c>
      <c r="C771" s="62">
        <v>46179</v>
      </c>
      <c r="D771" s="63" t="s">
        <v>424</v>
      </c>
      <c r="E771" s="66" t="str">
        <f>IFERROR(INDEX(M_User!$A$12:$J$67,MATCH(D771,M_User!$D$12:$D$67,0),3),"UNMAPPED")</f>
        <v>Raymond P Sangawe</v>
      </c>
      <c r="F771" s="65" t="str">
        <f>IFERROR(INDEX(M_User!$A$12:$J$67,MATCH(D771,M_User!$D$12:$D$67,0),5),"UNMAPPED")</f>
        <v>MOS</v>
      </c>
      <c r="G771" s="63" t="s">
        <v>949</v>
      </c>
      <c r="H771" s="69" t="s">
        <v>950</v>
      </c>
      <c r="I771" s="63" t="s">
        <v>185</v>
      </c>
      <c r="J771" s="66" t="str">
        <f>IFERROR(INDEX(M_SKU!$A$18:$J$57,MATCH(I771,M_SKU!$B$18:$B$57,0),1),"UNKNOWN SKU")</f>
        <v>Fanta Fruit Blast RGB 350 ml</v>
      </c>
      <c r="K771" s="63" t="s">
        <v>534</v>
      </c>
      <c r="L771" s="276">
        <v>0.32340000000000002</v>
      </c>
      <c r="M771" s="91" cm="1">
        <f t="array" ref="M771">IFERROR(INDEX(M_DepotPrice!$C$10:$C$52,MATCH(1,(M_DepotPrice!$A$10:$A$52=I771)*(M_DepotPrice!$H$10:$H$52=IFERROR(INDEX(M_Depot!$A$7:$A$24,MATCH(F771,M_Depot!$B$7:$B$24,0)),""))*(M_DepotPrice!$G$10:$G$52="Special"),0)),INDEX(M_DepotPrice!$C$10:$C$52,MATCH(1,(M_DepotPrice!$A$10:$A$52=I771)*(M_DepotPrice!$G$10:$G$52="Default"),0)))</f>
        <v>11780</v>
      </c>
      <c r="N771" s="67">
        <f t="shared" si="23"/>
        <v>4495.3893600000001</v>
      </c>
      <c r="O771" s="66" t="str">
        <f t="shared" si="22"/>
        <v>MOS100716|FG005|CK3-33402</v>
      </c>
    </row>
    <row r="772" spans="1:15" ht="15" customHeight="1" x14ac:dyDescent="0.3">
      <c r="A772" s="70" t="s">
        <v>1451</v>
      </c>
      <c r="B772" s="70" t="s">
        <v>556</v>
      </c>
      <c r="C772" s="72">
        <v>46179</v>
      </c>
      <c r="D772" s="73" t="s">
        <v>424</v>
      </c>
      <c r="E772" s="76" t="str">
        <f>IFERROR(INDEX(M_User!$A$12:$J$67,MATCH(D772,M_User!$D$12:$D$67,0),3),"UNMAPPED")</f>
        <v>Raymond P Sangawe</v>
      </c>
      <c r="F772" s="75" t="str">
        <f>IFERROR(INDEX(M_User!$A$12:$J$67,MATCH(D772,M_User!$D$12:$D$67,0),5),"UNMAPPED")</f>
        <v>MOS</v>
      </c>
      <c r="G772" s="73" t="s">
        <v>949</v>
      </c>
      <c r="H772" s="92" t="s">
        <v>950</v>
      </c>
      <c r="I772" s="73" t="s">
        <v>190</v>
      </c>
      <c r="J772" s="76" t="str">
        <f>IFERROR(INDEX(M_SKU!$A$18:$J$57,MATCH(I772,M_SKU!$B$18:$B$57,0),1),"UNKNOWN SKU")</f>
        <v>Stoney Tangawizi RGB 350ml</v>
      </c>
      <c r="K772" s="73" t="s">
        <v>536</v>
      </c>
      <c r="L772" s="276">
        <v>1.1481077385603999</v>
      </c>
      <c r="M772" s="94" cm="1">
        <f t="array" ref="M772">IFERROR(INDEX(M_DepotPrice!$C$10:$C$52,MATCH(1,(M_DepotPrice!$A$10:$A$52=I772)*(M_DepotPrice!$H$10:$H$52=IFERROR(INDEX(M_Depot!$A$7:$A$24,MATCH(F772,M_Depot!$B$7:$B$24,0)),""))*(M_DepotPrice!$G$10:$G$52="Special"),0)),INDEX(M_DepotPrice!$C$10:$C$52,MATCH(1,(M_DepotPrice!$A$10:$A$52=I772)*(M_DepotPrice!$G$10:$G$52="Default"),0)))</f>
        <v>11780</v>
      </c>
      <c r="N772" s="95">
        <f t="shared" si="23"/>
        <v>15959.156809084983</v>
      </c>
      <c r="O772" s="82" t="str">
        <f t="shared" si="22"/>
        <v>MOS100716|FG007|CK3-33404</v>
      </c>
    </row>
    <row r="773" spans="1:15" ht="15" customHeight="1" x14ac:dyDescent="0.3">
      <c r="A773" s="60" t="s">
        <v>1452</v>
      </c>
      <c r="B773" s="60" t="s">
        <v>556</v>
      </c>
      <c r="C773" s="62">
        <v>46179</v>
      </c>
      <c r="D773" s="63" t="s">
        <v>424</v>
      </c>
      <c r="E773" s="66" t="str">
        <f>IFERROR(INDEX(M_User!$A$12:$J$67,MATCH(D773,M_User!$D$12:$D$67,0),3),"UNMAPPED")</f>
        <v>Raymond P Sangawe</v>
      </c>
      <c r="F773" s="65" t="str">
        <f>IFERROR(INDEX(M_User!$A$12:$J$67,MATCH(D773,M_User!$D$12:$D$67,0),5),"UNMAPPED")</f>
        <v>MOS</v>
      </c>
      <c r="G773" s="63" t="s">
        <v>949</v>
      </c>
      <c r="H773" s="69" t="s">
        <v>950</v>
      </c>
      <c r="I773" s="63" t="s">
        <v>193</v>
      </c>
      <c r="J773" s="66" t="str">
        <f>IFERROR(INDEX(M_SKU!$A$18:$J$57,MATCH(I773,M_SKU!$B$18:$B$57,0),1),"UNKNOWN SKU")</f>
        <v>Sparletta Pinenut RGB 350ml</v>
      </c>
      <c r="K773" s="63" t="s">
        <v>537</v>
      </c>
      <c r="L773" s="276">
        <v>0.54849999999999999</v>
      </c>
      <c r="M773" s="91" cm="1">
        <f t="array" ref="M773">IFERROR(INDEX(M_DepotPrice!$C$10:$C$52,MATCH(1,(M_DepotPrice!$A$10:$A$52=I773)*(M_DepotPrice!$H$10:$H$52=IFERROR(INDEX(M_Depot!$A$7:$A$24,MATCH(F773,M_Depot!$B$7:$B$24,0)),""))*(M_DepotPrice!$G$10:$G$52="Special"),0)),INDEX(M_DepotPrice!$C$10:$C$52,MATCH(1,(M_DepotPrice!$A$10:$A$52=I773)*(M_DepotPrice!$G$10:$G$52="Default"),0)))</f>
        <v>11780</v>
      </c>
      <c r="N773" s="67">
        <f t="shared" si="23"/>
        <v>7624.3693999999996</v>
      </c>
      <c r="O773" s="66" t="str">
        <f t="shared" si="22"/>
        <v>MOS100716|FG008|CK3-33365</v>
      </c>
    </row>
    <row r="774" spans="1:15" ht="15" customHeight="1" x14ac:dyDescent="0.3">
      <c r="A774" s="70" t="s">
        <v>1453</v>
      </c>
      <c r="B774" s="70" t="s">
        <v>556</v>
      </c>
      <c r="C774" s="72">
        <v>46179</v>
      </c>
      <c r="D774" s="73" t="s">
        <v>424</v>
      </c>
      <c r="E774" s="76" t="str">
        <f>IFERROR(INDEX(M_User!$A$12:$J$67,MATCH(D774,M_User!$D$12:$D$67,0),3),"UNMAPPED")</f>
        <v>Raymond P Sangawe</v>
      </c>
      <c r="F774" s="75" t="str">
        <f>IFERROR(INDEX(M_User!$A$12:$J$67,MATCH(D774,M_User!$D$12:$D$67,0),5),"UNMAPPED")</f>
        <v>MOS</v>
      </c>
      <c r="G774" s="73" t="s">
        <v>949</v>
      </c>
      <c r="H774" s="92" t="s">
        <v>950</v>
      </c>
      <c r="I774" s="73" t="s">
        <v>201</v>
      </c>
      <c r="J774" s="76" t="str">
        <f>IFERROR(INDEX(M_SKU!$A$18:$J$57,MATCH(I774,M_SKU!$B$18:$B$57,0),1),"UNKNOWN SKU")</f>
        <v>Krest Tonic Water RGB 300ml</v>
      </c>
      <c r="K774" s="73" t="s">
        <v>540</v>
      </c>
      <c r="L774" s="276">
        <v>1.1520999999999999</v>
      </c>
      <c r="M774" s="94" cm="1">
        <f t="array" ref="M774">IFERROR(INDEX(M_DepotPrice!$C$10:$C$52,MATCH(1,(M_DepotPrice!$A$10:$A$52=I774)*(M_DepotPrice!$H$10:$H$52=IFERROR(INDEX(M_Depot!$A$7:$A$24,MATCH(F774,M_Depot!$B$7:$B$24,0)),""))*(M_DepotPrice!$G$10:$G$52="Special"),0)),INDEX(M_DepotPrice!$C$10:$C$52,MATCH(1,(M_DepotPrice!$A$10:$A$52=I774)*(M_DepotPrice!$G$10:$G$52="Default"),0)))</f>
        <v>11780</v>
      </c>
      <c r="N774" s="95">
        <f t="shared" si="23"/>
        <v>16014.650839999998</v>
      </c>
      <c r="O774" s="82" t="str">
        <f t="shared" si="22"/>
        <v>MOS100716|FG011|CK3-33347</v>
      </c>
    </row>
    <row r="775" spans="1:15" ht="15" customHeight="1" x14ac:dyDescent="0.3">
      <c r="A775" s="60" t="s">
        <v>1454</v>
      </c>
      <c r="B775" s="60" t="s">
        <v>556</v>
      </c>
      <c r="C775" s="62">
        <v>46179</v>
      </c>
      <c r="D775" s="63" t="s">
        <v>424</v>
      </c>
      <c r="E775" s="66" t="str">
        <f>IFERROR(INDEX(M_User!$A$12:$J$67,MATCH(D775,M_User!$D$12:$D$67,0),3),"UNMAPPED")</f>
        <v>Raymond P Sangawe</v>
      </c>
      <c r="F775" s="65" t="str">
        <f>IFERROR(INDEX(M_User!$A$12:$J$67,MATCH(D775,M_User!$D$12:$D$67,0),5),"UNMAPPED")</f>
        <v>MOS</v>
      </c>
      <c r="G775" s="63" t="s">
        <v>949</v>
      </c>
      <c r="H775" s="69" t="s">
        <v>950</v>
      </c>
      <c r="I775" s="63" t="s">
        <v>217</v>
      </c>
      <c r="J775" s="66" t="str">
        <f>IFERROR(INDEX(M_SKU!$A$18:$J$57,MATCH(I775,M_SKU!$B$18:$B$57,0),1),"UNKNOWN SKU")</f>
        <v>KNMW 1500ml</v>
      </c>
      <c r="K775" s="63" t="s">
        <v>551</v>
      </c>
      <c r="L775" s="276">
        <v>37</v>
      </c>
      <c r="M775" s="91" cm="1">
        <f t="array" ref="M775">IFERROR(INDEX(M_DepotPrice!$C$10:$C$52,MATCH(1,(M_DepotPrice!$A$10:$A$52=I775)*(M_DepotPrice!$H$10:$H$52=IFERROR(INDEX(M_Depot!$A$7:$A$24,MATCH(F775,M_Depot!$B$7:$B$24,0)),""))*(M_DepotPrice!$G$10:$G$52="Special"),0)),INDEX(M_DepotPrice!$C$10:$C$52,MATCH(1,(M_DepotPrice!$A$10:$A$52=I775)*(M_DepotPrice!$G$10:$G$52="Default"),0)))</f>
        <v>3983</v>
      </c>
      <c r="N775" s="67">
        <f t="shared" si="23"/>
        <v>173897.78</v>
      </c>
      <c r="O775" s="66" t="str">
        <f t="shared" si="22"/>
        <v>MOS100716|KD003|CK4-842</v>
      </c>
    </row>
    <row r="776" spans="1:15" ht="15" customHeight="1" x14ac:dyDescent="0.3">
      <c r="A776" s="70" t="s">
        <v>1455</v>
      </c>
      <c r="B776" s="70" t="s">
        <v>556</v>
      </c>
      <c r="C776" s="72">
        <v>46179</v>
      </c>
      <c r="D776" s="73" t="s">
        <v>424</v>
      </c>
      <c r="E776" s="76" t="str">
        <f>IFERROR(INDEX(M_User!$A$12:$J$67,MATCH(D776,M_User!$D$12:$D$67,0),3),"UNMAPPED")</f>
        <v>Raymond P Sangawe</v>
      </c>
      <c r="F776" s="75" t="str">
        <f>IFERROR(INDEX(M_User!$A$12:$J$67,MATCH(D776,M_User!$D$12:$D$67,0),5),"UNMAPPED")</f>
        <v>MOS</v>
      </c>
      <c r="G776" s="73" t="s">
        <v>949</v>
      </c>
      <c r="H776" s="92" t="s">
        <v>950</v>
      </c>
      <c r="I776" s="73" t="s">
        <v>229</v>
      </c>
      <c r="J776" s="76" t="str">
        <f>IFERROR(INDEX(M_SKU!$A$18:$J$57,MATCH(I776,M_SKU!$B$18:$B$57,0),1),"UNKNOWN SKU")</f>
        <v>Coke Pet 500ML ( x12)</v>
      </c>
      <c r="K776" s="73" t="s">
        <v>520</v>
      </c>
      <c r="L776" s="276">
        <v>5</v>
      </c>
      <c r="M776" s="94" cm="1">
        <f t="array" ref="M776">IFERROR(INDEX(M_DepotPrice!$C$10:$C$52,MATCH(1,(M_DepotPrice!$A$10:$A$52=I776)*(M_DepotPrice!$H$10:$H$52=IFERROR(INDEX(M_Depot!$A$7:$A$24,MATCH(F776,M_Depot!$B$7:$B$24,0)),""))*(M_DepotPrice!$G$10:$G$52="Special"),0)),INDEX(M_DepotPrice!$C$10:$C$52,MATCH(1,(M_DepotPrice!$A$10:$A$52=I776)*(M_DepotPrice!$G$10:$G$52="Default"),0)))</f>
        <v>8898</v>
      </c>
      <c r="N776" s="95">
        <f t="shared" si="23"/>
        <v>52498.2</v>
      </c>
      <c r="O776" s="82" t="str">
        <f t="shared" si="22"/>
        <v>MOS100716|PH001|CK6-33411</v>
      </c>
    </row>
    <row r="777" spans="1:15" ht="15" customHeight="1" x14ac:dyDescent="0.3">
      <c r="A777" s="60" t="s">
        <v>1456</v>
      </c>
      <c r="B777" s="60" t="s">
        <v>556</v>
      </c>
      <c r="C777" s="62">
        <v>46179</v>
      </c>
      <c r="D777" s="63" t="s">
        <v>424</v>
      </c>
      <c r="E777" s="66" t="str">
        <f>IFERROR(INDEX(M_User!$A$12:$J$67,MATCH(D777,M_User!$D$12:$D$67,0),3),"UNMAPPED")</f>
        <v>Raymond P Sangawe</v>
      </c>
      <c r="F777" s="65" t="str">
        <f>IFERROR(INDEX(M_User!$A$12:$J$67,MATCH(D777,M_User!$D$12:$D$67,0),5),"UNMAPPED")</f>
        <v>MOS</v>
      </c>
      <c r="G777" s="63" t="s">
        <v>949</v>
      </c>
      <c r="H777" s="69" t="s">
        <v>950</v>
      </c>
      <c r="I777" s="63" t="s">
        <v>232</v>
      </c>
      <c r="J777" s="66" t="str">
        <f>IFERROR(INDEX(M_SKU!$A$18:$J$57,MATCH(I777,M_SKU!$B$18:$B$57,0),1),"UNKNOWN SKU")</f>
        <v>Sprite Pet 500ML (x 12)</v>
      </c>
      <c r="K777" s="63" t="s">
        <v>522</v>
      </c>
      <c r="L777" s="276">
        <v>1</v>
      </c>
      <c r="M777" s="91" cm="1">
        <f t="array" ref="M777">IFERROR(INDEX(M_DepotPrice!$C$10:$C$52,MATCH(1,(M_DepotPrice!$A$10:$A$52=I777)*(M_DepotPrice!$H$10:$H$52=IFERROR(INDEX(M_Depot!$A$7:$A$24,MATCH(F777,M_Depot!$B$7:$B$24,0)),""))*(M_DepotPrice!$G$10:$G$52="Special"),0)),INDEX(M_DepotPrice!$C$10:$C$52,MATCH(1,(M_DepotPrice!$A$10:$A$52=I777)*(M_DepotPrice!$G$10:$G$52="Default"),0)))</f>
        <v>8898</v>
      </c>
      <c r="N777" s="67">
        <f t="shared" si="23"/>
        <v>10499.64</v>
      </c>
      <c r="O777" s="66" t="str">
        <f t="shared" ref="O777:O840" si="24">D777 &amp; "|" &amp; I777 &amp; "|" &amp; K777</f>
        <v>MOS100716|PH002|CK6-33362</v>
      </c>
    </row>
    <row r="778" spans="1:15" ht="15" customHeight="1" x14ac:dyDescent="0.3">
      <c r="A778" s="70" t="s">
        <v>1457</v>
      </c>
      <c r="B778" s="70" t="s">
        <v>556</v>
      </c>
      <c r="C778" s="72">
        <v>46179</v>
      </c>
      <c r="D778" s="73" t="s">
        <v>424</v>
      </c>
      <c r="E778" s="76" t="str">
        <f>IFERROR(INDEX(M_User!$A$12:$J$67,MATCH(D778,M_User!$D$12:$D$67,0),3),"UNMAPPED")</f>
        <v>Raymond P Sangawe</v>
      </c>
      <c r="F778" s="75" t="str">
        <f>IFERROR(INDEX(M_User!$A$12:$J$67,MATCH(D778,M_User!$D$12:$D$67,0),5),"UNMAPPED")</f>
        <v>MOS</v>
      </c>
      <c r="G778" s="73" t="s">
        <v>949</v>
      </c>
      <c r="H778" s="92" t="s">
        <v>950</v>
      </c>
      <c r="I778" s="73" t="s">
        <v>244</v>
      </c>
      <c r="J778" s="76" t="str">
        <f>IFERROR(INDEX(M_SKU!$A$18:$J$57,MATCH(I778,M_SKU!$B$18:$B$57,0),1),"UNKNOWN SKU")</f>
        <v>Sparletta Pinenut Pet 500 ml ( x12)</v>
      </c>
      <c r="K778" s="73" t="s">
        <v>526</v>
      </c>
      <c r="L778" s="276">
        <v>1</v>
      </c>
      <c r="M778" s="94" cm="1">
        <f t="array" ref="M778">IFERROR(INDEX(M_DepotPrice!$C$10:$C$52,MATCH(1,(M_DepotPrice!$A$10:$A$52=I778)*(M_DepotPrice!$H$10:$H$52=IFERROR(INDEX(M_Depot!$A$7:$A$24,MATCH(F778,M_Depot!$B$7:$B$24,0)),""))*(M_DepotPrice!$G$10:$G$52="Special"),0)),INDEX(M_DepotPrice!$C$10:$C$52,MATCH(1,(M_DepotPrice!$A$10:$A$52=I778)*(M_DepotPrice!$G$10:$G$52="Default"),0)))</f>
        <v>8898</v>
      </c>
      <c r="N778" s="95">
        <f t="shared" ref="N778:N841" si="25">(L778*M778)*1.18</f>
        <v>10499.64</v>
      </c>
      <c r="O778" s="82" t="str">
        <f t="shared" si="24"/>
        <v>MOS100716|PH008|CK5-33370</v>
      </c>
    </row>
    <row r="779" spans="1:15" ht="15" customHeight="1" x14ac:dyDescent="0.3">
      <c r="A779" s="60" t="s">
        <v>1458</v>
      </c>
      <c r="B779" s="60" t="s">
        <v>556</v>
      </c>
      <c r="C779" s="62">
        <v>46179</v>
      </c>
      <c r="D779" s="63" t="s">
        <v>424</v>
      </c>
      <c r="E779" s="66" t="str">
        <f>IFERROR(INDEX(M_User!$A$12:$J$67,MATCH(D779,M_User!$D$12:$D$67,0),3),"UNMAPPED")</f>
        <v>Raymond P Sangawe</v>
      </c>
      <c r="F779" s="65" t="str">
        <f>IFERROR(INDEX(M_User!$A$12:$J$67,MATCH(D779,M_User!$D$12:$D$67,0),5),"UNMAPPED")</f>
        <v>MOS</v>
      </c>
      <c r="G779" s="63" t="s">
        <v>949</v>
      </c>
      <c r="H779" s="69" t="s">
        <v>950</v>
      </c>
      <c r="I779" s="63" t="s">
        <v>254</v>
      </c>
      <c r="J779" s="66" t="str">
        <f>IFERROR(INDEX(M_SKU!$A$18:$J$57,MATCH(I779,M_SKU!$B$18:$B$57,0),1),"UNKNOWN SKU")</f>
        <v>Fanta Zero Pet 300ML (x 12)</v>
      </c>
      <c r="K779" s="63" t="s">
        <v>546</v>
      </c>
      <c r="L779" s="276">
        <v>1</v>
      </c>
      <c r="M779" s="91" cm="1">
        <f t="array" ref="M779">IFERROR(INDEX(M_DepotPrice!$C$10:$C$52,MATCH(1,(M_DepotPrice!$A$10:$A$52=I779)*(M_DepotPrice!$H$10:$H$52=IFERROR(INDEX(M_Depot!$A$7:$A$24,MATCH(F779,M_Depot!$B$7:$B$24,0)),""))*(M_DepotPrice!$G$10:$G$52="Special"),0)),INDEX(M_DepotPrice!$C$10:$C$52,MATCH(1,(M_DepotPrice!$A$10:$A$52=I779)*(M_DepotPrice!$G$10:$G$52="Default"),0)))</f>
        <v>5085</v>
      </c>
      <c r="N779" s="67">
        <f t="shared" si="25"/>
        <v>6000.2999999999993</v>
      </c>
      <c r="O779" s="66" t="str">
        <f t="shared" si="24"/>
        <v>MOS100716|PO012|CK5-33369</v>
      </c>
    </row>
    <row r="780" spans="1:15" ht="15" customHeight="1" x14ac:dyDescent="0.3">
      <c r="A780" s="70" t="s">
        <v>1459</v>
      </c>
      <c r="B780" s="70" t="s">
        <v>556</v>
      </c>
      <c r="C780" s="72">
        <v>46179</v>
      </c>
      <c r="D780" s="73" t="s">
        <v>424</v>
      </c>
      <c r="E780" s="76" t="str">
        <f>IFERROR(INDEX(M_User!$A$12:$J$67,MATCH(D780,M_User!$D$12:$D$67,0),3),"UNMAPPED")</f>
        <v>Raymond P Sangawe</v>
      </c>
      <c r="F780" s="75" t="str">
        <f>IFERROR(INDEX(M_User!$A$12:$J$67,MATCH(D780,M_User!$D$12:$D$67,0),5),"UNMAPPED")</f>
        <v>MOS</v>
      </c>
      <c r="G780" s="73" t="s">
        <v>949</v>
      </c>
      <c r="H780" s="92" t="s">
        <v>950</v>
      </c>
      <c r="I780" s="73" t="s">
        <v>261</v>
      </c>
      <c r="J780" s="76" t="str">
        <f>IFERROR(INDEX(M_SKU!$A$18:$J$57,MATCH(I780,M_SKU!$B$18:$B$57,0),1),"UNKNOWN SKU")</f>
        <v>Sparletta Pine Apple Pet 300ML (x 12)</v>
      </c>
      <c r="K780" s="73" t="s">
        <v>547</v>
      </c>
      <c r="L780" s="276">
        <v>1</v>
      </c>
      <c r="M780" s="94" cm="1">
        <f t="array" ref="M780">IFERROR(INDEX(M_DepotPrice!$C$10:$C$52,MATCH(1,(M_DepotPrice!$A$10:$A$52=I780)*(M_DepotPrice!$H$10:$H$52=IFERROR(INDEX(M_Depot!$A$7:$A$24,MATCH(F780,M_Depot!$B$7:$B$24,0)),""))*(M_DepotPrice!$G$10:$G$52="Special"),0)),INDEX(M_DepotPrice!$C$10:$C$52,MATCH(1,(M_DepotPrice!$A$10:$A$52=I780)*(M_DepotPrice!$G$10:$G$52="Default"),0)))</f>
        <v>5085</v>
      </c>
      <c r="N780" s="95">
        <f t="shared" si="25"/>
        <v>6000.2999999999993</v>
      </c>
      <c r="O780" s="82" t="str">
        <f t="shared" si="24"/>
        <v>MOS100716|PO015|CK5-33366</v>
      </c>
    </row>
    <row r="781" spans="1:15" ht="15" customHeight="1" x14ac:dyDescent="0.3">
      <c r="A781" s="60" t="s">
        <v>1460</v>
      </c>
      <c r="B781" s="60" t="s">
        <v>564</v>
      </c>
      <c r="C781" s="62">
        <v>46179</v>
      </c>
      <c r="D781" s="63" t="s">
        <v>370</v>
      </c>
      <c r="E781" s="66" t="str">
        <f>IFERROR(INDEX(M_User!$A$12:$J$67,MATCH(D781,M_User!$D$12:$D$67,0),3),"UNMAPPED")</f>
        <v>Zawadi Jastin Laizer</v>
      </c>
      <c r="F781" s="65" t="str">
        <f>IFERROR(INDEX(M_User!$A$12:$J$67,MATCH(D781,M_User!$D$12:$D$67,0),5),"UNMAPPED")</f>
        <v>MOS</v>
      </c>
      <c r="G781" s="63" t="s">
        <v>840</v>
      </c>
      <c r="H781" s="69" t="s">
        <v>841</v>
      </c>
      <c r="I781" s="63" t="s">
        <v>170</v>
      </c>
      <c r="J781" s="66" t="str">
        <f>IFERROR(INDEX(M_SKU!$A$18:$J$57,MATCH(I781,M_SKU!$B$18:$B$57,0),1),"UNKNOWN SKU")</f>
        <v>Coke RGB 350ml</v>
      </c>
      <c r="K781" s="63" t="s">
        <v>530</v>
      </c>
      <c r="L781" s="276">
        <v>31.858599999999999</v>
      </c>
      <c r="M781" s="91" cm="1">
        <f t="array" ref="M781">IFERROR(INDEX(M_DepotPrice!$C$10:$C$52,MATCH(1,(M_DepotPrice!$A$10:$A$52=I781)*(M_DepotPrice!$H$10:$H$52=IFERROR(INDEX(M_Depot!$A$7:$A$24,MATCH(F781,M_Depot!$B$7:$B$24,0)),""))*(M_DepotPrice!$G$10:$G$52="Special"),0)),INDEX(M_DepotPrice!$C$10:$C$52,MATCH(1,(M_DepotPrice!$A$10:$A$52=I781)*(M_DepotPrice!$G$10:$G$52="Default"),0)))</f>
        <v>11780</v>
      </c>
      <c r="N781" s="67">
        <f t="shared" si="25"/>
        <v>442847.28343999991</v>
      </c>
      <c r="O781" s="66" t="str">
        <f t="shared" si="24"/>
        <v>MOS100744|FG001|CK3-33409</v>
      </c>
    </row>
    <row r="782" spans="1:15" ht="15" customHeight="1" x14ac:dyDescent="0.3">
      <c r="A782" s="70" t="s">
        <v>1461</v>
      </c>
      <c r="B782" s="70" t="s">
        <v>564</v>
      </c>
      <c r="C782" s="72">
        <v>46179</v>
      </c>
      <c r="D782" s="73" t="s">
        <v>370</v>
      </c>
      <c r="E782" s="76" t="str">
        <f>IFERROR(INDEX(M_User!$A$12:$J$67,MATCH(D782,M_User!$D$12:$D$67,0),3),"UNMAPPED")</f>
        <v>Zawadi Jastin Laizer</v>
      </c>
      <c r="F782" s="75" t="str">
        <f>IFERROR(INDEX(M_User!$A$12:$J$67,MATCH(D782,M_User!$D$12:$D$67,0),5),"UNMAPPED")</f>
        <v>MOS</v>
      </c>
      <c r="G782" s="73" t="s">
        <v>840</v>
      </c>
      <c r="H782" s="92" t="s">
        <v>841</v>
      </c>
      <c r="I782" s="73" t="s">
        <v>181</v>
      </c>
      <c r="J782" s="76" t="str">
        <f>IFERROR(INDEX(M_SKU!$A$18:$J$57,MATCH(I782,M_SKU!$B$18:$B$57,0),1),"UNKNOWN SKU")</f>
        <v>Fanta Passion RGB 350ml</v>
      </c>
      <c r="K782" s="73" t="s">
        <v>550</v>
      </c>
      <c r="L782" s="276">
        <v>4.4541572745051399</v>
      </c>
      <c r="M782" s="94" cm="1">
        <f t="array" ref="M782">IFERROR(INDEX(M_DepotPrice!$C$10:$C$52,MATCH(1,(M_DepotPrice!$A$10:$A$52=I782)*(M_DepotPrice!$H$10:$H$52=IFERROR(INDEX(M_Depot!$A$7:$A$24,MATCH(F782,M_Depot!$B$7:$B$24,0)),""))*(M_DepotPrice!$G$10:$G$52="Special"),0)),INDEX(M_DepotPrice!$C$10:$C$52,MATCH(1,(M_DepotPrice!$A$10:$A$52=I782)*(M_DepotPrice!$G$10:$G$52="Default"),0)))</f>
        <v>11780</v>
      </c>
      <c r="N782" s="95">
        <f t="shared" si="25"/>
        <v>61914.567778531244</v>
      </c>
      <c r="O782" s="82" t="str">
        <f t="shared" si="24"/>
        <v>MOS100744|FG003|CK3-33356</v>
      </c>
    </row>
    <row r="783" spans="1:15" ht="15" customHeight="1" x14ac:dyDescent="0.3">
      <c r="A783" s="60" t="s">
        <v>1462</v>
      </c>
      <c r="B783" s="60" t="s">
        <v>564</v>
      </c>
      <c r="C783" s="62">
        <v>46179</v>
      </c>
      <c r="D783" s="63" t="s">
        <v>370</v>
      </c>
      <c r="E783" s="66" t="str">
        <f>IFERROR(INDEX(M_User!$A$12:$J$67,MATCH(D783,M_User!$D$12:$D$67,0),3),"UNMAPPED")</f>
        <v>Zawadi Jastin Laizer</v>
      </c>
      <c r="F783" s="65" t="str">
        <f>IFERROR(INDEX(M_User!$A$12:$J$67,MATCH(D783,M_User!$D$12:$D$67,0),5),"UNMAPPED")</f>
        <v>MOS</v>
      </c>
      <c r="G783" s="63" t="s">
        <v>840</v>
      </c>
      <c r="H783" s="69" t="s">
        <v>841</v>
      </c>
      <c r="I783" s="63" t="s">
        <v>183</v>
      </c>
      <c r="J783" s="66" t="str">
        <f>IFERROR(INDEX(M_SKU!$A$18:$J$57,MATCH(I783,M_SKU!$B$18:$B$57,0),1),"UNKNOWN SKU")</f>
        <v>Fanta Pineapple RGB 350ml</v>
      </c>
      <c r="K783" s="63" t="s">
        <v>533</v>
      </c>
      <c r="L783" s="276">
        <v>3.8990976550274601</v>
      </c>
      <c r="M783" s="91" cm="1">
        <f t="array" ref="M783">IFERROR(INDEX(M_DepotPrice!$C$10:$C$52,MATCH(1,(M_DepotPrice!$A$10:$A$52=I783)*(M_DepotPrice!$H$10:$H$52=IFERROR(INDEX(M_Depot!$A$7:$A$24,MATCH(F783,M_Depot!$B$7:$B$24,0)),""))*(M_DepotPrice!$G$10:$G$52="Special"),0)),INDEX(M_DepotPrice!$C$10:$C$52,MATCH(1,(M_DepotPrice!$A$10:$A$52=I783)*(M_DepotPrice!$G$10:$G$52="Default"),0)))</f>
        <v>11780</v>
      </c>
      <c r="N783" s="67">
        <f t="shared" si="25"/>
        <v>54199.017043943706</v>
      </c>
      <c r="O783" s="66" t="str">
        <f t="shared" si="24"/>
        <v>MOS100744|FG004|CK3-33385</v>
      </c>
    </row>
    <row r="784" spans="1:15" ht="15" customHeight="1" x14ac:dyDescent="0.3">
      <c r="A784" s="70" t="s">
        <v>1463</v>
      </c>
      <c r="B784" s="70" t="s">
        <v>564</v>
      </c>
      <c r="C784" s="72">
        <v>46179</v>
      </c>
      <c r="D784" s="73" t="s">
        <v>370</v>
      </c>
      <c r="E784" s="76" t="str">
        <f>IFERROR(INDEX(M_User!$A$12:$J$67,MATCH(D784,M_User!$D$12:$D$67,0),3),"UNMAPPED")</f>
        <v>Zawadi Jastin Laizer</v>
      </c>
      <c r="F784" s="75" t="str">
        <f>IFERROR(INDEX(M_User!$A$12:$J$67,MATCH(D784,M_User!$D$12:$D$67,0),5),"UNMAPPED")</f>
        <v>MOS</v>
      </c>
      <c r="G784" s="73" t="s">
        <v>840</v>
      </c>
      <c r="H784" s="92" t="s">
        <v>841</v>
      </c>
      <c r="I784" s="73" t="s">
        <v>185</v>
      </c>
      <c r="J784" s="76" t="str">
        <f>IFERROR(INDEX(M_SKU!$A$18:$J$57,MATCH(I784,M_SKU!$B$18:$B$57,0),1),"UNKNOWN SKU")</f>
        <v>Fanta Fruit Blast RGB 350 ml</v>
      </c>
      <c r="K784" s="73" t="s">
        <v>534</v>
      </c>
      <c r="L784" s="276">
        <v>1.0998562804858101</v>
      </c>
      <c r="M784" s="94" cm="1">
        <f t="array" ref="M784">IFERROR(INDEX(M_DepotPrice!$C$10:$C$52,MATCH(1,(M_DepotPrice!$A$10:$A$52=I784)*(M_DepotPrice!$H$10:$H$52=IFERROR(INDEX(M_Depot!$A$7:$A$24,MATCH(F784,M_Depot!$B$7:$B$24,0)),""))*(M_DepotPrice!$G$10:$G$52="Special"),0)),INDEX(M_DepotPrice!$C$10:$C$52,MATCH(1,(M_DepotPrice!$A$10:$A$52=I784)*(M_DepotPrice!$G$10:$G$52="Default"),0)))</f>
        <v>11780</v>
      </c>
      <c r="N784" s="95">
        <f t="shared" si="25"/>
        <v>15288.442241264953</v>
      </c>
      <c r="O784" s="82" t="str">
        <f t="shared" si="24"/>
        <v>MOS100744|FG005|CK3-33402</v>
      </c>
    </row>
    <row r="785" spans="1:15" ht="15" customHeight="1" x14ac:dyDescent="0.3">
      <c r="A785" s="60" t="s">
        <v>1464</v>
      </c>
      <c r="B785" s="60" t="s">
        <v>564</v>
      </c>
      <c r="C785" s="62">
        <v>46179</v>
      </c>
      <c r="D785" s="63" t="s">
        <v>370</v>
      </c>
      <c r="E785" s="66" t="str">
        <f>IFERROR(INDEX(M_User!$A$12:$J$67,MATCH(D785,M_User!$D$12:$D$67,0),3),"UNMAPPED")</f>
        <v>Zawadi Jastin Laizer</v>
      </c>
      <c r="F785" s="65" t="str">
        <f>IFERROR(INDEX(M_User!$A$12:$J$67,MATCH(D785,M_User!$D$12:$D$67,0),5),"UNMAPPED")</f>
        <v>MOS</v>
      </c>
      <c r="G785" s="63" t="s">
        <v>840</v>
      </c>
      <c r="H785" s="69" t="s">
        <v>841</v>
      </c>
      <c r="I785" s="63" t="s">
        <v>187</v>
      </c>
      <c r="J785" s="66" t="str">
        <f>IFERROR(INDEX(M_SKU!$A$18:$J$57,MATCH(I785,M_SKU!$B$18:$B$57,0),1),"UNKNOWN SKU")</f>
        <v>Sprite 350ml</v>
      </c>
      <c r="K785" s="63" t="s">
        <v>535</v>
      </c>
      <c r="L785" s="276">
        <v>3.0754999999999999</v>
      </c>
      <c r="M785" s="91" cm="1">
        <f t="array" ref="M785">IFERROR(INDEX(M_DepotPrice!$C$10:$C$52,MATCH(1,(M_DepotPrice!$A$10:$A$52=I785)*(M_DepotPrice!$H$10:$H$52=IFERROR(INDEX(M_Depot!$A$7:$A$24,MATCH(F785,M_Depot!$B$7:$B$24,0)),""))*(M_DepotPrice!$G$10:$G$52="Special"),0)),INDEX(M_DepotPrice!$C$10:$C$52,MATCH(1,(M_DepotPrice!$A$10:$A$52=I785)*(M_DepotPrice!$G$10:$G$52="Default"),0)))</f>
        <v>11780</v>
      </c>
      <c r="N785" s="67">
        <f t="shared" si="25"/>
        <v>42750.680199999995</v>
      </c>
      <c r="O785" s="66" t="str">
        <f t="shared" si="24"/>
        <v>MOS100744|FG006|CK3-33414</v>
      </c>
    </row>
    <row r="786" spans="1:15" ht="15" customHeight="1" x14ac:dyDescent="0.3">
      <c r="A786" s="70" t="s">
        <v>1465</v>
      </c>
      <c r="B786" s="70" t="s">
        <v>564</v>
      </c>
      <c r="C786" s="72">
        <v>46179</v>
      </c>
      <c r="D786" s="73" t="s">
        <v>370</v>
      </c>
      <c r="E786" s="76" t="str">
        <f>IFERROR(INDEX(M_User!$A$12:$J$67,MATCH(D786,M_User!$D$12:$D$67,0),3),"UNMAPPED")</f>
        <v>Zawadi Jastin Laizer</v>
      </c>
      <c r="F786" s="75" t="str">
        <f>IFERROR(INDEX(M_User!$A$12:$J$67,MATCH(D786,M_User!$D$12:$D$67,0),5),"UNMAPPED")</f>
        <v>MOS</v>
      </c>
      <c r="G786" s="73" t="s">
        <v>840</v>
      </c>
      <c r="H786" s="92" t="s">
        <v>841</v>
      </c>
      <c r="I786" s="73" t="s">
        <v>190</v>
      </c>
      <c r="J786" s="76" t="str">
        <f>IFERROR(INDEX(M_SKU!$A$18:$J$57,MATCH(I786,M_SKU!$B$18:$B$57,0),1),"UNKNOWN SKU")</f>
        <v>Stoney Tangawizi RGB 350ml</v>
      </c>
      <c r="K786" s="73" t="s">
        <v>536</v>
      </c>
      <c r="L786" s="276">
        <v>0.71209999999999996</v>
      </c>
      <c r="M786" s="94" cm="1">
        <f t="array" ref="M786">IFERROR(INDEX(M_DepotPrice!$C$10:$C$52,MATCH(1,(M_DepotPrice!$A$10:$A$52=I786)*(M_DepotPrice!$H$10:$H$52=IFERROR(INDEX(M_Depot!$A$7:$A$24,MATCH(F786,M_Depot!$B$7:$B$24,0)),""))*(M_DepotPrice!$G$10:$G$52="Special"),0)),INDEX(M_DepotPrice!$C$10:$C$52,MATCH(1,(M_DepotPrice!$A$10:$A$52=I786)*(M_DepotPrice!$G$10:$G$52="Default"),0)))</f>
        <v>11780</v>
      </c>
      <c r="N786" s="95">
        <f t="shared" si="25"/>
        <v>9898.4748399999971</v>
      </c>
      <c r="O786" s="82" t="str">
        <f t="shared" si="24"/>
        <v>MOS100744|FG007|CK3-33404</v>
      </c>
    </row>
    <row r="787" spans="1:15" ht="15" customHeight="1" x14ac:dyDescent="0.3">
      <c r="A787" s="60" t="s">
        <v>1466</v>
      </c>
      <c r="B787" s="60" t="s">
        <v>564</v>
      </c>
      <c r="C787" s="62">
        <v>46179</v>
      </c>
      <c r="D787" s="63" t="s">
        <v>370</v>
      </c>
      <c r="E787" s="66" t="str">
        <f>IFERROR(INDEX(M_User!$A$12:$J$67,MATCH(D787,M_User!$D$12:$D$67,0),3),"UNMAPPED")</f>
        <v>Zawadi Jastin Laizer</v>
      </c>
      <c r="F787" s="65" t="str">
        <f>IFERROR(INDEX(M_User!$A$12:$J$67,MATCH(D787,M_User!$D$12:$D$67,0),5),"UNMAPPED")</f>
        <v>MOS</v>
      </c>
      <c r="G787" s="63" t="s">
        <v>840</v>
      </c>
      <c r="H787" s="69" t="s">
        <v>841</v>
      </c>
      <c r="I787" s="63" t="s">
        <v>193</v>
      </c>
      <c r="J787" s="66" t="str">
        <f>IFERROR(INDEX(M_SKU!$A$18:$J$57,MATCH(I787,M_SKU!$B$18:$B$57,0),1),"UNKNOWN SKU")</f>
        <v>Sparletta Pinenut RGB 350ml</v>
      </c>
      <c r="K787" s="63" t="s">
        <v>537</v>
      </c>
      <c r="L787" s="276">
        <v>1.3536999999999999</v>
      </c>
      <c r="M787" s="91" cm="1">
        <f t="array" ref="M787">IFERROR(INDEX(M_DepotPrice!$C$10:$C$52,MATCH(1,(M_DepotPrice!$A$10:$A$52=I787)*(M_DepotPrice!$H$10:$H$52=IFERROR(INDEX(M_Depot!$A$7:$A$24,MATCH(F787,M_Depot!$B$7:$B$24,0)),""))*(M_DepotPrice!$G$10:$G$52="Special"),0)),INDEX(M_DepotPrice!$C$10:$C$52,MATCH(1,(M_DepotPrice!$A$10:$A$52=I787)*(M_DepotPrice!$G$10:$G$52="Default"),0)))</f>
        <v>11780</v>
      </c>
      <c r="N787" s="67">
        <f t="shared" si="25"/>
        <v>18816.971479999997</v>
      </c>
      <c r="O787" s="66" t="str">
        <f t="shared" si="24"/>
        <v>MOS100744|FG008|CK3-33365</v>
      </c>
    </row>
    <row r="788" spans="1:15" ht="15" customHeight="1" x14ac:dyDescent="0.3">
      <c r="A788" s="70" t="s">
        <v>1467</v>
      </c>
      <c r="B788" s="70" t="s">
        <v>564</v>
      </c>
      <c r="C788" s="72">
        <v>46179</v>
      </c>
      <c r="D788" s="73" t="s">
        <v>370</v>
      </c>
      <c r="E788" s="76" t="str">
        <f>IFERROR(INDEX(M_User!$A$12:$J$67,MATCH(D788,M_User!$D$12:$D$67,0),3),"UNMAPPED")</f>
        <v>Zawadi Jastin Laizer</v>
      </c>
      <c r="F788" s="75" t="str">
        <f>IFERROR(INDEX(M_User!$A$12:$J$67,MATCH(D788,M_User!$D$12:$D$67,0),5),"UNMAPPED")</f>
        <v>MOS</v>
      </c>
      <c r="G788" s="73" t="s">
        <v>840</v>
      </c>
      <c r="H788" s="92" t="s">
        <v>841</v>
      </c>
      <c r="I788" s="73" t="s">
        <v>196</v>
      </c>
      <c r="J788" s="76" t="str">
        <f>IFERROR(INDEX(M_SKU!$A$18:$J$57,MATCH(I788,M_SKU!$B$18:$B$57,0),1),"UNKNOWN SKU")</f>
        <v>Krest Bitter Lemon RGB 300ml</v>
      </c>
      <c r="K788" s="73" t="s">
        <v>538</v>
      </c>
      <c r="L788" s="276">
        <v>0.6321</v>
      </c>
      <c r="M788" s="94" cm="1">
        <f t="array" ref="M788">IFERROR(INDEX(M_DepotPrice!$C$10:$C$52,MATCH(1,(M_DepotPrice!$A$10:$A$52=I788)*(M_DepotPrice!$H$10:$H$52=IFERROR(INDEX(M_Depot!$A$7:$A$24,MATCH(F788,M_Depot!$B$7:$B$24,0)),""))*(M_DepotPrice!$G$10:$G$52="Special"),0)),INDEX(M_DepotPrice!$C$10:$C$52,MATCH(1,(M_DepotPrice!$A$10:$A$52=I788)*(M_DepotPrice!$G$10:$G$52="Default"),0)))</f>
        <v>11780</v>
      </c>
      <c r="N788" s="95">
        <f t="shared" si="25"/>
        <v>8786.4428399999997</v>
      </c>
      <c r="O788" s="82" t="str">
        <f t="shared" si="24"/>
        <v>MOS100744|FG009|CK3-33348</v>
      </c>
    </row>
    <row r="789" spans="1:15" ht="15" customHeight="1" x14ac:dyDescent="0.3">
      <c r="A789" s="60" t="s">
        <v>1468</v>
      </c>
      <c r="B789" s="60" t="s">
        <v>564</v>
      </c>
      <c r="C789" s="62">
        <v>46179</v>
      </c>
      <c r="D789" s="63" t="s">
        <v>370</v>
      </c>
      <c r="E789" s="66" t="str">
        <f>IFERROR(INDEX(M_User!$A$12:$J$67,MATCH(D789,M_User!$D$12:$D$67,0),3),"UNMAPPED")</f>
        <v>Zawadi Jastin Laizer</v>
      </c>
      <c r="F789" s="65" t="str">
        <f>IFERROR(INDEX(M_User!$A$12:$J$67,MATCH(D789,M_User!$D$12:$D$67,0),5),"UNMAPPED")</f>
        <v>MOS</v>
      </c>
      <c r="G789" s="63" t="s">
        <v>840</v>
      </c>
      <c r="H789" s="69" t="s">
        <v>841</v>
      </c>
      <c r="I789" s="63" t="s">
        <v>199</v>
      </c>
      <c r="J789" s="66" t="str">
        <f>IFERROR(INDEX(M_SKU!$A$18:$J$57,MATCH(I789,M_SKU!$B$18:$B$57,0),1),"UNKNOWN SKU")</f>
        <v>Krest Club Soda RGB 300ml</v>
      </c>
      <c r="K789" s="63" t="s">
        <v>539</v>
      </c>
      <c r="L789" s="276">
        <v>1.0613616108766299</v>
      </c>
      <c r="M789" s="91" cm="1">
        <f t="array" ref="M789">IFERROR(INDEX(M_DepotPrice!$C$10:$C$52,MATCH(1,(M_DepotPrice!$A$10:$A$52=I789)*(M_DepotPrice!$H$10:$H$52=IFERROR(INDEX(M_Depot!$A$7:$A$24,MATCH(F789,M_Depot!$B$7:$B$24,0)),""))*(M_DepotPrice!$G$10:$G$52="Special"),0)),INDEX(M_DepotPrice!$C$10:$C$52,MATCH(1,(M_DepotPrice!$A$10:$A$52=I789)*(M_DepotPrice!$G$10:$G$52="Default"),0)))</f>
        <v>11780</v>
      </c>
      <c r="N789" s="67">
        <f t="shared" si="25"/>
        <v>14753.350935829505</v>
      </c>
      <c r="O789" s="66" t="str">
        <f t="shared" si="24"/>
        <v>MOS100744|FG010|CK3-33301</v>
      </c>
    </row>
    <row r="790" spans="1:15" ht="15" customHeight="1" x14ac:dyDescent="0.3">
      <c r="A790" s="70" t="s">
        <v>1469</v>
      </c>
      <c r="B790" s="70" t="s">
        <v>564</v>
      </c>
      <c r="C790" s="72">
        <v>46179</v>
      </c>
      <c r="D790" s="73" t="s">
        <v>370</v>
      </c>
      <c r="E790" s="76" t="str">
        <f>IFERROR(INDEX(M_User!$A$12:$J$67,MATCH(D790,M_User!$D$12:$D$67,0),3),"UNMAPPED")</f>
        <v>Zawadi Jastin Laizer</v>
      </c>
      <c r="F790" s="75" t="str">
        <f>IFERROR(INDEX(M_User!$A$12:$J$67,MATCH(D790,M_User!$D$12:$D$67,0),5),"UNMAPPED")</f>
        <v>MOS</v>
      </c>
      <c r="G790" s="73" t="s">
        <v>840</v>
      </c>
      <c r="H790" s="92" t="s">
        <v>841</v>
      </c>
      <c r="I790" s="73" t="s">
        <v>201</v>
      </c>
      <c r="J790" s="76" t="str">
        <f>IFERROR(INDEX(M_SKU!$A$18:$J$57,MATCH(I790,M_SKU!$B$18:$B$57,0),1),"UNKNOWN SKU")</f>
        <v>Krest Tonic Water RGB 300ml</v>
      </c>
      <c r="K790" s="73" t="s">
        <v>540</v>
      </c>
      <c r="L790" s="276">
        <v>1.0965</v>
      </c>
      <c r="M790" s="94" cm="1">
        <f t="array" ref="M790">IFERROR(INDEX(M_DepotPrice!$C$10:$C$52,MATCH(1,(M_DepotPrice!$A$10:$A$52=I790)*(M_DepotPrice!$H$10:$H$52=IFERROR(INDEX(M_Depot!$A$7:$A$24,MATCH(F790,M_Depot!$B$7:$B$24,0)),""))*(M_DepotPrice!$G$10:$G$52="Special"),0)),INDEX(M_DepotPrice!$C$10:$C$52,MATCH(1,(M_DepotPrice!$A$10:$A$52=I790)*(M_DepotPrice!$G$10:$G$52="Default"),0)))</f>
        <v>11780</v>
      </c>
      <c r="N790" s="95">
        <f t="shared" si="25"/>
        <v>15241.7886</v>
      </c>
      <c r="O790" s="82" t="str">
        <f t="shared" si="24"/>
        <v>MOS100744|FG011|CK3-33347</v>
      </c>
    </row>
    <row r="791" spans="1:15" ht="15" customHeight="1" x14ac:dyDescent="0.3">
      <c r="A791" s="60" t="s">
        <v>1470</v>
      </c>
      <c r="B791" s="60" t="s">
        <v>564</v>
      </c>
      <c r="C791" s="62">
        <v>46179</v>
      </c>
      <c r="D791" s="63" t="s">
        <v>370</v>
      </c>
      <c r="E791" s="66" t="str">
        <f>IFERROR(INDEX(M_User!$A$12:$J$67,MATCH(D791,M_User!$D$12:$D$67,0),3),"UNMAPPED")</f>
        <v>Zawadi Jastin Laizer</v>
      </c>
      <c r="F791" s="65" t="str">
        <f>IFERROR(INDEX(M_User!$A$12:$J$67,MATCH(D791,M_User!$D$12:$D$67,0),5),"UNMAPPED")</f>
        <v>MOS</v>
      </c>
      <c r="G791" s="63" t="s">
        <v>840</v>
      </c>
      <c r="H791" s="69" t="s">
        <v>841</v>
      </c>
      <c r="I791" s="63" t="s">
        <v>203</v>
      </c>
      <c r="J791" s="66" t="str">
        <f>IFERROR(INDEX(M_SKU!$A$18:$J$57,MATCH(I791,M_SKU!$B$18:$B$57,0),1),"UNKNOWN SKU")</f>
        <v>Krest Ginger Ale RGB 300ml</v>
      </c>
      <c r="K791" s="63" t="s">
        <v>541</v>
      </c>
      <c r="L791" s="276">
        <v>1.5015000000000001</v>
      </c>
      <c r="M791" s="91" cm="1">
        <f t="array" ref="M791">IFERROR(INDEX(M_DepotPrice!$C$10:$C$52,MATCH(1,(M_DepotPrice!$A$10:$A$52=I791)*(M_DepotPrice!$H$10:$H$52=IFERROR(INDEX(M_Depot!$A$7:$A$24,MATCH(F791,M_Depot!$B$7:$B$24,0)),""))*(M_DepotPrice!$G$10:$G$52="Special"),0)),INDEX(M_DepotPrice!$C$10:$C$52,MATCH(1,(M_DepotPrice!$A$10:$A$52=I791)*(M_DepotPrice!$G$10:$G$52="Default"),0)))</f>
        <v>11780</v>
      </c>
      <c r="N791" s="67">
        <f t="shared" si="25"/>
        <v>20871.4506</v>
      </c>
      <c r="O791" s="66" t="str">
        <f t="shared" si="24"/>
        <v>MOS100744|FG012|CK3-33126</v>
      </c>
    </row>
    <row r="792" spans="1:15" ht="15" customHeight="1" x14ac:dyDescent="0.3">
      <c r="A792" s="70" t="s">
        <v>1471</v>
      </c>
      <c r="B792" s="70" t="s">
        <v>564</v>
      </c>
      <c r="C792" s="72">
        <v>46179</v>
      </c>
      <c r="D792" s="73" t="s">
        <v>370</v>
      </c>
      <c r="E792" s="76" t="str">
        <f>IFERROR(INDEX(M_User!$A$12:$J$67,MATCH(D792,M_User!$D$12:$D$67,0),3),"UNMAPPED")</f>
        <v>Zawadi Jastin Laizer</v>
      </c>
      <c r="F792" s="75" t="str">
        <f>IFERROR(INDEX(M_User!$A$12:$J$67,MATCH(D792,M_User!$D$12:$D$67,0),5),"UNMAPPED")</f>
        <v>MOS</v>
      </c>
      <c r="G792" s="73" t="s">
        <v>840</v>
      </c>
      <c r="H792" s="92" t="s">
        <v>841</v>
      </c>
      <c r="I792" s="73" t="s">
        <v>209</v>
      </c>
      <c r="J792" s="76" t="str">
        <f>IFERROR(INDEX(M_SKU!$A$18:$J$57,MATCH(I792,M_SKU!$B$18:$B$57,0),1),"UNKNOWN SKU")</f>
        <v>Sparletta Red Apple RGB 350ml</v>
      </c>
      <c r="K792" s="73" t="s">
        <v>542</v>
      </c>
      <c r="L792" s="276">
        <v>1.0112680630555799</v>
      </c>
      <c r="M792" s="94" cm="1">
        <f t="array" ref="M792">IFERROR(INDEX(M_DepotPrice!$C$10:$C$52,MATCH(1,(M_DepotPrice!$A$10:$A$52=I792)*(M_DepotPrice!$H$10:$H$52=IFERROR(INDEX(M_Depot!$A$7:$A$24,MATCH(F792,M_Depot!$B$7:$B$24,0)),""))*(M_DepotPrice!$G$10:$G$52="Special"),0)),INDEX(M_DepotPrice!$C$10:$C$52,MATCH(1,(M_DepotPrice!$A$10:$A$52=I792)*(M_DepotPrice!$G$10:$G$52="Default"),0)))</f>
        <v>11780</v>
      </c>
      <c r="N792" s="95">
        <f t="shared" si="25"/>
        <v>14057.030583697782</v>
      </c>
      <c r="O792" s="82" t="str">
        <f t="shared" si="24"/>
        <v>MOS100744|FG024|CK3-32758</v>
      </c>
    </row>
    <row r="793" spans="1:15" ht="15" customHeight="1" x14ac:dyDescent="0.3">
      <c r="A793" s="60" t="s">
        <v>1472</v>
      </c>
      <c r="B793" s="60" t="s">
        <v>564</v>
      </c>
      <c r="C793" s="62">
        <v>46179</v>
      </c>
      <c r="D793" s="63" t="s">
        <v>370</v>
      </c>
      <c r="E793" s="66" t="str">
        <f>IFERROR(INDEX(M_User!$A$12:$J$67,MATCH(D793,M_User!$D$12:$D$67,0),3),"UNMAPPED")</f>
        <v>Zawadi Jastin Laizer</v>
      </c>
      <c r="F793" s="65" t="str">
        <f>IFERROR(INDEX(M_User!$A$12:$J$67,MATCH(D793,M_User!$D$12:$D$67,0),5),"UNMAPPED")</f>
        <v>MOS</v>
      </c>
      <c r="G793" s="63" t="s">
        <v>840</v>
      </c>
      <c r="H793" s="69" t="s">
        <v>841</v>
      </c>
      <c r="I793" s="63" t="s">
        <v>211</v>
      </c>
      <c r="J793" s="66" t="str">
        <f>IFERROR(INDEX(M_SKU!$A$18:$J$57,MATCH(I793,M_SKU!$B$18:$B$57,0),1),"UNKNOWN SKU")</f>
        <v>KNMW 500ml</v>
      </c>
      <c r="K793" s="63" t="s">
        <v>543</v>
      </c>
      <c r="L793" s="276">
        <v>7</v>
      </c>
      <c r="M793" s="91" cm="1">
        <f t="array" ref="M793">IFERROR(INDEX(M_DepotPrice!$C$10:$C$52,MATCH(1,(M_DepotPrice!$A$10:$A$52=I793)*(M_DepotPrice!$H$10:$H$52=IFERROR(INDEX(M_Depot!$A$7:$A$24,MATCH(F793,M_Depot!$B$7:$B$24,0)),""))*(M_DepotPrice!$G$10:$G$52="Special"),0)),INDEX(M_DepotPrice!$C$10:$C$52,MATCH(1,(M_DepotPrice!$A$10:$A$52=I793)*(M_DepotPrice!$G$10:$G$52="Default"),0)))</f>
        <v>3559</v>
      </c>
      <c r="N793" s="67">
        <f t="shared" si="25"/>
        <v>29397.34</v>
      </c>
      <c r="O793" s="66" t="str">
        <f t="shared" si="24"/>
        <v>MOS100744|KD001|CK6-986</v>
      </c>
    </row>
    <row r="794" spans="1:15" ht="15" customHeight="1" x14ac:dyDescent="0.3">
      <c r="A794" s="70" t="s">
        <v>1473</v>
      </c>
      <c r="B794" s="70" t="s">
        <v>564</v>
      </c>
      <c r="C794" s="72">
        <v>46179</v>
      </c>
      <c r="D794" s="73" t="s">
        <v>370</v>
      </c>
      <c r="E794" s="76" t="str">
        <f>IFERROR(INDEX(M_User!$A$12:$J$67,MATCH(D794,M_User!$D$12:$D$67,0),3),"UNMAPPED")</f>
        <v>Zawadi Jastin Laizer</v>
      </c>
      <c r="F794" s="75" t="str">
        <f>IFERROR(INDEX(M_User!$A$12:$J$67,MATCH(D794,M_User!$D$12:$D$67,0),5),"UNMAPPED")</f>
        <v>MOS</v>
      </c>
      <c r="G794" s="73" t="s">
        <v>840</v>
      </c>
      <c r="H794" s="92" t="s">
        <v>841</v>
      </c>
      <c r="I794" s="73" t="s">
        <v>222</v>
      </c>
      <c r="J794" s="76" t="str">
        <f>IFERROR(INDEX(M_SKU!$A$18:$J$57,MATCH(I794,M_SKU!$B$18:$B$57,0),1),"UNKNOWN SKU")</f>
        <v>Kilimanjaro Drinking Water 12000 ML</v>
      </c>
      <c r="K794" s="73" t="s">
        <v>566</v>
      </c>
      <c r="L794" s="276">
        <v>2</v>
      </c>
      <c r="M794" s="94" cm="1">
        <f t="array" ref="M794">IFERROR(INDEX(M_DepotPrice!$C$10:$C$52,MATCH(1,(M_DepotPrice!$A$10:$A$52=I794)*(M_DepotPrice!$H$10:$H$52=IFERROR(INDEX(M_Depot!$A$7:$A$24,MATCH(F794,M_Depot!$B$7:$B$24,0)),""))*(M_DepotPrice!$G$10:$G$52="Special"),0)),INDEX(M_DepotPrice!$C$10:$C$52,MATCH(1,(M_DepotPrice!$A$10:$A$52=I794)*(M_DepotPrice!$G$10:$G$52="Default"),0)))</f>
        <v>3559</v>
      </c>
      <c r="N794" s="95">
        <f t="shared" si="25"/>
        <v>8399.24</v>
      </c>
      <c r="O794" s="82" t="str">
        <f t="shared" si="24"/>
        <v>MOS100744|KD005|CK7-913</v>
      </c>
    </row>
    <row r="795" spans="1:15" ht="15" customHeight="1" x14ac:dyDescent="0.3">
      <c r="A795" s="60" t="s">
        <v>1474</v>
      </c>
      <c r="B795" s="60" t="s">
        <v>564</v>
      </c>
      <c r="C795" s="62">
        <v>46179</v>
      </c>
      <c r="D795" s="63" t="s">
        <v>370</v>
      </c>
      <c r="E795" s="66" t="str">
        <f>IFERROR(INDEX(M_User!$A$12:$J$67,MATCH(D795,M_User!$D$12:$D$67,0),3),"UNMAPPED")</f>
        <v>Zawadi Jastin Laizer</v>
      </c>
      <c r="F795" s="65" t="str">
        <f>IFERROR(INDEX(M_User!$A$12:$J$67,MATCH(D795,M_User!$D$12:$D$67,0),5),"UNMAPPED")</f>
        <v>MOS</v>
      </c>
      <c r="G795" s="63" t="s">
        <v>840</v>
      </c>
      <c r="H795" s="69" t="s">
        <v>841</v>
      </c>
      <c r="I795" s="63" t="s">
        <v>225</v>
      </c>
      <c r="J795" s="66" t="str">
        <f>IFERROR(INDEX(M_SKU!$A$18:$J$57,MATCH(I795,M_SKU!$B$18:$B$57,0),1),"UNKNOWN SKU")</f>
        <v>Kilimanjaro Drinking Water 18900 ML</v>
      </c>
      <c r="K795" s="63" t="s">
        <v>567</v>
      </c>
      <c r="L795" s="276">
        <v>2</v>
      </c>
      <c r="M795" s="91" cm="1">
        <f t="array" ref="M795">IFERROR(INDEX(M_DepotPrice!$C$10:$C$52,MATCH(1,(M_DepotPrice!$A$10:$A$52=I795)*(M_DepotPrice!$H$10:$H$52=IFERROR(INDEX(M_Depot!$A$7:$A$24,MATCH(F795,M_Depot!$B$7:$B$24,0)),""))*(M_DepotPrice!$G$10:$G$52="Special"),0)),INDEX(M_DepotPrice!$C$10:$C$52,MATCH(1,(M_DepotPrice!$A$10:$A$52=I795)*(M_DepotPrice!$G$10:$G$52="Default"),0)))</f>
        <v>5932</v>
      </c>
      <c r="N795" s="67">
        <f t="shared" si="25"/>
        <v>13999.519999999999</v>
      </c>
      <c r="O795" s="66" t="str">
        <f t="shared" si="24"/>
        <v>MOS100744|KD006|CK7-915</v>
      </c>
    </row>
    <row r="796" spans="1:15" ht="15" customHeight="1" x14ac:dyDescent="0.3">
      <c r="A796" s="70" t="s">
        <v>1475</v>
      </c>
      <c r="B796" s="70" t="s">
        <v>564</v>
      </c>
      <c r="C796" s="72">
        <v>46179</v>
      </c>
      <c r="D796" s="73" t="s">
        <v>370</v>
      </c>
      <c r="E796" s="76" t="str">
        <f>IFERROR(INDEX(M_User!$A$12:$J$67,MATCH(D796,M_User!$D$12:$D$67,0),3),"UNMAPPED")</f>
        <v>Zawadi Jastin Laizer</v>
      </c>
      <c r="F796" s="75" t="str">
        <f>IFERROR(INDEX(M_User!$A$12:$J$67,MATCH(D796,M_User!$D$12:$D$67,0),5),"UNMAPPED")</f>
        <v>MOS</v>
      </c>
      <c r="G796" s="73" t="s">
        <v>840</v>
      </c>
      <c r="H796" s="92" t="s">
        <v>841</v>
      </c>
      <c r="I796" s="73" t="s">
        <v>232</v>
      </c>
      <c r="J796" s="76" t="str">
        <f>IFERROR(INDEX(M_SKU!$A$18:$J$57,MATCH(I796,M_SKU!$B$18:$B$57,0),1),"UNKNOWN SKU")</f>
        <v>Sprite Pet 500ML (x 12)</v>
      </c>
      <c r="K796" s="73" t="s">
        <v>522</v>
      </c>
      <c r="L796" s="276">
        <v>3</v>
      </c>
      <c r="M796" s="94" cm="1">
        <f t="array" ref="M796">IFERROR(INDEX(M_DepotPrice!$C$10:$C$52,MATCH(1,(M_DepotPrice!$A$10:$A$52=I796)*(M_DepotPrice!$H$10:$H$52=IFERROR(INDEX(M_Depot!$A$7:$A$24,MATCH(F796,M_Depot!$B$7:$B$24,0)),""))*(M_DepotPrice!$G$10:$G$52="Special"),0)),INDEX(M_DepotPrice!$C$10:$C$52,MATCH(1,(M_DepotPrice!$A$10:$A$52=I796)*(M_DepotPrice!$G$10:$G$52="Default"),0)))</f>
        <v>8898</v>
      </c>
      <c r="N796" s="95">
        <f t="shared" si="25"/>
        <v>31498.92</v>
      </c>
      <c r="O796" s="82" t="str">
        <f t="shared" si="24"/>
        <v>MOS100744|PH002|CK6-33362</v>
      </c>
    </row>
    <row r="797" spans="1:15" ht="15" customHeight="1" x14ac:dyDescent="0.3">
      <c r="A797" s="60" t="s">
        <v>1476</v>
      </c>
      <c r="B797" s="60" t="s">
        <v>564</v>
      </c>
      <c r="C797" s="62">
        <v>46179</v>
      </c>
      <c r="D797" s="63" t="s">
        <v>370</v>
      </c>
      <c r="E797" s="66" t="str">
        <f>IFERROR(INDEX(M_User!$A$12:$J$67,MATCH(D797,M_User!$D$12:$D$67,0),3),"UNMAPPED")</f>
        <v>Zawadi Jastin Laizer</v>
      </c>
      <c r="F797" s="65" t="str">
        <f>IFERROR(INDEX(M_User!$A$12:$J$67,MATCH(D797,M_User!$D$12:$D$67,0),5),"UNMAPPED")</f>
        <v>MOS</v>
      </c>
      <c r="G797" s="63" t="s">
        <v>840</v>
      </c>
      <c r="H797" s="69" t="s">
        <v>841</v>
      </c>
      <c r="I797" s="63" t="s">
        <v>234</v>
      </c>
      <c r="J797" s="66" t="str">
        <f>IFERROR(INDEX(M_SKU!$A$18:$J$57,MATCH(I797,M_SKU!$B$18:$B$57,0),1),"UNKNOWN SKU")</f>
        <v>Fanta Orange Pet 500ML ( x 12)</v>
      </c>
      <c r="K797" s="63" t="s">
        <v>523</v>
      </c>
      <c r="L797" s="276">
        <v>7</v>
      </c>
      <c r="M797" s="91" cm="1">
        <f t="array" ref="M797">IFERROR(INDEX(M_DepotPrice!$C$10:$C$52,MATCH(1,(M_DepotPrice!$A$10:$A$52=I797)*(M_DepotPrice!$H$10:$H$52=IFERROR(INDEX(M_Depot!$A$7:$A$24,MATCH(F797,M_Depot!$B$7:$B$24,0)),""))*(M_DepotPrice!$G$10:$G$52="Special"),0)),INDEX(M_DepotPrice!$C$10:$C$52,MATCH(1,(M_DepotPrice!$A$10:$A$52=I797)*(M_DepotPrice!$G$10:$G$52="Default"),0)))</f>
        <v>8898</v>
      </c>
      <c r="N797" s="67">
        <f t="shared" si="25"/>
        <v>73497.48</v>
      </c>
      <c r="O797" s="66" t="str">
        <f t="shared" si="24"/>
        <v>MOS100744|PH003|CK6-33405</v>
      </c>
    </row>
    <row r="798" spans="1:15" ht="15" customHeight="1" x14ac:dyDescent="0.3">
      <c r="A798" s="70" t="s">
        <v>1477</v>
      </c>
      <c r="B798" s="70" t="s">
        <v>564</v>
      </c>
      <c r="C798" s="72">
        <v>46179</v>
      </c>
      <c r="D798" s="73" t="s">
        <v>370</v>
      </c>
      <c r="E798" s="76" t="str">
        <f>IFERROR(INDEX(M_User!$A$12:$J$67,MATCH(D798,M_User!$D$12:$D$67,0),3),"UNMAPPED")</f>
        <v>Zawadi Jastin Laizer</v>
      </c>
      <c r="F798" s="75" t="str">
        <f>IFERROR(INDEX(M_User!$A$12:$J$67,MATCH(D798,M_User!$D$12:$D$67,0),5),"UNMAPPED")</f>
        <v>MOS</v>
      </c>
      <c r="G798" s="73" t="s">
        <v>840</v>
      </c>
      <c r="H798" s="92" t="s">
        <v>841</v>
      </c>
      <c r="I798" s="73" t="s">
        <v>242</v>
      </c>
      <c r="J798" s="76" t="str">
        <f>IFERROR(INDEX(M_SKU!$A$18:$J$57,MATCH(I798,M_SKU!$B$18:$B$57,0),1),"UNKNOWN SKU")</f>
        <v>Stoney Tangawizi Pet 500 ml ( x12)</v>
      </c>
      <c r="K798" s="73" t="s">
        <v>525</v>
      </c>
      <c r="L798" s="276">
        <v>1</v>
      </c>
      <c r="M798" s="94" cm="1">
        <f t="array" ref="M798">IFERROR(INDEX(M_DepotPrice!$C$10:$C$52,MATCH(1,(M_DepotPrice!$A$10:$A$52=I798)*(M_DepotPrice!$H$10:$H$52=IFERROR(INDEX(M_Depot!$A$7:$A$24,MATCH(F798,M_Depot!$B$7:$B$24,0)),""))*(M_DepotPrice!$G$10:$G$52="Special"),0)),INDEX(M_DepotPrice!$C$10:$C$52,MATCH(1,(M_DepotPrice!$A$10:$A$52=I798)*(M_DepotPrice!$G$10:$G$52="Default"),0)))</f>
        <v>8898</v>
      </c>
      <c r="N798" s="95">
        <f t="shared" si="25"/>
        <v>10499.64</v>
      </c>
      <c r="O798" s="82" t="str">
        <f t="shared" si="24"/>
        <v>MOS100744|PH007|CK6-33375</v>
      </c>
    </row>
    <row r="799" spans="1:15" ht="15" customHeight="1" x14ac:dyDescent="0.3">
      <c r="A799" s="60" t="s">
        <v>1478</v>
      </c>
      <c r="B799" s="60" t="s">
        <v>564</v>
      </c>
      <c r="C799" s="62">
        <v>46179</v>
      </c>
      <c r="D799" s="63" t="s">
        <v>370</v>
      </c>
      <c r="E799" s="66" t="str">
        <f>IFERROR(INDEX(M_User!$A$12:$J$67,MATCH(D799,M_User!$D$12:$D$67,0),3),"UNMAPPED")</f>
        <v>Zawadi Jastin Laizer</v>
      </c>
      <c r="F799" s="65" t="str">
        <f>IFERROR(INDEX(M_User!$A$12:$J$67,MATCH(D799,M_User!$D$12:$D$67,0),5),"UNMAPPED")</f>
        <v>MOS</v>
      </c>
      <c r="G799" s="63" t="s">
        <v>840</v>
      </c>
      <c r="H799" s="69" t="s">
        <v>841</v>
      </c>
      <c r="I799" s="63" t="s">
        <v>254</v>
      </c>
      <c r="J799" s="66" t="str">
        <f>IFERROR(INDEX(M_SKU!$A$18:$J$57,MATCH(I799,M_SKU!$B$18:$B$57,0),1),"UNKNOWN SKU")</f>
        <v>Fanta Zero Pet 300ML (x 12)</v>
      </c>
      <c r="K799" s="63" t="s">
        <v>546</v>
      </c>
      <c r="L799" s="276">
        <v>1</v>
      </c>
      <c r="M799" s="91" cm="1">
        <f t="array" ref="M799">IFERROR(INDEX(M_DepotPrice!$C$10:$C$52,MATCH(1,(M_DepotPrice!$A$10:$A$52=I799)*(M_DepotPrice!$H$10:$H$52=IFERROR(INDEX(M_Depot!$A$7:$A$24,MATCH(F799,M_Depot!$B$7:$B$24,0)),""))*(M_DepotPrice!$G$10:$G$52="Special"),0)),INDEX(M_DepotPrice!$C$10:$C$52,MATCH(1,(M_DepotPrice!$A$10:$A$52=I799)*(M_DepotPrice!$G$10:$G$52="Default"),0)))</f>
        <v>5085</v>
      </c>
      <c r="N799" s="67">
        <f t="shared" si="25"/>
        <v>6000.2999999999993</v>
      </c>
      <c r="O799" s="66" t="str">
        <f t="shared" si="24"/>
        <v>MOS100744|PO012|CK5-33369</v>
      </c>
    </row>
    <row r="800" spans="1:15" ht="15" customHeight="1" x14ac:dyDescent="0.3">
      <c r="A800" s="70" t="s">
        <v>1479</v>
      </c>
      <c r="B800" s="70" t="s">
        <v>564</v>
      </c>
      <c r="C800" s="72">
        <v>46179</v>
      </c>
      <c r="D800" s="73" t="s">
        <v>370</v>
      </c>
      <c r="E800" s="76" t="str">
        <f>IFERROR(INDEX(M_User!$A$12:$J$67,MATCH(D800,M_User!$D$12:$D$67,0),3),"UNMAPPED")</f>
        <v>Zawadi Jastin Laizer</v>
      </c>
      <c r="F800" s="75" t="str">
        <f>IFERROR(INDEX(M_User!$A$12:$J$67,MATCH(D800,M_User!$D$12:$D$67,0),5),"UNMAPPED")</f>
        <v>MOS</v>
      </c>
      <c r="G800" s="73" t="s">
        <v>768</v>
      </c>
      <c r="H800" s="92" t="s">
        <v>769</v>
      </c>
      <c r="I800" s="73" t="s">
        <v>170</v>
      </c>
      <c r="J800" s="76" t="str">
        <f>IFERROR(INDEX(M_SKU!$A$18:$J$57,MATCH(I800,M_SKU!$B$18:$B$57,0),1),"UNKNOWN SKU")</f>
        <v>Coke RGB 350ml</v>
      </c>
      <c r="K800" s="73" t="s">
        <v>530</v>
      </c>
      <c r="L800" s="276">
        <v>12.120699999999999</v>
      </c>
      <c r="M800" s="94" cm="1">
        <f t="array" ref="M800">IFERROR(INDEX(M_DepotPrice!$C$10:$C$52,MATCH(1,(M_DepotPrice!$A$10:$A$52=I800)*(M_DepotPrice!$H$10:$H$52=IFERROR(INDEX(M_Depot!$A$7:$A$24,MATCH(F800,M_Depot!$B$7:$B$24,0)),""))*(M_DepotPrice!$G$10:$G$52="Special"),0)),INDEX(M_DepotPrice!$C$10:$C$52,MATCH(1,(M_DepotPrice!$A$10:$A$52=I800)*(M_DepotPrice!$G$10:$G$52="Default"),0)))</f>
        <v>11780</v>
      </c>
      <c r="N800" s="95">
        <f t="shared" si="25"/>
        <v>168482.57827999999</v>
      </c>
      <c r="O800" s="82" t="str">
        <f t="shared" si="24"/>
        <v>MOS100744|FG001|CK3-33409</v>
      </c>
    </row>
    <row r="801" spans="1:15" ht="15" customHeight="1" x14ac:dyDescent="0.3">
      <c r="A801" s="60" t="s">
        <v>1480</v>
      </c>
      <c r="B801" s="60" t="s">
        <v>564</v>
      </c>
      <c r="C801" s="62">
        <v>46179</v>
      </c>
      <c r="D801" s="63" t="s">
        <v>370</v>
      </c>
      <c r="E801" s="66" t="str">
        <f>IFERROR(INDEX(M_User!$A$12:$J$67,MATCH(D801,M_User!$D$12:$D$67,0),3),"UNMAPPED")</f>
        <v>Zawadi Jastin Laizer</v>
      </c>
      <c r="F801" s="65" t="str">
        <f>IFERROR(INDEX(M_User!$A$12:$J$67,MATCH(D801,M_User!$D$12:$D$67,0),5),"UNMAPPED")</f>
        <v>MOS</v>
      </c>
      <c r="G801" s="63" t="s">
        <v>768</v>
      </c>
      <c r="H801" s="69" t="s">
        <v>769</v>
      </c>
      <c r="I801" s="63" t="s">
        <v>178</v>
      </c>
      <c r="J801" s="66" t="str">
        <f>IFERROR(INDEX(M_SKU!$A$18:$J$57,MATCH(I801,M_SKU!$B$18:$B$57,0),1),"UNKNOWN SKU")</f>
        <v>Fanta Orange RGB 350ml</v>
      </c>
      <c r="K801" s="63" t="s">
        <v>531</v>
      </c>
      <c r="L801" s="276">
        <v>14.6662</v>
      </c>
      <c r="M801" s="91" cm="1">
        <f t="array" ref="M801">IFERROR(INDEX(M_DepotPrice!$C$10:$C$52,MATCH(1,(M_DepotPrice!$A$10:$A$52=I801)*(M_DepotPrice!$H$10:$H$52=IFERROR(INDEX(M_Depot!$A$7:$A$24,MATCH(F801,M_Depot!$B$7:$B$24,0)),""))*(M_DepotPrice!$G$10:$G$52="Special"),0)),INDEX(M_DepotPrice!$C$10:$C$52,MATCH(1,(M_DepotPrice!$A$10:$A$52=I801)*(M_DepotPrice!$G$10:$G$52="Default"),0)))</f>
        <v>11780</v>
      </c>
      <c r="N801" s="67">
        <f t="shared" si="25"/>
        <v>203866.04647999999</v>
      </c>
      <c r="O801" s="66" t="str">
        <f t="shared" si="24"/>
        <v>MOS100744|FG002|CK3-33407</v>
      </c>
    </row>
    <row r="802" spans="1:15" ht="15" customHeight="1" x14ac:dyDescent="0.3">
      <c r="A802" s="70" t="s">
        <v>1481</v>
      </c>
      <c r="B802" s="70" t="s">
        <v>564</v>
      </c>
      <c r="C802" s="72">
        <v>46179</v>
      </c>
      <c r="D802" s="73" t="s">
        <v>370</v>
      </c>
      <c r="E802" s="76" t="str">
        <f>IFERROR(INDEX(M_User!$A$12:$J$67,MATCH(D802,M_User!$D$12:$D$67,0),3),"UNMAPPED")</f>
        <v>Zawadi Jastin Laizer</v>
      </c>
      <c r="F802" s="75" t="str">
        <f>IFERROR(INDEX(M_User!$A$12:$J$67,MATCH(D802,M_User!$D$12:$D$67,0),5),"UNMAPPED")</f>
        <v>MOS</v>
      </c>
      <c r="G802" s="73" t="s">
        <v>768</v>
      </c>
      <c r="H802" s="92" t="s">
        <v>769</v>
      </c>
      <c r="I802" s="73" t="s">
        <v>185</v>
      </c>
      <c r="J802" s="76" t="str">
        <f>IFERROR(INDEX(M_SKU!$A$18:$J$57,MATCH(I802,M_SKU!$B$18:$B$57,0),1),"UNKNOWN SKU")</f>
        <v>Fanta Fruit Blast RGB 350 ml</v>
      </c>
      <c r="K802" s="73" t="s">
        <v>534</v>
      </c>
      <c r="L802" s="276">
        <v>1.2867</v>
      </c>
      <c r="M802" s="94" cm="1">
        <f t="array" ref="M802">IFERROR(INDEX(M_DepotPrice!$C$10:$C$52,MATCH(1,(M_DepotPrice!$A$10:$A$52=I802)*(M_DepotPrice!$H$10:$H$52=IFERROR(INDEX(M_Depot!$A$7:$A$24,MATCH(F802,M_Depot!$B$7:$B$24,0)),""))*(M_DepotPrice!$G$10:$G$52="Special"),0)),INDEX(M_DepotPrice!$C$10:$C$52,MATCH(1,(M_DepotPrice!$A$10:$A$52=I802)*(M_DepotPrice!$G$10:$G$52="Default"),0)))</f>
        <v>11780</v>
      </c>
      <c r="N802" s="95">
        <f t="shared" si="25"/>
        <v>17885.644679999998</v>
      </c>
      <c r="O802" s="82" t="str">
        <f t="shared" si="24"/>
        <v>MOS100744|FG005|CK3-33402</v>
      </c>
    </row>
    <row r="803" spans="1:15" ht="15" customHeight="1" x14ac:dyDescent="0.3">
      <c r="A803" s="60" t="s">
        <v>1482</v>
      </c>
      <c r="B803" s="60" t="s">
        <v>564</v>
      </c>
      <c r="C803" s="62">
        <v>46179</v>
      </c>
      <c r="D803" s="63" t="s">
        <v>370</v>
      </c>
      <c r="E803" s="66" t="str">
        <f>IFERROR(INDEX(M_User!$A$12:$J$67,MATCH(D803,M_User!$D$12:$D$67,0),3),"UNMAPPED")</f>
        <v>Zawadi Jastin Laizer</v>
      </c>
      <c r="F803" s="65" t="str">
        <f>IFERROR(INDEX(M_User!$A$12:$J$67,MATCH(D803,M_User!$D$12:$D$67,0),5),"UNMAPPED")</f>
        <v>MOS</v>
      </c>
      <c r="G803" s="63" t="s">
        <v>768</v>
      </c>
      <c r="H803" s="69" t="s">
        <v>769</v>
      </c>
      <c r="I803" s="63" t="s">
        <v>187</v>
      </c>
      <c r="J803" s="66" t="str">
        <f>IFERROR(INDEX(M_SKU!$A$18:$J$57,MATCH(I803,M_SKU!$B$18:$B$57,0),1),"UNKNOWN SKU")</f>
        <v>Sprite 350ml</v>
      </c>
      <c r="K803" s="63" t="s">
        <v>535</v>
      </c>
      <c r="L803" s="276">
        <v>3.30084761158734</v>
      </c>
      <c r="M803" s="91" cm="1">
        <f t="array" ref="M803">IFERROR(INDEX(M_DepotPrice!$C$10:$C$52,MATCH(1,(M_DepotPrice!$A$10:$A$52=I803)*(M_DepotPrice!$H$10:$H$52=IFERROR(INDEX(M_Depot!$A$7:$A$24,MATCH(F803,M_Depot!$B$7:$B$24,0)),""))*(M_DepotPrice!$G$10:$G$52="Special"),0)),INDEX(M_DepotPrice!$C$10:$C$52,MATCH(1,(M_DepotPrice!$A$10:$A$52=I803)*(M_DepotPrice!$G$10:$G$52="Default"),0)))</f>
        <v>11780</v>
      </c>
      <c r="N803" s="67">
        <f t="shared" si="25"/>
        <v>45883.102140108662</v>
      </c>
      <c r="O803" s="66" t="str">
        <f t="shared" si="24"/>
        <v>MOS100744|FG006|CK3-33414</v>
      </c>
    </row>
    <row r="804" spans="1:15" ht="15" customHeight="1" x14ac:dyDescent="0.3">
      <c r="A804" s="70" t="s">
        <v>1483</v>
      </c>
      <c r="B804" s="70" t="s">
        <v>564</v>
      </c>
      <c r="C804" s="72">
        <v>46179</v>
      </c>
      <c r="D804" s="73" t="s">
        <v>370</v>
      </c>
      <c r="E804" s="76" t="str">
        <f>IFERROR(INDEX(M_User!$A$12:$J$67,MATCH(D804,M_User!$D$12:$D$67,0),3),"UNMAPPED")</f>
        <v>Zawadi Jastin Laizer</v>
      </c>
      <c r="F804" s="75" t="str">
        <f>IFERROR(INDEX(M_User!$A$12:$J$67,MATCH(D804,M_User!$D$12:$D$67,0),5),"UNMAPPED")</f>
        <v>MOS</v>
      </c>
      <c r="G804" s="73" t="s">
        <v>768</v>
      </c>
      <c r="H804" s="92" t="s">
        <v>769</v>
      </c>
      <c r="I804" s="73" t="s">
        <v>190</v>
      </c>
      <c r="J804" s="76" t="str">
        <f>IFERROR(INDEX(M_SKU!$A$18:$J$57,MATCH(I804,M_SKU!$B$18:$B$57,0),1),"UNKNOWN SKU")</f>
        <v>Stoney Tangawizi RGB 350ml</v>
      </c>
      <c r="K804" s="73" t="s">
        <v>536</v>
      </c>
      <c r="L804" s="276">
        <v>1.2514000000000001</v>
      </c>
      <c r="M804" s="94" cm="1">
        <f t="array" ref="M804">IFERROR(INDEX(M_DepotPrice!$C$10:$C$52,MATCH(1,(M_DepotPrice!$A$10:$A$52=I804)*(M_DepotPrice!$H$10:$H$52=IFERROR(INDEX(M_Depot!$A$7:$A$24,MATCH(F804,M_Depot!$B$7:$B$24,0)),""))*(M_DepotPrice!$G$10:$G$52="Special"),0)),INDEX(M_DepotPrice!$C$10:$C$52,MATCH(1,(M_DepotPrice!$A$10:$A$52=I804)*(M_DepotPrice!$G$10:$G$52="Default"),0)))</f>
        <v>11780</v>
      </c>
      <c r="N804" s="95">
        <f t="shared" si="25"/>
        <v>17394.96056</v>
      </c>
      <c r="O804" s="82" t="str">
        <f t="shared" si="24"/>
        <v>MOS100744|FG007|CK3-33404</v>
      </c>
    </row>
    <row r="805" spans="1:15" ht="15" customHeight="1" x14ac:dyDescent="0.3">
      <c r="A805" s="60" t="s">
        <v>1484</v>
      </c>
      <c r="B805" s="60" t="s">
        <v>564</v>
      </c>
      <c r="C805" s="62">
        <v>46179</v>
      </c>
      <c r="D805" s="63" t="s">
        <v>370</v>
      </c>
      <c r="E805" s="66" t="str">
        <f>IFERROR(INDEX(M_User!$A$12:$J$67,MATCH(D805,M_User!$D$12:$D$67,0),3),"UNMAPPED")</f>
        <v>Zawadi Jastin Laizer</v>
      </c>
      <c r="F805" s="65" t="str">
        <f>IFERROR(INDEX(M_User!$A$12:$J$67,MATCH(D805,M_User!$D$12:$D$67,0),5),"UNMAPPED")</f>
        <v>MOS</v>
      </c>
      <c r="G805" s="63" t="s">
        <v>768</v>
      </c>
      <c r="H805" s="69" t="s">
        <v>769</v>
      </c>
      <c r="I805" s="63" t="s">
        <v>196</v>
      </c>
      <c r="J805" s="66" t="str">
        <f>IFERROR(INDEX(M_SKU!$A$18:$J$57,MATCH(I805,M_SKU!$B$18:$B$57,0),1),"UNKNOWN SKU")</f>
        <v>Krest Bitter Lemon RGB 300ml</v>
      </c>
      <c r="K805" s="63" t="s">
        <v>538</v>
      </c>
      <c r="L805" s="276">
        <v>0.73720371987625899</v>
      </c>
      <c r="M805" s="91" cm="1">
        <f t="array" ref="M805">IFERROR(INDEX(M_DepotPrice!$C$10:$C$52,MATCH(1,(M_DepotPrice!$A$10:$A$52=I805)*(M_DepotPrice!$H$10:$H$52=IFERROR(INDEX(M_Depot!$A$7:$A$24,MATCH(F805,M_Depot!$B$7:$B$24,0)),""))*(M_DepotPrice!$G$10:$G$52="Special"),0)),INDEX(M_DepotPrice!$C$10:$C$52,MATCH(1,(M_DepotPrice!$A$10:$A$52=I805)*(M_DepotPrice!$G$10:$G$52="Default"),0)))</f>
        <v>11780</v>
      </c>
      <c r="N805" s="67">
        <f t="shared" si="25"/>
        <v>10247.42658776795</v>
      </c>
      <c r="O805" s="66" t="str">
        <f t="shared" si="24"/>
        <v>MOS100744|FG009|CK3-33348</v>
      </c>
    </row>
    <row r="806" spans="1:15" ht="15" customHeight="1" x14ac:dyDescent="0.3">
      <c r="A806" s="70" t="s">
        <v>1485</v>
      </c>
      <c r="B806" s="70" t="s">
        <v>564</v>
      </c>
      <c r="C806" s="72">
        <v>46179</v>
      </c>
      <c r="D806" s="73" t="s">
        <v>370</v>
      </c>
      <c r="E806" s="76" t="str">
        <f>IFERROR(INDEX(M_User!$A$12:$J$67,MATCH(D806,M_User!$D$12:$D$67,0),3),"UNMAPPED")</f>
        <v>Zawadi Jastin Laizer</v>
      </c>
      <c r="F806" s="75" t="str">
        <f>IFERROR(INDEX(M_User!$A$12:$J$67,MATCH(D806,M_User!$D$12:$D$67,0),5),"UNMAPPED")</f>
        <v>MOS</v>
      </c>
      <c r="G806" s="73" t="s">
        <v>768</v>
      </c>
      <c r="H806" s="92" t="s">
        <v>769</v>
      </c>
      <c r="I806" s="73" t="s">
        <v>199</v>
      </c>
      <c r="J806" s="76" t="str">
        <f>IFERROR(INDEX(M_SKU!$A$18:$J$57,MATCH(I806,M_SKU!$B$18:$B$57,0),1),"UNKNOWN SKU")</f>
        <v>Krest Club Soda RGB 300ml</v>
      </c>
      <c r="K806" s="73" t="s">
        <v>539</v>
      </c>
      <c r="L806" s="276">
        <v>0.57230000000000003</v>
      </c>
      <c r="M806" s="94" cm="1">
        <f t="array" ref="M806">IFERROR(INDEX(M_DepotPrice!$C$10:$C$52,MATCH(1,(M_DepotPrice!$A$10:$A$52=I806)*(M_DepotPrice!$H$10:$H$52=IFERROR(INDEX(M_Depot!$A$7:$A$24,MATCH(F806,M_Depot!$B$7:$B$24,0)),""))*(M_DepotPrice!$G$10:$G$52="Special"),0)),INDEX(M_DepotPrice!$C$10:$C$52,MATCH(1,(M_DepotPrice!$A$10:$A$52=I806)*(M_DepotPrice!$G$10:$G$52="Default"),0)))</f>
        <v>11780</v>
      </c>
      <c r="N806" s="95">
        <f t="shared" si="25"/>
        <v>7955.1989199999998</v>
      </c>
      <c r="O806" s="82" t="str">
        <f t="shared" si="24"/>
        <v>MOS100744|FG010|CK3-33301</v>
      </c>
    </row>
    <row r="807" spans="1:15" ht="15" customHeight="1" x14ac:dyDescent="0.3">
      <c r="A807" s="60" t="s">
        <v>1486</v>
      </c>
      <c r="B807" s="60" t="s">
        <v>564</v>
      </c>
      <c r="C807" s="62">
        <v>46179</v>
      </c>
      <c r="D807" s="63" t="s">
        <v>370</v>
      </c>
      <c r="E807" s="66" t="str">
        <f>IFERROR(INDEX(M_User!$A$12:$J$67,MATCH(D807,M_User!$D$12:$D$67,0),3),"UNMAPPED")</f>
        <v>Zawadi Jastin Laizer</v>
      </c>
      <c r="F807" s="65" t="str">
        <f>IFERROR(INDEX(M_User!$A$12:$J$67,MATCH(D807,M_User!$D$12:$D$67,0),5),"UNMAPPED")</f>
        <v>MOS</v>
      </c>
      <c r="G807" s="63" t="s">
        <v>768</v>
      </c>
      <c r="H807" s="69" t="s">
        <v>769</v>
      </c>
      <c r="I807" s="63" t="s">
        <v>201</v>
      </c>
      <c r="J807" s="66" t="str">
        <f>IFERROR(INDEX(M_SKU!$A$18:$J$57,MATCH(I807,M_SKU!$B$18:$B$57,0),1),"UNKNOWN SKU")</f>
        <v>Krest Tonic Water RGB 300ml</v>
      </c>
      <c r="K807" s="63" t="s">
        <v>540</v>
      </c>
      <c r="L807" s="276">
        <v>0.90792878534270305</v>
      </c>
      <c r="M807" s="91" cm="1">
        <f t="array" ref="M807">IFERROR(INDEX(M_DepotPrice!$C$10:$C$52,MATCH(1,(M_DepotPrice!$A$10:$A$52=I807)*(M_DepotPrice!$H$10:$H$52=IFERROR(INDEX(M_Depot!$A$7:$A$24,MATCH(F807,M_Depot!$B$7:$B$24,0)),""))*(M_DepotPrice!$G$10:$G$52="Special"),0)),INDEX(M_DepotPrice!$C$10:$C$52,MATCH(1,(M_DepotPrice!$A$10:$A$52=I807)*(M_DepotPrice!$G$10:$G$52="Default"),0)))</f>
        <v>11780</v>
      </c>
      <c r="N807" s="67">
        <f t="shared" si="25"/>
        <v>12620.573287777708</v>
      </c>
      <c r="O807" s="66" t="str">
        <f t="shared" si="24"/>
        <v>MOS100744|FG011|CK3-33347</v>
      </c>
    </row>
    <row r="808" spans="1:15" ht="15" customHeight="1" x14ac:dyDescent="0.3">
      <c r="A808" s="70" t="s">
        <v>1487</v>
      </c>
      <c r="B808" s="70" t="s">
        <v>564</v>
      </c>
      <c r="C808" s="72">
        <v>46179</v>
      </c>
      <c r="D808" s="73" t="s">
        <v>370</v>
      </c>
      <c r="E808" s="76" t="str">
        <f>IFERROR(INDEX(M_User!$A$12:$J$67,MATCH(D808,M_User!$D$12:$D$67,0),3),"UNMAPPED")</f>
        <v>Zawadi Jastin Laizer</v>
      </c>
      <c r="F808" s="75" t="str">
        <f>IFERROR(INDEX(M_User!$A$12:$J$67,MATCH(D808,M_User!$D$12:$D$67,0),5),"UNMAPPED")</f>
        <v>MOS</v>
      </c>
      <c r="G808" s="73" t="s">
        <v>768</v>
      </c>
      <c r="H808" s="92" t="s">
        <v>769</v>
      </c>
      <c r="I808" s="73" t="s">
        <v>203</v>
      </c>
      <c r="J808" s="76" t="str">
        <f>IFERROR(INDEX(M_SKU!$A$18:$J$57,MATCH(I808,M_SKU!$B$18:$B$57,0),1),"UNKNOWN SKU")</f>
        <v>Krest Ginger Ale RGB 300ml</v>
      </c>
      <c r="K808" s="73" t="s">
        <v>541</v>
      </c>
      <c r="L808" s="276">
        <v>1.0846</v>
      </c>
      <c r="M808" s="94" cm="1">
        <f t="array" ref="M808">IFERROR(INDEX(M_DepotPrice!$C$10:$C$52,MATCH(1,(M_DepotPrice!$A$10:$A$52=I808)*(M_DepotPrice!$H$10:$H$52=IFERROR(INDEX(M_Depot!$A$7:$A$24,MATCH(F808,M_Depot!$B$7:$B$24,0)),""))*(M_DepotPrice!$G$10:$G$52="Special"),0)),INDEX(M_DepotPrice!$C$10:$C$52,MATCH(1,(M_DepotPrice!$A$10:$A$52=I808)*(M_DepotPrice!$G$10:$G$52="Default"),0)))</f>
        <v>11780</v>
      </c>
      <c r="N808" s="95">
        <f t="shared" si="25"/>
        <v>15076.373839999998</v>
      </c>
      <c r="O808" s="82" t="str">
        <f t="shared" si="24"/>
        <v>MOS100744|FG012|CK3-33126</v>
      </c>
    </row>
    <row r="809" spans="1:15" ht="15" customHeight="1" x14ac:dyDescent="0.3">
      <c r="A809" s="60" t="s">
        <v>1488</v>
      </c>
      <c r="B809" s="60" t="s">
        <v>564</v>
      </c>
      <c r="C809" s="62">
        <v>46179</v>
      </c>
      <c r="D809" s="63" t="s">
        <v>370</v>
      </c>
      <c r="E809" s="66" t="str">
        <f>IFERROR(INDEX(M_User!$A$12:$J$67,MATCH(D809,M_User!$D$12:$D$67,0),3),"UNMAPPED")</f>
        <v>Zawadi Jastin Laizer</v>
      </c>
      <c r="F809" s="65" t="str">
        <f>IFERROR(INDEX(M_User!$A$12:$J$67,MATCH(D809,M_User!$D$12:$D$67,0),5),"UNMAPPED")</f>
        <v>MOS</v>
      </c>
      <c r="G809" s="63" t="s">
        <v>768</v>
      </c>
      <c r="H809" s="69" t="s">
        <v>769</v>
      </c>
      <c r="I809" s="63" t="s">
        <v>211</v>
      </c>
      <c r="J809" s="66" t="str">
        <f>IFERROR(INDEX(M_SKU!$A$18:$J$57,MATCH(I809,M_SKU!$B$18:$B$57,0),1),"UNKNOWN SKU")</f>
        <v>KNMW 500ml</v>
      </c>
      <c r="K809" s="63" t="s">
        <v>543</v>
      </c>
      <c r="L809" s="276">
        <v>17</v>
      </c>
      <c r="M809" s="91" cm="1">
        <f t="array" ref="M809">IFERROR(INDEX(M_DepotPrice!$C$10:$C$52,MATCH(1,(M_DepotPrice!$A$10:$A$52=I809)*(M_DepotPrice!$H$10:$H$52=IFERROR(INDEX(M_Depot!$A$7:$A$24,MATCH(F809,M_Depot!$B$7:$B$24,0)),""))*(M_DepotPrice!$G$10:$G$52="Special"),0)),INDEX(M_DepotPrice!$C$10:$C$52,MATCH(1,(M_DepotPrice!$A$10:$A$52=I809)*(M_DepotPrice!$G$10:$G$52="Default"),0)))</f>
        <v>3559</v>
      </c>
      <c r="N809" s="67">
        <f t="shared" si="25"/>
        <v>71393.539999999994</v>
      </c>
      <c r="O809" s="66" t="str">
        <f t="shared" si="24"/>
        <v>MOS100744|KD001|CK6-986</v>
      </c>
    </row>
    <row r="810" spans="1:15" ht="15" customHeight="1" x14ac:dyDescent="0.3">
      <c r="A810" s="70" t="s">
        <v>1489</v>
      </c>
      <c r="B810" s="70" t="s">
        <v>564</v>
      </c>
      <c r="C810" s="72">
        <v>46179</v>
      </c>
      <c r="D810" s="73" t="s">
        <v>370</v>
      </c>
      <c r="E810" s="76" t="str">
        <f>IFERROR(INDEX(M_User!$A$12:$J$67,MATCH(D810,M_User!$D$12:$D$67,0),3),"UNMAPPED")</f>
        <v>Zawadi Jastin Laizer</v>
      </c>
      <c r="F810" s="75" t="str">
        <f>IFERROR(INDEX(M_User!$A$12:$J$67,MATCH(D810,M_User!$D$12:$D$67,0),5),"UNMAPPED")</f>
        <v>MOS</v>
      </c>
      <c r="G810" s="73" t="s">
        <v>768</v>
      </c>
      <c r="H810" s="92" t="s">
        <v>769</v>
      </c>
      <c r="I810" s="73" t="s">
        <v>217</v>
      </c>
      <c r="J810" s="76" t="str">
        <f>IFERROR(INDEX(M_SKU!$A$18:$J$57,MATCH(I810,M_SKU!$B$18:$B$57,0),1),"UNKNOWN SKU")</f>
        <v>KNMW 1500ml</v>
      </c>
      <c r="K810" s="73" t="s">
        <v>551</v>
      </c>
      <c r="L810" s="276">
        <v>39</v>
      </c>
      <c r="M810" s="94" cm="1">
        <f t="array" ref="M810">IFERROR(INDEX(M_DepotPrice!$C$10:$C$52,MATCH(1,(M_DepotPrice!$A$10:$A$52=I810)*(M_DepotPrice!$H$10:$H$52=IFERROR(INDEX(M_Depot!$A$7:$A$24,MATCH(F810,M_Depot!$B$7:$B$24,0)),""))*(M_DepotPrice!$G$10:$G$52="Special"),0)),INDEX(M_DepotPrice!$C$10:$C$52,MATCH(1,(M_DepotPrice!$A$10:$A$52=I810)*(M_DepotPrice!$G$10:$G$52="Default"),0)))</f>
        <v>3983</v>
      </c>
      <c r="N810" s="95">
        <f t="shared" si="25"/>
        <v>183297.66</v>
      </c>
      <c r="O810" s="82" t="str">
        <f t="shared" si="24"/>
        <v>MOS100744|KD003|CK4-842</v>
      </c>
    </row>
    <row r="811" spans="1:15" ht="15" customHeight="1" x14ac:dyDescent="0.3">
      <c r="A811" s="60" t="s">
        <v>1490</v>
      </c>
      <c r="B811" s="60" t="s">
        <v>564</v>
      </c>
      <c r="C811" s="62">
        <v>46179</v>
      </c>
      <c r="D811" s="63" t="s">
        <v>370</v>
      </c>
      <c r="E811" s="66" t="str">
        <f>IFERROR(INDEX(M_User!$A$12:$J$67,MATCH(D811,M_User!$D$12:$D$67,0),3),"UNMAPPED")</f>
        <v>Zawadi Jastin Laizer</v>
      </c>
      <c r="F811" s="65" t="str">
        <f>IFERROR(INDEX(M_User!$A$12:$J$67,MATCH(D811,M_User!$D$12:$D$67,0),5),"UNMAPPED")</f>
        <v>MOS</v>
      </c>
      <c r="G811" s="63" t="s">
        <v>768</v>
      </c>
      <c r="H811" s="69" t="s">
        <v>769</v>
      </c>
      <c r="I811" s="63" t="s">
        <v>222</v>
      </c>
      <c r="J811" s="66" t="str">
        <f>IFERROR(INDEX(M_SKU!$A$18:$J$57,MATCH(I811,M_SKU!$B$18:$B$57,0),1),"UNKNOWN SKU")</f>
        <v>Kilimanjaro Drinking Water 12000 ML</v>
      </c>
      <c r="K811" s="63" t="s">
        <v>566</v>
      </c>
      <c r="L811" s="276">
        <v>1</v>
      </c>
      <c r="M811" s="91" cm="1">
        <f t="array" ref="M811">IFERROR(INDEX(M_DepotPrice!$C$10:$C$52,MATCH(1,(M_DepotPrice!$A$10:$A$52=I811)*(M_DepotPrice!$H$10:$H$52=IFERROR(INDEX(M_Depot!$A$7:$A$24,MATCH(F811,M_Depot!$B$7:$B$24,0)),""))*(M_DepotPrice!$G$10:$G$52="Special"),0)),INDEX(M_DepotPrice!$C$10:$C$52,MATCH(1,(M_DepotPrice!$A$10:$A$52=I811)*(M_DepotPrice!$G$10:$G$52="Default"),0)))</f>
        <v>3559</v>
      </c>
      <c r="N811" s="67">
        <f t="shared" si="25"/>
        <v>4199.62</v>
      </c>
      <c r="O811" s="66" t="str">
        <f t="shared" si="24"/>
        <v>MOS100744|KD005|CK7-913</v>
      </c>
    </row>
    <row r="812" spans="1:15" ht="15" customHeight="1" x14ac:dyDescent="0.3">
      <c r="A812" s="70" t="s">
        <v>1491</v>
      </c>
      <c r="B812" s="70" t="s">
        <v>564</v>
      </c>
      <c r="C812" s="72">
        <v>46179</v>
      </c>
      <c r="D812" s="73" t="s">
        <v>370</v>
      </c>
      <c r="E812" s="76" t="str">
        <f>IFERROR(INDEX(M_User!$A$12:$J$67,MATCH(D812,M_User!$D$12:$D$67,0),3),"UNMAPPED")</f>
        <v>Zawadi Jastin Laizer</v>
      </c>
      <c r="F812" s="75" t="str">
        <f>IFERROR(INDEX(M_User!$A$12:$J$67,MATCH(D812,M_User!$D$12:$D$67,0),5),"UNMAPPED")</f>
        <v>MOS</v>
      </c>
      <c r="G812" s="73" t="s">
        <v>768</v>
      </c>
      <c r="H812" s="92" t="s">
        <v>769</v>
      </c>
      <c r="I812" s="73" t="s">
        <v>225</v>
      </c>
      <c r="J812" s="76" t="str">
        <f>IFERROR(INDEX(M_SKU!$A$18:$J$57,MATCH(I812,M_SKU!$B$18:$B$57,0),1),"UNKNOWN SKU")</f>
        <v>Kilimanjaro Drinking Water 18900 ML</v>
      </c>
      <c r="K812" s="73" t="s">
        <v>567</v>
      </c>
      <c r="L812" s="276">
        <v>3</v>
      </c>
      <c r="M812" s="94" cm="1">
        <f t="array" ref="M812">IFERROR(INDEX(M_DepotPrice!$C$10:$C$52,MATCH(1,(M_DepotPrice!$A$10:$A$52=I812)*(M_DepotPrice!$H$10:$H$52=IFERROR(INDEX(M_Depot!$A$7:$A$24,MATCH(F812,M_Depot!$B$7:$B$24,0)),""))*(M_DepotPrice!$G$10:$G$52="Special"),0)),INDEX(M_DepotPrice!$C$10:$C$52,MATCH(1,(M_DepotPrice!$A$10:$A$52=I812)*(M_DepotPrice!$G$10:$G$52="Default"),0)))</f>
        <v>5932</v>
      </c>
      <c r="N812" s="95">
        <f t="shared" si="25"/>
        <v>20999.279999999999</v>
      </c>
      <c r="O812" s="82" t="str">
        <f t="shared" si="24"/>
        <v>MOS100744|KD006|CK7-915</v>
      </c>
    </row>
    <row r="813" spans="1:15" ht="15" customHeight="1" x14ac:dyDescent="0.3">
      <c r="A813" s="60" t="s">
        <v>1492</v>
      </c>
      <c r="B813" s="60" t="s">
        <v>564</v>
      </c>
      <c r="C813" s="62">
        <v>46179</v>
      </c>
      <c r="D813" s="63" t="s">
        <v>370</v>
      </c>
      <c r="E813" s="66" t="str">
        <f>IFERROR(INDEX(M_User!$A$12:$J$67,MATCH(D813,M_User!$D$12:$D$67,0),3),"UNMAPPED")</f>
        <v>Zawadi Jastin Laizer</v>
      </c>
      <c r="F813" s="65" t="str">
        <f>IFERROR(INDEX(M_User!$A$12:$J$67,MATCH(D813,M_User!$D$12:$D$67,0),5),"UNMAPPED")</f>
        <v>MOS</v>
      </c>
      <c r="G813" s="63" t="s">
        <v>768</v>
      </c>
      <c r="H813" s="69" t="s">
        <v>769</v>
      </c>
      <c r="I813" s="63" t="s">
        <v>234</v>
      </c>
      <c r="J813" s="66" t="str">
        <f>IFERROR(INDEX(M_SKU!$A$18:$J$57,MATCH(I813,M_SKU!$B$18:$B$57,0),1),"UNKNOWN SKU")</f>
        <v>Fanta Orange Pet 500ML ( x 12)</v>
      </c>
      <c r="K813" s="63" t="s">
        <v>523</v>
      </c>
      <c r="L813" s="276">
        <v>4</v>
      </c>
      <c r="M813" s="91" cm="1">
        <f t="array" ref="M813">IFERROR(INDEX(M_DepotPrice!$C$10:$C$52,MATCH(1,(M_DepotPrice!$A$10:$A$52=I813)*(M_DepotPrice!$H$10:$H$52=IFERROR(INDEX(M_Depot!$A$7:$A$24,MATCH(F813,M_Depot!$B$7:$B$24,0)),""))*(M_DepotPrice!$G$10:$G$52="Special"),0)),INDEX(M_DepotPrice!$C$10:$C$52,MATCH(1,(M_DepotPrice!$A$10:$A$52=I813)*(M_DepotPrice!$G$10:$G$52="Default"),0)))</f>
        <v>8898</v>
      </c>
      <c r="N813" s="67">
        <f t="shared" si="25"/>
        <v>41998.559999999998</v>
      </c>
      <c r="O813" s="66" t="str">
        <f t="shared" si="24"/>
        <v>MOS100744|PH003|CK6-33405</v>
      </c>
    </row>
    <row r="814" spans="1:15" ht="15" customHeight="1" x14ac:dyDescent="0.3">
      <c r="A814" s="70" t="s">
        <v>1493</v>
      </c>
      <c r="B814" s="70" t="s">
        <v>564</v>
      </c>
      <c r="C814" s="72">
        <v>46179</v>
      </c>
      <c r="D814" s="73" t="s">
        <v>370</v>
      </c>
      <c r="E814" s="76" t="str">
        <f>IFERROR(INDEX(M_User!$A$12:$J$67,MATCH(D814,M_User!$D$12:$D$67,0),3),"UNMAPPED")</f>
        <v>Zawadi Jastin Laizer</v>
      </c>
      <c r="F814" s="75" t="str">
        <f>IFERROR(INDEX(M_User!$A$12:$J$67,MATCH(D814,M_User!$D$12:$D$67,0),5),"UNMAPPED")</f>
        <v>MOS</v>
      </c>
      <c r="G814" s="73" t="s">
        <v>768</v>
      </c>
      <c r="H814" s="92" t="s">
        <v>769</v>
      </c>
      <c r="I814" s="73" t="s">
        <v>236</v>
      </c>
      <c r="J814" s="76" t="str">
        <f>IFERROR(INDEX(M_SKU!$A$18:$J$57,MATCH(I814,M_SKU!$B$18:$B$57,0),1),"UNKNOWN SKU")</f>
        <v>Fanta Passion Pet 500ML ( x12)</v>
      </c>
      <c r="K814" s="73" t="s">
        <v>524</v>
      </c>
      <c r="L814" s="276">
        <v>2</v>
      </c>
      <c r="M814" s="94" cm="1">
        <f t="array" ref="M814">IFERROR(INDEX(M_DepotPrice!$C$10:$C$52,MATCH(1,(M_DepotPrice!$A$10:$A$52=I814)*(M_DepotPrice!$H$10:$H$52=IFERROR(INDEX(M_Depot!$A$7:$A$24,MATCH(F814,M_Depot!$B$7:$B$24,0)),""))*(M_DepotPrice!$G$10:$G$52="Special"),0)),INDEX(M_DepotPrice!$C$10:$C$52,MATCH(1,(M_DepotPrice!$A$10:$A$52=I814)*(M_DepotPrice!$G$10:$G$52="Default"),0)))</f>
        <v>8898</v>
      </c>
      <c r="N814" s="95">
        <f t="shared" si="25"/>
        <v>20999.279999999999</v>
      </c>
      <c r="O814" s="82" t="str">
        <f t="shared" si="24"/>
        <v>MOS100744|PH004|CK5-33334</v>
      </c>
    </row>
    <row r="815" spans="1:15" ht="15" customHeight="1" x14ac:dyDescent="0.3">
      <c r="A815" s="60" t="s">
        <v>1494</v>
      </c>
      <c r="B815" s="60" t="s">
        <v>564</v>
      </c>
      <c r="C815" s="62">
        <v>46179</v>
      </c>
      <c r="D815" s="63" t="s">
        <v>370</v>
      </c>
      <c r="E815" s="66" t="str">
        <f>IFERROR(INDEX(M_User!$A$12:$J$67,MATCH(D815,M_User!$D$12:$D$67,0),3),"UNMAPPED")</f>
        <v>Zawadi Jastin Laizer</v>
      </c>
      <c r="F815" s="65" t="str">
        <f>IFERROR(INDEX(M_User!$A$12:$J$67,MATCH(D815,M_User!$D$12:$D$67,0),5),"UNMAPPED")</f>
        <v>MOS</v>
      </c>
      <c r="G815" s="63" t="s">
        <v>768</v>
      </c>
      <c r="H815" s="69" t="s">
        <v>769</v>
      </c>
      <c r="I815" s="63" t="s">
        <v>244</v>
      </c>
      <c r="J815" s="66" t="str">
        <f>IFERROR(INDEX(M_SKU!$A$18:$J$57,MATCH(I815,M_SKU!$B$18:$B$57,0),1),"UNKNOWN SKU")</f>
        <v>Sparletta Pinenut Pet 500 ml ( x12)</v>
      </c>
      <c r="K815" s="63" t="s">
        <v>526</v>
      </c>
      <c r="L815" s="276">
        <v>1</v>
      </c>
      <c r="M815" s="91" cm="1">
        <f t="array" ref="M815">IFERROR(INDEX(M_DepotPrice!$C$10:$C$52,MATCH(1,(M_DepotPrice!$A$10:$A$52=I815)*(M_DepotPrice!$H$10:$H$52=IFERROR(INDEX(M_Depot!$A$7:$A$24,MATCH(F815,M_Depot!$B$7:$B$24,0)),""))*(M_DepotPrice!$G$10:$G$52="Special"),0)),INDEX(M_DepotPrice!$C$10:$C$52,MATCH(1,(M_DepotPrice!$A$10:$A$52=I815)*(M_DepotPrice!$G$10:$G$52="Default"),0)))</f>
        <v>8898</v>
      </c>
      <c r="N815" s="67">
        <f t="shared" si="25"/>
        <v>10499.64</v>
      </c>
      <c r="O815" s="66" t="str">
        <f t="shared" si="24"/>
        <v>MOS100744|PH008|CK5-33370</v>
      </c>
    </row>
    <row r="816" spans="1:15" ht="15" customHeight="1" x14ac:dyDescent="0.3">
      <c r="A816" s="70" t="s">
        <v>1495</v>
      </c>
      <c r="B816" s="70" t="s">
        <v>564</v>
      </c>
      <c r="C816" s="72">
        <v>46179</v>
      </c>
      <c r="D816" s="73" t="s">
        <v>370</v>
      </c>
      <c r="E816" s="76" t="str">
        <f>IFERROR(INDEX(M_User!$A$12:$J$67,MATCH(D816,M_User!$D$12:$D$67,0),3),"UNMAPPED")</f>
        <v>Zawadi Jastin Laizer</v>
      </c>
      <c r="F816" s="75" t="str">
        <f>IFERROR(INDEX(M_User!$A$12:$J$67,MATCH(D816,M_User!$D$12:$D$67,0),5),"UNMAPPED")</f>
        <v>MOS</v>
      </c>
      <c r="G816" s="73" t="s">
        <v>768</v>
      </c>
      <c r="H816" s="92" t="s">
        <v>769</v>
      </c>
      <c r="I816" s="73" t="s">
        <v>254</v>
      </c>
      <c r="J816" s="76" t="str">
        <f>IFERROR(INDEX(M_SKU!$A$18:$J$57,MATCH(I816,M_SKU!$B$18:$B$57,0),1),"UNKNOWN SKU")</f>
        <v>Fanta Zero Pet 300ML (x 12)</v>
      </c>
      <c r="K816" s="73" t="s">
        <v>546</v>
      </c>
      <c r="L816" s="276">
        <v>1</v>
      </c>
      <c r="M816" s="94" cm="1">
        <f t="array" ref="M816">IFERROR(INDEX(M_DepotPrice!$C$10:$C$52,MATCH(1,(M_DepotPrice!$A$10:$A$52=I816)*(M_DepotPrice!$H$10:$H$52=IFERROR(INDEX(M_Depot!$A$7:$A$24,MATCH(F816,M_Depot!$B$7:$B$24,0)),""))*(M_DepotPrice!$G$10:$G$52="Special"),0)),INDEX(M_DepotPrice!$C$10:$C$52,MATCH(1,(M_DepotPrice!$A$10:$A$52=I816)*(M_DepotPrice!$G$10:$G$52="Default"),0)))</f>
        <v>5085</v>
      </c>
      <c r="N816" s="95">
        <f t="shared" si="25"/>
        <v>6000.2999999999993</v>
      </c>
      <c r="O816" s="82" t="str">
        <f t="shared" si="24"/>
        <v>MOS100744|PO012|CK5-33369</v>
      </c>
    </row>
    <row r="817" spans="1:15" ht="15" customHeight="1" x14ac:dyDescent="0.3">
      <c r="A817" s="60" t="s">
        <v>1496</v>
      </c>
      <c r="B817" s="60" t="s">
        <v>564</v>
      </c>
      <c r="C817" s="62">
        <v>46179</v>
      </c>
      <c r="D817" s="63" t="s">
        <v>370</v>
      </c>
      <c r="E817" s="66" t="str">
        <f>IFERROR(INDEX(M_User!$A$12:$J$67,MATCH(D817,M_User!$D$12:$D$67,0),3),"UNMAPPED")</f>
        <v>Zawadi Jastin Laizer</v>
      </c>
      <c r="F817" s="65" t="str">
        <f>IFERROR(INDEX(M_User!$A$12:$J$67,MATCH(D817,M_User!$D$12:$D$67,0),5),"UNMAPPED")</f>
        <v>MOS</v>
      </c>
      <c r="G817" s="63" t="s">
        <v>768</v>
      </c>
      <c r="H817" s="69" t="s">
        <v>769</v>
      </c>
      <c r="I817" s="63" t="s">
        <v>261</v>
      </c>
      <c r="J817" s="66" t="str">
        <f>IFERROR(INDEX(M_SKU!$A$18:$J$57,MATCH(I817,M_SKU!$B$18:$B$57,0),1),"UNKNOWN SKU")</f>
        <v>Sparletta Pine Apple Pet 300ML (x 12)</v>
      </c>
      <c r="K817" s="63" t="s">
        <v>547</v>
      </c>
      <c r="L817" s="276">
        <v>2</v>
      </c>
      <c r="M817" s="91" cm="1">
        <f t="array" ref="M817">IFERROR(INDEX(M_DepotPrice!$C$10:$C$52,MATCH(1,(M_DepotPrice!$A$10:$A$52=I817)*(M_DepotPrice!$H$10:$H$52=IFERROR(INDEX(M_Depot!$A$7:$A$24,MATCH(F817,M_Depot!$B$7:$B$24,0)),""))*(M_DepotPrice!$G$10:$G$52="Special"),0)),INDEX(M_DepotPrice!$C$10:$C$52,MATCH(1,(M_DepotPrice!$A$10:$A$52=I817)*(M_DepotPrice!$G$10:$G$52="Default"),0)))</f>
        <v>5085</v>
      </c>
      <c r="N817" s="67">
        <f t="shared" si="25"/>
        <v>12000.599999999999</v>
      </c>
      <c r="O817" s="66" t="str">
        <f t="shared" si="24"/>
        <v>MOS100744|PO015|CK5-33366</v>
      </c>
    </row>
    <row r="818" spans="1:15" ht="15" customHeight="1" x14ac:dyDescent="0.3">
      <c r="A818" s="70" t="s">
        <v>1497</v>
      </c>
      <c r="B818" s="70" t="s">
        <v>564</v>
      </c>
      <c r="C818" s="72">
        <v>46179</v>
      </c>
      <c r="D818" s="73" t="s">
        <v>370</v>
      </c>
      <c r="E818" s="76" t="str">
        <f>IFERROR(INDEX(M_User!$A$12:$J$67,MATCH(D818,M_User!$D$12:$D$67,0),3),"UNMAPPED")</f>
        <v>Zawadi Jastin Laizer</v>
      </c>
      <c r="F818" s="75" t="str">
        <f>IFERROR(INDEX(M_User!$A$12:$J$67,MATCH(D818,M_User!$D$12:$D$67,0),5),"UNMAPPED")</f>
        <v>MOS</v>
      </c>
      <c r="G818" s="73" t="s">
        <v>783</v>
      </c>
      <c r="H818" s="92" t="s">
        <v>784</v>
      </c>
      <c r="I818" s="73" t="s">
        <v>178</v>
      </c>
      <c r="J818" s="76" t="str">
        <f>IFERROR(INDEX(M_SKU!$A$18:$J$57,MATCH(I818,M_SKU!$B$18:$B$57,0),1),"UNKNOWN SKU")</f>
        <v>Fanta Orange RGB 350ml</v>
      </c>
      <c r="K818" s="73" t="s">
        <v>531</v>
      </c>
      <c r="L818" s="276">
        <v>14.6730927449667</v>
      </c>
      <c r="M818" s="94" cm="1">
        <f t="array" ref="M818">IFERROR(INDEX(M_DepotPrice!$C$10:$C$52,MATCH(1,(M_DepotPrice!$A$10:$A$52=I818)*(M_DepotPrice!$H$10:$H$52=IFERROR(INDEX(M_Depot!$A$7:$A$24,MATCH(F818,M_Depot!$B$7:$B$24,0)),""))*(M_DepotPrice!$G$10:$G$52="Special"),0)),INDEX(M_DepotPrice!$C$10:$C$52,MATCH(1,(M_DepotPrice!$A$10:$A$52=I818)*(M_DepotPrice!$G$10:$G$52="Default"),0)))</f>
        <v>11780</v>
      </c>
      <c r="N818" s="95">
        <f t="shared" si="25"/>
        <v>203961.85839213509</v>
      </c>
      <c r="O818" s="82" t="str">
        <f t="shared" si="24"/>
        <v>MOS100744|FG002|CK3-33407</v>
      </c>
    </row>
    <row r="819" spans="1:15" ht="15" customHeight="1" x14ac:dyDescent="0.3">
      <c r="A819" s="60" t="s">
        <v>1498</v>
      </c>
      <c r="B819" s="60" t="s">
        <v>564</v>
      </c>
      <c r="C819" s="62">
        <v>46179</v>
      </c>
      <c r="D819" s="63" t="s">
        <v>370</v>
      </c>
      <c r="E819" s="66" t="str">
        <f>IFERROR(INDEX(M_User!$A$12:$J$67,MATCH(D819,M_User!$D$12:$D$67,0),3),"UNMAPPED")</f>
        <v>Zawadi Jastin Laizer</v>
      </c>
      <c r="F819" s="65" t="str">
        <f>IFERROR(INDEX(M_User!$A$12:$J$67,MATCH(D819,M_User!$D$12:$D$67,0),5),"UNMAPPED")</f>
        <v>MOS</v>
      </c>
      <c r="G819" s="63" t="s">
        <v>783</v>
      </c>
      <c r="H819" s="69" t="s">
        <v>784</v>
      </c>
      <c r="I819" s="63" t="s">
        <v>185</v>
      </c>
      <c r="J819" s="66" t="str">
        <f>IFERROR(INDEX(M_SKU!$A$18:$J$57,MATCH(I819,M_SKU!$B$18:$B$57,0),1),"UNKNOWN SKU")</f>
        <v>Fanta Fruit Blast RGB 350 ml</v>
      </c>
      <c r="K819" s="63" t="s">
        <v>534</v>
      </c>
      <c r="L819" s="276">
        <v>0.61009999999999998</v>
      </c>
      <c r="M819" s="91" cm="1">
        <f t="array" ref="M819">IFERROR(INDEX(M_DepotPrice!$C$10:$C$52,MATCH(1,(M_DepotPrice!$A$10:$A$52=I819)*(M_DepotPrice!$H$10:$H$52=IFERROR(INDEX(M_Depot!$A$7:$A$24,MATCH(F819,M_Depot!$B$7:$B$24,0)),""))*(M_DepotPrice!$G$10:$G$52="Special"),0)),INDEX(M_DepotPrice!$C$10:$C$52,MATCH(1,(M_DepotPrice!$A$10:$A$52=I819)*(M_DepotPrice!$G$10:$G$52="Default"),0)))</f>
        <v>11780</v>
      </c>
      <c r="N819" s="67">
        <f t="shared" si="25"/>
        <v>8480.634039999999</v>
      </c>
      <c r="O819" s="66" t="str">
        <f t="shared" si="24"/>
        <v>MOS100744|FG005|CK3-33402</v>
      </c>
    </row>
    <row r="820" spans="1:15" ht="15" customHeight="1" x14ac:dyDescent="0.3">
      <c r="A820" s="70" t="s">
        <v>1499</v>
      </c>
      <c r="B820" s="70" t="s">
        <v>564</v>
      </c>
      <c r="C820" s="72">
        <v>46179</v>
      </c>
      <c r="D820" s="73" t="s">
        <v>370</v>
      </c>
      <c r="E820" s="76" t="str">
        <f>IFERROR(INDEX(M_User!$A$12:$J$67,MATCH(D820,M_User!$D$12:$D$67,0),3),"UNMAPPED")</f>
        <v>Zawadi Jastin Laizer</v>
      </c>
      <c r="F820" s="75" t="str">
        <f>IFERROR(INDEX(M_User!$A$12:$J$67,MATCH(D820,M_User!$D$12:$D$67,0),5),"UNMAPPED")</f>
        <v>MOS</v>
      </c>
      <c r="G820" s="73" t="s">
        <v>783</v>
      </c>
      <c r="H820" s="92" t="s">
        <v>784</v>
      </c>
      <c r="I820" s="73" t="s">
        <v>187</v>
      </c>
      <c r="J820" s="76" t="str">
        <f>IFERROR(INDEX(M_SKU!$A$18:$J$57,MATCH(I820,M_SKU!$B$18:$B$57,0),1),"UNKNOWN SKU")</f>
        <v>Sprite 350ml</v>
      </c>
      <c r="K820" s="73" t="s">
        <v>535</v>
      </c>
      <c r="L820" s="276">
        <v>1.8945000000000001</v>
      </c>
      <c r="M820" s="94" cm="1">
        <f t="array" ref="M820">IFERROR(INDEX(M_DepotPrice!$C$10:$C$52,MATCH(1,(M_DepotPrice!$A$10:$A$52=I820)*(M_DepotPrice!$H$10:$H$52=IFERROR(INDEX(M_Depot!$A$7:$A$24,MATCH(F820,M_Depot!$B$7:$B$24,0)),""))*(M_DepotPrice!$G$10:$G$52="Special"),0)),INDEX(M_DepotPrice!$C$10:$C$52,MATCH(1,(M_DepotPrice!$A$10:$A$52=I820)*(M_DepotPrice!$G$10:$G$52="Default"),0)))</f>
        <v>11780</v>
      </c>
      <c r="N820" s="95">
        <f t="shared" si="25"/>
        <v>26334.307799999999</v>
      </c>
      <c r="O820" s="82" t="str">
        <f t="shared" si="24"/>
        <v>MOS100744|FG006|CK3-33414</v>
      </c>
    </row>
    <row r="821" spans="1:15" ht="15" customHeight="1" x14ac:dyDescent="0.3">
      <c r="A821" s="60" t="s">
        <v>1500</v>
      </c>
      <c r="B821" s="60" t="s">
        <v>564</v>
      </c>
      <c r="C821" s="62">
        <v>46179</v>
      </c>
      <c r="D821" s="63" t="s">
        <v>370</v>
      </c>
      <c r="E821" s="66" t="str">
        <f>IFERROR(INDEX(M_User!$A$12:$J$67,MATCH(D821,M_User!$D$12:$D$67,0),3),"UNMAPPED")</f>
        <v>Zawadi Jastin Laizer</v>
      </c>
      <c r="F821" s="65" t="str">
        <f>IFERROR(INDEX(M_User!$A$12:$J$67,MATCH(D821,M_User!$D$12:$D$67,0),5),"UNMAPPED")</f>
        <v>MOS</v>
      </c>
      <c r="G821" s="63" t="s">
        <v>783</v>
      </c>
      <c r="H821" s="69" t="s">
        <v>784</v>
      </c>
      <c r="I821" s="63" t="s">
        <v>190</v>
      </c>
      <c r="J821" s="66" t="str">
        <f>IFERROR(INDEX(M_SKU!$A$18:$J$57,MATCH(I821,M_SKU!$B$18:$B$57,0),1),"UNKNOWN SKU")</f>
        <v>Stoney Tangawizi RGB 350ml</v>
      </c>
      <c r="K821" s="63" t="s">
        <v>536</v>
      </c>
      <c r="L821" s="276">
        <v>0.79744610338814503</v>
      </c>
      <c r="M821" s="91" cm="1">
        <f t="array" ref="M821">IFERROR(INDEX(M_DepotPrice!$C$10:$C$52,MATCH(1,(M_DepotPrice!$A$10:$A$52=I821)*(M_DepotPrice!$H$10:$H$52=IFERROR(INDEX(M_Depot!$A$7:$A$24,MATCH(F821,M_Depot!$B$7:$B$24,0)),""))*(M_DepotPrice!$G$10:$G$52="Special"),0)),INDEX(M_DepotPrice!$C$10:$C$52,MATCH(1,(M_DepotPrice!$A$10:$A$52=I821)*(M_DepotPrice!$G$10:$G$52="Default"),0)))</f>
        <v>11780</v>
      </c>
      <c r="N821" s="67">
        <f t="shared" si="25"/>
        <v>11084.81981553657</v>
      </c>
      <c r="O821" s="66" t="str">
        <f t="shared" si="24"/>
        <v>MOS100744|FG007|CK3-33404</v>
      </c>
    </row>
    <row r="822" spans="1:15" ht="15" customHeight="1" x14ac:dyDescent="0.3">
      <c r="A822" s="70" t="s">
        <v>1501</v>
      </c>
      <c r="B822" s="70" t="s">
        <v>564</v>
      </c>
      <c r="C822" s="72">
        <v>46179</v>
      </c>
      <c r="D822" s="73" t="s">
        <v>370</v>
      </c>
      <c r="E822" s="76" t="str">
        <f>IFERROR(INDEX(M_User!$A$12:$J$67,MATCH(D822,M_User!$D$12:$D$67,0),3),"UNMAPPED")</f>
        <v>Zawadi Jastin Laizer</v>
      </c>
      <c r="F822" s="75" t="str">
        <f>IFERROR(INDEX(M_User!$A$12:$J$67,MATCH(D822,M_User!$D$12:$D$67,0),5),"UNMAPPED")</f>
        <v>MOS</v>
      </c>
      <c r="G822" s="73" t="s">
        <v>783</v>
      </c>
      <c r="H822" s="92" t="s">
        <v>784</v>
      </c>
      <c r="I822" s="73" t="s">
        <v>193</v>
      </c>
      <c r="J822" s="76" t="str">
        <f>IFERROR(INDEX(M_SKU!$A$18:$J$57,MATCH(I822,M_SKU!$B$18:$B$57,0),1),"UNKNOWN SKU")</f>
        <v>Sparletta Pinenut RGB 350ml</v>
      </c>
      <c r="K822" s="73" t="s">
        <v>537</v>
      </c>
      <c r="L822" s="276">
        <v>1.4612000000000001</v>
      </c>
      <c r="M822" s="94" cm="1">
        <f t="array" ref="M822">IFERROR(INDEX(M_DepotPrice!$C$10:$C$52,MATCH(1,(M_DepotPrice!$A$10:$A$52=I822)*(M_DepotPrice!$H$10:$H$52=IFERROR(INDEX(M_Depot!$A$7:$A$24,MATCH(F822,M_Depot!$B$7:$B$24,0)),""))*(M_DepotPrice!$G$10:$G$52="Special"),0)),INDEX(M_DepotPrice!$C$10:$C$52,MATCH(1,(M_DepotPrice!$A$10:$A$52=I822)*(M_DepotPrice!$G$10:$G$52="Default"),0)))</f>
        <v>11780</v>
      </c>
      <c r="N822" s="95">
        <f t="shared" si="25"/>
        <v>20311.264480000002</v>
      </c>
      <c r="O822" s="82" t="str">
        <f t="shared" si="24"/>
        <v>MOS100744|FG008|CK3-33365</v>
      </c>
    </row>
    <row r="823" spans="1:15" ht="15" customHeight="1" x14ac:dyDescent="0.3">
      <c r="A823" s="60" t="s">
        <v>1502</v>
      </c>
      <c r="B823" s="60" t="s">
        <v>564</v>
      </c>
      <c r="C823" s="62">
        <v>46179</v>
      </c>
      <c r="D823" s="63" t="s">
        <v>370</v>
      </c>
      <c r="E823" s="66" t="str">
        <f>IFERROR(INDEX(M_User!$A$12:$J$67,MATCH(D823,M_User!$D$12:$D$67,0),3),"UNMAPPED")</f>
        <v>Zawadi Jastin Laizer</v>
      </c>
      <c r="F823" s="65" t="str">
        <f>IFERROR(INDEX(M_User!$A$12:$J$67,MATCH(D823,M_User!$D$12:$D$67,0),5),"UNMAPPED")</f>
        <v>MOS</v>
      </c>
      <c r="G823" s="63" t="s">
        <v>783</v>
      </c>
      <c r="H823" s="69" t="s">
        <v>784</v>
      </c>
      <c r="I823" s="63" t="s">
        <v>196</v>
      </c>
      <c r="J823" s="66" t="str">
        <f>IFERROR(INDEX(M_SKU!$A$18:$J$57,MATCH(I823,M_SKU!$B$18:$B$57,0),1),"UNKNOWN SKU")</f>
        <v>Krest Bitter Lemon RGB 300ml</v>
      </c>
      <c r="K823" s="63" t="s">
        <v>538</v>
      </c>
      <c r="L823" s="276">
        <v>0.93530000000000002</v>
      </c>
      <c r="M823" s="91" cm="1">
        <f t="array" ref="M823">IFERROR(INDEX(M_DepotPrice!$C$10:$C$52,MATCH(1,(M_DepotPrice!$A$10:$A$52=I823)*(M_DepotPrice!$H$10:$H$52=IFERROR(INDEX(M_Depot!$A$7:$A$24,MATCH(F823,M_Depot!$B$7:$B$24,0)),""))*(M_DepotPrice!$G$10:$G$52="Special"),0)),INDEX(M_DepotPrice!$C$10:$C$52,MATCH(1,(M_DepotPrice!$A$10:$A$52=I823)*(M_DepotPrice!$G$10:$G$52="Default"),0)))</f>
        <v>11780</v>
      </c>
      <c r="N823" s="67">
        <f t="shared" si="25"/>
        <v>13001.04412</v>
      </c>
      <c r="O823" s="66" t="str">
        <f t="shared" si="24"/>
        <v>MOS100744|FG009|CK3-33348</v>
      </c>
    </row>
    <row r="824" spans="1:15" ht="15" customHeight="1" x14ac:dyDescent="0.3">
      <c r="A824" s="70" t="s">
        <v>1503</v>
      </c>
      <c r="B824" s="70" t="s">
        <v>564</v>
      </c>
      <c r="C824" s="72">
        <v>46179</v>
      </c>
      <c r="D824" s="73" t="s">
        <v>370</v>
      </c>
      <c r="E824" s="76" t="str">
        <f>IFERROR(INDEX(M_User!$A$12:$J$67,MATCH(D824,M_User!$D$12:$D$67,0),3),"UNMAPPED")</f>
        <v>Zawadi Jastin Laizer</v>
      </c>
      <c r="F824" s="75" t="str">
        <f>IFERROR(INDEX(M_User!$A$12:$J$67,MATCH(D824,M_User!$D$12:$D$67,0),5),"UNMAPPED")</f>
        <v>MOS</v>
      </c>
      <c r="G824" s="73" t="s">
        <v>783</v>
      </c>
      <c r="H824" s="92" t="s">
        <v>784</v>
      </c>
      <c r="I824" s="73" t="s">
        <v>199</v>
      </c>
      <c r="J824" s="76" t="str">
        <f>IFERROR(INDEX(M_SKU!$A$18:$J$57,MATCH(I824,M_SKU!$B$18:$B$57,0),1),"UNKNOWN SKU")</f>
        <v>Krest Club Soda RGB 300ml</v>
      </c>
      <c r="K824" s="73" t="s">
        <v>539</v>
      </c>
      <c r="L824" s="276">
        <v>1.0416000000000001</v>
      </c>
      <c r="M824" s="94" cm="1">
        <f t="array" ref="M824">IFERROR(INDEX(M_DepotPrice!$C$10:$C$52,MATCH(1,(M_DepotPrice!$A$10:$A$52=I824)*(M_DepotPrice!$H$10:$H$52=IFERROR(INDEX(M_Depot!$A$7:$A$24,MATCH(F824,M_Depot!$B$7:$B$24,0)),""))*(M_DepotPrice!$G$10:$G$52="Special"),0)),INDEX(M_DepotPrice!$C$10:$C$52,MATCH(1,(M_DepotPrice!$A$10:$A$52=I824)*(M_DepotPrice!$G$10:$G$52="Default"),0)))</f>
        <v>11780</v>
      </c>
      <c r="N824" s="95">
        <f t="shared" si="25"/>
        <v>14478.656639999999</v>
      </c>
      <c r="O824" s="82" t="str">
        <f t="shared" si="24"/>
        <v>MOS100744|FG010|CK3-33301</v>
      </c>
    </row>
    <row r="825" spans="1:15" ht="15" customHeight="1" x14ac:dyDescent="0.3">
      <c r="A825" s="60" t="s">
        <v>1504</v>
      </c>
      <c r="B825" s="60" t="s">
        <v>564</v>
      </c>
      <c r="C825" s="62">
        <v>46179</v>
      </c>
      <c r="D825" s="63" t="s">
        <v>370</v>
      </c>
      <c r="E825" s="66" t="str">
        <f>IFERROR(INDEX(M_User!$A$12:$J$67,MATCH(D825,M_User!$D$12:$D$67,0),3),"UNMAPPED")</f>
        <v>Zawadi Jastin Laizer</v>
      </c>
      <c r="F825" s="65" t="str">
        <f>IFERROR(INDEX(M_User!$A$12:$J$67,MATCH(D825,M_User!$D$12:$D$67,0),5),"UNMAPPED")</f>
        <v>MOS</v>
      </c>
      <c r="G825" s="63" t="s">
        <v>783</v>
      </c>
      <c r="H825" s="69" t="s">
        <v>784</v>
      </c>
      <c r="I825" s="63" t="s">
        <v>201</v>
      </c>
      <c r="J825" s="66" t="str">
        <f>IFERROR(INDEX(M_SKU!$A$18:$J$57,MATCH(I825,M_SKU!$B$18:$B$57,0),1),"UNKNOWN SKU")</f>
        <v>Krest Tonic Water RGB 300ml</v>
      </c>
      <c r="K825" s="63" t="s">
        <v>540</v>
      </c>
      <c r="L825" s="276">
        <v>0.39689999999999998</v>
      </c>
      <c r="M825" s="91" cm="1">
        <f t="array" ref="M825">IFERROR(INDEX(M_DepotPrice!$C$10:$C$52,MATCH(1,(M_DepotPrice!$A$10:$A$52=I825)*(M_DepotPrice!$H$10:$H$52=IFERROR(INDEX(M_Depot!$A$7:$A$24,MATCH(F825,M_Depot!$B$7:$B$24,0)),""))*(M_DepotPrice!$G$10:$G$52="Special"),0)),INDEX(M_DepotPrice!$C$10:$C$52,MATCH(1,(M_DepotPrice!$A$10:$A$52=I825)*(M_DepotPrice!$G$10:$G$52="Default"),0)))</f>
        <v>11780</v>
      </c>
      <c r="N825" s="67">
        <f t="shared" si="25"/>
        <v>5517.0687600000001</v>
      </c>
      <c r="O825" s="66" t="str">
        <f t="shared" si="24"/>
        <v>MOS100744|FG011|CK3-33347</v>
      </c>
    </row>
    <row r="826" spans="1:15" ht="15" customHeight="1" x14ac:dyDescent="0.3">
      <c r="A826" s="70" t="s">
        <v>1505</v>
      </c>
      <c r="B826" s="70" t="s">
        <v>564</v>
      </c>
      <c r="C826" s="72">
        <v>46179</v>
      </c>
      <c r="D826" s="73" t="s">
        <v>370</v>
      </c>
      <c r="E826" s="76" t="str">
        <f>IFERROR(INDEX(M_User!$A$12:$J$67,MATCH(D826,M_User!$D$12:$D$67,0),3),"UNMAPPED")</f>
        <v>Zawadi Jastin Laizer</v>
      </c>
      <c r="F826" s="75" t="str">
        <f>IFERROR(INDEX(M_User!$A$12:$J$67,MATCH(D826,M_User!$D$12:$D$67,0),5),"UNMAPPED")</f>
        <v>MOS</v>
      </c>
      <c r="G826" s="73" t="s">
        <v>783</v>
      </c>
      <c r="H826" s="92" t="s">
        <v>784</v>
      </c>
      <c r="I826" s="73" t="s">
        <v>211</v>
      </c>
      <c r="J826" s="76" t="str">
        <f>IFERROR(INDEX(M_SKU!$A$18:$J$57,MATCH(I826,M_SKU!$B$18:$B$57,0),1),"UNKNOWN SKU")</f>
        <v>KNMW 500ml</v>
      </c>
      <c r="K826" s="73" t="s">
        <v>543</v>
      </c>
      <c r="L826" s="276">
        <v>18</v>
      </c>
      <c r="M826" s="94" cm="1">
        <f t="array" ref="M826">IFERROR(INDEX(M_DepotPrice!$C$10:$C$52,MATCH(1,(M_DepotPrice!$A$10:$A$52=I826)*(M_DepotPrice!$H$10:$H$52=IFERROR(INDEX(M_Depot!$A$7:$A$24,MATCH(F826,M_Depot!$B$7:$B$24,0)),""))*(M_DepotPrice!$G$10:$G$52="Special"),0)),INDEX(M_DepotPrice!$C$10:$C$52,MATCH(1,(M_DepotPrice!$A$10:$A$52=I826)*(M_DepotPrice!$G$10:$G$52="Default"),0)))</f>
        <v>3559</v>
      </c>
      <c r="N826" s="95">
        <f t="shared" si="25"/>
        <v>75593.159999999989</v>
      </c>
      <c r="O826" s="82" t="str">
        <f t="shared" si="24"/>
        <v>MOS100744|KD001|CK6-986</v>
      </c>
    </row>
    <row r="827" spans="1:15" ht="15" customHeight="1" x14ac:dyDescent="0.3">
      <c r="A827" s="60" t="s">
        <v>1506</v>
      </c>
      <c r="B827" s="60" t="s">
        <v>564</v>
      </c>
      <c r="C827" s="62">
        <v>46179</v>
      </c>
      <c r="D827" s="63" t="s">
        <v>370</v>
      </c>
      <c r="E827" s="66" t="str">
        <f>IFERROR(INDEX(M_User!$A$12:$J$67,MATCH(D827,M_User!$D$12:$D$67,0),3),"UNMAPPED")</f>
        <v>Zawadi Jastin Laizer</v>
      </c>
      <c r="F827" s="65" t="str">
        <f>IFERROR(INDEX(M_User!$A$12:$J$67,MATCH(D827,M_User!$D$12:$D$67,0),5),"UNMAPPED")</f>
        <v>MOS</v>
      </c>
      <c r="G827" s="63" t="s">
        <v>783</v>
      </c>
      <c r="H827" s="69" t="s">
        <v>784</v>
      </c>
      <c r="I827" s="63" t="s">
        <v>217</v>
      </c>
      <c r="J827" s="66" t="str">
        <f>IFERROR(INDEX(M_SKU!$A$18:$J$57,MATCH(I827,M_SKU!$B$18:$B$57,0),1),"UNKNOWN SKU")</f>
        <v>KNMW 1500ml</v>
      </c>
      <c r="K827" s="63" t="s">
        <v>551</v>
      </c>
      <c r="L827" s="276">
        <v>32</v>
      </c>
      <c r="M827" s="91" cm="1">
        <f t="array" ref="M827">IFERROR(INDEX(M_DepotPrice!$C$10:$C$52,MATCH(1,(M_DepotPrice!$A$10:$A$52=I827)*(M_DepotPrice!$H$10:$H$52=IFERROR(INDEX(M_Depot!$A$7:$A$24,MATCH(F827,M_Depot!$B$7:$B$24,0)),""))*(M_DepotPrice!$G$10:$G$52="Special"),0)),INDEX(M_DepotPrice!$C$10:$C$52,MATCH(1,(M_DepotPrice!$A$10:$A$52=I827)*(M_DepotPrice!$G$10:$G$52="Default"),0)))</f>
        <v>3983</v>
      </c>
      <c r="N827" s="67">
        <f t="shared" si="25"/>
        <v>150398.07999999999</v>
      </c>
      <c r="O827" s="66" t="str">
        <f t="shared" si="24"/>
        <v>MOS100744|KD003|CK4-842</v>
      </c>
    </row>
    <row r="828" spans="1:15" ht="15" customHeight="1" x14ac:dyDescent="0.3">
      <c r="A828" s="70" t="s">
        <v>1507</v>
      </c>
      <c r="B828" s="70" t="s">
        <v>564</v>
      </c>
      <c r="C828" s="72">
        <v>46179</v>
      </c>
      <c r="D828" s="73" t="s">
        <v>370</v>
      </c>
      <c r="E828" s="76" t="str">
        <f>IFERROR(INDEX(M_User!$A$12:$J$67,MATCH(D828,M_User!$D$12:$D$67,0),3),"UNMAPPED")</f>
        <v>Zawadi Jastin Laizer</v>
      </c>
      <c r="F828" s="75" t="str">
        <f>IFERROR(INDEX(M_User!$A$12:$J$67,MATCH(D828,M_User!$D$12:$D$67,0),5),"UNMAPPED")</f>
        <v>MOS</v>
      </c>
      <c r="G828" s="73" t="s">
        <v>783</v>
      </c>
      <c r="H828" s="92" t="s">
        <v>784</v>
      </c>
      <c r="I828" s="73" t="s">
        <v>222</v>
      </c>
      <c r="J828" s="76" t="str">
        <f>IFERROR(INDEX(M_SKU!$A$18:$J$57,MATCH(I828,M_SKU!$B$18:$B$57,0),1),"UNKNOWN SKU")</f>
        <v>Kilimanjaro Drinking Water 12000 ML</v>
      </c>
      <c r="K828" s="73" t="s">
        <v>566</v>
      </c>
      <c r="L828" s="276">
        <v>2</v>
      </c>
      <c r="M828" s="94" cm="1">
        <f t="array" ref="M828">IFERROR(INDEX(M_DepotPrice!$C$10:$C$52,MATCH(1,(M_DepotPrice!$A$10:$A$52=I828)*(M_DepotPrice!$H$10:$H$52=IFERROR(INDEX(M_Depot!$A$7:$A$24,MATCH(F828,M_Depot!$B$7:$B$24,0)),""))*(M_DepotPrice!$G$10:$G$52="Special"),0)),INDEX(M_DepotPrice!$C$10:$C$52,MATCH(1,(M_DepotPrice!$A$10:$A$52=I828)*(M_DepotPrice!$G$10:$G$52="Default"),0)))</f>
        <v>3559</v>
      </c>
      <c r="N828" s="95">
        <f t="shared" si="25"/>
        <v>8399.24</v>
      </c>
      <c r="O828" s="82" t="str">
        <f t="shared" si="24"/>
        <v>MOS100744|KD005|CK7-913</v>
      </c>
    </row>
    <row r="829" spans="1:15" ht="15" customHeight="1" x14ac:dyDescent="0.3">
      <c r="A829" s="60" t="s">
        <v>1508</v>
      </c>
      <c r="B829" s="60" t="s">
        <v>564</v>
      </c>
      <c r="C829" s="62">
        <v>46179</v>
      </c>
      <c r="D829" s="63" t="s">
        <v>370</v>
      </c>
      <c r="E829" s="66" t="str">
        <f>IFERROR(INDEX(M_User!$A$12:$J$67,MATCH(D829,M_User!$D$12:$D$67,0),3),"UNMAPPED")</f>
        <v>Zawadi Jastin Laizer</v>
      </c>
      <c r="F829" s="65" t="str">
        <f>IFERROR(INDEX(M_User!$A$12:$J$67,MATCH(D829,M_User!$D$12:$D$67,0),5),"UNMAPPED")</f>
        <v>MOS</v>
      </c>
      <c r="G829" s="63" t="s">
        <v>783</v>
      </c>
      <c r="H829" s="69" t="s">
        <v>784</v>
      </c>
      <c r="I829" s="63" t="s">
        <v>225</v>
      </c>
      <c r="J829" s="66" t="str">
        <f>IFERROR(INDEX(M_SKU!$A$18:$J$57,MATCH(I829,M_SKU!$B$18:$B$57,0),1),"UNKNOWN SKU")</f>
        <v>Kilimanjaro Drinking Water 18900 ML</v>
      </c>
      <c r="K829" s="63" t="s">
        <v>567</v>
      </c>
      <c r="L829" s="276">
        <v>2</v>
      </c>
      <c r="M829" s="91" cm="1">
        <f t="array" ref="M829">IFERROR(INDEX(M_DepotPrice!$C$10:$C$52,MATCH(1,(M_DepotPrice!$A$10:$A$52=I829)*(M_DepotPrice!$H$10:$H$52=IFERROR(INDEX(M_Depot!$A$7:$A$24,MATCH(F829,M_Depot!$B$7:$B$24,0)),""))*(M_DepotPrice!$G$10:$G$52="Special"),0)),INDEX(M_DepotPrice!$C$10:$C$52,MATCH(1,(M_DepotPrice!$A$10:$A$52=I829)*(M_DepotPrice!$G$10:$G$52="Default"),0)))</f>
        <v>5932</v>
      </c>
      <c r="N829" s="67">
        <f t="shared" si="25"/>
        <v>13999.519999999999</v>
      </c>
      <c r="O829" s="66" t="str">
        <f t="shared" si="24"/>
        <v>MOS100744|KD006|CK7-915</v>
      </c>
    </row>
    <row r="830" spans="1:15" ht="15" customHeight="1" x14ac:dyDescent="0.3">
      <c r="A830" s="70" t="s">
        <v>1509</v>
      </c>
      <c r="B830" s="70" t="s">
        <v>564</v>
      </c>
      <c r="C830" s="72">
        <v>46179</v>
      </c>
      <c r="D830" s="73" t="s">
        <v>370</v>
      </c>
      <c r="E830" s="76" t="str">
        <f>IFERROR(INDEX(M_User!$A$12:$J$67,MATCH(D830,M_User!$D$12:$D$67,0),3),"UNMAPPED")</f>
        <v>Zawadi Jastin Laizer</v>
      </c>
      <c r="F830" s="75" t="str">
        <f>IFERROR(INDEX(M_User!$A$12:$J$67,MATCH(D830,M_User!$D$12:$D$67,0),5),"UNMAPPED")</f>
        <v>MOS</v>
      </c>
      <c r="G830" s="73" t="s">
        <v>783</v>
      </c>
      <c r="H830" s="92" t="s">
        <v>784</v>
      </c>
      <c r="I830" s="73" t="s">
        <v>229</v>
      </c>
      <c r="J830" s="76" t="str">
        <f>IFERROR(INDEX(M_SKU!$A$18:$J$57,MATCH(I830,M_SKU!$B$18:$B$57,0),1),"UNKNOWN SKU")</f>
        <v>Coke Pet 500ML ( x12)</v>
      </c>
      <c r="K830" s="73" t="s">
        <v>520</v>
      </c>
      <c r="L830" s="276">
        <v>11</v>
      </c>
      <c r="M830" s="94" cm="1">
        <f t="array" ref="M830">IFERROR(INDEX(M_DepotPrice!$C$10:$C$52,MATCH(1,(M_DepotPrice!$A$10:$A$52=I830)*(M_DepotPrice!$H$10:$H$52=IFERROR(INDEX(M_Depot!$A$7:$A$24,MATCH(F830,M_Depot!$B$7:$B$24,0)),""))*(M_DepotPrice!$G$10:$G$52="Special"),0)),INDEX(M_DepotPrice!$C$10:$C$52,MATCH(1,(M_DepotPrice!$A$10:$A$52=I830)*(M_DepotPrice!$G$10:$G$52="Default"),0)))</f>
        <v>8898</v>
      </c>
      <c r="N830" s="95">
        <f t="shared" si="25"/>
        <v>115496.04</v>
      </c>
      <c r="O830" s="82" t="str">
        <f t="shared" si="24"/>
        <v>MOS100744|PH001|CK6-33411</v>
      </c>
    </row>
    <row r="831" spans="1:15" ht="15" customHeight="1" x14ac:dyDescent="0.3">
      <c r="A831" s="60" t="s">
        <v>1510</v>
      </c>
      <c r="B831" s="60" t="s">
        <v>564</v>
      </c>
      <c r="C831" s="62">
        <v>46179</v>
      </c>
      <c r="D831" s="63" t="s">
        <v>370</v>
      </c>
      <c r="E831" s="66" t="str">
        <f>IFERROR(INDEX(M_User!$A$12:$J$67,MATCH(D831,M_User!$D$12:$D$67,0),3),"UNMAPPED")</f>
        <v>Zawadi Jastin Laizer</v>
      </c>
      <c r="F831" s="65" t="str">
        <f>IFERROR(INDEX(M_User!$A$12:$J$67,MATCH(D831,M_User!$D$12:$D$67,0),5),"UNMAPPED")</f>
        <v>MOS</v>
      </c>
      <c r="G831" s="63" t="s">
        <v>783</v>
      </c>
      <c r="H831" s="69" t="s">
        <v>784</v>
      </c>
      <c r="I831" s="63" t="s">
        <v>232</v>
      </c>
      <c r="J831" s="66" t="str">
        <f>IFERROR(INDEX(M_SKU!$A$18:$J$57,MATCH(I831,M_SKU!$B$18:$B$57,0),1),"UNKNOWN SKU")</f>
        <v>Sprite Pet 500ML (x 12)</v>
      </c>
      <c r="K831" s="63" t="s">
        <v>522</v>
      </c>
      <c r="L831" s="276">
        <v>1</v>
      </c>
      <c r="M831" s="91" cm="1">
        <f t="array" ref="M831">IFERROR(INDEX(M_DepotPrice!$C$10:$C$52,MATCH(1,(M_DepotPrice!$A$10:$A$52=I831)*(M_DepotPrice!$H$10:$H$52=IFERROR(INDEX(M_Depot!$A$7:$A$24,MATCH(F831,M_Depot!$B$7:$B$24,0)),""))*(M_DepotPrice!$G$10:$G$52="Special"),0)),INDEX(M_DepotPrice!$C$10:$C$52,MATCH(1,(M_DepotPrice!$A$10:$A$52=I831)*(M_DepotPrice!$G$10:$G$52="Default"),0)))</f>
        <v>8898</v>
      </c>
      <c r="N831" s="67">
        <f t="shared" si="25"/>
        <v>10499.64</v>
      </c>
      <c r="O831" s="66" t="str">
        <f t="shared" si="24"/>
        <v>MOS100744|PH002|CK6-33362</v>
      </c>
    </row>
    <row r="832" spans="1:15" ht="15" customHeight="1" x14ac:dyDescent="0.3">
      <c r="A832" s="70" t="s">
        <v>1511</v>
      </c>
      <c r="B832" s="70" t="s">
        <v>564</v>
      </c>
      <c r="C832" s="72">
        <v>46179</v>
      </c>
      <c r="D832" s="73" t="s">
        <v>370</v>
      </c>
      <c r="E832" s="76" t="str">
        <f>IFERROR(INDEX(M_User!$A$12:$J$67,MATCH(D832,M_User!$D$12:$D$67,0),3),"UNMAPPED")</f>
        <v>Zawadi Jastin Laizer</v>
      </c>
      <c r="F832" s="75" t="str">
        <f>IFERROR(INDEX(M_User!$A$12:$J$67,MATCH(D832,M_User!$D$12:$D$67,0),5),"UNMAPPED")</f>
        <v>MOS</v>
      </c>
      <c r="G832" s="73" t="s">
        <v>783</v>
      </c>
      <c r="H832" s="92" t="s">
        <v>784</v>
      </c>
      <c r="I832" s="73" t="s">
        <v>242</v>
      </c>
      <c r="J832" s="76" t="str">
        <f>IFERROR(INDEX(M_SKU!$A$18:$J$57,MATCH(I832,M_SKU!$B$18:$B$57,0),1),"UNKNOWN SKU")</f>
        <v>Stoney Tangawizi Pet 500 ml ( x12)</v>
      </c>
      <c r="K832" s="73" t="s">
        <v>525</v>
      </c>
      <c r="L832" s="276">
        <v>2</v>
      </c>
      <c r="M832" s="94" cm="1">
        <f t="array" ref="M832">IFERROR(INDEX(M_DepotPrice!$C$10:$C$52,MATCH(1,(M_DepotPrice!$A$10:$A$52=I832)*(M_DepotPrice!$H$10:$H$52=IFERROR(INDEX(M_Depot!$A$7:$A$24,MATCH(F832,M_Depot!$B$7:$B$24,0)),""))*(M_DepotPrice!$G$10:$G$52="Special"),0)),INDEX(M_DepotPrice!$C$10:$C$52,MATCH(1,(M_DepotPrice!$A$10:$A$52=I832)*(M_DepotPrice!$G$10:$G$52="Default"),0)))</f>
        <v>8898</v>
      </c>
      <c r="N832" s="95">
        <f t="shared" si="25"/>
        <v>20999.279999999999</v>
      </c>
      <c r="O832" s="82" t="str">
        <f t="shared" si="24"/>
        <v>MOS100744|PH007|CK6-33375</v>
      </c>
    </row>
    <row r="833" spans="1:15" ht="15" customHeight="1" x14ac:dyDescent="0.3">
      <c r="A833" s="60" t="s">
        <v>1512</v>
      </c>
      <c r="B833" s="60" t="s">
        <v>564</v>
      </c>
      <c r="C833" s="62">
        <v>46179</v>
      </c>
      <c r="D833" s="63" t="s">
        <v>370</v>
      </c>
      <c r="E833" s="66" t="str">
        <f>IFERROR(INDEX(M_User!$A$12:$J$67,MATCH(D833,M_User!$D$12:$D$67,0),3),"UNMAPPED")</f>
        <v>Zawadi Jastin Laizer</v>
      </c>
      <c r="F833" s="65" t="str">
        <f>IFERROR(INDEX(M_User!$A$12:$J$67,MATCH(D833,M_User!$D$12:$D$67,0),5),"UNMAPPED")</f>
        <v>MOS</v>
      </c>
      <c r="G833" s="63" t="s">
        <v>783</v>
      </c>
      <c r="H833" s="69" t="s">
        <v>784</v>
      </c>
      <c r="I833" s="63" t="s">
        <v>252</v>
      </c>
      <c r="J833" s="66" t="str">
        <f>IFERROR(INDEX(M_SKU!$A$18:$J$57,MATCH(I833,M_SKU!$B$18:$B$57,0),1),"UNKNOWN SKU")</f>
        <v>Sprite Zero Pet 300ML (x 12)</v>
      </c>
      <c r="K833" s="63" t="s">
        <v>545</v>
      </c>
      <c r="L833" s="276">
        <v>2</v>
      </c>
      <c r="M833" s="91" cm="1">
        <f t="array" ref="M833">IFERROR(INDEX(M_DepotPrice!$C$10:$C$52,MATCH(1,(M_DepotPrice!$A$10:$A$52=I833)*(M_DepotPrice!$H$10:$H$52=IFERROR(INDEX(M_Depot!$A$7:$A$24,MATCH(F833,M_Depot!$B$7:$B$24,0)),""))*(M_DepotPrice!$G$10:$G$52="Special"),0)),INDEX(M_DepotPrice!$C$10:$C$52,MATCH(1,(M_DepotPrice!$A$10:$A$52=I833)*(M_DepotPrice!$G$10:$G$52="Default"),0)))</f>
        <v>5085</v>
      </c>
      <c r="N833" s="67">
        <f t="shared" si="25"/>
        <v>12000.599999999999</v>
      </c>
      <c r="O833" s="66" t="str">
        <f t="shared" si="24"/>
        <v>MOS100744|PO010|CK5-33360</v>
      </c>
    </row>
    <row r="834" spans="1:15" ht="15" customHeight="1" x14ac:dyDescent="0.3">
      <c r="A834" s="70" t="s">
        <v>1513</v>
      </c>
      <c r="B834" s="70" t="s">
        <v>564</v>
      </c>
      <c r="C834" s="72">
        <v>46179</v>
      </c>
      <c r="D834" s="73" t="s">
        <v>370</v>
      </c>
      <c r="E834" s="76" t="str">
        <f>IFERROR(INDEX(M_User!$A$12:$J$67,MATCH(D834,M_User!$D$12:$D$67,0),3),"UNMAPPED")</f>
        <v>Zawadi Jastin Laizer</v>
      </c>
      <c r="F834" s="75" t="str">
        <f>IFERROR(INDEX(M_User!$A$12:$J$67,MATCH(D834,M_User!$D$12:$D$67,0),5),"UNMAPPED")</f>
        <v>MOS</v>
      </c>
      <c r="G834" s="73" t="s">
        <v>797</v>
      </c>
      <c r="H834" s="92" t="s">
        <v>798</v>
      </c>
      <c r="I834" s="73" t="s">
        <v>170</v>
      </c>
      <c r="J834" s="76" t="str">
        <f>IFERROR(INDEX(M_SKU!$A$18:$J$57,MATCH(I834,M_SKU!$B$18:$B$57,0),1),"UNKNOWN SKU")</f>
        <v>Coke RGB 350ml</v>
      </c>
      <c r="K834" s="73" t="s">
        <v>530</v>
      </c>
      <c r="L834" s="276">
        <v>17.1642871567078</v>
      </c>
      <c r="M834" s="94" cm="1">
        <f t="array" ref="M834">IFERROR(INDEX(M_DepotPrice!$C$10:$C$52,MATCH(1,(M_DepotPrice!$A$10:$A$52=I834)*(M_DepotPrice!$H$10:$H$52=IFERROR(INDEX(M_Depot!$A$7:$A$24,MATCH(F834,M_Depot!$B$7:$B$24,0)),""))*(M_DepotPrice!$G$10:$G$52="Special"),0)),INDEX(M_DepotPrice!$C$10:$C$52,MATCH(1,(M_DepotPrice!$A$10:$A$52=I834)*(M_DepotPrice!$G$10:$G$52="Default"),0)))</f>
        <v>11780</v>
      </c>
      <c r="N834" s="95">
        <f t="shared" si="25"/>
        <v>238590.45719310109</v>
      </c>
      <c r="O834" s="82" t="str">
        <f t="shared" si="24"/>
        <v>MOS100744|FG001|CK3-33409</v>
      </c>
    </row>
    <row r="835" spans="1:15" ht="15" customHeight="1" x14ac:dyDescent="0.3">
      <c r="A835" s="60" t="s">
        <v>1514</v>
      </c>
      <c r="B835" s="60" t="s">
        <v>564</v>
      </c>
      <c r="C835" s="62">
        <v>46179</v>
      </c>
      <c r="D835" s="63" t="s">
        <v>370</v>
      </c>
      <c r="E835" s="66" t="str">
        <f>IFERROR(INDEX(M_User!$A$12:$J$67,MATCH(D835,M_User!$D$12:$D$67,0),3),"UNMAPPED")</f>
        <v>Zawadi Jastin Laizer</v>
      </c>
      <c r="F835" s="65" t="str">
        <f>IFERROR(INDEX(M_User!$A$12:$J$67,MATCH(D835,M_User!$D$12:$D$67,0),5),"UNMAPPED")</f>
        <v>MOS</v>
      </c>
      <c r="G835" s="63" t="s">
        <v>797</v>
      </c>
      <c r="H835" s="69" t="s">
        <v>798</v>
      </c>
      <c r="I835" s="63" t="s">
        <v>181</v>
      </c>
      <c r="J835" s="66" t="str">
        <f>IFERROR(INDEX(M_SKU!$A$18:$J$57,MATCH(I835,M_SKU!$B$18:$B$57,0),1),"UNKNOWN SKU")</f>
        <v>Fanta Passion RGB 350ml</v>
      </c>
      <c r="K835" s="63" t="s">
        <v>550</v>
      </c>
      <c r="L835" s="276">
        <v>3.9618000000000002</v>
      </c>
      <c r="M835" s="91" cm="1">
        <f t="array" ref="M835">IFERROR(INDEX(M_DepotPrice!$C$10:$C$52,MATCH(1,(M_DepotPrice!$A$10:$A$52=I835)*(M_DepotPrice!$H$10:$H$52=IFERROR(INDEX(M_Depot!$A$7:$A$24,MATCH(F835,M_Depot!$B$7:$B$24,0)),""))*(M_DepotPrice!$G$10:$G$52="Special"),0)),INDEX(M_DepotPrice!$C$10:$C$52,MATCH(1,(M_DepotPrice!$A$10:$A$52=I835)*(M_DepotPrice!$G$10:$G$52="Default"),0)))</f>
        <v>11780</v>
      </c>
      <c r="N835" s="67">
        <f t="shared" si="25"/>
        <v>55070.604719999996</v>
      </c>
      <c r="O835" s="66" t="str">
        <f t="shared" si="24"/>
        <v>MOS100744|FG003|CK3-33356</v>
      </c>
    </row>
    <row r="836" spans="1:15" ht="15" customHeight="1" x14ac:dyDescent="0.3">
      <c r="A836" s="70" t="s">
        <v>1515</v>
      </c>
      <c r="B836" s="70" t="s">
        <v>564</v>
      </c>
      <c r="C836" s="72">
        <v>46179</v>
      </c>
      <c r="D836" s="73" t="s">
        <v>370</v>
      </c>
      <c r="E836" s="76" t="str">
        <f>IFERROR(INDEX(M_User!$A$12:$J$67,MATCH(D836,M_User!$D$12:$D$67,0),3),"UNMAPPED")</f>
        <v>Zawadi Jastin Laizer</v>
      </c>
      <c r="F836" s="75" t="str">
        <f>IFERROR(INDEX(M_User!$A$12:$J$67,MATCH(D836,M_User!$D$12:$D$67,0),5),"UNMAPPED")</f>
        <v>MOS</v>
      </c>
      <c r="G836" s="73" t="s">
        <v>797</v>
      </c>
      <c r="H836" s="92" t="s">
        <v>798</v>
      </c>
      <c r="I836" s="73" t="s">
        <v>183</v>
      </c>
      <c r="J836" s="76" t="str">
        <f>IFERROR(INDEX(M_SKU!$A$18:$J$57,MATCH(I836,M_SKU!$B$18:$B$57,0),1),"UNKNOWN SKU")</f>
        <v>Fanta Pineapple RGB 350ml</v>
      </c>
      <c r="K836" s="73" t="s">
        <v>533</v>
      </c>
      <c r="L836" s="276">
        <v>7.6967999999999996</v>
      </c>
      <c r="M836" s="94" cm="1">
        <f t="array" ref="M836">IFERROR(INDEX(M_DepotPrice!$C$10:$C$52,MATCH(1,(M_DepotPrice!$A$10:$A$52=I836)*(M_DepotPrice!$H$10:$H$52=IFERROR(INDEX(M_Depot!$A$7:$A$24,MATCH(F836,M_Depot!$B$7:$B$24,0)),""))*(M_DepotPrice!$G$10:$G$52="Special"),0)),INDEX(M_DepotPrice!$C$10:$C$52,MATCH(1,(M_DepotPrice!$A$10:$A$52=I836)*(M_DepotPrice!$G$10:$G$52="Default"),0)))</f>
        <v>11780</v>
      </c>
      <c r="N836" s="95">
        <f t="shared" si="25"/>
        <v>106988.59871999998</v>
      </c>
      <c r="O836" s="82" t="str">
        <f t="shared" si="24"/>
        <v>MOS100744|FG004|CK3-33385</v>
      </c>
    </row>
    <row r="837" spans="1:15" ht="15" customHeight="1" x14ac:dyDescent="0.3">
      <c r="A837" s="60" t="s">
        <v>1516</v>
      </c>
      <c r="B837" s="60" t="s">
        <v>564</v>
      </c>
      <c r="C837" s="62">
        <v>46179</v>
      </c>
      <c r="D837" s="63" t="s">
        <v>370</v>
      </c>
      <c r="E837" s="66" t="str">
        <f>IFERROR(INDEX(M_User!$A$12:$J$67,MATCH(D837,M_User!$D$12:$D$67,0),3),"UNMAPPED")</f>
        <v>Zawadi Jastin Laizer</v>
      </c>
      <c r="F837" s="65" t="str">
        <f>IFERROR(INDEX(M_User!$A$12:$J$67,MATCH(D837,M_User!$D$12:$D$67,0),5),"UNMAPPED")</f>
        <v>MOS</v>
      </c>
      <c r="G837" s="63" t="s">
        <v>797</v>
      </c>
      <c r="H837" s="69" t="s">
        <v>798</v>
      </c>
      <c r="I837" s="63" t="s">
        <v>185</v>
      </c>
      <c r="J837" s="66" t="str">
        <f>IFERROR(INDEX(M_SKU!$A$18:$J$57,MATCH(I837,M_SKU!$B$18:$B$57,0),1),"UNKNOWN SKU")</f>
        <v>Fanta Fruit Blast RGB 350 ml</v>
      </c>
      <c r="K837" s="63" t="s">
        <v>534</v>
      </c>
      <c r="L837" s="276">
        <v>0.87319999999999998</v>
      </c>
      <c r="M837" s="91" cm="1">
        <f t="array" ref="M837">IFERROR(INDEX(M_DepotPrice!$C$10:$C$52,MATCH(1,(M_DepotPrice!$A$10:$A$52=I837)*(M_DepotPrice!$H$10:$H$52=IFERROR(INDEX(M_Depot!$A$7:$A$24,MATCH(F837,M_Depot!$B$7:$B$24,0)),""))*(M_DepotPrice!$G$10:$G$52="Special"),0)),INDEX(M_DepotPrice!$C$10:$C$52,MATCH(1,(M_DepotPrice!$A$10:$A$52=I837)*(M_DepotPrice!$G$10:$G$52="Default"),0)))</f>
        <v>11780</v>
      </c>
      <c r="N837" s="67">
        <f t="shared" si="25"/>
        <v>12137.82928</v>
      </c>
      <c r="O837" s="66" t="str">
        <f t="shared" si="24"/>
        <v>MOS100744|FG005|CK3-33402</v>
      </c>
    </row>
    <row r="838" spans="1:15" ht="15" customHeight="1" x14ac:dyDescent="0.3">
      <c r="A838" s="70" t="s">
        <v>1517</v>
      </c>
      <c r="B838" s="70" t="s">
        <v>564</v>
      </c>
      <c r="C838" s="72">
        <v>46179</v>
      </c>
      <c r="D838" s="73" t="s">
        <v>370</v>
      </c>
      <c r="E838" s="76" t="str">
        <f>IFERROR(INDEX(M_User!$A$12:$J$67,MATCH(D838,M_User!$D$12:$D$67,0),3),"UNMAPPED")</f>
        <v>Zawadi Jastin Laizer</v>
      </c>
      <c r="F838" s="75" t="str">
        <f>IFERROR(INDEX(M_User!$A$12:$J$67,MATCH(D838,M_User!$D$12:$D$67,0),5),"UNMAPPED")</f>
        <v>MOS</v>
      </c>
      <c r="G838" s="73" t="s">
        <v>797</v>
      </c>
      <c r="H838" s="92" t="s">
        <v>798</v>
      </c>
      <c r="I838" s="73" t="s">
        <v>187</v>
      </c>
      <c r="J838" s="76" t="str">
        <f>IFERROR(INDEX(M_SKU!$A$18:$J$57,MATCH(I838,M_SKU!$B$18:$B$57,0),1),"UNKNOWN SKU")</f>
        <v>Sprite 350ml</v>
      </c>
      <c r="K838" s="73" t="s">
        <v>535</v>
      </c>
      <c r="L838" s="276">
        <v>3.3449</v>
      </c>
      <c r="M838" s="94" cm="1">
        <f t="array" ref="M838">IFERROR(INDEX(M_DepotPrice!$C$10:$C$52,MATCH(1,(M_DepotPrice!$A$10:$A$52=I838)*(M_DepotPrice!$H$10:$H$52=IFERROR(INDEX(M_Depot!$A$7:$A$24,MATCH(F838,M_Depot!$B$7:$B$24,0)),""))*(M_DepotPrice!$G$10:$G$52="Special"),0)),INDEX(M_DepotPrice!$C$10:$C$52,MATCH(1,(M_DepotPrice!$A$10:$A$52=I838)*(M_DepotPrice!$G$10:$G$52="Default"),0)))</f>
        <v>11780</v>
      </c>
      <c r="N838" s="95">
        <f t="shared" si="25"/>
        <v>46495.447959999998</v>
      </c>
      <c r="O838" s="82" t="str">
        <f t="shared" si="24"/>
        <v>MOS100744|FG006|CK3-33414</v>
      </c>
    </row>
    <row r="839" spans="1:15" ht="15" customHeight="1" x14ac:dyDescent="0.3">
      <c r="A839" s="60" t="s">
        <v>1518</v>
      </c>
      <c r="B839" s="60" t="s">
        <v>564</v>
      </c>
      <c r="C839" s="62">
        <v>46179</v>
      </c>
      <c r="D839" s="63" t="s">
        <v>370</v>
      </c>
      <c r="E839" s="66" t="str">
        <f>IFERROR(INDEX(M_User!$A$12:$J$67,MATCH(D839,M_User!$D$12:$D$67,0),3),"UNMAPPED")</f>
        <v>Zawadi Jastin Laizer</v>
      </c>
      <c r="F839" s="65" t="str">
        <f>IFERROR(INDEX(M_User!$A$12:$J$67,MATCH(D839,M_User!$D$12:$D$67,0),5),"UNMAPPED")</f>
        <v>MOS</v>
      </c>
      <c r="G839" s="63" t="s">
        <v>797</v>
      </c>
      <c r="H839" s="69" t="s">
        <v>798</v>
      </c>
      <c r="I839" s="63" t="s">
        <v>190</v>
      </c>
      <c r="J839" s="66" t="str">
        <f>IFERROR(INDEX(M_SKU!$A$18:$J$57,MATCH(I839,M_SKU!$B$18:$B$57,0),1),"UNKNOWN SKU")</f>
        <v>Stoney Tangawizi RGB 350ml</v>
      </c>
      <c r="K839" s="63" t="s">
        <v>536</v>
      </c>
      <c r="L839" s="276">
        <v>1.4166000000000001</v>
      </c>
      <c r="M839" s="91" cm="1">
        <f t="array" ref="M839">IFERROR(INDEX(M_DepotPrice!$C$10:$C$52,MATCH(1,(M_DepotPrice!$A$10:$A$52=I839)*(M_DepotPrice!$H$10:$H$52=IFERROR(INDEX(M_Depot!$A$7:$A$24,MATCH(F839,M_Depot!$B$7:$B$24,0)),""))*(M_DepotPrice!$G$10:$G$52="Special"),0)),INDEX(M_DepotPrice!$C$10:$C$52,MATCH(1,(M_DepotPrice!$A$10:$A$52=I839)*(M_DepotPrice!$G$10:$G$52="Default"),0)))</f>
        <v>11780</v>
      </c>
      <c r="N839" s="67">
        <f t="shared" si="25"/>
        <v>19691.306640000003</v>
      </c>
      <c r="O839" s="66" t="str">
        <f t="shared" si="24"/>
        <v>MOS100744|FG007|CK3-33404</v>
      </c>
    </row>
    <row r="840" spans="1:15" ht="15" customHeight="1" x14ac:dyDescent="0.3">
      <c r="A840" s="70" t="s">
        <v>1519</v>
      </c>
      <c r="B840" s="70" t="s">
        <v>564</v>
      </c>
      <c r="C840" s="72">
        <v>46179</v>
      </c>
      <c r="D840" s="73" t="s">
        <v>370</v>
      </c>
      <c r="E840" s="76" t="str">
        <f>IFERROR(INDEX(M_User!$A$12:$J$67,MATCH(D840,M_User!$D$12:$D$67,0),3),"UNMAPPED")</f>
        <v>Zawadi Jastin Laizer</v>
      </c>
      <c r="F840" s="75" t="str">
        <f>IFERROR(INDEX(M_User!$A$12:$J$67,MATCH(D840,M_User!$D$12:$D$67,0),5),"UNMAPPED")</f>
        <v>MOS</v>
      </c>
      <c r="G840" s="73" t="s">
        <v>797</v>
      </c>
      <c r="H840" s="92" t="s">
        <v>798</v>
      </c>
      <c r="I840" s="73" t="s">
        <v>193</v>
      </c>
      <c r="J840" s="76" t="str">
        <f>IFERROR(INDEX(M_SKU!$A$18:$J$57,MATCH(I840,M_SKU!$B$18:$B$57,0),1),"UNKNOWN SKU")</f>
        <v>Sparletta Pinenut RGB 350ml</v>
      </c>
      <c r="K840" s="73" t="s">
        <v>537</v>
      </c>
      <c r="L840" s="276">
        <v>1.41689987596638</v>
      </c>
      <c r="M840" s="94" cm="1">
        <f t="array" ref="M840">IFERROR(INDEX(M_DepotPrice!$C$10:$C$52,MATCH(1,(M_DepotPrice!$A$10:$A$52=I840)*(M_DepotPrice!$H$10:$H$52=IFERROR(INDEX(M_Depot!$A$7:$A$24,MATCH(F840,M_Depot!$B$7:$B$24,0)),""))*(M_DepotPrice!$G$10:$G$52="Special"),0)),INDEX(M_DepotPrice!$C$10:$C$52,MATCH(1,(M_DepotPrice!$A$10:$A$52=I840)*(M_DepotPrice!$G$10:$G$52="Default"),0)))</f>
        <v>11780</v>
      </c>
      <c r="N840" s="95">
        <f t="shared" si="25"/>
        <v>19695.475035883068</v>
      </c>
      <c r="O840" s="82" t="str">
        <f t="shared" si="24"/>
        <v>MOS100744|FG008|CK3-33365</v>
      </c>
    </row>
    <row r="841" spans="1:15" ht="15" customHeight="1" x14ac:dyDescent="0.3">
      <c r="A841" s="60" t="s">
        <v>1520</v>
      </c>
      <c r="B841" s="60" t="s">
        <v>564</v>
      </c>
      <c r="C841" s="62">
        <v>46179</v>
      </c>
      <c r="D841" s="63" t="s">
        <v>370</v>
      </c>
      <c r="E841" s="66" t="str">
        <f>IFERROR(INDEX(M_User!$A$12:$J$67,MATCH(D841,M_User!$D$12:$D$67,0),3),"UNMAPPED")</f>
        <v>Zawadi Jastin Laizer</v>
      </c>
      <c r="F841" s="65" t="str">
        <f>IFERROR(INDEX(M_User!$A$12:$J$67,MATCH(D841,M_User!$D$12:$D$67,0),5),"UNMAPPED")</f>
        <v>MOS</v>
      </c>
      <c r="G841" s="63" t="s">
        <v>797</v>
      </c>
      <c r="H841" s="69" t="s">
        <v>798</v>
      </c>
      <c r="I841" s="63" t="s">
        <v>196</v>
      </c>
      <c r="J841" s="66" t="str">
        <f>IFERROR(INDEX(M_SKU!$A$18:$J$57,MATCH(I841,M_SKU!$B$18:$B$57,0),1),"UNKNOWN SKU")</f>
        <v>Krest Bitter Lemon RGB 300ml</v>
      </c>
      <c r="K841" s="63" t="s">
        <v>538</v>
      </c>
      <c r="L841" s="276">
        <v>1.1396999999999999</v>
      </c>
      <c r="M841" s="91" cm="1">
        <f t="array" ref="M841">IFERROR(INDEX(M_DepotPrice!$C$10:$C$52,MATCH(1,(M_DepotPrice!$A$10:$A$52=I841)*(M_DepotPrice!$H$10:$H$52=IFERROR(INDEX(M_Depot!$A$7:$A$24,MATCH(F841,M_Depot!$B$7:$B$24,0)),""))*(M_DepotPrice!$G$10:$G$52="Special"),0)),INDEX(M_DepotPrice!$C$10:$C$52,MATCH(1,(M_DepotPrice!$A$10:$A$52=I841)*(M_DepotPrice!$G$10:$G$52="Default"),0)))</f>
        <v>11780</v>
      </c>
      <c r="N841" s="67">
        <f t="shared" si="25"/>
        <v>15842.285879999998</v>
      </c>
      <c r="O841" s="66" t="str">
        <f t="shared" ref="O841:O904" si="26">D841 &amp; "|" &amp; I841 &amp; "|" &amp; K841</f>
        <v>MOS100744|FG009|CK3-33348</v>
      </c>
    </row>
    <row r="842" spans="1:15" ht="15" customHeight="1" x14ac:dyDescent="0.3">
      <c r="A842" s="70" t="s">
        <v>1521</v>
      </c>
      <c r="B842" s="70" t="s">
        <v>564</v>
      </c>
      <c r="C842" s="72">
        <v>46179</v>
      </c>
      <c r="D842" s="73" t="s">
        <v>370</v>
      </c>
      <c r="E842" s="76" t="str">
        <f>IFERROR(INDEX(M_User!$A$12:$J$67,MATCH(D842,M_User!$D$12:$D$67,0),3),"UNMAPPED")</f>
        <v>Zawadi Jastin Laizer</v>
      </c>
      <c r="F842" s="75" t="str">
        <f>IFERROR(INDEX(M_User!$A$12:$J$67,MATCH(D842,M_User!$D$12:$D$67,0),5),"UNMAPPED")</f>
        <v>MOS</v>
      </c>
      <c r="G842" s="73" t="s">
        <v>797</v>
      </c>
      <c r="H842" s="92" t="s">
        <v>798</v>
      </c>
      <c r="I842" s="73" t="s">
        <v>199</v>
      </c>
      <c r="J842" s="76" t="str">
        <f>IFERROR(INDEX(M_SKU!$A$18:$J$57,MATCH(I842,M_SKU!$B$18:$B$57,0),1),"UNKNOWN SKU")</f>
        <v>Krest Club Soda RGB 300ml</v>
      </c>
      <c r="K842" s="73" t="s">
        <v>539</v>
      </c>
      <c r="L842" s="276">
        <v>0.64780000000000004</v>
      </c>
      <c r="M842" s="94" cm="1">
        <f t="array" ref="M842">IFERROR(INDEX(M_DepotPrice!$C$10:$C$52,MATCH(1,(M_DepotPrice!$A$10:$A$52=I842)*(M_DepotPrice!$H$10:$H$52=IFERROR(INDEX(M_Depot!$A$7:$A$24,MATCH(F842,M_Depot!$B$7:$B$24,0)),""))*(M_DepotPrice!$G$10:$G$52="Special"),0)),INDEX(M_DepotPrice!$C$10:$C$52,MATCH(1,(M_DepotPrice!$A$10:$A$52=I842)*(M_DepotPrice!$G$10:$G$52="Default"),0)))</f>
        <v>11780</v>
      </c>
      <c r="N842" s="95">
        <f t="shared" ref="N842:N905" si="27">(L842*M842)*1.18</f>
        <v>9004.6791200000007</v>
      </c>
      <c r="O842" s="82" t="str">
        <f t="shared" si="26"/>
        <v>MOS100744|FG010|CK3-33301</v>
      </c>
    </row>
    <row r="843" spans="1:15" ht="15" customHeight="1" x14ac:dyDescent="0.3">
      <c r="A843" s="60" t="s">
        <v>1522</v>
      </c>
      <c r="B843" s="60" t="s">
        <v>564</v>
      </c>
      <c r="C843" s="62">
        <v>46179</v>
      </c>
      <c r="D843" s="63" t="s">
        <v>370</v>
      </c>
      <c r="E843" s="66" t="str">
        <f>IFERROR(INDEX(M_User!$A$12:$J$67,MATCH(D843,M_User!$D$12:$D$67,0),3),"UNMAPPED")</f>
        <v>Zawadi Jastin Laizer</v>
      </c>
      <c r="F843" s="65" t="str">
        <f>IFERROR(INDEX(M_User!$A$12:$J$67,MATCH(D843,M_User!$D$12:$D$67,0),5),"UNMAPPED")</f>
        <v>MOS</v>
      </c>
      <c r="G843" s="63" t="s">
        <v>797</v>
      </c>
      <c r="H843" s="69" t="s">
        <v>798</v>
      </c>
      <c r="I843" s="63" t="s">
        <v>201</v>
      </c>
      <c r="J843" s="66" t="str">
        <f>IFERROR(INDEX(M_SKU!$A$18:$J$57,MATCH(I843,M_SKU!$B$18:$B$57,0),1),"UNKNOWN SKU")</f>
        <v>Krest Tonic Water RGB 300ml</v>
      </c>
      <c r="K843" s="63" t="s">
        <v>540</v>
      </c>
      <c r="L843" s="276">
        <v>1.0893999999999999</v>
      </c>
      <c r="M843" s="91" cm="1">
        <f t="array" ref="M843">IFERROR(INDEX(M_DepotPrice!$C$10:$C$52,MATCH(1,(M_DepotPrice!$A$10:$A$52=I843)*(M_DepotPrice!$H$10:$H$52=IFERROR(INDEX(M_Depot!$A$7:$A$24,MATCH(F843,M_Depot!$B$7:$B$24,0)),""))*(M_DepotPrice!$G$10:$G$52="Special"),0)),INDEX(M_DepotPrice!$C$10:$C$52,MATCH(1,(M_DepotPrice!$A$10:$A$52=I843)*(M_DepotPrice!$G$10:$G$52="Default"),0)))</f>
        <v>11780</v>
      </c>
      <c r="N843" s="67">
        <f t="shared" si="27"/>
        <v>15143.095759999998</v>
      </c>
      <c r="O843" s="66" t="str">
        <f t="shared" si="26"/>
        <v>MOS100744|FG011|CK3-33347</v>
      </c>
    </row>
    <row r="844" spans="1:15" ht="15" customHeight="1" x14ac:dyDescent="0.3">
      <c r="A844" s="70" t="s">
        <v>1523</v>
      </c>
      <c r="B844" s="70" t="s">
        <v>564</v>
      </c>
      <c r="C844" s="72">
        <v>46179</v>
      </c>
      <c r="D844" s="73" t="s">
        <v>370</v>
      </c>
      <c r="E844" s="76" t="str">
        <f>IFERROR(INDEX(M_User!$A$12:$J$67,MATCH(D844,M_User!$D$12:$D$67,0),3),"UNMAPPED")</f>
        <v>Zawadi Jastin Laizer</v>
      </c>
      <c r="F844" s="75" t="str">
        <f>IFERROR(INDEX(M_User!$A$12:$J$67,MATCH(D844,M_User!$D$12:$D$67,0),5),"UNMAPPED")</f>
        <v>MOS</v>
      </c>
      <c r="G844" s="73" t="s">
        <v>797</v>
      </c>
      <c r="H844" s="92" t="s">
        <v>798</v>
      </c>
      <c r="I844" s="73" t="s">
        <v>203</v>
      </c>
      <c r="J844" s="76" t="str">
        <f>IFERROR(INDEX(M_SKU!$A$18:$J$57,MATCH(I844,M_SKU!$B$18:$B$57,0),1),"UNKNOWN SKU")</f>
        <v>Krest Ginger Ale RGB 300ml</v>
      </c>
      <c r="K844" s="73" t="s">
        <v>541</v>
      </c>
      <c r="L844" s="276">
        <v>0.93674306551322595</v>
      </c>
      <c r="M844" s="94" cm="1">
        <f t="array" ref="M844">IFERROR(INDEX(M_DepotPrice!$C$10:$C$52,MATCH(1,(M_DepotPrice!$A$10:$A$52=I844)*(M_DepotPrice!$H$10:$H$52=IFERROR(INDEX(M_Depot!$A$7:$A$24,MATCH(F844,M_Depot!$B$7:$B$24,0)),""))*(M_DepotPrice!$G$10:$G$52="Special"),0)),INDEX(M_DepotPrice!$C$10:$C$52,MATCH(1,(M_DepotPrice!$A$10:$A$52=I844)*(M_DepotPrice!$G$10:$G$52="Default"),0)))</f>
        <v>11780</v>
      </c>
      <c r="N844" s="95">
        <f t="shared" si="27"/>
        <v>13021.103307860047</v>
      </c>
      <c r="O844" s="82" t="str">
        <f t="shared" si="26"/>
        <v>MOS100744|FG012|CK3-33126</v>
      </c>
    </row>
    <row r="845" spans="1:15" ht="15" customHeight="1" x14ac:dyDescent="0.3">
      <c r="A845" s="60" t="s">
        <v>1524</v>
      </c>
      <c r="B845" s="60" t="s">
        <v>564</v>
      </c>
      <c r="C845" s="62">
        <v>46179</v>
      </c>
      <c r="D845" s="63" t="s">
        <v>370</v>
      </c>
      <c r="E845" s="66" t="str">
        <f>IFERROR(INDEX(M_User!$A$12:$J$67,MATCH(D845,M_User!$D$12:$D$67,0),3),"UNMAPPED")</f>
        <v>Zawadi Jastin Laizer</v>
      </c>
      <c r="F845" s="65" t="str">
        <f>IFERROR(INDEX(M_User!$A$12:$J$67,MATCH(D845,M_User!$D$12:$D$67,0),5),"UNMAPPED")</f>
        <v>MOS</v>
      </c>
      <c r="G845" s="63" t="s">
        <v>797</v>
      </c>
      <c r="H845" s="69" t="s">
        <v>798</v>
      </c>
      <c r="I845" s="63" t="s">
        <v>209</v>
      </c>
      <c r="J845" s="66" t="str">
        <f>IFERROR(INDEX(M_SKU!$A$18:$J$57,MATCH(I845,M_SKU!$B$18:$B$57,0),1),"UNKNOWN SKU")</f>
        <v>Sparletta Red Apple RGB 350ml</v>
      </c>
      <c r="K845" s="63" t="s">
        <v>542</v>
      </c>
      <c r="L845" s="276">
        <v>0.62370000000000003</v>
      </c>
      <c r="M845" s="91" cm="1">
        <f t="array" ref="M845">IFERROR(INDEX(M_DepotPrice!$C$10:$C$52,MATCH(1,(M_DepotPrice!$A$10:$A$52=I845)*(M_DepotPrice!$H$10:$H$52=IFERROR(INDEX(M_Depot!$A$7:$A$24,MATCH(F845,M_Depot!$B$7:$B$24,0)),""))*(M_DepotPrice!$G$10:$G$52="Special"),0)),INDEX(M_DepotPrice!$C$10:$C$52,MATCH(1,(M_DepotPrice!$A$10:$A$52=I845)*(M_DepotPrice!$G$10:$G$52="Default"),0)))</f>
        <v>11780</v>
      </c>
      <c r="N845" s="67">
        <f t="shared" si="27"/>
        <v>8669.6794800000007</v>
      </c>
      <c r="O845" s="66" t="str">
        <f t="shared" si="26"/>
        <v>MOS100744|FG024|CK3-32758</v>
      </c>
    </row>
    <row r="846" spans="1:15" ht="15" customHeight="1" x14ac:dyDescent="0.3">
      <c r="A846" s="70" t="s">
        <v>1525</v>
      </c>
      <c r="B846" s="70" t="s">
        <v>564</v>
      </c>
      <c r="C846" s="72">
        <v>46179</v>
      </c>
      <c r="D846" s="73" t="s">
        <v>370</v>
      </c>
      <c r="E846" s="76" t="str">
        <f>IFERROR(INDEX(M_User!$A$12:$J$67,MATCH(D846,M_User!$D$12:$D$67,0),3),"UNMAPPED")</f>
        <v>Zawadi Jastin Laizer</v>
      </c>
      <c r="F846" s="75" t="str">
        <f>IFERROR(INDEX(M_User!$A$12:$J$67,MATCH(D846,M_User!$D$12:$D$67,0),5),"UNMAPPED")</f>
        <v>MOS</v>
      </c>
      <c r="G846" s="73" t="s">
        <v>797</v>
      </c>
      <c r="H846" s="92" t="s">
        <v>798</v>
      </c>
      <c r="I846" s="73" t="s">
        <v>225</v>
      </c>
      <c r="J846" s="76" t="str">
        <f>IFERROR(INDEX(M_SKU!$A$18:$J$57,MATCH(I846,M_SKU!$B$18:$B$57,0),1),"UNKNOWN SKU")</f>
        <v>Kilimanjaro Drinking Water 18900 ML</v>
      </c>
      <c r="K846" s="73" t="s">
        <v>567</v>
      </c>
      <c r="L846" s="276">
        <v>3</v>
      </c>
      <c r="M846" s="94" cm="1">
        <f t="array" ref="M846">IFERROR(INDEX(M_DepotPrice!$C$10:$C$52,MATCH(1,(M_DepotPrice!$A$10:$A$52=I846)*(M_DepotPrice!$H$10:$H$52=IFERROR(INDEX(M_Depot!$A$7:$A$24,MATCH(F846,M_Depot!$B$7:$B$24,0)),""))*(M_DepotPrice!$G$10:$G$52="Special"),0)),INDEX(M_DepotPrice!$C$10:$C$52,MATCH(1,(M_DepotPrice!$A$10:$A$52=I846)*(M_DepotPrice!$G$10:$G$52="Default"),0)))</f>
        <v>5932</v>
      </c>
      <c r="N846" s="95">
        <f t="shared" si="27"/>
        <v>20999.279999999999</v>
      </c>
      <c r="O846" s="82" t="str">
        <f t="shared" si="26"/>
        <v>MOS100744|KD006|CK7-915</v>
      </c>
    </row>
    <row r="847" spans="1:15" ht="15" customHeight="1" x14ac:dyDescent="0.3">
      <c r="A847" s="60" t="s">
        <v>1526</v>
      </c>
      <c r="B847" s="60" t="s">
        <v>564</v>
      </c>
      <c r="C847" s="62">
        <v>46179</v>
      </c>
      <c r="D847" s="63" t="s">
        <v>370</v>
      </c>
      <c r="E847" s="66" t="str">
        <f>IFERROR(INDEX(M_User!$A$12:$J$67,MATCH(D847,M_User!$D$12:$D$67,0),3),"UNMAPPED")</f>
        <v>Zawadi Jastin Laizer</v>
      </c>
      <c r="F847" s="65" t="str">
        <f>IFERROR(INDEX(M_User!$A$12:$J$67,MATCH(D847,M_User!$D$12:$D$67,0),5),"UNMAPPED")</f>
        <v>MOS</v>
      </c>
      <c r="G847" s="63" t="s">
        <v>797</v>
      </c>
      <c r="H847" s="69" t="s">
        <v>798</v>
      </c>
      <c r="I847" s="63" t="s">
        <v>229</v>
      </c>
      <c r="J847" s="66" t="str">
        <f>IFERROR(INDEX(M_SKU!$A$18:$J$57,MATCH(I847,M_SKU!$B$18:$B$57,0),1),"UNKNOWN SKU")</f>
        <v>Coke Pet 500ML ( x12)</v>
      </c>
      <c r="K847" s="63" t="s">
        <v>520</v>
      </c>
      <c r="L847" s="276">
        <v>7</v>
      </c>
      <c r="M847" s="91" cm="1">
        <f t="array" ref="M847">IFERROR(INDEX(M_DepotPrice!$C$10:$C$52,MATCH(1,(M_DepotPrice!$A$10:$A$52=I847)*(M_DepotPrice!$H$10:$H$52=IFERROR(INDEX(M_Depot!$A$7:$A$24,MATCH(F847,M_Depot!$B$7:$B$24,0)),""))*(M_DepotPrice!$G$10:$G$52="Special"),0)),INDEX(M_DepotPrice!$C$10:$C$52,MATCH(1,(M_DepotPrice!$A$10:$A$52=I847)*(M_DepotPrice!$G$10:$G$52="Default"),0)))</f>
        <v>8898</v>
      </c>
      <c r="N847" s="67">
        <f t="shared" si="27"/>
        <v>73497.48</v>
      </c>
      <c r="O847" s="66" t="str">
        <f t="shared" si="26"/>
        <v>MOS100744|PH001|CK6-33411</v>
      </c>
    </row>
    <row r="848" spans="1:15" ht="15" customHeight="1" x14ac:dyDescent="0.3">
      <c r="A848" s="70" t="s">
        <v>1527</v>
      </c>
      <c r="B848" s="70" t="s">
        <v>564</v>
      </c>
      <c r="C848" s="72">
        <v>46179</v>
      </c>
      <c r="D848" s="73" t="s">
        <v>370</v>
      </c>
      <c r="E848" s="76" t="str">
        <f>IFERROR(INDEX(M_User!$A$12:$J$67,MATCH(D848,M_User!$D$12:$D$67,0),3),"UNMAPPED")</f>
        <v>Zawadi Jastin Laizer</v>
      </c>
      <c r="F848" s="75" t="str">
        <f>IFERROR(INDEX(M_User!$A$12:$J$67,MATCH(D848,M_User!$D$12:$D$67,0),5),"UNMAPPED")</f>
        <v>MOS</v>
      </c>
      <c r="G848" s="73" t="s">
        <v>797</v>
      </c>
      <c r="H848" s="92" t="s">
        <v>798</v>
      </c>
      <c r="I848" s="73" t="s">
        <v>234</v>
      </c>
      <c r="J848" s="76" t="str">
        <f>IFERROR(INDEX(M_SKU!$A$18:$J$57,MATCH(I848,M_SKU!$B$18:$B$57,0),1),"UNKNOWN SKU")</f>
        <v>Fanta Orange Pet 500ML ( x 12)</v>
      </c>
      <c r="K848" s="73" t="s">
        <v>523</v>
      </c>
      <c r="L848" s="276">
        <v>5</v>
      </c>
      <c r="M848" s="94" cm="1">
        <f t="array" ref="M848">IFERROR(INDEX(M_DepotPrice!$C$10:$C$52,MATCH(1,(M_DepotPrice!$A$10:$A$52=I848)*(M_DepotPrice!$H$10:$H$52=IFERROR(INDEX(M_Depot!$A$7:$A$24,MATCH(F848,M_Depot!$B$7:$B$24,0)),""))*(M_DepotPrice!$G$10:$G$52="Special"),0)),INDEX(M_DepotPrice!$C$10:$C$52,MATCH(1,(M_DepotPrice!$A$10:$A$52=I848)*(M_DepotPrice!$G$10:$G$52="Default"),0)))</f>
        <v>8898</v>
      </c>
      <c r="N848" s="95">
        <f t="shared" si="27"/>
        <v>52498.2</v>
      </c>
      <c r="O848" s="82" t="str">
        <f t="shared" si="26"/>
        <v>MOS100744|PH003|CK6-33405</v>
      </c>
    </row>
    <row r="849" spans="1:15" ht="15" customHeight="1" x14ac:dyDescent="0.3">
      <c r="A849" s="60" t="s">
        <v>1528</v>
      </c>
      <c r="B849" s="60" t="s">
        <v>564</v>
      </c>
      <c r="C849" s="62">
        <v>46179</v>
      </c>
      <c r="D849" s="63" t="s">
        <v>370</v>
      </c>
      <c r="E849" s="66" t="str">
        <f>IFERROR(INDEX(M_User!$A$12:$J$67,MATCH(D849,M_User!$D$12:$D$67,0),3),"UNMAPPED")</f>
        <v>Zawadi Jastin Laizer</v>
      </c>
      <c r="F849" s="65" t="str">
        <f>IFERROR(INDEX(M_User!$A$12:$J$67,MATCH(D849,M_User!$D$12:$D$67,0),5),"UNMAPPED")</f>
        <v>MOS</v>
      </c>
      <c r="G849" s="63" t="s">
        <v>797</v>
      </c>
      <c r="H849" s="69" t="s">
        <v>798</v>
      </c>
      <c r="I849" s="63" t="s">
        <v>236</v>
      </c>
      <c r="J849" s="66" t="str">
        <f>IFERROR(INDEX(M_SKU!$A$18:$J$57,MATCH(I849,M_SKU!$B$18:$B$57,0),1),"UNKNOWN SKU")</f>
        <v>Fanta Passion Pet 500ML ( x12)</v>
      </c>
      <c r="K849" s="63" t="s">
        <v>524</v>
      </c>
      <c r="L849" s="276">
        <v>2</v>
      </c>
      <c r="M849" s="91" cm="1">
        <f t="array" ref="M849">IFERROR(INDEX(M_DepotPrice!$C$10:$C$52,MATCH(1,(M_DepotPrice!$A$10:$A$52=I849)*(M_DepotPrice!$H$10:$H$52=IFERROR(INDEX(M_Depot!$A$7:$A$24,MATCH(F849,M_Depot!$B$7:$B$24,0)),""))*(M_DepotPrice!$G$10:$G$52="Special"),0)),INDEX(M_DepotPrice!$C$10:$C$52,MATCH(1,(M_DepotPrice!$A$10:$A$52=I849)*(M_DepotPrice!$G$10:$G$52="Default"),0)))</f>
        <v>8898</v>
      </c>
      <c r="N849" s="67">
        <f t="shared" si="27"/>
        <v>20999.279999999999</v>
      </c>
      <c r="O849" s="66" t="str">
        <f t="shared" si="26"/>
        <v>MOS100744|PH004|CK5-33334</v>
      </c>
    </row>
    <row r="850" spans="1:15" ht="15" customHeight="1" x14ac:dyDescent="0.3">
      <c r="A850" s="70" t="s">
        <v>1529</v>
      </c>
      <c r="B850" s="70" t="s">
        <v>564</v>
      </c>
      <c r="C850" s="72">
        <v>46179</v>
      </c>
      <c r="D850" s="73" t="s">
        <v>370</v>
      </c>
      <c r="E850" s="76" t="str">
        <f>IFERROR(INDEX(M_User!$A$12:$J$67,MATCH(D850,M_User!$D$12:$D$67,0),3),"UNMAPPED")</f>
        <v>Zawadi Jastin Laizer</v>
      </c>
      <c r="F850" s="75" t="str">
        <f>IFERROR(INDEX(M_User!$A$12:$J$67,MATCH(D850,M_User!$D$12:$D$67,0),5),"UNMAPPED")</f>
        <v>MOS</v>
      </c>
      <c r="G850" s="73" t="s">
        <v>797</v>
      </c>
      <c r="H850" s="92" t="s">
        <v>798</v>
      </c>
      <c r="I850" s="73" t="s">
        <v>244</v>
      </c>
      <c r="J850" s="76" t="str">
        <f>IFERROR(INDEX(M_SKU!$A$18:$J$57,MATCH(I850,M_SKU!$B$18:$B$57,0),1),"UNKNOWN SKU")</f>
        <v>Sparletta Pinenut Pet 500 ml ( x12)</v>
      </c>
      <c r="K850" s="73" t="s">
        <v>526</v>
      </c>
      <c r="L850" s="276">
        <v>1</v>
      </c>
      <c r="M850" s="94" cm="1">
        <f t="array" ref="M850">IFERROR(INDEX(M_DepotPrice!$C$10:$C$52,MATCH(1,(M_DepotPrice!$A$10:$A$52=I850)*(M_DepotPrice!$H$10:$H$52=IFERROR(INDEX(M_Depot!$A$7:$A$24,MATCH(F850,M_Depot!$B$7:$B$24,0)),""))*(M_DepotPrice!$G$10:$G$52="Special"),0)),INDEX(M_DepotPrice!$C$10:$C$52,MATCH(1,(M_DepotPrice!$A$10:$A$52=I850)*(M_DepotPrice!$G$10:$G$52="Default"),0)))</f>
        <v>8898</v>
      </c>
      <c r="N850" s="95">
        <f t="shared" si="27"/>
        <v>10499.64</v>
      </c>
      <c r="O850" s="82" t="str">
        <f t="shared" si="26"/>
        <v>MOS100744|PH008|CK5-33370</v>
      </c>
    </row>
    <row r="851" spans="1:15" ht="15" customHeight="1" x14ac:dyDescent="0.3">
      <c r="A851" s="60" t="s">
        <v>1530</v>
      </c>
      <c r="B851" s="60" t="s">
        <v>564</v>
      </c>
      <c r="C851" s="62">
        <v>46179</v>
      </c>
      <c r="D851" s="63" t="s">
        <v>370</v>
      </c>
      <c r="E851" s="66" t="str">
        <f>IFERROR(INDEX(M_User!$A$12:$J$67,MATCH(D851,M_User!$D$12:$D$67,0),3),"UNMAPPED")</f>
        <v>Zawadi Jastin Laizer</v>
      </c>
      <c r="F851" s="65" t="str">
        <f>IFERROR(INDEX(M_User!$A$12:$J$67,MATCH(D851,M_User!$D$12:$D$67,0),5),"UNMAPPED")</f>
        <v>MOS</v>
      </c>
      <c r="G851" s="63" t="s">
        <v>797</v>
      </c>
      <c r="H851" s="69" t="s">
        <v>798</v>
      </c>
      <c r="I851" s="63" t="s">
        <v>261</v>
      </c>
      <c r="J851" s="66" t="str">
        <f>IFERROR(INDEX(M_SKU!$A$18:$J$57,MATCH(I851,M_SKU!$B$18:$B$57,0),1),"UNKNOWN SKU")</f>
        <v>Sparletta Pine Apple Pet 300ML (x 12)</v>
      </c>
      <c r="K851" s="63" t="s">
        <v>547</v>
      </c>
      <c r="L851" s="276">
        <v>2</v>
      </c>
      <c r="M851" s="91" cm="1">
        <f t="array" ref="M851">IFERROR(INDEX(M_DepotPrice!$C$10:$C$52,MATCH(1,(M_DepotPrice!$A$10:$A$52=I851)*(M_DepotPrice!$H$10:$H$52=IFERROR(INDEX(M_Depot!$A$7:$A$24,MATCH(F851,M_Depot!$B$7:$B$24,0)),""))*(M_DepotPrice!$G$10:$G$52="Special"),0)),INDEX(M_DepotPrice!$C$10:$C$52,MATCH(1,(M_DepotPrice!$A$10:$A$52=I851)*(M_DepotPrice!$G$10:$G$52="Default"),0)))</f>
        <v>5085</v>
      </c>
      <c r="N851" s="67">
        <f t="shared" si="27"/>
        <v>12000.599999999999</v>
      </c>
      <c r="O851" s="66" t="str">
        <f t="shared" si="26"/>
        <v>MOS100744|PO015|CK5-33366</v>
      </c>
    </row>
    <row r="852" spans="1:15" ht="15" customHeight="1" x14ac:dyDescent="0.3">
      <c r="A852" s="70" t="s">
        <v>1531</v>
      </c>
      <c r="B852" s="70" t="s">
        <v>586</v>
      </c>
      <c r="C852" s="72">
        <v>46179</v>
      </c>
      <c r="D852" s="73" t="s">
        <v>361</v>
      </c>
      <c r="E852" s="76" t="str">
        <f>IFERROR(INDEX(M_User!$A$12:$J$67,MATCH(D852,M_User!$D$12:$D$67,0),3),"UNMAPPED")</f>
        <v>Masunga Mwala Ramadhani</v>
      </c>
      <c r="F852" s="75" t="str">
        <f>IFERROR(INDEX(M_User!$A$12:$J$67,MATCH(D852,M_User!$D$12:$D$67,0),5),"UNMAPPED")</f>
        <v>MOS</v>
      </c>
      <c r="G852" s="73" t="s">
        <v>840</v>
      </c>
      <c r="H852" s="92" t="s">
        <v>841</v>
      </c>
      <c r="I852" s="73" t="s">
        <v>170</v>
      </c>
      <c r="J852" s="76" t="str">
        <f>IFERROR(INDEX(M_SKU!$A$18:$J$57,MATCH(I852,M_SKU!$B$18:$B$57,0),1),"UNKNOWN SKU")</f>
        <v>Coke RGB 350ml</v>
      </c>
      <c r="K852" s="73" t="s">
        <v>585</v>
      </c>
      <c r="L852" s="276">
        <v>9.3829999999999991</v>
      </c>
      <c r="M852" s="94" cm="1">
        <f t="array" ref="M852">IFERROR(INDEX(M_DepotPrice!$C$10:$C$52,MATCH(1,(M_DepotPrice!$A$10:$A$52=I852)*(M_DepotPrice!$H$10:$H$52=IFERROR(INDEX(M_Depot!$A$7:$A$24,MATCH(F852,M_Depot!$B$7:$B$24,0)),""))*(M_DepotPrice!$G$10:$G$52="Special"),0)),INDEX(M_DepotPrice!$C$10:$C$52,MATCH(1,(M_DepotPrice!$A$10:$A$52=I852)*(M_DepotPrice!$G$10:$G$52="Default"),0)))</f>
        <v>11780</v>
      </c>
      <c r="N852" s="95">
        <f t="shared" si="27"/>
        <v>130427.45319999999</v>
      </c>
      <c r="O852" s="82" t="str">
        <f t="shared" si="26"/>
        <v>MOS100788|FG001|CK3-33410</v>
      </c>
    </row>
    <row r="853" spans="1:15" ht="15" customHeight="1" x14ac:dyDescent="0.3">
      <c r="A853" s="60" t="s">
        <v>1532</v>
      </c>
      <c r="B853" s="60" t="s">
        <v>586</v>
      </c>
      <c r="C853" s="62">
        <v>46179</v>
      </c>
      <c r="D853" s="63" t="s">
        <v>361</v>
      </c>
      <c r="E853" s="66" t="str">
        <f>IFERROR(INDEX(M_User!$A$12:$J$67,MATCH(D853,M_User!$D$12:$D$67,0),3),"UNMAPPED")</f>
        <v>Masunga Mwala Ramadhani</v>
      </c>
      <c r="F853" s="65" t="str">
        <f>IFERROR(INDEX(M_User!$A$12:$J$67,MATCH(D853,M_User!$D$12:$D$67,0),5),"UNMAPPED")</f>
        <v>MOS</v>
      </c>
      <c r="G853" s="63" t="s">
        <v>840</v>
      </c>
      <c r="H853" s="69" t="s">
        <v>841</v>
      </c>
      <c r="I853" s="63" t="s">
        <v>181</v>
      </c>
      <c r="J853" s="66" t="str">
        <f>IFERROR(INDEX(M_SKU!$A$18:$J$57,MATCH(I853,M_SKU!$B$18:$B$57,0),1),"UNKNOWN SKU")</f>
        <v>Fanta Passion RGB 350ml</v>
      </c>
      <c r="K853" s="63" t="s">
        <v>550</v>
      </c>
      <c r="L853" s="276">
        <v>3.3776000000000002</v>
      </c>
      <c r="M853" s="91" cm="1">
        <f t="array" ref="M853">IFERROR(INDEX(M_DepotPrice!$C$10:$C$52,MATCH(1,(M_DepotPrice!$A$10:$A$52=I853)*(M_DepotPrice!$H$10:$H$52=IFERROR(INDEX(M_Depot!$A$7:$A$24,MATCH(F853,M_Depot!$B$7:$B$24,0)),""))*(M_DepotPrice!$G$10:$G$52="Special"),0)),INDEX(M_DepotPrice!$C$10:$C$52,MATCH(1,(M_DepotPrice!$A$10:$A$52=I853)*(M_DepotPrice!$G$10:$G$52="Default"),0)))</f>
        <v>11780</v>
      </c>
      <c r="N853" s="67">
        <f t="shared" si="27"/>
        <v>46949.991040000001</v>
      </c>
      <c r="O853" s="66" t="str">
        <f t="shared" si="26"/>
        <v>MOS100788|FG003|CK3-33356</v>
      </c>
    </row>
    <row r="854" spans="1:15" ht="15" customHeight="1" x14ac:dyDescent="0.3">
      <c r="A854" s="70" t="s">
        <v>1533</v>
      </c>
      <c r="B854" s="70" t="s">
        <v>586</v>
      </c>
      <c r="C854" s="72">
        <v>46179</v>
      </c>
      <c r="D854" s="73" t="s">
        <v>361</v>
      </c>
      <c r="E854" s="76" t="str">
        <f>IFERROR(INDEX(M_User!$A$12:$J$67,MATCH(D854,M_User!$D$12:$D$67,0),3),"UNMAPPED")</f>
        <v>Masunga Mwala Ramadhani</v>
      </c>
      <c r="F854" s="75" t="str">
        <f>IFERROR(INDEX(M_User!$A$12:$J$67,MATCH(D854,M_User!$D$12:$D$67,0),5),"UNMAPPED")</f>
        <v>MOS</v>
      </c>
      <c r="G854" s="73" t="s">
        <v>840</v>
      </c>
      <c r="H854" s="92" t="s">
        <v>841</v>
      </c>
      <c r="I854" s="73" t="s">
        <v>183</v>
      </c>
      <c r="J854" s="76" t="str">
        <f>IFERROR(INDEX(M_SKU!$A$18:$J$57,MATCH(I854,M_SKU!$B$18:$B$57,0),1),"UNKNOWN SKU")</f>
        <v>Fanta Pineapple RGB 350ml</v>
      </c>
      <c r="K854" s="73" t="s">
        <v>533</v>
      </c>
      <c r="L854" s="276">
        <v>2.7006349680940702</v>
      </c>
      <c r="M854" s="94" cm="1">
        <f t="array" ref="M854">IFERROR(INDEX(M_DepotPrice!$C$10:$C$52,MATCH(1,(M_DepotPrice!$A$10:$A$52=I854)*(M_DepotPrice!$H$10:$H$52=IFERROR(INDEX(M_Depot!$A$7:$A$24,MATCH(F854,M_Depot!$B$7:$B$24,0)),""))*(M_DepotPrice!$G$10:$G$52="Special"),0)),INDEX(M_DepotPrice!$C$10:$C$52,MATCH(1,(M_DepotPrice!$A$10:$A$52=I854)*(M_DepotPrice!$G$10:$G$52="Default"),0)))</f>
        <v>11780</v>
      </c>
      <c r="N854" s="95">
        <f t="shared" si="27"/>
        <v>37539.906310494815</v>
      </c>
      <c r="O854" s="82" t="str">
        <f t="shared" si="26"/>
        <v>MOS100788|FG004|CK3-33385</v>
      </c>
    </row>
    <row r="855" spans="1:15" ht="15" customHeight="1" x14ac:dyDescent="0.3">
      <c r="A855" s="60" t="s">
        <v>1534</v>
      </c>
      <c r="B855" s="60" t="s">
        <v>586</v>
      </c>
      <c r="C855" s="62">
        <v>46179</v>
      </c>
      <c r="D855" s="63" t="s">
        <v>361</v>
      </c>
      <c r="E855" s="66" t="str">
        <f>IFERROR(INDEX(M_User!$A$12:$J$67,MATCH(D855,M_User!$D$12:$D$67,0),3),"UNMAPPED")</f>
        <v>Masunga Mwala Ramadhani</v>
      </c>
      <c r="F855" s="65" t="str">
        <f>IFERROR(INDEX(M_User!$A$12:$J$67,MATCH(D855,M_User!$D$12:$D$67,0),5),"UNMAPPED")</f>
        <v>MOS</v>
      </c>
      <c r="G855" s="63" t="s">
        <v>840</v>
      </c>
      <c r="H855" s="69" t="s">
        <v>841</v>
      </c>
      <c r="I855" s="63" t="s">
        <v>203</v>
      </c>
      <c r="J855" s="66" t="str">
        <f>IFERROR(INDEX(M_SKU!$A$18:$J$57,MATCH(I855,M_SKU!$B$18:$B$57,0),1),"UNKNOWN SKU")</f>
        <v>Krest Ginger Ale RGB 300ml</v>
      </c>
      <c r="K855" s="63" t="s">
        <v>541</v>
      </c>
      <c r="L855" s="276">
        <v>1.3546</v>
      </c>
      <c r="M855" s="91" cm="1">
        <f t="array" ref="M855">IFERROR(INDEX(M_DepotPrice!$C$10:$C$52,MATCH(1,(M_DepotPrice!$A$10:$A$52=I855)*(M_DepotPrice!$H$10:$H$52=IFERROR(INDEX(M_Depot!$A$7:$A$24,MATCH(F855,M_Depot!$B$7:$B$24,0)),""))*(M_DepotPrice!$G$10:$G$52="Special"),0)),INDEX(M_DepotPrice!$C$10:$C$52,MATCH(1,(M_DepotPrice!$A$10:$A$52=I855)*(M_DepotPrice!$G$10:$G$52="Default"),0)))</f>
        <v>11780</v>
      </c>
      <c r="N855" s="67">
        <f t="shared" si="27"/>
        <v>18829.48184</v>
      </c>
      <c r="O855" s="66" t="str">
        <f t="shared" si="26"/>
        <v>MOS100788|FG012|CK3-33126</v>
      </c>
    </row>
    <row r="856" spans="1:15" ht="15" customHeight="1" x14ac:dyDescent="0.3">
      <c r="A856" s="70" t="s">
        <v>1535</v>
      </c>
      <c r="B856" s="70" t="s">
        <v>586</v>
      </c>
      <c r="C856" s="72">
        <v>46179</v>
      </c>
      <c r="D856" s="73" t="s">
        <v>361</v>
      </c>
      <c r="E856" s="76" t="str">
        <f>IFERROR(INDEX(M_User!$A$12:$J$67,MATCH(D856,M_User!$D$12:$D$67,0),3),"UNMAPPED")</f>
        <v>Masunga Mwala Ramadhani</v>
      </c>
      <c r="F856" s="75" t="str">
        <f>IFERROR(INDEX(M_User!$A$12:$J$67,MATCH(D856,M_User!$D$12:$D$67,0),5),"UNMAPPED")</f>
        <v>MOS</v>
      </c>
      <c r="G856" s="73" t="s">
        <v>840</v>
      </c>
      <c r="H856" s="92" t="s">
        <v>841</v>
      </c>
      <c r="I856" s="73" t="s">
        <v>209</v>
      </c>
      <c r="J856" s="76" t="str">
        <f>IFERROR(INDEX(M_SKU!$A$18:$J$57,MATCH(I856,M_SKU!$B$18:$B$57,0),1),"UNKNOWN SKU")</f>
        <v>Sparletta Red Apple RGB 350ml</v>
      </c>
      <c r="K856" s="73" t="s">
        <v>542</v>
      </c>
      <c r="L856" s="276">
        <v>0.24349999999999999</v>
      </c>
      <c r="M856" s="94" cm="1">
        <f t="array" ref="M856">IFERROR(INDEX(M_DepotPrice!$C$10:$C$52,MATCH(1,(M_DepotPrice!$A$10:$A$52=I856)*(M_DepotPrice!$H$10:$H$52=IFERROR(INDEX(M_Depot!$A$7:$A$24,MATCH(F856,M_Depot!$B$7:$B$24,0)),""))*(M_DepotPrice!$G$10:$G$52="Special"),0)),INDEX(M_DepotPrice!$C$10:$C$52,MATCH(1,(M_DepotPrice!$A$10:$A$52=I856)*(M_DepotPrice!$G$10:$G$52="Default"),0)))</f>
        <v>11780</v>
      </c>
      <c r="N856" s="95">
        <f t="shared" si="27"/>
        <v>3384.7473999999997</v>
      </c>
      <c r="O856" s="82" t="str">
        <f t="shared" si="26"/>
        <v>MOS100788|FG024|CK3-32758</v>
      </c>
    </row>
    <row r="857" spans="1:15" ht="15" customHeight="1" x14ac:dyDescent="0.3">
      <c r="A857" s="60" t="s">
        <v>1536</v>
      </c>
      <c r="B857" s="60" t="s">
        <v>586</v>
      </c>
      <c r="C857" s="62">
        <v>46179</v>
      </c>
      <c r="D857" s="63" t="s">
        <v>361</v>
      </c>
      <c r="E857" s="66" t="str">
        <f>IFERROR(INDEX(M_User!$A$12:$J$67,MATCH(D857,M_User!$D$12:$D$67,0),3),"UNMAPPED")</f>
        <v>Masunga Mwala Ramadhani</v>
      </c>
      <c r="F857" s="65" t="str">
        <f>IFERROR(INDEX(M_User!$A$12:$J$67,MATCH(D857,M_User!$D$12:$D$67,0),5),"UNMAPPED")</f>
        <v>MOS</v>
      </c>
      <c r="G857" s="63" t="s">
        <v>840</v>
      </c>
      <c r="H857" s="69" t="s">
        <v>841</v>
      </c>
      <c r="I857" s="63" t="s">
        <v>211</v>
      </c>
      <c r="J857" s="66" t="str">
        <f>IFERROR(INDEX(M_SKU!$A$18:$J$57,MATCH(I857,M_SKU!$B$18:$B$57,0),1),"UNKNOWN SKU")</f>
        <v>KNMW 500ml</v>
      </c>
      <c r="K857" s="63" t="s">
        <v>543</v>
      </c>
      <c r="L857" s="276">
        <v>21</v>
      </c>
      <c r="M857" s="91" cm="1">
        <f t="array" ref="M857">IFERROR(INDEX(M_DepotPrice!$C$10:$C$52,MATCH(1,(M_DepotPrice!$A$10:$A$52=I857)*(M_DepotPrice!$H$10:$H$52=IFERROR(INDEX(M_Depot!$A$7:$A$24,MATCH(F857,M_Depot!$B$7:$B$24,0)),""))*(M_DepotPrice!$G$10:$G$52="Special"),0)),INDEX(M_DepotPrice!$C$10:$C$52,MATCH(1,(M_DepotPrice!$A$10:$A$52=I857)*(M_DepotPrice!$G$10:$G$52="Default"),0)))</f>
        <v>3559</v>
      </c>
      <c r="N857" s="67">
        <f t="shared" si="27"/>
        <v>88192.01999999999</v>
      </c>
      <c r="O857" s="66" t="str">
        <f t="shared" si="26"/>
        <v>MOS100788|KD001|CK6-986</v>
      </c>
    </row>
    <row r="858" spans="1:15" ht="15" customHeight="1" x14ac:dyDescent="0.3">
      <c r="A858" s="70" t="s">
        <v>1537</v>
      </c>
      <c r="B858" s="70" t="s">
        <v>586</v>
      </c>
      <c r="C858" s="72">
        <v>46179</v>
      </c>
      <c r="D858" s="73" t="s">
        <v>361</v>
      </c>
      <c r="E858" s="76" t="str">
        <f>IFERROR(INDEX(M_User!$A$12:$J$67,MATCH(D858,M_User!$D$12:$D$67,0),3),"UNMAPPED")</f>
        <v>Masunga Mwala Ramadhani</v>
      </c>
      <c r="F858" s="75" t="str">
        <f>IFERROR(INDEX(M_User!$A$12:$J$67,MATCH(D858,M_User!$D$12:$D$67,0),5),"UNMAPPED")</f>
        <v>MOS</v>
      </c>
      <c r="G858" s="73" t="s">
        <v>840</v>
      </c>
      <c r="H858" s="92" t="s">
        <v>841</v>
      </c>
      <c r="I858" s="73" t="s">
        <v>217</v>
      </c>
      <c r="J858" s="76" t="str">
        <f>IFERROR(INDEX(M_SKU!$A$18:$J$57,MATCH(I858,M_SKU!$B$18:$B$57,0),1),"UNKNOWN SKU")</f>
        <v>KNMW 1500ml</v>
      </c>
      <c r="K858" s="73" t="s">
        <v>551</v>
      </c>
      <c r="L858" s="276">
        <v>50</v>
      </c>
      <c r="M858" s="94" cm="1">
        <f t="array" ref="M858">IFERROR(INDEX(M_DepotPrice!$C$10:$C$52,MATCH(1,(M_DepotPrice!$A$10:$A$52=I858)*(M_DepotPrice!$H$10:$H$52=IFERROR(INDEX(M_Depot!$A$7:$A$24,MATCH(F858,M_Depot!$B$7:$B$24,0)),""))*(M_DepotPrice!$G$10:$G$52="Special"),0)),INDEX(M_DepotPrice!$C$10:$C$52,MATCH(1,(M_DepotPrice!$A$10:$A$52=I858)*(M_DepotPrice!$G$10:$G$52="Default"),0)))</f>
        <v>3983</v>
      </c>
      <c r="N858" s="95">
        <f t="shared" si="27"/>
        <v>234997</v>
      </c>
      <c r="O858" s="82" t="str">
        <f t="shared" si="26"/>
        <v>MOS100788|KD003|CK4-842</v>
      </c>
    </row>
    <row r="859" spans="1:15" ht="15" customHeight="1" x14ac:dyDescent="0.3">
      <c r="A859" s="60" t="s">
        <v>1538</v>
      </c>
      <c r="B859" s="60" t="s">
        <v>586</v>
      </c>
      <c r="C859" s="62">
        <v>46179</v>
      </c>
      <c r="D859" s="63" t="s">
        <v>361</v>
      </c>
      <c r="E859" s="66" t="str">
        <f>IFERROR(INDEX(M_User!$A$12:$J$67,MATCH(D859,M_User!$D$12:$D$67,0),3),"UNMAPPED")</f>
        <v>Masunga Mwala Ramadhani</v>
      </c>
      <c r="F859" s="65" t="str">
        <f>IFERROR(INDEX(M_User!$A$12:$J$67,MATCH(D859,M_User!$D$12:$D$67,0),5),"UNMAPPED")</f>
        <v>MOS</v>
      </c>
      <c r="G859" s="63" t="s">
        <v>840</v>
      </c>
      <c r="H859" s="69" t="s">
        <v>841</v>
      </c>
      <c r="I859" s="63" t="s">
        <v>229</v>
      </c>
      <c r="J859" s="66" t="str">
        <f>IFERROR(INDEX(M_SKU!$A$18:$J$57,MATCH(I859,M_SKU!$B$18:$B$57,0),1),"UNKNOWN SKU")</f>
        <v>Coke Pet 500ML ( x12)</v>
      </c>
      <c r="K859" s="63" t="s">
        <v>520</v>
      </c>
      <c r="L859" s="276">
        <v>15</v>
      </c>
      <c r="M859" s="91" cm="1">
        <f t="array" ref="M859">IFERROR(INDEX(M_DepotPrice!$C$10:$C$52,MATCH(1,(M_DepotPrice!$A$10:$A$52=I859)*(M_DepotPrice!$H$10:$H$52=IFERROR(INDEX(M_Depot!$A$7:$A$24,MATCH(F859,M_Depot!$B$7:$B$24,0)),""))*(M_DepotPrice!$G$10:$G$52="Special"),0)),INDEX(M_DepotPrice!$C$10:$C$52,MATCH(1,(M_DepotPrice!$A$10:$A$52=I859)*(M_DepotPrice!$G$10:$G$52="Default"),0)))</f>
        <v>8898</v>
      </c>
      <c r="N859" s="67">
        <f t="shared" si="27"/>
        <v>157494.6</v>
      </c>
      <c r="O859" s="66" t="str">
        <f t="shared" si="26"/>
        <v>MOS100788|PH001|CK6-33411</v>
      </c>
    </row>
    <row r="860" spans="1:15" ht="15" customHeight="1" x14ac:dyDescent="0.3">
      <c r="A860" s="70" t="s">
        <v>1539</v>
      </c>
      <c r="B860" s="70" t="s">
        <v>586</v>
      </c>
      <c r="C860" s="72">
        <v>46179</v>
      </c>
      <c r="D860" s="73" t="s">
        <v>361</v>
      </c>
      <c r="E860" s="76" t="str">
        <f>IFERROR(INDEX(M_User!$A$12:$J$67,MATCH(D860,M_User!$D$12:$D$67,0),3),"UNMAPPED")</f>
        <v>Masunga Mwala Ramadhani</v>
      </c>
      <c r="F860" s="75" t="str">
        <f>IFERROR(INDEX(M_User!$A$12:$J$67,MATCH(D860,M_User!$D$12:$D$67,0),5),"UNMAPPED")</f>
        <v>MOS</v>
      </c>
      <c r="G860" s="73" t="s">
        <v>840</v>
      </c>
      <c r="H860" s="92" t="s">
        <v>841</v>
      </c>
      <c r="I860" s="73" t="s">
        <v>232</v>
      </c>
      <c r="J860" s="76" t="str">
        <f>IFERROR(INDEX(M_SKU!$A$18:$J$57,MATCH(I860,M_SKU!$B$18:$B$57,0),1),"UNKNOWN SKU")</f>
        <v>Sprite Pet 500ML (x 12)</v>
      </c>
      <c r="K860" s="73" t="s">
        <v>522</v>
      </c>
      <c r="L860" s="276">
        <v>5</v>
      </c>
      <c r="M860" s="94" cm="1">
        <f t="array" ref="M860">IFERROR(INDEX(M_DepotPrice!$C$10:$C$52,MATCH(1,(M_DepotPrice!$A$10:$A$52=I860)*(M_DepotPrice!$H$10:$H$52=IFERROR(INDEX(M_Depot!$A$7:$A$24,MATCH(F860,M_Depot!$B$7:$B$24,0)),""))*(M_DepotPrice!$G$10:$G$52="Special"),0)),INDEX(M_DepotPrice!$C$10:$C$52,MATCH(1,(M_DepotPrice!$A$10:$A$52=I860)*(M_DepotPrice!$G$10:$G$52="Default"),0)))</f>
        <v>8898</v>
      </c>
      <c r="N860" s="95">
        <f t="shared" si="27"/>
        <v>52498.2</v>
      </c>
      <c r="O860" s="82" t="str">
        <f t="shared" si="26"/>
        <v>MOS100788|PH002|CK6-33362</v>
      </c>
    </row>
    <row r="861" spans="1:15" ht="15" customHeight="1" x14ac:dyDescent="0.3">
      <c r="A861" s="60" t="s">
        <v>1540</v>
      </c>
      <c r="B861" s="60" t="s">
        <v>586</v>
      </c>
      <c r="C861" s="62">
        <v>46179</v>
      </c>
      <c r="D861" s="63" t="s">
        <v>361</v>
      </c>
      <c r="E861" s="66" t="str">
        <f>IFERROR(INDEX(M_User!$A$12:$J$67,MATCH(D861,M_User!$D$12:$D$67,0),3),"UNMAPPED")</f>
        <v>Masunga Mwala Ramadhani</v>
      </c>
      <c r="F861" s="65" t="str">
        <f>IFERROR(INDEX(M_User!$A$12:$J$67,MATCH(D861,M_User!$D$12:$D$67,0),5),"UNMAPPED")</f>
        <v>MOS</v>
      </c>
      <c r="G861" s="63" t="s">
        <v>840</v>
      </c>
      <c r="H861" s="69" t="s">
        <v>841</v>
      </c>
      <c r="I861" s="63" t="s">
        <v>234</v>
      </c>
      <c r="J861" s="66" t="str">
        <f>IFERROR(INDEX(M_SKU!$A$18:$J$57,MATCH(I861,M_SKU!$B$18:$B$57,0),1),"UNKNOWN SKU")</f>
        <v>Fanta Orange Pet 500ML ( x 12)</v>
      </c>
      <c r="K861" s="63" t="s">
        <v>523</v>
      </c>
      <c r="L861" s="276">
        <v>6</v>
      </c>
      <c r="M861" s="91" cm="1">
        <f t="array" ref="M861">IFERROR(INDEX(M_DepotPrice!$C$10:$C$52,MATCH(1,(M_DepotPrice!$A$10:$A$52=I861)*(M_DepotPrice!$H$10:$H$52=IFERROR(INDEX(M_Depot!$A$7:$A$24,MATCH(F861,M_Depot!$B$7:$B$24,0)),""))*(M_DepotPrice!$G$10:$G$52="Special"),0)),INDEX(M_DepotPrice!$C$10:$C$52,MATCH(1,(M_DepotPrice!$A$10:$A$52=I861)*(M_DepotPrice!$G$10:$G$52="Default"),0)))</f>
        <v>8898</v>
      </c>
      <c r="N861" s="67">
        <f t="shared" si="27"/>
        <v>62997.84</v>
      </c>
      <c r="O861" s="66" t="str">
        <f t="shared" si="26"/>
        <v>MOS100788|PH003|CK6-33405</v>
      </c>
    </row>
    <row r="862" spans="1:15" ht="15" customHeight="1" x14ac:dyDescent="0.3">
      <c r="A862" s="70" t="s">
        <v>1541</v>
      </c>
      <c r="B862" s="70" t="s">
        <v>586</v>
      </c>
      <c r="C862" s="72">
        <v>46179</v>
      </c>
      <c r="D862" s="73" t="s">
        <v>361</v>
      </c>
      <c r="E862" s="76" t="str">
        <f>IFERROR(INDEX(M_User!$A$12:$J$67,MATCH(D862,M_User!$D$12:$D$67,0),3),"UNMAPPED")</f>
        <v>Masunga Mwala Ramadhani</v>
      </c>
      <c r="F862" s="75" t="str">
        <f>IFERROR(INDEX(M_User!$A$12:$J$67,MATCH(D862,M_User!$D$12:$D$67,0),5),"UNMAPPED")</f>
        <v>MOS</v>
      </c>
      <c r="G862" s="73" t="s">
        <v>840</v>
      </c>
      <c r="H862" s="92" t="s">
        <v>841</v>
      </c>
      <c r="I862" s="73" t="s">
        <v>242</v>
      </c>
      <c r="J862" s="76" t="str">
        <f>IFERROR(INDEX(M_SKU!$A$18:$J$57,MATCH(I862,M_SKU!$B$18:$B$57,0),1),"UNKNOWN SKU")</f>
        <v>Stoney Tangawizi Pet 500 ml ( x12)</v>
      </c>
      <c r="K862" s="73" t="s">
        <v>525</v>
      </c>
      <c r="L862" s="276">
        <v>1</v>
      </c>
      <c r="M862" s="94" cm="1">
        <f t="array" ref="M862">IFERROR(INDEX(M_DepotPrice!$C$10:$C$52,MATCH(1,(M_DepotPrice!$A$10:$A$52=I862)*(M_DepotPrice!$H$10:$H$52=IFERROR(INDEX(M_Depot!$A$7:$A$24,MATCH(F862,M_Depot!$B$7:$B$24,0)),""))*(M_DepotPrice!$G$10:$G$52="Special"),0)),INDEX(M_DepotPrice!$C$10:$C$52,MATCH(1,(M_DepotPrice!$A$10:$A$52=I862)*(M_DepotPrice!$G$10:$G$52="Default"),0)))</f>
        <v>8898</v>
      </c>
      <c r="N862" s="95">
        <f t="shared" si="27"/>
        <v>10499.64</v>
      </c>
      <c r="O862" s="82" t="str">
        <f t="shared" si="26"/>
        <v>MOS100788|PH007|CK6-33375</v>
      </c>
    </row>
    <row r="863" spans="1:15" ht="15" customHeight="1" x14ac:dyDescent="0.3">
      <c r="A863" s="60" t="s">
        <v>1542</v>
      </c>
      <c r="B863" s="60" t="s">
        <v>586</v>
      </c>
      <c r="C863" s="62">
        <v>46179</v>
      </c>
      <c r="D863" s="63" t="s">
        <v>361</v>
      </c>
      <c r="E863" s="66" t="str">
        <f>IFERROR(INDEX(M_User!$A$12:$J$67,MATCH(D863,M_User!$D$12:$D$67,0),3),"UNMAPPED")</f>
        <v>Masunga Mwala Ramadhani</v>
      </c>
      <c r="F863" s="65" t="str">
        <f>IFERROR(INDEX(M_User!$A$12:$J$67,MATCH(D863,M_User!$D$12:$D$67,0),5),"UNMAPPED")</f>
        <v>MOS</v>
      </c>
      <c r="G863" s="63" t="s">
        <v>840</v>
      </c>
      <c r="H863" s="69" t="s">
        <v>841</v>
      </c>
      <c r="I863" s="63" t="s">
        <v>254</v>
      </c>
      <c r="J863" s="66" t="str">
        <f>IFERROR(INDEX(M_SKU!$A$18:$J$57,MATCH(I863,M_SKU!$B$18:$B$57,0),1),"UNKNOWN SKU")</f>
        <v>Fanta Zero Pet 300ML (x 12)</v>
      </c>
      <c r="K863" s="63" t="s">
        <v>546</v>
      </c>
      <c r="L863" s="276">
        <v>2</v>
      </c>
      <c r="M863" s="91" cm="1">
        <f t="array" ref="M863">IFERROR(INDEX(M_DepotPrice!$C$10:$C$52,MATCH(1,(M_DepotPrice!$A$10:$A$52=I863)*(M_DepotPrice!$H$10:$H$52=IFERROR(INDEX(M_Depot!$A$7:$A$24,MATCH(F863,M_Depot!$B$7:$B$24,0)),""))*(M_DepotPrice!$G$10:$G$52="Special"),0)),INDEX(M_DepotPrice!$C$10:$C$52,MATCH(1,(M_DepotPrice!$A$10:$A$52=I863)*(M_DepotPrice!$G$10:$G$52="Default"),0)))</f>
        <v>5085</v>
      </c>
      <c r="N863" s="67">
        <f t="shared" si="27"/>
        <v>12000.599999999999</v>
      </c>
      <c r="O863" s="66" t="str">
        <f t="shared" si="26"/>
        <v>MOS100788|PO012|CK5-33369</v>
      </c>
    </row>
    <row r="864" spans="1:15" ht="15" customHeight="1" x14ac:dyDescent="0.3">
      <c r="A864" s="70" t="s">
        <v>1543</v>
      </c>
      <c r="B864" s="70" t="s">
        <v>586</v>
      </c>
      <c r="C864" s="72">
        <v>46179</v>
      </c>
      <c r="D864" s="73" t="s">
        <v>361</v>
      </c>
      <c r="E864" s="76" t="str">
        <f>IFERROR(INDEX(M_User!$A$12:$J$67,MATCH(D864,M_User!$D$12:$D$67,0),3),"UNMAPPED")</f>
        <v>Masunga Mwala Ramadhani</v>
      </c>
      <c r="F864" s="75" t="str">
        <f>IFERROR(INDEX(M_User!$A$12:$J$67,MATCH(D864,M_User!$D$12:$D$67,0),5),"UNMAPPED")</f>
        <v>MOS</v>
      </c>
      <c r="G864" s="73" t="s">
        <v>840</v>
      </c>
      <c r="H864" s="92" t="s">
        <v>841</v>
      </c>
      <c r="I864" s="73" t="s">
        <v>261</v>
      </c>
      <c r="J864" s="76" t="str">
        <f>IFERROR(INDEX(M_SKU!$A$18:$J$57,MATCH(I864,M_SKU!$B$18:$B$57,0),1),"UNKNOWN SKU")</f>
        <v>Sparletta Pine Apple Pet 300ML (x 12)</v>
      </c>
      <c r="K864" s="73" t="s">
        <v>547</v>
      </c>
      <c r="L864" s="276">
        <v>4</v>
      </c>
      <c r="M864" s="94" cm="1">
        <f t="array" ref="M864">IFERROR(INDEX(M_DepotPrice!$C$10:$C$52,MATCH(1,(M_DepotPrice!$A$10:$A$52=I864)*(M_DepotPrice!$H$10:$H$52=IFERROR(INDEX(M_Depot!$A$7:$A$24,MATCH(F864,M_Depot!$B$7:$B$24,0)),""))*(M_DepotPrice!$G$10:$G$52="Special"),0)),INDEX(M_DepotPrice!$C$10:$C$52,MATCH(1,(M_DepotPrice!$A$10:$A$52=I864)*(M_DepotPrice!$G$10:$G$52="Default"),0)))</f>
        <v>5085</v>
      </c>
      <c r="N864" s="95">
        <f t="shared" si="27"/>
        <v>24001.199999999997</v>
      </c>
      <c r="O864" s="82" t="str">
        <f t="shared" si="26"/>
        <v>MOS100788|PO015|CK5-33366</v>
      </c>
    </row>
    <row r="865" spans="1:15" ht="15" customHeight="1" x14ac:dyDescent="0.3">
      <c r="A865" s="60" t="s">
        <v>1544</v>
      </c>
      <c r="B865" s="60" t="s">
        <v>586</v>
      </c>
      <c r="C865" s="62">
        <v>46179</v>
      </c>
      <c r="D865" s="63" t="s">
        <v>361</v>
      </c>
      <c r="E865" s="66" t="str">
        <f>IFERROR(INDEX(M_User!$A$12:$J$67,MATCH(D865,M_User!$D$12:$D$67,0),3),"UNMAPPED")</f>
        <v>Masunga Mwala Ramadhani</v>
      </c>
      <c r="F865" s="65" t="str">
        <f>IFERROR(INDEX(M_User!$A$12:$J$67,MATCH(D865,M_User!$D$12:$D$67,0),5),"UNMAPPED")</f>
        <v>MOS</v>
      </c>
      <c r="G865" s="63" t="s">
        <v>904</v>
      </c>
      <c r="H865" s="69" t="s">
        <v>905</v>
      </c>
      <c r="I865" s="63" t="s">
        <v>170</v>
      </c>
      <c r="J865" s="66" t="str">
        <f>IFERROR(INDEX(M_SKU!$A$18:$J$57,MATCH(I865,M_SKU!$B$18:$B$57,0),1),"UNKNOWN SKU")</f>
        <v>Coke RGB 350ml</v>
      </c>
      <c r="K865" s="63" t="s">
        <v>529</v>
      </c>
      <c r="L865" s="276">
        <v>4.0610070021093803</v>
      </c>
      <c r="M865" s="91" cm="1">
        <f t="array" ref="M865">IFERROR(INDEX(M_DepotPrice!$C$10:$C$52,MATCH(1,(M_DepotPrice!$A$10:$A$52=I865)*(M_DepotPrice!$H$10:$H$52=IFERROR(INDEX(M_Depot!$A$7:$A$24,MATCH(F865,M_Depot!$B$7:$B$24,0)),""))*(M_DepotPrice!$G$10:$G$52="Special"),0)),INDEX(M_DepotPrice!$C$10:$C$52,MATCH(1,(M_DepotPrice!$A$10:$A$52=I865)*(M_DepotPrice!$G$10:$G$52="Default"),0)))</f>
        <v>11780</v>
      </c>
      <c r="N865" s="67">
        <f t="shared" si="27"/>
        <v>56449.621732121224</v>
      </c>
      <c r="O865" s="66" t="str">
        <f t="shared" si="26"/>
        <v>MOS100788|FG001|CK3-33408</v>
      </c>
    </row>
    <row r="866" spans="1:15" ht="15" customHeight="1" x14ac:dyDescent="0.3">
      <c r="A866" s="70" t="s">
        <v>1545</v>
      </c>
      <c r="B866" s="70" t="s">
        <v>586</v>
      </c>
      <c r="C866" s="72">
        <v>46179</v>
      </c>
      <c r="D866" s="73" t="s">
        <v>361</v>
      </c>
      <c r="E866" s="76" t="str">
        <f>IFERROR(INDEX(M_User!$A$12:$J$67,MATCH(D866,M_User!$D$12:$D$67,0),3),"UNMAPPED")</f>
        <v>Masunga Mwala Ramadhani</v>
      </c>
      <c r="F866" s="75" t="str">
        <f>IFERROR(INDEX(M_User!$A$12:$J$67,MATCH(D866,M_User!$D$12:$D$67,0),5),"UNMAPPED")</f>
        <v>MOS</v>
      </c>
      <c r="G866" s="73" t="s">
        <v>904</v>
      </c>
      <c r="H866" s="92" t="s">
        <v>905</v>
      </c>
      <c r="I866" s="73" t="s">
        <v>181</v>
      </c>
      <c r="J866" s="76" t="str">
        <f>IFERROR(INDEX(M_SKU!$A$18:$J$57,MATCH(I866,M_SKU!$B$18:$B$57,0),1),"UNKNOWN SKU")</f>
        <v>Fanta Passion RGB 350ml</v>
      </c>
      <c r="K866" s="73" t="s">
        <v>550</v>
      </c>
      <c r="L866" s="276">
        <v>3.96590769253151</v>
      </c>
      <c r="M866" s="94" cm="1">
        <f t="array" ref="M866">IFERROR(INDEX(M_DepotPrice!$C$10:$C$52,MATCH(1,(M_DepotPrice!$A$10:$A$52=I866)*(M_DepotPrice!$H$10:$H$52=IFERROR(INDEX(M_Depot!$A$7:$A$24,MATCH(F866,M_Depot!$B$7:$B$24,0)),""))*(M_DepotPrice!$G$10:$G$52="Special"),0)),INDEX(M_DepotPrice!$C$10:$C$52,MATCH(1,(M_DepotPrice!$A$10:$A$52=I866)*(M_DepotPrice!$G$10:$G$52="Default"),0)))</f>
        <v>11780</v>
      </c>
      <c r="N866" s="95">
        <f t="shared" si="27"/>
        <v>55127.703289264995</v>
      </c>
      <c r="O866" s="82" t="str">
        <f t="shared" si="26"/>
        <v>MOS100788|FG003|CK3-33356</v>
      </c>
    </row>
    <row r="867" spans="1:15" ht="15" customHeight="1" x14ac:dyDescent="0.3">
      <c r="A867" s="60" t="s">
        <v>1546</v>
      </c>
      <c r="B867" s="60" t="s">
        <v>586</v>
      </c>
      <c r="C867" s="62">
        <v>46179</v>
      </c>
      <c r="D867" s="63" t="s">
        <v>361</v>
      </c>
      <c r="E867" s="66" t="str">
        <f>IFERROR(INDEX(M_User!$A$12:$J$67,MATCH(D867,M_User!$D$12:$D$67,0),3),"UNMAPPED")</f>
        <v>Masunga Mwala Ramadhani</v>
      </c>
      <c r="F867" s="65" t="str">
        <f>IFERROR(INDEX(M_User!$A$12:$J$67,MATCH(D867,M_User!$D$12:$D$67,0),5),"UNMAPPED")</f>
        <v>MOS</v>
      </c>
      <c r="G867" s="63" t="s">
        <v>904</v>
      </c>
      <c r="H867" s="69" t="s">
        <v>905</v>
      </c>
      <c r="I867" s="63" t="s">
        <v>185</v>
      </c>
      <c r="J867" s="66" t="str">
        <f>IFERROR(INDEX(M_SKU!$A$18:$J$57,MATCH(I867,M_SKU!$B$18:$B$57,0),1),"UNKNOWN SKU")</f>
        <v>Fanta Fruit Blast RGB 350 ml</v>
      </c>
      <c r="K867" s="63" t="s">
        <v>534</v>
      </c>
      <c r="L867" s="276">
        <v>0.91279999999999994</v>
      </c>
      <c r="M867" s="91" cm="1">
        <f t="array" ref="M867">IFERROR(INDEX(M_DepotPrice!$C$10:$C$52,MATCH(1,(M_DepotPrice!$A$10:$A$52=I867)*(M_DepotPrice!$H$10:$H$52=IFERROR(INDEX(M_Depot!$A$7:$A$24,MATCH(F867,M_Depot!$B$7:$B$24,0)),""))*(M_DepotPrice!$G$10:$G$52="Special"),0)),INDEX(M_DepotPrice!$C$10:$C$52,MATCH(1,(M_DepotPrice!$A$10:$A$52=I867)*(M_DepotPrice!$G$10:$G$52="Default"),0)))</f>
        <v>11780</v>
      </c>
      <c r="N867" s="67">
        <f t="shared" si="27"/>
        <v>12688.285119999999</v>
      </c>
      <c r="O867" s="66" t="str">
        <f t="shared" si="26"/>
        <v>MOS100788|FG005|CK3-33402</v>
      </c>
    </row>
    <row r="868" spans="1:15" ht="15" customHeight="1" x14ac:dyDescent="0.3">
      <c r="A868" s="70" t="s">
        <v>1547</v>
      </c>
      <c r="B868" s="70" t="s">
        <v>586</v>
      </c>
      <c r="C868" s="72">
        <v>46179</v>
      </c>
      <c r="D868" s="73" t="s">
        <v>361</v>
      </c>
      <c r="E868" s="76" t="str">
        <f>IFERROR(INDEX(M_User!$A$12:$J$67,MATCH(D868,M_User!$D$12:$D$67,0),3),"UNMAPPED")</f>
        <v>Masunga Mwala Ramadhani</v>
      </c>
      <c r="F868" s="75" t="str">
        <f>IFERROR(INDEX(M_User!$A$12:$J$67,MATCH(D868,M_User!$D$12:$D$67,0),5),"UNMAPPED")</f>
        <v>MOS</v>
      </c>
      <c r="G868" s="73" t="s">
        <v>904</v>
      </c>
      <c r="H868" s="92" t="s">
        <v>905</v>
      </c>
      <c r="I868" s="73" t="s">
        <v>190</v>
      </c>
      <c r="J868" s="76" t="str">
        <f>IFERROR(INDEX(M_SKU!$A$18:$J$57,MATCH(I868,M_SKU!$B$18:$B$57,0),1),"UNKNOWN SKU")</f>
        <v>Stoney Tangawizi RGB 350ml</v>
      </c>
      <c r="K868" s="73" t="s">
        <v>536</v>
      </c>
      <c r="L868" s="276">
        <v>1.5801000000000001</v>
      </c>
      <c r="M868" s="94" cm="1">
        <f t="array" ref="M868">IFERROR(INDEX(M_DepotPrice!$C$10:$C$52,MATCH(1,(M_DepotPrice!$A$10:$A$52=I868)*(M_DepotPrice!$H$10:$H$52=IFERROR(INDEX(M_Depot!$A$7:$A$24,MATCH(F868,M_Depot!$B$7:$B$24,0)),""))*(M_DepotPrice!$G$10:$G$52="Special"),0)),INDEX(M_DepotPrice!$C$10:$C$52,MATCH(1,(M_DepotPrice!$A$10:$A$52=I868)*(M_DepotPrice!$G$10:$G$52="Default"),0)))</f>
        <v>11780</v>
      </c>
      <c r="N868" s="95">
        <f t="shared" si="27"/>
        <v>21964.02204</v>
      </c>
      <c r="O868" s="82" t="str">
        <f t="shared" si="26"/>
        <v>MOS100788|FG007|CK3-33404</v>
      </c>
    </row>
    <row r="869" spans="1:15" ht="15" customHeight="1" x14ac:dyDescent="0.3">
      <c r="A869" s="60" t="s">
        <v>1548</v>
      </c>
      <c r="B869" s="60" t="s">
        <v>586</v>
      </c>
      <c r="C869" s="62">
        <v>46179</v>
      </c>
      <c r="D869" s="63" t="s">
        <v>361</v>
      </c>
      <c r="E869" s="66" t="str">
        <f>IFERROR(INDEX(M_User!$A$12:$J$67,MATCH(D869,M_User!$D$12:$D$67,0),3),"UNMAPPED")</f>
        <v>Masunga Mwala Ramadhani</v>
      </c>
      <c r="F869" s="65" t="str">
        <f>IFERROR(INDEX(M_User!$A$12:$J$67,MATCH(D869,M_User!$D$12:$D$67,0),5),"UNMAPPED")</f>
        <v>MOS</v>
      </c>
      <c r="G869" s="63" t="s">
        <v>904</v>
      </c>
      <c r="H869" s="69" t="s">
        <v>905</v>
      </c>
      <c r="I869" s="63" t="s">
        <v>193</v>
      </c>
      <c r="J869" s="66" t="str">
        <f>IFERROR(INDEX(M_SKU!$A$18:$J$57,MATCH(I869,M_SKU!$B$18:$B$57,0),1),"UNKNOWN SKU")</f>
        <v>Sparletta Pinenut RGB 350ml</v>
      </c>
      <c r="K869" s="63" t="s">
        <v>537</v>
      </c>
      <c r="L869" s="276">
        <v>1.9029241957410701</v>
      </c>
      <c r="M869" s="91" cm="1">
        <f t="array" ref="M869">IFERROR(INDEX(M_DepotPrice!$C$10:$C$52,MATCH(1,(M_DepotPrice!$A$10:$A$52=I869)*(M_DepotPrice!$H$10:$H$52=IFERROR(INDEX(M_Depot!$A$7:$A$24,MATCH(F869,M_Depot!$B$7:$B$24,0)),""))*(M_DepotPrice!$G$10:$G$52="Special"),0)),INDEX(M_DepotPrice!$C$10:$C$52,MATCH(1,(M_DepotPrice!$A$10:$A$52=I869)*(M_DepotPrice!$G$10:$G$52="Default"),0)))</f>
        <v>11780</v>
      </c>
      <c r="N869" s="67">
        <f t="shared" si="27"/>
        <v>26451.407490479171</v>
      </c>
      <c r="O869" s="66" t="str">
        <f t="shared" si="26"/>
        <v>MOS100788|FG008|CK3-33365</v>
      </c>
    </row>
    <row r="870" spans="1:15" ht="15" customHeight="1" x14ac:dyDescent="0.3">
      <c r="A870" s="70" t="s">
        <v>1549</v>
      </c>
      <c r="B870" s="70" t="s">
        <v>586</v>
      </c>
      <c r="C870" s="72">
        <v>46179</v>
      </c>
      <c r="D870" s="73" t="s">
        <v>361</v>
      </c>
      <c r="E870" s="76" t="str">
        <f>IFERROR(INDEX(M_User!$A$12:$J$67,MATCH(D870,M_User!$D$12:$D$67,0),3),"UNMAPPED")</f>
        <v>Masunga Mwala Ramadhani</v>
      </c>
      <c r="F870" s="75" t="str">
        <f>IFERROR(INDEX(M_User!$A$12:$J$67,MATCH(D870,M_User!$D$12:$D$67,0),5),"UNMAPPED")</f>
        <v>MOS</v>
      </c>
      <c r="G870" s="73" t="s">
        <v>904</v>
      </c>
      <c r="H870" s="92" t="s">
        <v>905</v>
      </c>
      <c r="I870" s="73" t="s">
        <v>199</v>
      </c>
      <c r="J870" s="76" t="str">
        <f>IFERROR(INDEX(M_SKU!$A$18:$J$57,MATCH(I870,M_SKU!$B$18:$B$57,0),1),"UNKNOWN SKU")</f>
        <v>Krest Club Soda RGB 300ml</v>
      </c>
      <c r="K870" s="73" t="s">
        <v>539</v>
      </c>
      <c r="L870" s="276">
        <v>1.1933</v>
      </c>
      <c r="M870" s="94" cm="1">
        <f t="array" ref="M870">IFERROR(INDEX(M_DepotPrice!$C$10:$C$52,MATCH(1,(M_DepotPrice!$A$10:$A$52=I870)*(M_DepotPrice!$H$10:$H$52=IFERROR(INDEX(M_Depot!$A$7:$A$24,MATCH(F870,M_Depot!$B$7:$B$24,0)),""))*(M_DepotPrice!$G$10:$G$52="Special"),0)),INDEX(M_DepotPrice!$C$10:$C$52,MATCH(1,(M_DepotPrice!$A$10:$A$52=I870)*(M_DepotPrice!$G$10:$G$52="Default"),0)))</f>
        <v>11780</v>
      </c>
      <c r="N870" s="95">
        <f t="shared" si="27"/>
        <v>16587.347320000001</v>
      </c>
      <c r="O870" s="82" t="str">
        <f t="shared" si="26"/>
        <v>MOS100788|FG010|CK3-33301</v>
      </c>
    </row>
    <row r="871" spans="1:15" ht="15" customHeight="1" x14ac:dyDescent="0.3">
      <c r="A871" s="60" t="s">
        <v>1550</v>
      </c>
      <c r="B871" s="60" t="s">
        <v>586</v>
      </c>
      <c r="C871" s="62">
        <v>46179</v>
      </c>
      <c r="D871" s="63" t="s">
        <v>361</v>
      </c>
      <c r="E871" s="66" t="str">
        <f>IFERROR(INDEX(M_User!$A$12:$J$67,MATCH(D871,M_User!$D$12:$D$67,0),3),"UNMAPPED")</f>
        <v>Masunga Mwala Ramadhani</v>
      </c>
      <c r="F871" s="65" t="str">
        <f>IFERROR(INDEX(M_User!$A$12:$J$67,MATCH(D871,M_User!$D$12:$D$67,0),5),"UNMAPPED")</f>
        <v>MOS</v>
      </c>
      <c r="G871" s="63" t="s">
        <v>904</v>
      </c>
      <c r="H871" s="69" t="s">
        <v>905</v>
      </c>
      <c r="I871" s="63" t="s">
        <v>201</v>
      </c>
      <c r="J871" s="66" t="str">
        <f>IFERROR(INDEX(M_SKU!$A$18:$J$57,MATCH(I871,M_SKU!$B$18:$B$57,0),1),"UNKNOWN SKU")</f>
        <v>Krest Tonic Water RGB 300ml</v>
      </c>
      <c r="K871" s="63" t="s">
        <v>540</v>
      </c>
      <c r="L871" s="276">
        <v>1.3431999999999999</v>
      </c>
      <c r="M871" s="91" cm="1">
        <f t="array" ref="M871">IFERROR(INDEX(M_DepotPrice!$C$10:$C$52,MATCH(1,(M_DepotPrice!$A$10:$A$52=I871)*(M_DepotPrice!$H$10:$H$52=IFERROR(INDEX(M_Depot!$A$7:$A$24,MATCH(F871,M_Depot!$B$7:$B$24,0)),""))*(M_DepotPrice!$G$10:$G$52="Special"),0)),INDEX(M_DepotPrice!$C$10:$C$52,MATCH(1,(M_DepotPrice!$A$10:$A$52=I871)*(M_DepotPrice!$G$10:$G$52="Default"),0)))</f>
        <v>11780</v>
      </c>
      <c r="N871" s="67">
        <f t="shared" si="27"/>
        <v>18671.017279999996</v>
      </c>
      <c r="O871" s="66" t="str">
        <f t="shared" si="26"/>
        <v>MOS100788|FG011|CK3-33347</v>
      </c>
    </row>
    <row r="872" spans="1:15" ht="15" customHeight="1" x14ac:dyDescent="0.3">
      <c r="A872" s="70" t="s">
        <v>1551</v>
      </c>
      <c r="B872" s="70" t="s">
        <v>586</v>
      </c>
      <c r="C872" s="72">
        <v>46179</v>
      </c>
      <c r="D872" s="73" t="s">
        <v>361</v>
      </c>
      <c r="E872" s="76" t="str">
        <f>IFERROR(INDEX(M_User!$A$12:$J$67,MATCH(D872,M_User!$D$12:$D$67,0),3),"UNMAPPED")</f>
        <v>Masunga Mwala Ramadhani</v>
      </c>
      <c r="F872" s="75" t="str">
        <f>IFERROR(INDEX(M_User!$A$12:$J$67,MATCH(D872,M_User!$D$12:$D$67,0),5),"UNMAPPED")</f>
        <v>MOS</v>
      </c>
      <c r="G872" s="73" t="s">
        <v>904</v>
      </c>
      <c r="H872" s="92" t="s">
        <v>905</v>
      </c>
      <c r="I872" s="73" t="s">
        <v>209</v>
      </c>
      <c r="J872" s="76" t="str">
        <f>IFERROR(INDEX(M_SKU!$A$18:$J$57,MATCH(I872,M_SKU!$B$18:$B$57,0),1),"UNKNOWN SKU")</f>
        <v>Sparletta Red Apple RGB 350ml</v>
      </c>
      <c r="K872" s="73" t="s">
        <v>542</v>
      </c>
      <c r="L872" s="276">
        <v>0.43410206905132998</v>
      </c>
      <c r="M872" s="94" cm="1">
        <f t="array" ref="M872">IFERROR(INDEX(M_DepotPrice!$C$10:$C$52,MATCH(1,(M_DepotPrice!$A$10:$A$52=I872)*(M_DepotPrice!$H$10:$H$52=IFERROR(INDEX(M_Depot!$A$7:$A$24,MATCH(F872,M_Depot!$B$7:$B$24,0)),""))*(M_DepotPrice!$G$10:$G$52="Special"),0)),INDEX(M_DepotPrice!$C$10:$C$52,MATCH(1,(M_DepotPrice!$A$10:$A$52=I872)*(M_DepotPrice!$G$10:$G$52="Default"),0)))</f>
        <v>11780</v>
      </c>
      <c r="N872" s="95">
        <f t="shared" si="27"/>
        <v>6034.1924006411073</v>
      </c>
      <c r="O872" s="82" t="str">
        <f t="shared" si="26"/>
        <v>MOS100788|FG024|CK3-32758</v>
      </c>
    </row>
    <row r="873" spans="1:15" ht="15" customHeight="1" x14ac:dyDescent="0.3">
      <c r="A873" s="60" t="s">
        <v>1552</v>
      </c>
      <c r="B873" s="60" t="s">
        <v>586</v>
      </c>
      <c r="C873" s="62">
        <v>46179</v>
      </c>
      <c r="D873" s="63" t="s">
        <v>361</v>
      </c>
      <c r="E873" s="66" t="str">
        <f>IFERROR(INDEX(M_User!$A$12:$J$67,MATCH(D873,M_User!$D$12:$D$67,0),3),"UNMAPPED")</f>
        <v>Masunga Mwala Ramadhani</v>
      </c>
      <c r="F873" s="65" t="str">
        <f>IFERROR(INDEX(M_User!$A$12:$J$67,MATCH(D873,M_User!$D$12:$D$67,0),5),"UNMAPPED")</f>
        <v>MOS</v>
      </c>
      <c r="G873" s="63" t="s">
        <v>904</v>
      </c>
      <c r="H873" s="69" t="s">
        <v>905</v>
      </c>
      <c r="I873" s="63" t="s">
        <v>211</v>
      </c>
      <c r="J873" s="66" t="str">
        <f>IFERROR(INDEX(M_SKU!$A$18:$J$57,MATCH(I873,M_SKU!$B$18:$B$57,0),1),"UNKNOWN SKU")</f>
        <v>KNMW 500ml</v>
      </c>
      <c r="K873" s="63" t="s">
        <v>543</v>
      </c>
      <c r="L873" s="276">
        <v>23</v>
      </c>
      <c r="M873" s="91" cm="1">
        <f t="array" ref="M873">IFERROR(INDEX(M_DepotPrice!$C$10:$C$52,MATCH(1,(M_DepotPrice!$A$10:$A$52=I873)*(M_DepotPrice!$H$10:$H$52=IFERROR(INDEX(M_Depot!$A$7:$A$24,MATCH(F873,M_Depot!$B$7:$B$24,0)),""))*(M_DepotPrice!$G$10:$G$52="Special"),0)),INDEX(M_DepotPrice!$C$10:$C$52,MATCH(1,(M_DepotPrice!$A$10:$A$52=I873)*(M_DepotPrice!$G$10:$G$52="Default"),0)))</f>
        <v>3559</v>
      </c>
      <c r="N873" s="67">
        <f t="shared" si="27"/>
        <v>96591.26</v>
      </c>
      <c r="O873" s="66" t="str">
        <f t="shared" si="26"/>
        <v>MOS100788|KD001|CK6-986</v>
      </c>
    </row>
    <row r="874" spans="1:15" ht="15" customHeight="1" x14ac:dyDescent="0.3">
      <c r="A874" s="70" t="s">
        <v>1553</v>
      </c>
      <c r="B874" s="70" t="s">
        <v>586</v>
      </c>
      <c r="C874" s="72">
        <v>46179</v>
      </c>
      <c r="D874" s="73" t="s">
        <v>361</v>
      </c>
      <c r="E874" s="76" t="str">
        <f>IFERROR(INDEX(M_User!$A$12:$J$67,MATCH(D874,M_User!$D$12:$D$67,0),3),"UNMAPPED")</f>
        <v>Masunga Mwala Ramadhani</v>
      </c>
      <c r="F874" s="75" t="str">
        <f>IFERROR(INDEX(M_User!$A$12:$J$67,MATCH(D874,M_User!$D$12:$D$67,0),5),"UNMAPPED")</f>
        <v>MOS</v>
      </c>
      <c r="G874" s="73" t="s">
        <v>904</v>
      </c>
      <c r="H874" s="92" t="s">
        <v>905</v>
      </c>
      <c r="I874" s="73" t="s">
        <v>217</v>
      </c>
      <c r="J874" s="76" t="str">
        <f>IFERROR(INDEX(M_SKU!$A$18:$J$57,MATCH(I874,M_SKU!$B$18:$B$57,0),1),"UNKNOWN SKU")</f>
        <v>KNMW 1500ml</v>
      </c>
      <c r="K874" s="73" t="s">
        <v>551</v>
      </c>
      <c r="L874" s="276">
        <v>56</v>
      </c>
      <c r="M874" s="94" cm="1">
        <f t="array" ref="M874">IFERROR(INDEX(M_DepotPrice!$C$10:$C$52,MATCH(1,(M_DepotPrice!$A$10:$A$52=I874)*(M_DepotPrice!$H$10:$H$52=IFERROR(INDEX(M_Depot!$A$7:$A$24,MATCH(F874,M_Depot!$B$7:$B$24,0)),""))*(M_DepotPrice!$G$10:$G$52="Special"),0)),INDEX(M_DepotPrice!$C$10:$C$52,MATCH(1,(M_DepotPrice!$A$10:$A$52=I874)*(M_DepotPrice!$G$10:$G$52="Default"),0)))</f>
        <v>3983</v>
      </c>
      <c r="N874" s="95">
        <f t="shared" si="27"/>
        <v>263196.64</v>
      </c>
      <c r="O874" s="82" t="str">
        <f t="shared" si="26"/>
        <v>MOS100788|KD003|CK4-842</v>
      </c>
    </row>
    <row r="875" spans="1:15" ht="15" customHeight="1" x14ac:dyDescent="0.3">
      <c r="A875" s="60" t="s">
        <v>1554</v>
      </c>
      <c r="B875" s="60" t="s">
        <v>586</v>
      </c>
      <c r="C875" s="62">
        <v>46179</v>
      </c>
      <c r="D875" s="63" t="s">
        <v>361</v>
      </c>
      <c r="E875" s="66" t="str">
        <f>IFERROR(INDEX(M_User!$A$12:$J$67,MATCH(D875,M_User!$D$12:$D$67,0),3),"UNMAPPED")</f>
        <v>Masunga Mwala Ramadhani</v>
      </c>
      <c r="F875" s="65" t="str">
        <f>IFERROR(INDEX(M_User!$A$12:$J$67,MATCH(D875,M_User!$D$12:$D$67,0),5),"UNMAPPED")</f>
        <v>MOS</v>
      </c>
      <c r="G875" s="63" t="s">
        <v>904</v>
      </c>
      <c r="H875" s="69" t="s">
        <v>905</v>
      </c>
      <c r="I875" s="63" t="s">
        <v>229</v>
      </c>
      <c r="J875" s="66" t="str">
        <f>IFERROR(INDEX(M_SKU!$A$18:$J$57,MATCH(I875,M_SKU!$B$18:$B$57,0),1),"UNKNOWN SKU")</f>
        <v>Coke Pet 500ML ( x12)</v>
      </c>
      <c r="K875" s="63" t="s">
        <v>520</v>
      </c>
      <c r="L875" s="276">
        <v>28</v>
      </c>
      <c r="M875" s="91" cm="1">
        <f t="array" ref="M875">IFERROR(INDEX(M_DepotPrice!$C$10:$C$52,MATCH(1,(M_DepotPrice!$A$10:$A$52=I875)*(M_DepotPrice!$H$10:$H$52=IFERROR(INDEX(M_Depot!$A$7:$A$24,MATCH(F875,M_Depot!$B$7:$B$24,0)),""))*(M_DepotPrice!$G$10:$G$52="Special"),0)),INDEX(M_DepotPrice!$C$10:$C$52,MATCH(1,(M_DepotPrice!$A$10:$A$52=I875)*(M_DepotPrice!$G$10:$G$52="Default"),0)))</f>
        <v>8898</v>
      </c>
      <c r="N875" s="67">
        <f t="shared" si="27"/>
        <v>293989.92</v>
      </c>
      <c r="O875" s="66" t="str">
        <f t="shared" si="26"/>
        <v>MOS100788|PH001|CK6-33411</v>
      </c>
    </row>
    <row r="876" spans="1:15" ht="15" customHeight="1" x14ac:dyDescent="0.3">
      <c r="A876" s="70" t="s">
        <v>1555</v>
      </c>
      <c r="B876" s="70" t="s">
        <v>586</v>
      </c>
      <c r="C876" s="72">
        <v>46179</v>
      </c>
      <c r="D876" s="73" t="s">
        <v>361</v>
      </c>
      <c r="E876" s="76" t="str">
        <f>IFERROR(INDEX(M_User!$A$12:$J$67,MATCH(D876,M_User!$D$12:$D$67,0),3),"UNMAPPED")</f>
        <v>Masunga Mwala Ramadhani</v>
      </c>
      <c r="F876" s="75" t="str">
        <f>IFERROR(INDEX(M_User!$A$12:$J$67,MATCH(D876,M_User!$D$12:$D$67,0),5),"UNMAPPED")</f>
        <v>MOS</v>
      </c>
      <c r="G876" s="73" t="s">
        <v>904</v>
      </c>
      <c r="H876" s="92" t="s">
        <v>905</v>
      </c>
      <c r="I876" s="73" t="s">
        <v>232</v>
      </c>
      <c r="J876" s="76" t="str">
        <f>IFERROR(INDEX(M_SKU!$A$18:$J$57,MATCH(I876,M_SKU!$B$18:$B$57,0),1),"UNKNOWN SKU")</f>
        <v>Sprite Pet 500ML (x 12)</v>
      </c>
      <c r="K876" s="73" t="s">
        <v>522</v>
      </c>
      <c r="L876" s="276">
        <v>3</v>
      </c>
      <c r="M876" s="94" cm="1">
        <f t="array" ref="M876">IFERROR(INDEX(M_DepotPrice!$C$10:$C$52,MATCH(1,(M_DepotPrice!$A$10:$A$52=I876)*(M_DepotPrice!$H$10:$H$52=IFERROR(INDEX(M_Depot!$A$7:$A$24,MATCH(F876,M_Depot!$B$7:$B$24,0)),""))*(M_DepotPrice!$G$10:$G$52="Special"),0)),INDEX(M_DepotPrice!$C$10:$C$52,MATCH(1,(M_DepotPrice!$A$10:$A$52=I876)*(M_DepotPrice!$G$10:$G$52="Default"),0)))</f>
        <v>8898</v>
      </c>
      <c r="N876" s="95">
        <f t="shared" si="27"/>
        <v>31498.92</v>
      </c>
      <c r="O876" s="82" t="str">
        <f t="shared" si="26"/>
        <v>MOS100788|PH002|CK6-33362</v>
      </c>
    </row>
    <row r="877" spans="1:15" ht="15" customHeight="1" x14ac:dyDescent="0.3">
      <c r="A877" s="60" t="s">
        <v>1556</v>
      </c>
      <c r="B877" s="60" t="s">
        <v>586</v>
      </c>
      <c r="C877" s="62">
        <v>46179</v>
      </c>
      <c r="D877" s="63" t="s">
        <v>361</v>
      </c>
      <c r="E877" s="66" t="str">
        <f>IFERROR(INDEX(M_User!$A$12:$J$67,MATCH(D877,M_User!$D$12:$D$67,0),3),"UNMAPPED")</f>
        <v>Masunga Mwala Ramadhani</v>
      </c>
      <c r="F877" s="65" t="str">
        <f>IFERROR(INDEX(M_User!$A$12:$J$67,MATCH(D877,M_User!$D$12:$D$67,0),5),"UNMAPPED")</f>
        <v>MOS</v>
      </c>
      <c r="G877" s="63" t="s">
        <v>904</v>
      </c>
      <c r="H877" s="69" t="s">
        <v>905</v>
      </c>
      <c r="I877" s="63" t="s">
        <v>234</v>
      </c>
      <c r="J877" s="66" t="str">
        <f>IFERROR(INDEX(M_SKU!$A$18:$J$57,MATCH(I877,M_SKU!$B$18:$B$57,0),1),"UNKNOWN SKU")</f>
        <v>Fanta Orange Pet 500ML ( x 12)</v>
      </c>
      <c r="K877" s="63" t="s">
        <v>523</v>
      </c>
      <c r="L877" s="276">
        <v>7</v>
      </c>
      <c r="M877" s="91" cm="1">
        <f t="array" ref="M877">IFERROR(INDEX(M_DepotPrice!$C$10:$C$52,MATCH(1,(M_DepotPrice!$A$10:$A$52=I877)*(M_DepotPrice!$H$10:$H$52=IFERROR(INDEX(M_Depot!$A$7:$A$24,MATCH(F877,M_Depot!$B$7:$B$24,0)),""))*(M_DepotPrice!$G$10:$G$52="Special"),0)),INDEX(M_DepotPrice!$C$10:$C$52,MATCH(1,(M_DepotPrice!$A$10:$A$52=I877)*(M_DepotPrice!$G$10:$G$52="Default"),0)))</f>
        <v>8898</v>
      </c>
      <c r="N877" s="67">
        <f t="shared" si="27"/>
        <v>73497.48</v>
      </c>
      <c r="O877" s="66" t="str">
        <f t="shared" si="26"/>
        <v>MOS100788|PH003|CK6-33405</v>
      </c>
    </row>
    <row r="878" spans="1:15" ht="15" customHeight="1" x14ac:dyDescent="0.3">
      <c r="A878" s="70" t="s">
        <v>1557</v>
      </c>
      <c r="B878" s="70" t="s">
        <v>586</v>
      </c>
      <c r="C878" s="72">
        <v>46179</v>
      </c>
      <c r="D878" s="73" t="s">
        <v>361</v>
      </c>
      <c r="E878" s="76" t="str">
        <f>IFERROR(INDEX(M_User!$A$12:$J$67,MATCH(D878,M_User!$D$12:$D$67,0),3),"UNMAPPED")</f>
        <v>Masunga Mwala Ramadhani</v>
      </c>
      <c r="F878" s="75" t="str">
        <f>IFERROR(INDEX(M_User!$A$12:$J$67,MATCH(D878,M_User!$D$12:$D$67,0),5),"UNMAPPED")</f>
        <v>MOS</v>
      </c>
      <c r="G878" s="73" t="s">
        <v>904</v>
      </c>
      <c r="H878" s="92" t="s">
        <v>905</v>
      </c>
      <c r="I878" s="73" t="s">
        <v>236</v>
      </c>
      <c r="J878" s="76" t="str">
        <f>IFERROR(INDEX(M_SKU!$A$18:$J$57,MATCH(I878,M_SKU!$B$18:$B$57,0),1),"UNKNOWN SKU")</f>
        <v>Fanta Passion Pet 500ML ( x12)</v>
      </c>
      <c r="K878" s="73" t="s">
        <v>524</v>
      </c>
      <c r="L878" s="276">
        <v>4</v>
      </c>
      <c r="M878" s="94" cm="1">
        <f t="array" ref="M878">IFERROR(INDEX(M_DepotPrice!$C$10:$C$52,MATCH(1,(M_DepotPrice!$A$10:$A$52=I878)*(M_DepotPrice!$H$10:$H$52=IFERROR(INDEX(M_Depot!$A$7:$A$24,MATCH(F878,M_Depot!$B$7:$B$24,0)),""))*(M_DepotPrice!$G$10:$G$52="Special"),0)),INDEX(M_DepotPrice!$C$10:$C$52,MATCH(1,(M_DepotPrice!$A$10:$A$52=I878)*(M_DepotPrice!$G$10:$G$52="Default"),0)))</f>
        <v>8898</v>
      </c>
      <c r="N878" s="95">
        <f t="shared" si="27"/>
        <v>41998.559999999998</v>
      </c>
      <c r="O878" s="82" t="str">
        <f t="shared" si="26"/>
        <v>MOS100788|PH004|CK5-33334</v>
      </c>
    </row>
    <row r="879" spans="1:15" ht="15" customHeight="1" x14ac:dyDescent="0.3">
      <c r="A879" s="60" t="s">
        <v>1558</v>
      </c>
      <c r="B879" s="60" t="s">
        <v>586</v>
      </c>
      <c r="C879" s="62">
        <v>46179</v>
      </c>
      <c r="D879" s="63" t="s">
        <v>361</v>
      </c>
      <c r="E879" s="66" t="str">
        <f>IFERROR(INDEX(M_User!$A$12:$J$67,MATCH(D879,M_User!$D$12:$D$67,0),3),"UNMAPPED")</f>
        <v>Masunga Mwala Ramadhani</v>
      </c>
      <c r="F879" s="65" t="str">
        <f>IFERROR(INDEX(M_User!$A$12:$J$67,MATCH(D879,M_User!$D$12:$D$67,0),5),"UNMAPPED")</f>
        <v>MOS</v>
      </c>
      <c r="G879" s="63" t="s">
        <v>904</v>
      </c>
      <c r="H879" s="69" t="s">
        <v>905</v>
      </c>
      <c r="I879" s="63" t="s">
        <v>242</v>
      </c>
      <c r="J879" s="66" t="str">
        <f>IFERROR(INDEX(M_SKU!$A$18:$J$57,MATCH(I879,M_SKU!$B$18:$B$57,0),1),"UNKNOWN SKU")</f>
        <v>Stoney Tangawizi Pet 500 ml ( x12)</v>
      </c>
      <c r="K879" s="63" t="s">
        <v>525</v>
      </c>
      <c r="L879" s="276">
        <v>1</v>
      </c>
      <c r="M879" s="91" cm="1">
        <f t="array" ref="M879">IFERROR(INDEX(M_DepotPrice!$C$10:$C$52,MATCH(1,(M_DepotPrice!$A$10:$A$52=I879)*(M_DepotPrice!$H$10:$H$52=IFERROR(INDEX(M_Depot!$A$7:$A$24,MATCH(F879,M_Depot!$B$7:$B$24,0)),""))*(M_DepotPrice!$G$10:$G$52="Special"),0)),INDEX(M_DepotPrice!$C$10:$C$52,MATCH(1,(M_DepotPrice!$A$10:$A$52=I879)*(M_DepotPrice!$G$10:$G$52="Default"),0)))</f>
        <v>8898</v>
      </c>
      <c r="N879" s="67">
        <f t="shared" si="27"/>
        <v>10499.64</v>
      </c>
      <c r="O879" s="66" t="str">
        <f t="shared" si="26"/>
        <v>MOS100788|PH007|CK6-33375</v>
      </c>
    </row>
    <row r="880" spans="1:15" ht="15" customHeight="1" x14ac:dyDescent="0.3">
      <c r="A880" s="70" t="s">
        <v>1559</v>
      </c>
      <c r="B880" s="70" t="s">
        <v>586</v>
      </c>
      <c r="C880" s="72">
        <v>46179</v>
      </c>
      <c r="D880" s="73" t="s">
        <v>361</v>
      </c>
      <c r="E880" s="76" t="str">
        <f>IFERROR(INDEX(M_User!$A$12:$J$67,MATCH(D880,M_User!$D$12:$D$67,0),3),"UNMAPPED")</f>
        <v>Masunga Mwala Ramadhani</v>
      </c>
      <c r="F880" s="75" t="str">
        <f>IFERROR(INDEX(M_User!$A$12:$J$67,MATCH(D880,M_User!$D$12:$D$67,0),5),"UNMAPPED")</f>
        <v>MOS</v>
      </c>
      <c r="G880" s="73" t="s">
        <v>904</v>
      </c>
      <c r="H880" s="92" t="s">
        <v>905</v>
      </c>
      <c r="I880" s="73" t="s">
        <v>244</v>
      </c>
      <c r="J880" s="76" t="str">
        <f>IFERROR(INDEX(M_SKU!$A$18:$J$57,MATCH(I880,M_SKU!$B$18:$B$57,0),1),"UNKNOWN SKU")</f>
        <v>Sparletta Pinenut Pet 500 ml ( x12)</v>
      </c>
      <c r="K880" s="73" t="s">
        <v>526</v>
      </c>
      <c r="L880" s="276">
        <v>1</v>
      </c>
      <c r="M880" s="94" cm="1">
        <f t="array" ref="M880">IFERROR(INDEX(M_DepotPrice!$C$10:$C$52,MATCH(1,(M_DepotPrice!$A$10:$A$52=I880)*(M_DepotPrice!$H$10:$H$52=IFERROR(INDEX(M_Depot!$A$7:$A$24,MATCH(F880,M_Depot!$B$7:$B$24,0)),""))*(M_DepotPrice!$G$10:$G$52="Special"),0)),INDEX(M_DepotPrice!$C$10:$C$52,MATCH(1,(M_DepotPrice!$A$10:$A$52=I880)*(M_DepotPrice!$G$10:$G$52="Default"),0)))</f>
        <v>8898</v>
      </c>
      <c r="N880" s="95">
        <f t="shared" si="27"/>
        <v>10499.64</v>
      </c>
      <c r="O880" s="82" t="str">
        <f t="shared" si="26"/>
        <v>MOS100788|PH008|CK5-33370</v>
      </c>
    </row>
    <row r="881" spans="1:15" ht="15" customHeight="1" x14ac:dyDescent="0.3">
      <c r="A881" s="60" t="s">
        <v>1560</v>
      </c>
      <c r="B881" s="60" t="s">
        <v>586</v>
      </c>
      <c r="C881" s="62">
        <v>46179</v>
      </c>
      <c r="D881" s="63" t="s">
        <v>361</v>
      </c>
      <c r="E881" s="66" t="str">
        <f>IFERROR(INDEX(M_User!$A$12:$J$67,MATCH(D881,M_User!$D$12:$D$67,0),3),"UNMAPPED")</f>
        <v>Masunga Mwala Ramadhani</v>
      </c>
      <c r="F881" s="65" t="str">
        <f>IFERROR(INDEX(M_User!$A$12:$J$67,MATCH(D881,M_User!$D$12:$D$67,0),5),"UNMAPPED")</f>
        <v>MOS</v>
      </c>
      <c r="G881" s="63" t="s">
        <v>904</v>
      </c>
      <c r="H881" s="69" t="s">
        <v>905</v>
      </c>
      <c r="I881" s="63" t="s">
        <v>252</v>
      </c>
      <c r="J881" s="66" t="str">
        <f>IFERROR(INDEX(M_SKU!$A$18:$J$57,MATCH(I881,M_SKU!$B$18:$B$57,0),1),"UNKNOWN SKU")</f>
        <v>Sprite Zero Pet 300ML (x 12)</v>
      </c>
      <c r="K881" s="63" t="s">
        <v>545</v>
      </c>
      <c r="L881" s="276">
        <v>2</v>
      </c>
      <c r="M881" s="91" cm="1">
        <f t="array" ref="M881">IFERROR(INDEX(M_DepotPrice!$C$10:$C$52,MATCH(1,(M_DepotPrice!$A$10:$A$52=I881)*(M_DepotPrice!$H$10:$H$52=IFERROR(INDEX(M_Depot!$A$7:$A$24,MATCH(F881,M_Depot!$B$7:$B$24,0)),""))*(M_DepotPrice!$G$10:$G$52="Special"),0)),INDEX(M_DepotPrice!$C$10:$C$52,MATCH(1,(M_DepotPrice!$A$10:$A$52=I881)*(M_DepotPrice!$G$10:$G$52="Default"),0)))</f>
        <v>5085</v>
      </c>
      <c r="N881" s="67">
        <f t="shared" si="27"/>
        <v>12000.599999999999</v>
      </c>
      <c r="O881" s="66" t="str">
        <f t="shared" si="26"/>
        <v>MOS100788|PO010|CK5-33360</v>
      </c>
    </row>
    <row r="882" spans="1:15" ht="15" customHeight="1" x14ac:dyDescent="0.3">
      <c r="A882" s="70" t="s">
        <v>1561</v>
      </c>
      <c r="B882" s="70" t="s">
        <v>586</v>
      </c>
      <c r="C882" s="72">
        <v>46179</v>
      </c>
      <c r="D882" s="73" t="s">
        <v>361</v>
      </c>
      <c r="E882" s="76" t="str">
        <f>IFERROR(INDEX(M_User!$A$12:$J$67,MATCH(D882,M_User!$D$12:$D$67,0),3),"UNMAPPED")</f>
        <v>Masunga Mwala Ramadhani</v>
      </c>
      <c r="F882" s="75" t="str">
        <f>IFERROR(INDEX(M_User!$A$12:$J$67,MATCH(D882,M_User!$D$12:$D$67,0),5),"UNMAPPED")</f>
        <v>MOS</v>
      </c>
      <c r="G882" s="73" t="s">
        <v>869</v>
      </c>
      <c r="H882" s="92" t="s">
        <v>870</v>
      </c>
      <c r="I882" s="73" t="s">
        <v>170</v>
      </c>
      <c r="J882" s="76" t="str">
        <f>IFERROR(INDEX(M_SKU!$A$18:$J$57,MATCH(I882,M_SKU!$B$18:$B$57,0),1),"UNKNOWN SKU")</f>
        <v>Coke RGB 350ml</v>
      </c>
      <c r="K882" s="73" t="s">
        <v>585</v>
      </c>
      <c r="L882" s="276">
        <v>14.410030470470801</v>
      </c>
      <c r="M882" s="94" cm="1">
        <f t="array" ref="M882">IFERROR(INDEX(M_DepotPrice!$C$10:$C$52,MATCH(1,(M_DepotPrice!$A$10:$A$52=I882)*(M_DepotPrice!$H$10:$H$52=IFERROR(INDEX(M_Depot!$A$7:$A$24,MATCH(F882,M_Depot!$B$7:$B$24,0)),""))*(M_DepotPrice!$G$10:$G$52="Special"),0)),INDEX(M_DepotPrice!$C$10:$C$52,MATCH(1,(M_DepotPrice!$A$10:$A$52=I882)*(M_DepotPrice!$G$10:$G$52="Default"),0)))</f>
        <v>11780</v>
      </c>
      <c r="N882" s="95">
        <f t="shared" si="27"/>
        <v>200305.18755173229</v>
      </c>
      <c r="O882" s="82" t="str">
        <f t="shared" si="26"/>
        <v>MOS100788|FG001|CK3-33410</v>
      </c>
    </row>
    <row r="883" spans="1:15" ht="15" customHeight="1" x14ac:dyDescent="0.3">
      <c r="A883" s="60" t="s">
        <v>1562</v>
      </c>
      <c r="B883" s="60" t="s">
        <v>586</v>
      </c>
      <c r="C883" s="62">
        <v>46179</v>
      </c>
      <c r="D883" s="63" t="s">
        <v>361</v>
      </c>
      <c r="E883" s="66" t="str">
        <f>IFERROR(INDEX(M_User!$A$12:$J$67,MATCH(D883,M_User!$D$12:$D$67,0),3),"UNMAPPED")</f>
        <v>Masunga Mwala Ramadhani</v>
      </c>
      <c r="F883" s="65" t="str">
        <f>IFERROR(INDEX(M_User!$A$12:$J$67,MATCH(D883,M_User!$D$12:$D$67,0),5),"UNMAPPED")</f>
        <v>MOS</v>
      </c>
      <c r="G883" s="63" t="s">
        <v>869</v>
      </c>
      <c r="H883" s="69" t="s">
        <v>870</v>
      </c>
      <c r="I883" s="63" t="s">
        <v>183</v>
      </c>
      <c r="J883" s="66" t="str">
        <f>IFERROR(INDEX(M_SKU!$A$18:$J$57,MATCH(I883,M_SKU!$B$18:$B$57,0),1),"UNKNOWN SKU")</f>
        <v>Fanta Pineapple RGB 350ml</v>
      </c>
      <c r="K883" s="63" t="s">
        <v>533</v>
      </c>
      <c r="L883" s="276">
        <v>2.8799000000000001</v>
      </c>
      <c r="M883" s="91" cm="1">
        <f t="array" ref="M883">IFERROR(INDEX(M_DepotPrice!$C$10:$C$52,MATCH(1,(M_DepotPrice!$A$10:$A$52=I883)*(M_DepotPrice!$H$10:$H$52=IFERROR(INDEX(M_Depot!$A$7:$A$24,MATCH(F883,M_Depot!$B$7:$B$24,0)),""))*(M_DepotPrice!$G$10:$G$52="Special"),0)),INDEX(M_DepotPrice!$C$10:$C$52,MATCH(1,(M_DepotPrice!$A$10:$A$52=I883)*(M_DepotPrice!$G$10:$G$52="Default"),0)))</f>
        <v>11780</v>
      </c>
      <c r="N883" s="67">
        <f t="shared" si="27"/>
        <v>40031.761959999996</v>
      </c>
      <c r="O883" s="66" t="str">
        <f t="shared" si="26"/>
        <v>MOS100788|FG004|CK3-33385</v>
      </c>
    </row>
    <row r="884" spans="1:15" ht="15" customHeight="1" x14ac:dyDescent="0.3">
      <c r="A884" s="70" t="s">
        <v>1563</v>
      </c>
      <c r="B884" s="70" t="s">
        <v>586</v>
      </c>
      <c r="C884" s="72">
        <v>46179</v>
      </c>
      <c r="D884" s="73" t="s">
        <v>361</v>
      </c>
      <c r="E884" s="76" t="str">
        <f>IFERROR(INDEX(M_User!$A$12:$J$67,MATCH(D884,M_User!$D$12:$D$67,0),3),"UNMAPPED")</f>
        <v>Masunga Mwala Ramadhani</v>
      </c>
      <c r="F884" s="75" t="str">
        <f>IFERROR(INDEX(M_User!$A$12:$J$67,MATCH(D884,M_User!$D$12:$D$67,0),5),"UNMAPPED")</f>
        <v>MOS</v>
      </c>
      <c r="G884" s="73" t="s">
        <v>869</v>
      </c>
      <c r="H884" s="92" t="s">
        <v>870</v>
      </c>
      <c r="I884" s="73" t="s">
        <v>185</v>
      </c>
      <c r="J884" s="76" t="str">
        <f>IFERROR(INDEX(M_SKU!$A$18:$J$57,MATCH(I884,M_SKU!$B$18:$B$57,0),1),"UNKNOWN SKU")</f>
        <v>Fanta Fruit Blast RGB 350 ml</v>
      </c>
      <c r="K884" s="73" t="s">
        <v>534</v>
      </c>
      <c r="L884" s="276">
        <v>1.30747099497259</v>
      </c>
      <c r="M884" s="94" cm="1">
        <f t="array" ref="M884">IFERROR(INDEX(M_DepotPrice!$C$10:$C$52,MATCH(1,(M_DepotPrice!$A$10:$A$52=I884)*(M_DepotPrice!$H$10:$H$52=IFERROR(INDEX(M_Depot!$A$7:$A$24,MATCH(F884,M_Depot!$B$7:$B$24,0)),""))*(M_DepotPrice!$G$10:$G$52="Special"),0)),INDEX(M_DepotPrice!$C$10:$C$52,MATCH(1,(M_DepotPrice!$A$10:$A$52=I884)*(M_DepotPrice!$G$10:$G$52="Default"),0)))</f>
        <v>11780</v>
      </c>
      <c r="N884" s="95">
        <f t="shared" si="27"/>
        <v>18174.369818516989</v>
      </c>
      <c r="O884" s="82" t="str">
        <f t="shared" si="26"/>
        <v>MOS100788|FG005|CK3-33402</v>
      </c>
    </row>
    <row r="885" spans="1:15" ht="15" customHeight="1" x14ac:dyDescent="0.3">
      <c r="A885" s="60" t="s">
        <v>1564</v>
      </c>
      <c r="B885" s="60" t="s">
        <v>586</v>
      </c>
      <c r="C885" s="62">
        <v>46179</v>
      </c>
      <c r="D885" s="63" t="s">
        <v>361</v>
      </c>
      <c r="E885" s="66" t="str">
        <f>IFERROR(INDEX(M_User!$A$12:$J$67,MATCH(D885,M_User!$D$12:$D$67,0),3),"UNMAPPED")</f>
        <v>Masunga Mwala Ramadhani</v>
      </c>
      <c r="F885" s="65" t="str">
        <f>IFERROR(INDEX(M_User!$A$12:$J$67,MATCH(D885,M_User!$D$12:$D$67,0),5),"UNMAPPED")</f>
        <v>MOS</v>
      </c>
      <c r="G885" s="63" t="s">
        <v>869</v>
      </c>
      <c r="H885" s="69" t="s">
        <v>870</v>
      </c>
      <c r="I885" s="63" t="s">
        <v>187</v>
      </c>
      <c r="J885" s="66" t="str">
        <f>IFERROR(INDEX(M_SKU!$A$18:$J$57,MATCH(I885,M_SKU!$B$18:$B$57,0),1),"UNKNOWN SKU")</f>
        <v>Sprite 350ml</v>
      </c>
      <c r="K885" s="63" t="s">
        <v>535</v>
      </c>
      <c r="L885" s="276">
        <v>2.1356000000000002</v>
      </c>
      <c r="M885" s="91" cm="1">
        <f t="array" ref="M885">IFERROR(INDEX(M_DepotPrice!$C$10:$C$52,MATCH(1,(M_DepotPrice!$A$10:$A$52=I885)*(M_DepotPrice!$H$10:$H$52=IFERROR(INDEX(M_Depot!$A$7:$A$24,MATCH(F885,M_Depot!$B$7:$B$24,0)),""))*(M_DepotPrice!$G$10:$G$52="Special"),0)),INDEX(M_DepotPrice!$C$10:$C$52,MATCH(1,(M_DepotPrice!$A$10:$A$52=I885)*(M_DepotPrice!$G$10:$G$52="Default"),0)))</f>
        <v>11780</v>
      </c>
      <c r="N885" s="67">
        <f t="shared" si="27"/>
        <v>29685.694240000001</v>
      </c>
      <c r="O885" s="66" t="str">
        <f t="shared" si="26"/>
        <v>MOS100788|FG006|CK3-33414</v>
      </c>
    </row>
    <row r="886" spans="1:15" ht="15" customHeight="1" x14ac:dyDescent="0.3">
      <c r="A886" s="70" t="s">
        <v>1565</v>
      </c>
      <c r="B886" s="70" t="s">
        <v>586</v>
      </c>
      <c r="C886" s="72">
        <v>46179</v>
      </c>
      <c r="D886" s="73" t="s">
        <v>361</v>
      </c>
      <c r="E886" s="76" t="str">
        <f>IFERROR(INDEX(M_User!$A$12:$J$67,MATCH(D886,M_User!$D$12:$D$67,0),3),"UNMAPPED")</f>
        <v>Masunga Mwala Ramadhani</v>
      </c>
      <c r="F886" s="75" t="str">
        <f>IFERROR(INDEX(M_User!$A$12:$J$67,MATCH(D886,M_User!$D$12:$D$67,0),5),"UNMAPPED")</f>
        <v>MOS</v>
      </c>
      <c r="G886" s="73" t="s">
        <v>869</v>
      </c>
      <c r="H886" s="92" t="s">
        <v>870</v>
      </c>
      <c r="I886" s="73" t="s">
        <v>190</v>
      </c>
      <c r="J886" s="76" t="str">
        <f>IFERROR(INDEX(M_SKU!$A$18:$J$57,MATCH(I886,M_SKU!$B$18:$B$57,0),1),"UNKNOWN SKU")</f>
        <v>Stoney Tangawizi RGB 350ml</v>
      </c>
      <c r="K886" s="73" t="s">
        <v>536</v>
      </c>
      <c r="L886" s="276">
        <v>0.89219999999999999</v>
      </c>
      <c r="M886" s="94" cm="1">
        <f t="array" ref="M886">IFERROR(INDEX(M_DepotPrice!$C$10:$C$52,MATCH(1,(M_DepotPrice!$A$10:$A$52=I886)*(M_DepotPrice!$H$10:$H$52=IFERROR(INDEX(M_Depot!$A$7:$A$24,MATCH(F886,M_Depot!$B$7:$B$24,0)),""))*(M_DepotPrice!$G$10:$G$52="Special"),0)),INDEX(M_DepotPrice!$C$10:$C$52,MATCH(1,(M_DepotPrice!$A$10:$A$52=I886)*(M_DepotPrice!$G$10:$G$52="Default"),0)))</f>
        <v>11780</v>
      </c>
      <c r="N886" s="95">
        <f t="shared" si="27"/>
        <v>12401.936879999999</v>
      </c>
      <c r="O886" s="82" t="str">
        <f t="shared" si="26"/>
        <v>MOS100788|FG007|CK3-33404</v>
      </c>
    </row>
    <row r="887" spans="1:15" ht="15" customHeight="1" x14ac:dyDescent="0.3">
      <c r="A887" s="60" t="s">
        <v>1566</v>
      </c>
      <c r="B887" s="60" t="s">
        <v>586</v>
      </c>
      <c r="C887" s="62">
        <v>46179</v>
      </c>
      <c r="D887" s="63" t="s">
        <v>361</v>
      </c>
      <c r="E887" s="66" t="str">
        <f>IFERROR(INDEX(M_User!$A$12:$J$67,MATCH(D887,M_User!$D$12:$D$67,0),3),"UNMAPPED")</f>
        <v>Masunga Mwala Ramadhani</v>
      </c>
      <c r="F887" s="65" t="str">
        <f>IFERROR(INDEX(M_User!$A$12:$J$67,MATCH(D887,M_User!$D$12:$D$67,0),5),"UNMAPPED")</f>
        <v>MOS</v>
      </c>
      <c r="G887" s="63" t="s">
        <v>869</v>
      </c>
      <c r="H887" s="69" t="s">
        <v>870</v>
      </c>
      <c r="I887" s="63" t="s">
        <v>193</v>
      </c>
      <c r="J887" s="66" t="str">
        <f>IFERROR(INDEX(M_SKU!$A$18:$J$57,MATCH(I887,M_SKU!$B$18:$B$57,0),1),"UNKNOWN SKU")</f>
        <v>Sparletta Pinenut RGB 350ml</v>
      </c>
      <c r="K887" s="63" t="s">
        <v>537</v>
      </c>
      <c r="L887" s="276">
        <v>1.5476000000000001</v>
      </c>
      <c r="M887" s="91" cm="1">
        <f t="array" ref="M887">IFERROR(INDEX(M_DepotPrice!$C$10:$C$52,MATCH(1,(M_DepotPrice!$A$10:$A$52=I887)*(M_DepotPrice!$H$10:$H$52=IFERROR(INDEX(M_Depot!$A$7:$A$24,MATCH(F887,M_Depot!$B$7:$B$24,0)),""))*(M_DepotPrice!$G$10:$G$52="Special"),0)),INDEX(M_DepotPrice!$C$10:$C$52,MATCH(1,(M_DepotPrice!$A$10:$A$52=I887)*(M_DepotPrice!$G$10:$G$52="Default"),0)))</f>
        <v>11780</v>
      </c>
      <c r="N887" s="67">
        <f t="shared" si="27"/>
        <v>21512.259040000001</v>
      </c>
      <c r="O887" s="66" t="str">
        <f t="shared" si="26"/>
        <v>MOS100788|FG008|CK3-33365</v>
      </c>
    </row>
    <row r="888" spans="1:15" ht="15" customHeight="1" x14ac:dyDescent="0.3">
      <c r="A888" s="70" t="s">
        <v>1567</v>
      </c>
      <c r="B888" s="70" t="s">
        <v>586</v>
      </c>
      <c r="C888" s="72">
        <v>46179</v>
      </c>
      <c r="D888" s="73" t="s">
        <v>361</v>
      </c>
      <c r="E888" s="76" t="str">
        <f>IFERROR(INDEX(M_User!$A$12:$J$67,MATCH(D888,M_User!$D$12:$D$67,0),3),"UNMAPPED")</f>
        <v>Masunga Mwala Ramadhani</v>
      </c>
      <c r="F888" s="75" t="str">
        <f>IFERROR(INDEX(M_User!$A$12:$J$67,MATCH(D888,M_User!$D$12:$D$67,0),5),"UNMAPPED")</f>
        <v>MOS</v>
      </c>
      <c r="G888" s="73" t="s">
        <v>869</v>
      </c>
      <c r="H888" s="92" t="s">
        <v>870</v>
      </c>
      <c r="I888" s="73" t="s">
        <v>199</v>
      </c>
      <c r="J888" s="76" t="str">
        <f>IFERROR(INDEX(M_SKU!$A$18:$J$57,MATCH(I888,M_SKU!$B$18:$B$57,0),1),"UNKNOWN SKU")</f>
        <v>Krest Club Soda RGB 300ml</v>
      </c>
      <c r="K888" s="73" t="s">
        <v>539</v>
      </c>
      <c r="L888" s="276">
        <v>0.82526956862621204</v>
      </c>
      <c r="M888" s="94" cm="1">
        <f t="array" ref="M888">IFERROR(INDEX(M_DepotPrice!$C$10:$C$52,MATCH(1,(M_DepotPrice!$A$10:$A$52=I888)*(M_DepotPrice!$H$10:$H$52=IFERROR(INDEX(M_Depot!$A$7:$A$24,MATCH(F888,M_Depot!$B$7:$B$24,0)),""))*(M_DepotPrice!$G$10:$G$52="Special"),0)),INDEX(M_DepotPrice!$C$10:$C$52,MATCH(1,(M_DepotPrice!$A$10:$A$52=I888)*(M_DepotPrice!$G$10:$G$52="Default"),0)))</f>
        <v>11780</v>
      </c>
      <c r="N888" s="95">
        <f t="shared" si="27"/>
        <v>11471.577111731796</v>
      </c>
      <c r="O888" s="82" t="str">
        <f t="shared" si="26"/>
        <v>MOS100788|FG010|CK3-33301</v>
      </c>
    </row>
    <row r="889" spans="1:15" ht="15" customHeight="1" x14ac:dyDescent="0.3">
      <c r="A889" s="60" t="s">
        <v>1568</v>
      </c>
      <c r="B889" s="60" t="s">
        <v>586</v>
      </c>
      <c r="C889" s="62">
        <v>46179</v>
      </c>
      <c r="D889" s="63" t="s">
        <v>361</v>
      </c>
      <c r="E889" s="66" t="str">
        <f>IFERROR(INDEX(M_User!$A$12:$J$67,MATCH(D889,M_User!$D$12:$D$67,0),3),"UNMAPPED")</f>
        <v>Masunga Mwala Ramadhani</v>
      </c>
      <c r="F889" s="65" t="str">
        <f>IFERROR(INDEX(M_User!$A$12:$J$67,MATCH(D889,M_User!$D$12:$D$67,0),5),"UNMAPPED")</f>
        <v>MOS</v>
      </c>
      <c r="G889" s="63" t="s">
        <v>869</v>
      </c>
      <c r="H889" s="69" t="s">
        <v>870</v>
      </c>
      <c r="I889" s="63" t="s">
        <v>201</v>
      </c>
      <c r="J889" s="66" t="str">
        <f>IFERROR(INDEX(M_SKU!$A$18:$J$57,MATCH(I889,M_SKU!$B$18:$B$57,0),1),"UNKNOWN SKU")</f>
        <v>Krest Tonic Water RGB 300ml</v>
      </c>
      <c r="K889" s="63" t="s">
        <v>540</v>
      </c>
      <c r="L889" s="276">
        <v>1.9308955940046599</v>
      </c>
      <c r="M889" s="91" cm="1">
        <f t="array" ref="M889">IFERROR(INDEX(M_DepotPrice!$C$10:$C$52,MATCH(1,(M_DepotPrice!$A$10:$A$52=I889)*(M_DepotPrice!$H$10:$H$52=IFERROR(INDEX(M_Depot!$A$7:$A$24,MATCH(F889,M_Depot!$B$7:$B$24,0)),""))*(M_DepotPrice!$G$10:$G$52="Special"),0)),INDEX(M_DepotPrice!$C$10:$C$52,MATCH(1,(M_DepotPrice!$A$10:$A$52=I889)*(M_DepotPrice!$G$10:$G$52="Default"),0)))</f>
        <v>11780</v>
      </c>
      <c r="N889" s="67">
        <f t="shared" si="27"/>
        <v>26840.221114902375</v>
      </c>
      <c r="O889" s="66" t="str">
        <f t="shared" si="26"/>
        <v>MOS100788|FG011|CK3-33347</v>
      </c>
    </row>
    <row r="890" spans="1:15" ht="15" customHeight="1" x14ac:dyDescent="0.3">
      <c r="A890" s="70" t="s">
        <v>1569</v>
      </c>
      <c r="B890" s="70" t="s">
        <v>586</v>
      </c>
      <c r="C890" s="72">
        <v>46179</v>
      </c>
      <c r="D890" s="73" t="s">
        <v>361</v>
      </c>
      <c r="E890" s="76" t="str">
        <f>IFERROR(INDEX(M_User!$A$12:$J$67,MATCH(D890,M_User!$D$12:$D$67,0),3),"UNMAPPED")</f>
        <v>Masunga Mwala Ramadhani</v>
      </c>
      <c r="F890" s="75" t="str">
        <f>IFERROR(INDEX(M_User!$A$12:$J$67,MATCH(D890,M_User!$D$12:$D$67,0),5),"UNMAPPED")</f>
        <v>MOS</v>
      </c>
      <c r="G890" s="73" t="s">
        <v>869</v>
      </c>
      <c r="H890" s="92" t="s">
        <v>870</v>
      </c>
      <c r="I890" s="73" t="s">
        <v>209</v>
      </c>
      <c r="J890" s="76" t="str">
        <f>IFERROR(INDEX(M_SKU!$A$18:$J$57,MATCH(I890,M_SKU!$B$18:$B$57,0),1),"UNKNOWN SKU")</f>
        <v>Sparletta Red Apple RGB 350ml</v>
      </c>
      <c r="K890" s="73" t="s">
        <v>542</v>
      </c>
      <c r="L890" s="276">
        <v>0.55820000000000003</v>
      </c>
      <c r="M890" s="94" cm="1">
        <f t="array" ref="M890">IFERROR(INDEX(M_DepotPrice!$C$10:$C$52,MATCH(1,(M_DepotPrice!$A$10:$A$52=I890)*(M_DepotPrice!$H$10:$H$52=IFERROR(INDEX(M_Depot!$A$7:$A$24,MATCH(F890,M_Depot!$B$7:$B$24,0)),""))*(M_DepotPrice!$G$10:$G$52="Special"),0)),INDEX(M_DepotPrice!$C$10:$C$52,MATCH(1,(M_DepotPrice!$A$10:$A$52=I890)*(M_DepotPrice!$G$10:$G$52="Default"),0)))</f>
        <v>11780</v>
      </c>
      <c r="N890" s="95">
        <f t="shared" si="27"/>
        <v>7759.2032799999997</v>
      </c>
      <c r="O890" s="82" t="str">
        <f t="shared" si="26"/>
        <v>MOS100788|FG024|CK3-32758</v>
      </c>
    </row>
    <row r="891" spans="1:15" ht="15" customHeight="1" x14ac:dyDescent="0.3">
      <c r="A891" s="60" t="s">
        <v>1570</v>
      </c>
      <c r="B891" s="60" t="s">
        <v>586</v>
      </c>
      <c r="C891" s="62">
        <v>46179</v>
      </c>
      <c r="D891" s="63" t="s">
        <v>361</v>
      </c>
      <c r="E891" s="66" t="str">
        <f>IFERROR(INDEX(M_User!$A$12:$J$67,MATCH(D891,M_User!$D$12:$D$67,0),3),"UNMAPPED")</f>
        <v>Masunga Mwala Ramadhani</v>
      </c>
      <c r="F891" s="65" t="str">
        <f>IFERROR(INDEX(M_User!$A$12:$J$67,MATCH(D891,M_User!$D$12:$D$67,0),5),"UNMAPPED")</f>
        <v>MOS</v>
      </c>
      <c r="G891" s="63" t="s">
        <v>869</v>
      </c>
      <c r="H891" s="69" t="s">
        <v>870</v>
      </c>
      <c r="I891" s="63" t="s">
        <v>234</v>
      </c>
      <c r="J891" s="66" t="str">
        <f>IFERROR(INDEX(M_SKU!$A$18:$J$57,MATCH(I891,M_SKU!$B$18:$B$57,0),1),"UNKNOWN SKU")</f>
        <v>Fanta Orange Pet 500ML ( x 12)</v>
      </c>
      <c r="K891" s="63" t="s">
        <v>523</v>
      </c>
      <c r="L891" s="276">
        <v>8</v>
      </c>
      <c r="M891" s="91" cm="1">
        <f t="array" ref="M891">IFERROR(INDEX(M_DepotPrice!$C$10:$C$52,MATCH(1,(M_DepotPrice!$A$10:$A$52=I891)*(M_DepotPrice!$H$10:$H$52=IFERROR(INDEX(M_Depot!$A$7:$A$24,MATCH(F891,M_Depot!$B$7:$B$24,0)),""))*(M_DepotPrice!$G$10:$G$52="Special"),0)),INDEX(M_DepotPrice!$C$10:$C$52,MATCH(1,(M_DepotPrice!$A$10:$A$52=I891)*(M_DepotPrice!$G$10:$G$52="Default"),0)))</f>
        <v>8898</v>
      </c>
      <c r="N891" s="67">
        <f t="shared" si="27"/>
        <v>83997.119999999995</v>
      </c>
      <c r="O891" s="66" t="str">
        <f t="shared" si="26"/>
        <v>MOS100788|PH003|CK6-33405</v>
      </c>
    </row>
    <row r="892" spans="1:15" ht="15" customHeight="1" x14ac:dyDescent="0.3">
      <c r="A892" s="70" t="s">
        <v>1571</v>
      </c>
      <c r="B892" s="70" t="s">
        <v>586</v>
      </c>
      <c r="C892" s="72">
        <v>46179</v>
      </c>
      <c r="D892" s="73" t="s">
        <v>361</v>
      </c>
      <c r="E892" s="76" t="str">
        <f>IFERROR(INDEX(M_User!$A$12:$J$67,MATCH(D892,M_User!$D$12:$D$67,0),3),"UNMAPPED")</f>
        <v>Masunga Mwala Ramadhani</v>
      </c>
      <c r="F892" s="75" t="str">
        <f>IFERROR(INDEX(M_User!$A$12:$J$67,MATCH(D892,M_User!$D$12:$D$67,0),5),"UNMAPPED")</f>
        <v>MOS</v>
      </c>
      <c r="G892" s="73" t="s">
        <v>869</v>
      </c>
      <c r="H892" s="92" t="s">
        <v>870</v>
      </c>
      <c r="I892" s="73" t="s">
        <v>236</v>
      </c>
      <c r="J892" s="76" t="str">
        <f>IFERROR(INDEX(M_SKU!$A$18:$J$57,MATCH(I892,M_SKU!$B$18:$B$57,0),1),"UNKNOWN SKU")</f>
        <v>Fanta Passion Pet 500ML ( x12)</v>
      </c>
      <c r="K892" s="73" t="s">
        <v>524</v>
      </c>
      <c r="L892" s="276">
        <v>2</v>
      </c>
      <c r="M892" s="94" cm="1">
        <f t="array" ref="M892">IFERROR(INDEX(M_DepotPrice!$C$10:$C$52,MATCH(1,(M_DepotPrice!$A$10:$A$52=I892)*(M_DepotPrice!$H$10:$H$52=IFERROR(INDEX(M_Depot!$A$7:$A$24,MATCH(F892,M_Depot!$B$7:$B$24,0)),""))*(M_DepotPrice!$G$10:$G$52="Special"),0)),INDEX(M_DepotPrice!$C$10:$C$52,MATCH(1,(M_DepotPrice!$A$10:$A$52=I892)*(M_DepotPrice!$G$10:$G$52="Default"),0)))</f>
        <v>8898</v>
      </c>
      <c r="N892" s="95">
        <f t="shared" si="27"/>
        <v>20999.279999999999</v>
      </c>
      <c r="O892" s="82" t="str">
        <f t="shared" si="26"/>
        <v>MOS100788|PH004|CK5-33334</v>
      </c>
    </row>
    <row r="893" spans="1:15" ht="15" customHeight="1" x14ac:dyDescent="0.3">
      <c r="A893" s="60" t="s">
        <v>1572</v>
      </c>
      <c r="B893" s="60" t="s">
        <v>586</v>
      </c>
      <c r="C893" s="62">
        <v>46179</v>
      </c>
      <c r="D893" s="63" t="s">
        <v>361</v>
      </c>
      <c r="E893" s="66" t="str">
        <f>IFERROR(INDEX(M_User!$A$12:$J$67,MATCH(D893,M_User!$D$12:$D$67,0),3),"UNMAPPED")</f>
        <v>Masunga Mwala Ramadhani</v>
      </c>
      <c r="F893" s="65" t="str">
        <f>IFERROR(INDEX(M_User!$A$12:$J$67,MATCH(D893,M_User!$D$12:$D$67,0),5),"UNMAPPED")</f>
        <v>MOS</v>
      </c>
      <c r="G893" s="63" t="s">
        <v>869</v>
      </c>
      <c r="H893" s="69" t="s">
        <v>870</v>
      </c>
      <c r="I893" s="63" t="s">
        <v>254</v>
      </c>
      <c r="J893" s="66" t="str">
        <f>IFERROR(INDEX(M_SKU!$A$18:$J$57,MATCH(I893,M_SKU!$B$18:$B$57,0),1),"UNKNOWN SKU")</f>
        <v>Fanta Zero Pet 300ML (x 12)</v>
      </c>
      <c r="K893" s="63" t="s">
        <v>546</v>
      </c>
      <c r="L893" s="276">
        <v>2</v>
      </c>
      <c r="M893" s="91" cm="1">
        <f t="array" ref="M893">IFERROR(INDEX(M_DepotPrice!$C$10:$C$52,MATCH(1,(M_DepotPrice!$A$10:$A$52=I893)*(M_DepotPrice!$H$10:$H$52=IFERROR(INDEX(M_Depot!$A$7:$A$24,MATCH(F893,M_Depot!$B$7:$B$24,0)),""))*(M_DepotPrice!$G$10:$G$52="Special"),0)),INDEX(M_DepotPrice!$C$10:$C$52,MATCH(1,(M_DepotPrice!$A$10:$A$52=I893)*(M_DepotPrice!$G$10:$G$52="Default"),0)))</f>
        <v>5085</v>
      </c>
      <c r="N893" s="67">
        <f t="shared" si="27"/>
        <v>12000.599999999999</v>
      </c>
      <c r="O893" s="66" t="str">
        <f t="shared" si="26"/>
        <v>MOS100788|PO012|CK5-33369</v>
      </c>
    </row>
    <row r="894" spans="1:15" ht="15" customHeight="1" x14ac:dyDescent="0.3">
      <c r="A894" s="70" t="s">
        <v>1573</v>
      </c>
      <c r="B894" s="70" t="s">
        <v>586</v>
      </c>
      <c r="C894" s="72">
        <v>46179</v>
      </c>
      <c r="D894" s="73" t="s">
        <v>361</v>
      </c>
      <c r="E894" s="76" t="str">
        <f>IFERROR(INDEX(M_User!$A$12:$J$67,MATCH(D894,M_User!$D$12:$D$67,0),3),"UNMAPPED")</f>
        <v>Masunga Mwala Ramadhani</v>
      </c>
      <c r="F894" s="75" t="str">
        <f>IFERROR(INDEX(M_User!$A$12:$J$67,MATCH(D894,M_User!$D$12:$D$67,0),5),"UNMAPPED")</f>
        <v>MOS</v>
      </c>
      <c r="G894" s="73" t="s">
        <v>783</v>
      </c>
      <c r="H894" s="92" t="s">
        <v>784</v>
      </c>
      <c r="I894" s="73" t="s">
        <v>170</v>
      </c>
      <c r="J894" s="76" t="str">
        <f>IFERROR(INDEX(M_SKU!$A$18:$J$57,MATCH(I894,M_SKU!$B$18:$B$57,0),1),"UNKNOWN SKU")</f>
        <v>Coke RGB 350ml</v>
      </c>
      <c r="K894" s="73" t="s">
        <v>529</v>
      </c>
      <c r="L894" s="276">
        <v>3.7463000000000002</v>
      </c>
      <c r="M894" s="94" cm="1">
        <f t="array" ref="M894">IFERROR(INDEX(M_DepotPrice!$C$10:$C$52,MATCH(1,(M_DepotPrice!$A$10:$A$52=I894)*(M_DepotPrice!$H$10:$H$52=IFERROR(INDEX(M_Depot!$A$7:$A$24,MATCH(F894,M_Depot!$B$7:$B$24,0)),""))*(M_DepotPrice!$G$10:$G$52="Special"),0)),INDEX(M_DepotPrice!$C$10:$C$52,MATCH(1,(M_DepotPrice!$A$10:$A$52=I894)*(M_DepotPrice!$G$10:$G$52="Default"),0)))</f>
        <v>11780</v>
      </c>
      <c r="N894" s="95">
        <f t="shared" si="27"/>
        <v>52075.068520000001</v>
      </c>
      <c r="O894" s="82" t="str">
        <f t="shared" si="26"/>
        <v>MOS100788|FG001|CK3-33408</v>
      </c>
    </row>
    <row r="895" spans="1:15" ht="15" customHeight="1" x14ac:dyDescent="0.3">
      <c r="A895" s="60" t="s">
        <v>1574</v>
      </c>
      <c r="B895" s="60" t="s">
        <v>586</v>
      </c>
      <c r="C895" s="62">
        <v>46179</v>
      </c>
      <c r="D895" s="63" t="s">
        <v>361</v>
      </c>
      <c r="E895" s="66" t="str">
        <f>IFERROR(INDEX(M_User!$A$12:$J$67,MATCH(D895,M_User!$D$12:$D$67,0),3),"UNMAPPED")</f>
        <v>Masunga Mwala Ramadhani</v>
      </c>
      <c r="F895" s="65" t="str">
        <f>IFERROR(INDEX(M_User!$A$12:$J$67,MATCH(D895,M_User!$D$12:$D$67,0),5),"UNMAPPED")</f>
        <v>MOS</v>
      </c>
      <c r="G895" s="63" t="s">
        <v>783</v>
      </c>
      <c r="H895" s="69" t="s">
        <v>784</v>
      </c>
      <c r="I895" s="63" t="s">
        <v>170</v>
      </c>
      <c r="J895" s="66" t="str">
        <f>IFERROR(INDEX(M_SKU!$A$18:$J$57,MATCH(I895,M_SKU!$B$18:$B$57,0),1),"UNKNOWN SKU")</f>
        <v>Coke RGB 350ml</v>
      </c>
      <c r="K895" s="63" t="s">
        <v>585</v>
      </c>
      <c r="L895" s="276">
        <v>14.043900000000001</v>
      </c>
      <c r="M895" s="91" cm="1">
        <f t="array" ref="M895">IFERROR(INDEX(M_DepotPrice!$C$10:$C$52,MATCH(1,(M_DepotPrice!$A$10:$A$52=I895)*(M_DepotPrice!$H$10:$H$52=IFERROR(INDEX(M_Depot!$A$7:$A$24,MATCH(F895,M_Depot!$B$7:$B$24,0)),""))*(M_DepotPrice!$G$10:$G$52="Special"),0)),INDEX(M_DepotPrice!$C$10:$C$52,MATCH(1,(M_DepotPrice!$A$10:$A$52=I895)*(M_DepotPrice!$G$10:$G$52="Default"),0)))</f>
        <v>11780</v>
      </c>
      <c r="N895" s="67">
        <f t="shared" si="27"/>
        <v>195215.82756000001</v>
      </c>
      <c r="O895" s="66" t="str">
        <f t="shared" si="26"/>
        <v>MOS100788|FG001|CK3-33410</v>
      </c>
    </row>
    <row r="896" spans="1:15" ht="15" customHeight="1" x14ac:dyDescent="0.3">
      <c r="A896" s="70" t="s">
        <v>1575</v>
      </c>
      <c r="B896" s="70" t="s">
        <v>586</v>
      </c>
      <c r="C896" s="72">
        <v>46179</v>
      </c>
      <c r="D896" s="73" t="s">
        <v>361</v>
      </c>
      <c r="E896" s="76" t="str">
        <f>IFERROR(INDEX(M_User!$A$12:$J$67,MATCH(D896,M_User!$D$12:$D$67,0),3),"UNMAPPED")</f>
        <v>Masunga Mwala Ramadhani</v>
      </c>
      <c r="F896" s="75" t="str">
        <f>IFERROR(INDEX(M_User!$A$12:$J$67,MATCH(D896,M_User!$D$12:$D$67,0),5),"UNMAPPED")</f>
        <v>MOS</v>
      </c>
      <c r="G896" s="73" t="s">
        <v>783</v>
      </c>
      <c r="H896" s="92" t="s">
        <v>784</v>
      </c>
      <c r="I896" s="73" t="s">
        <v>178</v>
      </c>
      <c r="J896" s="76" t="str">
        <f>IFERROR(INDEX(M_SKU!$A$18:$J$57,MATCH(I896,M_SKU!$B$18:$B$57,0),1),"UNKNOWN SKU")</f>
        <v>Fanta Orange RGB 350ml</v>
      </c>
      <c r="K896" s="73" t="s">
        <v>531</v>
      </c>
      <c r="L896" s="276">
        <v>11.836996867610999</v>
      </c>
      <c r="M896" s="94" cm="1">
        <f t="array" ref="M896">IFERROR(INDEX(M_DepotPrice!$C$10:$C$52,MATCH(1,(M_DepotPrice!$A$10:$A$52=I896)*(M_DepotPrice!$H$10:$H$52=IFERROR(INDEX(M_Depot!$A$7:$A$24,MATCH(F896,M_Depot!$B$7:$B$24,0)),""))*(M_DepotPrice!$G$10:$G$52="Special"),0)),INDEX(M_DepotPrice!$C$10:$C$52,MATCH(1,(M_DepotPrice!$A$10:$A$52=I896)*(M_DepotPrice!$G$10:$G$52="Default"),0)))</f>
        <v>11780</v>
      </c>
      <c r="N896" s="95">
        <f t="shared" si="27"/>
        <v>164538.99125853993</v>
      </c>
      <c r="O896" s="82" t="str">
        <f t="shared" si="26"/>
        <v>MOS100788|FG002|CK3-33407</v>
      </c>
    </row>
    <row r="897" spans="1:15" ht="15" customHeight="1" x14ac:dyDescent="0.3">
      <c r="A897" s="60" t="s">
        <v>1576</v>
      </c>
      <c r="B897" s="60" t="s">
        <v>586</v>
      </c>
      <c r="C897" s="62">
        <v>46179</v>
      </c>
      <c r="D897" s="63" t="s">
        <v>361</v>
      </c>
      <c r="E897" s="66" t="str">
        <f>IFERROR(INDEX(M_User!$A$12:$J$67,MATCH(D897,M_User!$D$12:$D$67,0),3),"UNMAPPED")</f>
        <v>Masunga Mwala Ramadhani</v>
      </c>
      <c r="F897" s="65" t="str">
        <f>IFERROR(INDEX(M_User!$A$12:$J$67,MATCH(D897,M_User!$D$12:$D$67,0),5),"UNMAPPED")</f>
        <v>MOS</v>
      </c>
      <c r="G897" s="63" t="s">
        <v>783</v>
      </c>
      <c r="H897" s="69" t="s">
        <v>784</v>
      </c>
      <c r="I897" s="63" t="s">
        <v>181</v>
      </c>
      <c r="J897" s="66" t="str">
        <f>IFERROR(INDEX(M_SKU!$A$18:$J$57,MATCH(I897,M_SKU!$B$18:$B$57,0),1),"UNKNOWN SKU")</f>
        <v>Fanta Passion RGB 350ml</v>
      </c>
      <c r="K897" s="63" t="s">
        <v>550</v>
      </c>
      <c r="L897" s="276">
        <v>1.7339</v>
      </c>
      <c r="M897" s="91" cm="1">
        <f t="array" ref="M897">IFERROR(INDEX(M_DepotPrice!$C$10:$C$52,MATCH(1,(M_DepotPrice!$A$10:$A$52=I897)*(M_DepotPrice!$H$10:$H$52=IFERROR(INDEX(M_Depot!$A$7:$A$24,MATCH(F897,M_Depot!$B$7:$B$24,0)),""))*(M_DepotPrice!$G$10:$G$52="Special"),0)),INDEX(M_DepotPrice!$C$10:$C$52,MATCH(1,(M_DepotPrice!$A$10:$A$52=I897)*(M_DepotPrice!$G$10:$G$52="Default"),0)))</f>
        <v>11780</v>
      </c>
      <c r="N897" s="67">
        <f t="shared" si="27"/>
        <v>24101.903559999999</v>
      </c>
      <c r="O897" s="66" t="str">
        <f t="shared" si="26"/>
        <v>MOS100788|FG003|CK3-33356</v>
      </c>
    </row>
    <row r="898" spans="1:15" ht="15" customHeight="1" x14ac:dyDescent="0.3">
      <c r="A898" s="70" t="s">
        <v>1577</v>
      </c>
      <c r="B898" s="70" t="s">
        <v>586</v>
      </c>
      <c r="C898" s="72">
        <v>46179</v>
      </c>
      <c r="D898" s="73" t="s">
        <v>361</v>
      </c>
      <c r="E898" s="76" t="str">
        <f>IFERROR(INDEX(M_User!$A$12:$J$67,MATCH(D898,M_User!$D$12:$D$67,0),3),"UNMAPPED")</f>
        <v>Masunga Mwala Ramadhani</v>
      </c>
      <c r="F898" s="75" t="str">
        <f>IFERROR(INDEX(M_User!$A$12:$J$67,MATCH(D898,M_User!$D$12:$D$67,0),5),"UNMAPPED")</f>
        <v>MOS</v>
      </c>
      <c r="G898" s="73" t="s">
        <v>783</v>
      </c>
      <c r="H898" s="92" t="s">
        <v>784</v>
      </c>
      <c r="I898" s="73" t="s">
        <v>183</v>
      </c>
      <c r="J898" s="76" t="str">
        <f>IFERROR(INDEX(M_SKU!$A$18:$J$57,MATCH(I898,M_SKU!$B$18:$B$57,0),1),"UNKNOWN SKU")</f>
        <v>Fanta Pineapple RGB 350ml</v>
      </c>
      <c r="K898" s="73" t="s">
        <v>533</v>
      </c>
      <c r="L898" s="276">
        <v>4.0852000000000004</v>
      </c>
      <c r="M898" s="94" cm="1">
        <f t="array" ref="M898">IFERROR(INDEX(M_DepotPrice!$C$10:$C$52,MATCH(1,(M_DepotPrice!$A$10:$A$52=I898)*(M_DepotPrice!$H$10:$H$52=IFERROR(INDEX(M_Depot!$A$7:$A$24,MATCH(F898,M_Depot!$B$7:$B$24,0)),""))*(M_DepotPrice!$G$10:$G$52="Special"),0)),INDEX(M_DepotPrice!$C$10:$C$52,MATCH(1,(M_DepotPrice!$A$10:$A$52=I898)*(M_DepotPrice!$G$10:$G$52="Default"),0)))</f>
        <v>11780</v>
      </c>
      <c r="N898" s="95">
        <f t="shared" si="27"/>
        <v>56785.914080000002</v>
      </c>
      <c r="O898" s="82" t="str">
        <f t="shared" si="26"/>
        <v>MOS100788|FG004|CK3-33385</v>
      </c>
    </row>
    <row r="899" spans="1:15" ht="15" customHeight="1" x14ac:dyDescent="0.3">
      <c r="A899" s="60" t="s">
        <v>1578</v>
      </c>
      <c r="B899" s="60" t="s">
        <v>586</v>
      </c>
      <c r="C899" s="62">
        <v>46179</v>
      </c>
      <c r="D899" s="63" t="s">
        <v>361</v>
      </c>
      <c r="E899" s="66" t="str">
        <f>IFERROR(INDEX(M_User!$A$12:$J$67,MATCH(D899,M_User!$D$12:$D$67,0),3),"UNMAPPED")</f>
        <v>Masunga Mwala Ramadhani</v>
      </c>
      <c r="F899" s="65" t="str">
        <f>IFERROR(INDEX(M_User!$A$12:$J$67,MATCH(D899,M_User!$D$12:$D$67,0),5),"UNMAPPED")</f>
        <v>MOS</v>
      </c>
      <c r="G899" s="63" t="s">
        <v>783</v>
      </c>
      <c r="H899" s="69" t="s">
        <v>784</v>
      </c>
      <c r="I899" s="63" t="s">
        <v>185</v>
      </c>
      <c r="J899" s="66" t="str">
        <f>IFERROR(INDEX(M_SKU!$A$18:$J$57,MATCH(I899,M_SKU!$B$18:$B$57,0),1),"UNKNOWN SKU")</f>
        <v>Fanta Fruit Blast RGB 350 ml</v>
      </c>
      <c r="K899" s="63" t="s">
        <v>534</v>
      </c>
      <c r="L899" s="276">
        <v>1.5718000000000001</v>
      </c>
      <c r="M899" s="91" cm="1">
        <f t="array" ref="M899">IFERROR(INDEX(M_DepotPrice!$C$10:$C$52,MATCH(1,(M_DepotPrice!$A$10:$A$52=I899)*(M_DepotPrice!$H$10:$H$52=IFERROR(INDEX(M_Depot!$A$7:$A$24,MATCH(F899,M_Depot!$B$7:$B$24,0)),""))*(M_DepotPrice!$G$10:$G$52="Special"),0)),INDEX(M_DepotPrice!$C$10:$C$52,MATCH(1,(M_DepotPrice!$A$10:$A$52=I899)*(M_DepotPrice!$G$10:$G$52="Default"),0)))</f>
        <v>11780</v>
      </c>
      <c r="N899" s="67">
        <f t="shared" si="27"/>
        <v>21848.648719999997</v>
      </c>
      <c r="O899" s="66" t="str">
        <f t="shared" si="26"/>
        <v>MOS100788|FG005|CK3-33402</v>
      </c>
    </row>
    <row r="900" spans="1:15" ht="15" customHeight="1" x14ac:dyDescent="0.3">
      <c r="A900" s="70" t="s">
        <v>1579</v>
      </c>
      <c r="B900" s="70" t="s">
        <v>586</v>
      </c>
      <c r="C900" s="72">
        <v>46179</v>
      </c>
      <c r="D900" s="73" t="s">
        <v>361</v>
      </c>
      <c r="E900" s="76" t="str">
        <f>IFERROR(INDEX(M_User!$A$12:$J$67,MATCH(D900,M_User!$D$12:$D$67,0),3),"UNMAPPED")</f>
        <v>Masunga Mwala Ramadhani</v>
      </c>
      <c r="F900" s="75" t="str">
        <f>IFERROR(INDEX(M_User!$A$12:$J$67,MATCH(D900,M_User!$D$12:$D$67,0),5),"UNMAPPED")</f>
        <v>MOS</v>
      </c>
      <c r="G900" s="73" t="s">
        <v>783</v>
      </c>
      <c r="H900" s="92" t="s">
        <v>784</v>
      </c>
      <c r="I900" s="73" t="s">
        <v>187</v>
      </c>
      <c r="J900" s="76" t="str">
        <f>IFERROR(INDEX(M_SKU!$A$18:$J$57,MATCH(I900,M_SKU!$B$18:$B$57,0),1),"UNKNOWN SKU")</f>
        <v>Sprite 350ml</v>
      </c>
      <c r="K900" s="73" t="s">
        <v>535</v>
      </c>
      <c r="L900" s="276">
        <v>4.2812999999999999</v>
      </c>
      <c r="M900" s="94" cm="1">
        <f t="array" ref="M900">IFERROR(INDEX(M_DepotPrice!$C$10:$C$52,MATCH(1,(M_DepotPrice!$A$10:$A$52=I900)*(M_DepotPrice!$H$10:$H$52=IFERROR(INDEX(M_Depot!$A$7:$A$24,MATCH(F900,M_Depot!$B$7:$B$24,0)),""))*(M_DepotPrice!$G$10:$G$52="Special"),0)),INDEX(M_DepotPrice!$C$10:$C$52,MATCH(1,(M_DepotPrice!$A$10:$A$52=I900)*(M_DepotPrice!$G$10:$G$52="Default"),0)))</f>
        <v>11780</v>
      </c>
      <c r="N900" s="95">
        <f t="shared" si="27"/>
        <v>59511.782519999993</v>
      </c>
      <c r="O900" s="82" t="str">
        <f t="shared" si="26"/>
        <v>MOS100788|FG006|CK3-33414</v>
      </c>
    </row>
    <row r="901" spans="1:15" ht="15" customHeight="1" x14ac:dyDescent="0.3">
      <c r="A901" s="60" t="s">
        <v>1580</v>
      </c>
      <c r="B901" s="60" t="s">
        <v>586</v>
      </c>
      <c r="C901" s="62">
        <v>46179</v>
      </c>
      <c r="D901" s="63" t="s">
        <v>361</v>
      </c>
      <c r="E901" s="66" t="str">
        <f>IFERROR(INDEX(M_User!$A$12:$J$67,MATCH(D901,M_User!$D$12:$D$67,0),3),"UNMAPPED")</f>
        <v>Masunga Mwala Ramadhani</v>
      </c>
      <c r="F901" s="65" t="str">
        <f>IFERROR(INDEX(M_User!$A$12:$J$67,MATCH(D901,M_User!$D$12:$D$67,0),5),"UNMAPPED")</f>
        <v>MOS</v>
      </c>
      <c r="G901" s="63" t="s">
        <v>783</v>
      </c>
      <c r="H901" s="69" t="s">
        <v>784</v>
      </c>
      <c r="I901" s="63" t="s">
        <v>190</v>
      </c>
      <c r="J901" s="66" t="str">
        <f>IFERROR(INDEX(M_SKU!$A$18:$J$57,MATCH(I901,M_SKU!$B$18:$B$57,0),1),"UNKNOWN SKU")</f>
        <v>Stoney Tangawizi RGB 350ml</v>
      </c>
      <c r="K901" s="63" t="s">
        <v>536</v>
      </c>
      <c r="L901" s="276">
        <v>1.1644292322030501</v>
      </c>
      <c r="M901" s="91" cm="1">
        <f t="array" ref="M901">IFERROR(INDEX(M_DepotPrice!$C$10:$C$52,MATCH(1,(M_DepotPrice!$A$10:$A$52=I901)*(M_DepotPrice!$H$10:$H$52=IFERROR(INDEX(M_Depot!$A$7:$A$24,MATCH(F901,M_Depot!$B$7:$B$24,0)),""))*(M_DepotPrice!$G$10:$G$52="Special"),0)),INDEX(M_DepotPrice!$C$10:$C$52,MATCH(1,(M_DepotPrice!$A$10:$A$52=I901)*(M_DepotPrice!$G$10:$G$52="Default"),0)))</f>
        <v>11780</v>
      </c>
      <c r="N901" s="67">
        <f t="shared" si="27"/>
        <v>16186.032099315276</v>
      </c>
      <c r="O901" s="66" t="str">
        <f t="shared" si="26"/>
        <v>MOS100788|FG007|CK3-33404</v>
      </c>
    </row>
    <row r="902" spans="1:15" ht="15" customHeight="1" x14ac:dyDescent="0.3">
      <c r="A902" s="70" t="s">
        <v>1581</v>
      </c>
      <c r="B902" s="70" t="s">
        <v>586</v>
      </c>
      <c r="C902" s="72">
        <v>46179</v>
      </c>
      <c r="D902" s="73" t="s">
        <v>361</v>
      </c>
      <c r="E902" s="76" t="str">
        <f>IFERROR(INDEX(M_User!$A$12:$J$67,MATCH(D902,M_User!$D$12:$D$67,0),3),"UNMAPPED")</f>
        <v>Masunga Mwala Ramadhani</v>
      </c>
      <c r="F902" s="75" t="str">
        <f>IFERROR(INDEX(M_User!$A$12:$J$67,MATCH(D902,M_User!$D$12:$D$67,0),5),"UNMAPPED")</f>
        <v>MOS</v>
      </c>
      <c r="G902" s="73" t="s">
        <v>783</v>
      </c>
      <c r="H902" s="92" t="s">
        <v>784</v>
      </c>
      <c r="I902" s="73" t="s">
        <v>193</v>
      </c>
      <c r="J902" s="76" t="str">
        <f>IFERROR(INDEX(M_SKU!$A$18:$J$57,MATCH(I902,M_SKU!$B$18:$B$57,0),1),"UNKNOWN SKU")</f>
        <v>Sparletta Pinenut RGB 350ml</v>
      </c>
      <c r="K902" s="73" t="s">
        <v>537</v>
      </c>
      <c r="L902" s="276">
        <v>1.4777</v>
      </c>
      <c r="M902" s="94" cm="1">
        <f t="array" ref="M902">IFERROR(INDEX(M_DepotPrice!$C$10:$C$52,MATCH(1,(M_DepotPrice!$A$10:$A$52=I902)*(M_DepotPrice!$H$10:$H$52=IFERROR(INDEX(M_Depot!$A$7:$A$24,MATCH(F902,M_Depot!$B$7:$B$24,0)),""))*(M_DepotPrice!$G$10:$G$52="Special"),0)),INDEX(M_DepotPrice!$C$10:$C$52,MATCH(1,(M_DepotPrice!$A$10:$A$52=I902)*(M_DepotPrice!$G$10:$G$52="Default"),0)))</f>
        <v>11780</v>
      </c>
      <c r="N902" s="95">
        <f t="shared" si="27"/>
        <v>20540.621080000001</v>
      </c>
      <c r="O902" s="82" t="str">
        <f t="shared" si="26"/>
        <v>MOS100788|FG008|CK3-33365</v>
      </c>
    </row>
    <row r="903" spans="1:15" ht="15" customHeight="1" x14ac:dyDescent="0.3">
      <c r="A903" s="60" t="s">
        <v>1582</v>
      </c>
      <c r="B903" s="60" t="s">
        <v>586</v>
      </c>
      <c r="C903" s="62">
        <v>46179</v>
      </c>
      <c r="D903" s="63" t="s">
        <v>361</v>
      </c>
      <c r="E903" s="66" t="str">
        <f>IFERROR(INDEX(M_User!$A$12:$J$67,MATCH(D903,M_User!$D$12:$D$67,0),3),"UNMAPPED")</f>
        <v>Masunga Mwala Ramadhani</v>
      </c>
      <c r="F903" s="65" t="str">
        <f>IFERROR(INDEX(M_User!$A$12:$J$67,MATCH(D903,M_User!$D$12:$D$67,0),5),"UNMAPPED")</f>
        <v>MOS</v>
      </c>
      <c r="G903" s="63" t="s">
        <v>783</v>
      </c>
      <c r="H903" s="69" t="s">
        <v>784</v>
      </c>
      <c r="I903" s="63" t="s">
        <v>196</v>
      </c>
      <c r="J903" s="66" t="str">
        <f>IFERROR(INDEX(M_SKU!$A$18:$J$57,MATCH(I903,M_SKU!$B$18:$B$57,0),1),"UNKNOWN SKU")</f>
        <v>Krest Bitter Lemon RGB 300ml</v>
      </c>
      <c r="K903" s="63" t="s">
        <v>538</v>
      </c>
      <c r="L903" s="276">
        <v>1.9591305059609001</v>
      </c>
      <c r="M903" s="91" cm="1">
        <f t="array" ref="M903">IFERROR(INDEX(M_DepotPrice!$C$10:$C$52,MATCH(1,(M_DepotPrice!$A$10:$A$52=I903)*(M_DepotPrice!$H$10:$H$52=IFERROR(INDEX(M_Depot!$A$7:$A$24,MATCH(F903,M_Depot!$B$7:$B$24,0)),""))*(M_DepotPrice!$G$10:$G$52="Special"),0)),INDEX(M_DepotPrice!$C$10:$C$52,MATCH(1,(M_DepotPrice!$A$10:$A$52=I903)*(M_DepotPrice!$G$10:$G$52="Default"),0)))</f>
        <v>11780</v>
      </c>
      <c r="N903" s="67">
        <f t="shared" si="27"/>
        <v>27232.697685058894</v>
      </c>
      <c r="O903" s="66" t="str">
        <f t="shared" si="26"/>
        <v>MOS100788|FG009|CK3-33348</v>
      </c>
    </row>
    <row r="904" spans="1:15" ht="15" customHeight="1" x14ac:dyDescent="0.3">
      <c r="A904" s="70" t="s">
        <v>1583</v>
      </c>
      <c r="B904" s="70" t="s">
        <v>586</v>
      </c>
      <c r="C904" s="72">
        <v>46179</v>
      </c>
      <c r="D904" s="73" t="s">
        <v>361</v>
      </c>
      <c r="E904" s="76" t="str">
        <f>IFERROR(INDEX(M_User!$A$12:$J$67,MATCH(D904,M_User!$D$12:$D$67,0),3),"UNMAPPED")</f>
        <v>Masunga Mwala Ramadhani</v>
      </c>
      <c r="F904" s="75" t="str">
        <f>IFERROR(INDEX(M_User!$A$12:$J$67,MATCH(D904,M_User!$D$12:$D$67,0),5),"UNMAPPED")</f>
        <v>MOS</v>
      </c>
      <c r="G904" s="73" t="s">
        <v>783</v>
      </c>
      <c r="H904" s="92" t="s">
        <v>784</v>
      </c>
      <c r="I904" s="73" t="s">
        <v>199</v>
      </c>
      <c r="J904" s="76" t="str">
        <f>IFERROR(INDEX(M_SKU!$A$18:$J$57,MATCH(I904,M_SKU!$B$18:$B$57,0),1),"UNKNOWN SKU")</f>
        <v>Krest Club Soda RGB 300ml</v>
      </c>
      <c r="K904" s="73" t="s">
        <v>539</v>
      </c>
      <c r="L904" s="276">
        <v>1.1097999999999999</v>
      </c>
      <c r="M904" s="94" cm="1">
        <f t="array" ref="M904">IFERROR(INDEX(M_DepotPrice!$C$10:$C$52,MATCH(1,(M_DepotPrice!$A$10:$A$52=I904)*(M_DepotPrice!$H$10:$H$52=IFERROR(INDEX(M_Depot!$A$7:$A$24,MATCH(F904,M_Depot!$B$7:$B$24,0)),""))*(M_DepotPrice!$G$10:$G$52="Special"),0)),INDEX(M_DepotPrice!$C$10:$C$52,MATCH(1,(M_DepotPrice!$A$10:$A$52=I904)*(M_DepotPrice!$G$10:$G$52="Default"),0)))</f>
        <v>11780</v>
      </c>
      <c r="N904" s="95">
        <f t="shared" si="27"/>
        <v>15426.663919999999</v>
      </c>
      <c r="O904" s="82" t="str">
        <f t="shared" si="26"/>
        <v>MOS100788|FG010|CK3-33301</v>
      </c>
    </row>
    <row r="905" spans="1:15" ht="15" customHeight="1" x14ac:dyDescent="0.3">
      <c r="A905" s="60" t="s">
        <v>1584</v>
      </c>
      <c r="B905" s="60" t="s">
        <v>586</v>
      </c>
      <c r="C905" s="62">
        <v>46179</v>
      </c>
      <c r="D905" s="63" t="s">
        <v>361</v>
      </c>
      <c r="E905" s="66" t="str">
        <f>IFERROR(INDEX(M_User!$A$12:$J$67,MATCH(D905,M_User!$D$12:$D$67,0),3),"UNMAPPED")</f>
        <v>Masunga Mwala Ramadhani</v>
      </c>
      <c r="F905" s="65" t="str">
        <f>IFERROR(INDEX(M_User!$A$12:$J$67,MATCH(D905,M_User!$D$12:$D$67,0),5),"UNMAPPED")</f>
        <v>MOS</v>
      </c>
      <c r="G905" s="63" t="s">
        <v>783</v>
      </c>
      <c r="H905" s="69" t="s">
        <v>784</v>
      </c>
      <c r="I905" s="63" t="s">
        <v>211</v>
      </c>
      <c r="J905" s="66" t="str">
        <f>IFERROR(INDEX(M_SKU!$A$18:$J$57,MATCH(I905,M_SKU!$B$18:$B$57,0),1),"UNKNOWN SKU")</f>
        <v>KNMW 500ml</v>
      </c>
      <c r="K905" s="63" t="s">
        <v>543</v>
      </c>
      <c r="L905" s="276">
        <v>27</v>
      </c>
      <c r="M905" s="91" cm="1">
        <f t="array" ref="M905">IFERROR(INDEX(M_DepotPrice!$C$10:$C$52,MATCH(1,(M_DepotPrice!$A$10:$A$52=I905)*(M_DepotPrice!$H$10:$H$52=IFERROR(INDEX(M_Depot!$A$7:$A$24,MATCH(F905,M_Depot!$B$7:$B$24,0)),""))*(M_DepotPrice!$G$10:$G$52="Special"),0)),INDEX(M_DepotPrice!$C$10:$C$52,MATCH(1,(M_DepotPrice!$A$10:$A$52=I905)*(M_DepotPrice!$G$10:$G$52="Default"),0)))</f>
        <v>3559</v>
      </c>
      <c r="N905" s="67">
        <f t="shared" si="27"/>
        <v>113389.73999999999</v>
      </c>
      <c r="O905" s="66" t="str">
        <f t="shared" ref="O905:O968" si="28">D905 &amp; "|" &amp; I905 &amp; "|" &amp; K905</f>
        <v>MOS100788|KD001|CK6-986</v>
      </c>
    </row>
    <row r="906" spans="1:15" ht="15" customHeight="1" x14ac:dyDescent="0.3">
      <c r="A906" s="70" t="s">
        <v>1585</v>
      </c>
      <c r="B906" s="70" t="s">
        <v>586</v>
      </c>
      <c r="C906" s="72">
        <v>46179</v>
      </c>
      <c r="D906" s="73" t="s">
        <v>361</v>
      </c>
      <c r="E906" s="76" t="str">
        <f>IFERROR(INDEX(M_User!$A$12:$J$67,MATCH(D906,M_User!$D$12:$D$67,0),3),"UNMAPPED")</f>
        <v>Masunga Mwala Ramadhani</v>
      </c>
      <c r="F906" s="75" t="str">
        <f>IFERROR(INDEX(M_User!$A$12:$J$67,MATCH(D906,M_User!$D$12:$D$67,0),5),"UNMAPPED")</f>
        <v>MOS</v>
      </c>
      <c r="G906" s="73" t="s">
        <v>783</v>
      </c>
      <c r="H906" s="92" t="s">
        <v>784</v>
      </c>
      <c r="I906" s="73" t="s">
        <v>234</v>
      </c>
      <c r="J906" s="76" t="str">
        <f>IFERROR(INDEX(M_SKU!$A$18:$J$57,MATCH(I906,M_SKU!$B$18:$B$57,0),1),"UNKNOWN SKU")</f>
        <v>Fanta Orange Pet 500ML ( x 12)</v>
      </c>
      <c r="K906" s="73" t="s">
        <v>523</v>
      </c>
      <c r="L906" s="276">
        <v>11</v>
      </c>
      <c r="M906" s="94" cm="1">
        <f t="array" ref="M906">IFERROR(INDEX(M_DepotPrice!$C$10:$C$52,MATCH(1,(M_DepotPrice!$A$10:$A$52=I906)*(M_DepotPrice!$H$10:$H$52=IFERROR(INDEX(M_Depot!$A$7:$A$24,MATCH(F906,M_Depot!$B$7:$B$24,0)),""))*(M_DepotPrice!$G$10:$G$52="Special"),0)),INDEX(M_DepotPrice!$C$10:$C$52,MATCH(1,(M_DepotPrice!$A$10:$A$52=I906)*(M_DepotPrice!$G$10:$G$52="Default"),0)))</f>
        <v>8898</v>
      </c>
      <c r="N906" s="95">
        <f t="shared" ref="N906:N969" si="29">(L906*M906)*1.18</f>
        <v>115496.04</v>
      </c>
      <c r="O906" s="82" t="str">
        <f t="shared" si="28"/>
        <v>MOS100788|PH003|CK6-33405</v>
      </c>
    </row>
    <row r="907" spans="1:15" ht="15" customHeight="1" x14ac:dyDescent="0.3">
      <c r="A907" s="60" t="s">
        <v>1586</v>
      </c>
      <c r="B907" s="60" t="s">
        <v>586</v>
      </c>
      <c r="C907" s="62">
        <v>46179</v>
      </c>
      <c r="D907" s="63" t="s">
        <v>361</v>
      </c>
      <c r="E907" s="66" t="str">
        <f>IFERROR(INDEX(M_User!$A$12:$J$67,MATCH(D907,M_User!$D$12:$D$67,0),3),"UNMAPPED")</f>
        <v>Masunga Mwala Ramadhani</v>
      </c>
      <c r="F907" s="65" t="str">
        <f>IFERROR(INDEX(M_User!$A$12:$J$67,MATCH(D907,M_User!$D$12:$D$67,0),5),"UNMAPPED")</f>
        <v>MOS</v>
      </c>
      <c r="G907" s="63" t="s">
        <v>783</v>
      </c>
      <c r="H907" s="69" t="s">
        <v>784</v>
      </c>
      <c r="I907" s="63" t="s">
        <v>236</v>
      </c>
      <c r="J907" s="66" t="str">
        <f>IFERROR(INDEX(M_SKU!$A$18:$J$57,MATCH(I907,M_SKU!$B$18:$B$57,0),1),"UNKNOWN SKU")</f>
        <v>Fanta Passion Pet 500ML ( x12)</v>
      </c>
      <c r="K907" s="63" t="s">
        <v>524</v>
      </c>
      <c r="L907" s="276">
        <v>2</v>
      </c>
      <c r="M907" s="91" cm="1">
        <f t="array" ref="M907">IFERROR(INDEX(M_DepotPrice!$C$10:$C$52,MATCH(1,(M_DepotPrice!$A$10:$A$52=I907)*(M_DepotPrice!$H$10:$H$52=IFERROR(INDEX(M_Depot!$A$7:$A$24,MATCH(F907,M_Depot!$B$7:$B$24,0)),""))*(M_DepotPrice!$G$10:$G$52="Special"),0)),INDEX(M_DepotPrice!$C$10:$C$52,MATCH(1,(M_DepotPrice!$A$10:$A$52=I907)*(M_DepotPrice!$G$10:$G$52="Default"),0)))</f>
        <v>8898</v>
      </c>
      <c r="N907" s="67">
        <f t="shared" si="29"/>
        <v>20999.279999999999</v>
      </c>
      <c r="O907" s="66" t="str">
        <f t="shared" si="28"/>
        <v>MOS100788|PH004|CK5-33334</v>
      </c>
    </row>
    <row r="908" spans="1:15" ht="15" customHeight="1" x14ac:dyDescent="0.3">
      <c r="A908" s="70" t="s">
        <v>1587</v>
      </c>
      <c r="B908" s="70" t="s">
        <v>586</v>
      </c>
      <c r="C908" s="72">
        <v>46179</v>
      </c>
      <c r="D908" s="73" t="s">
        <v>361</v>
      </c>
      <c r="E908" s="76" t="str">
        <f>IFERROR(INDEX(M_User!$A$12:$J$67,MATCH(D908,M_User!$D$12:$D$67,0),3),"UNMAPPED")</f>
        <v>Masunga Mwala Ramadhani</v>
      </c>
      <c r="F908" s="75" t="str">
        <f>IFERROR(INDEX(M_User!$A$12:$J$67,MATCH(D908,M_User!$D$12:$D$67,0),5),"UNMAPPED")</f>
        <v>MOS</v>
      </c>
      <c r="G908" s="73" t="s">
        <v>783</v>
      </c>
      <c r="H908" s="92" t="s">
        <v>784</v>
      </c>
      <c r="I908" s="73" t="s">
        <v>242</v>
      </c>
      <c r="J908" s="76" t="str">
        <f>IFERROR(INDEX(M_SKU!$A$18:$J$57,MATCH(I908,M_SKU!$B$18:$B$57,0),1),"UNKNOWN SKU")</f>
        <v>Stoney Tangawizi Pet 500 ml ( x12)</v>
      </c>
      <c r="K908" s="73" t="s">
        <v>525</v>
      </c>
      <c r="L908" s="276">
        <v>2</v>
      </c>
      <c r="M908" s="94" cm="1">
        <f t="array" ref="M908">IFERROR(INDEX(M_DepotPrice!$C$10:$C$52,MATCH(1,(M_DepotPrice!$A$10:$A$52=I908)*(M_DepotPrice!$H$10:$H$52=IFERROR(INDEX(M_Depot!$A$7:$A$24,MATCH(F908,M_Depot!$B$7:$B$24,0)),""))*(M_DepotPrice!$G$10:$G$52="Special"),0)),INDEX(M_DepotPrice!$C$10:$C$52,MATCH(1,(M_DepotPrice!$A$10:$A$52=I908)*(M_DepotPrice!$G$10:$G$52="Default"),0)))</f>
        <v>8898</v>
      </c>
      <c r="N908" s="95">
        <f t="shared" si="29"/>
        <v>20999.279999999999</v>
      </c>
      <c r="O908" s="82" t="str">
        <f t="shared" si="28"/>
        <v>MOS100788|PH007|CK6-33375</v>
      </c>
    </row>
    <row r="909" spans="1:15" ht="15" customHeight="1" x14ac:dyDescent="0.3">
      <c r="A909" s="60" t="s">
        <v>1588</v>
      </c>
      <c r="B909" s="60" t="s">
        <v>586</v>
      </c>
      <c r="C909" s="62">
        <v>46179</v>
      </c>
      <c r="D909" s="63" t="s">
        <v>361</v>
      </c>
      <c r="E909" s="66" t="str">
        <f>IFERROR(INDEX(M_User!$A$12:$J$67,MATCH(D909,M_User!$D$12:$D$67,0),3),"UNMAPPED")</f>
        <v>Masunga Mwala Ramadhani</v>
      </c>
      <c r="F909" s="65" t="str">
        <f>IFERROR(INDEX(M_User!$A$12:$J$67,MATCH(D909,M_User!$D$12:$D$67,0),5),"UNMAPPED")</f>
        <v>MOS</v>
      </c>
      <c r="G909" s="63" t="s">
        <v>783</v>
      </c>
      <c r="H909" s="69" t="s">
        <v>784</v>
      </c>
      <c r="I909" s="63" t="s">
        <v>244</v>
      </c>
      <c r="J909" s="66" t="str">
        <f>IFERROR(INDEX(M_SKU!$A$18:$J$57,MATCH(I909,M_SKU!$B$18:$B$57,0),1),"UNKNOWN SKU")</f>
        <v>Sparletta Pinenut Pet 500 ml ( x12)</v>
      </c>
      <c r="K909" s="63" t="s">
        <v>526</v>
      </c>
      <c r="L909" s="276">
        <v>1</v>
      </c>
      <c r="M909" s="91" cm="1">
        <f t="array" ref="M909">IFERROR(INDEX(M_DepotPrice!$C$10:$C$52,MATCH(1,(M_DepotPrice!$A$10:$A$52=I909)*(M_DepotPrice!$H$10:$H$52=IFERROR(INDEX(M_Depot!$A$7:$A$24,MATCH(F909,M_Depot!$B$7:$B$24,0)),""))*(M_DepotPrice!$G$10:$G$52="Special"),0)),INDEX(M_DepotPrice!$C$10:$C$52,MATCH(1,(M_DepotPrice!$A$10:$A$52=I909)*(M_DepotPrice!$G$10:$G$52="Default"),0)))</f>
        <v>8898</v>
      </c>
      <c r="N909" s="67">
        <f t="shared" si="29"/>
        <v>10499.64</v>
      </c>
      <c r="O909" s="66" t="str">
        <f t="shared" si="28"/>
        <v>MOS100788|PH008|CK5-33370</v>
      </c>
    </row>
    <row r="910" spans="1:15" ht="15" customHeight="1" x14ac:dyDescent="0.3">
      <c r="A910" s="70" t="s">
        <v>1589</v>
      </c>
      <c r="B910" s="70" t="s">
        <v>586</v>
      </c>
      <c r="C910" s="72">
        <v>46179</v>
      </c>
      <c r="D910" s="73" t="s">
        <v>361</v>
      </c>
      <c r="E910" s="76" t="str">
        <f>IFERROR(INDEX(M_User!$A$12:$J$67,MATCH(D910,M_User!$D$12:$D$67,0),3),"UNMAPPED")</f>
        <v>Masunga Mwala Ramadhani</v>
      </c>
      <c r="F910" s="75" t="str">
        <f>IFERROR(INDEX(M_User!$A$12:$J$67,MATCH(D910,M_User!$D$12:$D$67,0),5),"UNMAPPED")</f>
        <v>MOS</v>
      </c>
      <c r="G910" s="73" t="s">
        <v>783</v>
      </c>
      <c r="H910" s="92" t="s">
        <v>784</v>
      </c>
      <c r="I910" s="73" t="s">
        <v>252</v>
      </c>
      <c r="J910" s="76" t="str">
        <f>IFERROR(INDEX(M_SKU!$A$18:$J$57,MATCH(I910,M_SKU!$B$18:$B$57,0),1),"UNKNOWN SKU")</f>
        <v>Sprite Zero Pet 300ML (x 12)</v>
      </c>
      <c r="K910" s="73" t="s">
        <v>545</v>
      </c>
      <c r="L910" s="276">
        <v>2</v>
      </c>
      <c r="M910" s="94" cm="1">
        <f t="array" ref="M910">IFERROR(INDEX(M_DepotPrice!$C$10:$C$52,MATCH(1,(M_DepotPrice!$A$10:$A$52=I910)*(M_DepotPrice!$H$10:$H$52=IFERROR(INDEX(M_Depot!$A$7:$A$24,MATCH(F910,M_Depot!$B$7:$B$24,0)),""))*(M_DepotPrice!$G$10:$G$52="Special"),0)),INDEX(M_DepotPrice!$C$10:$C$52,MATCH(1,(M_DepotPrice!$A$10:$A$52=I910)*(M_DepotPrice!$G$10:$G$52="Default"),0)))</f>
        <v>5085</v>
      </c>
      <c r="N910" s="95">
        <f t="shared" si="29"/>
        <v>12000.599999999999</v>
      </c>
      <c r="O910" s="82" t="str">
        <f t="shared" si="28"/>
        <v>MOS100788|PO010|CK5-33360</v>
      </c>
    </row>
    <row r="911" spans="1:15" ht="15" customHeight="1" x14ac:dyDescent="0.3">
      <c r="A911" s="60" t="s">
        <v>1590</v>
      </c>
      <c r="B911" s="60" t="s">
        <v>586</v>
      </c>
      <c r="C911" s="62">
        <v>46179</v>
      </c>
      <c r="D911" s="63" t="s">
        <v>361</v>
      </c>
      <c r="E911" s="66" t="str">
        <f>IFERROR(INDEX(M_User!$A$12:$J$67,MATCH(D911,M_User!$D$12:$D$67,0),3),"UNMAPPED")</f>
        <v>Masunga Mwala Ramadhani</v>
      </c>
      <c r="F911" s="65" t="str">
        <f>IFERROR(INDEX(M_User!$A$12:$J$67,MATCH(D911,M_User!$D$12:$D$67,0),5),"UNMAPPED")</f>
        <v>MOS</v>
      </c>
      <c r="G911" s="63" t="s">
        <v>949</v>
      </c>
      <c r="H911" s="69" t="s">
        <v>950</v>
      </c>
      <c r="I911" s="63" t="s">
        <v>170</v>
      </c>
      <c r="J911" s="66" t="str">
        <f>IFERROR(INDEX(M_SKU!$A$18:$J$57,MATCH(I911,M_SKU!$B$18:$B$57,0),1),"UNKNOWN SKU")</f>
        <v>Coke RGB 350ml</v>
      </c>
      <c r="K911" s="63" t="s">
        <v>529</v>
      </c>
      <c r="L911" s="276">
        <v>2.7464</v>
      </c>
      <c r="M911" s="91" cm="1">
        <f t="array" ref="M911">IFERROR(INDEX(M_DepotPrice!$C$10:$C$52,MATCH(1,(M_DepotPrice!$A$10:$A$52=I911)*(M_DepotPrice!$H$10:$H$52=IFERROR(INDEX(M_Depot!$A$7:$A$24,MATCH(F911,M_Depot!$B$7:$B$24,0)),""))*(M_DepotPrice!$G$10:$G$52="Special"),0)),INDEX(M_DepotPrice!$C$10:$C$52,MATCH(1,(M_DepotPrice!$A$10:$A$52=I911)*(M_DepotPrice!$G$10:$G$52="Default"),0)))</f>
        <v>11780</v>
      </c>
      <c r="N911" s="67">
        <f t="shared" si="29"/>
        <v>38176.058559999998</v>
      </c>
      <c r="O911" s="66" t="str">
        <f t="shared" si="28"/>
        <v>MOS100788|FG001|CK3-33408</v>
      </c>
    </row>
    <row r="912" spans="1:15" ht="15" customHeight="1" x14ac:dyDescent="0.3">
      <c r="A912" s="70" t="s">
        <v>1591</v>
      </c>
      <c r="B912" s="70" t="s">
        <v>586</v>
      </c>
      <c r="C912" s="72">
        <v>46179</v>
      </c>
      <c r="D912" s="73" t="s">
        <v>361</v>
      </c>
      <c r="E912" s="76" t="str">
        <f>IFERROR(INDEX(M_User!$A$12:$J$67,MATCH(D912,M_User!$D$12:$D$67,0),3),"UNMAPPED")</f>
        <v>Masunga Mwala Ramadhani</v>
      </c>
      <c r="F912" s="75" t="str">
        <f>IFERROR(INDEX(M_User!$A$12:$J$67,MATCH(D912,M_User!$D$12:$D$67,0),5),"UNMAPPED")</f>
        <v>MOS</v>
      </c>
      <c r="G912" s="73" t="s">
        <v>949</v>
      </c>
      <c r="H912" s="92" t="s">
        <v>950</v>
      </c>
      <c r="I912" s="73" t="s">
        <v>178</v>
      </c>
      <c r="J912" s="76" t="str">
        <f>IFERROR(INDEX(M_SKU!$A$18:$J$57,MATCH(I912,M_SKU!$B$18:$B$57,0),1),"UNKNOWN SKU")</f>
        <v>Fanta Orange RGB 350ml</v>
      </c>
      <c r="K912" s="73" t="s">
        <v>531</v>
      </c>
      <c r="L912" s="276">
        <v>17.9068</v>
      </c>
      <c r="M912" s="94" cm="1">
        <f t="array" ref="M912">IFERROR(INDEX(M_DepotPrice!$C$10:$C$52,MATCH(1,(M_DepotPrice!$A$10:$A$52=I912)*(M_DepotPrice!$H$10:$H$52=IFERROR(INDEX(M_Depot!$A$7:$A$24,MATCH(F912,M_Depot!$B$7:$B$24,0)),""))*(M_DepotPrice!$G$10:$G$52="Special"),0)),INDEX(M_DepotPrice!$C$10:$C$52,MATCH(1,(M_DepotPrice!$A$10:$A$52=I912)*(M_DepotPrice!$G$10:$G$52="Default"),0)))</f>
        <v>11780</v>
      </c>
      <c r="N912" s="95">
        <f t="shared" si="29"/>
        <v>248911.68271999998</v>
      </c>
      <c r="O912" s="82" t="str">
        <f t="shared" si="28"/>
        <v>MOS100788|FG002|CK3-33407</v>
      </c>
    </row>
    <row r="913" spans="1:15" ht="15" customHeight="1" x14ac:dyDescent="0.3">
      <c r="A913" s="60" t="s">
        <v>1592</v>
      </c>
      <c r="B913" s="60" t="s">
        <v>586</v>
      </c>
      <c r="C913" s="62">
        <v>46179</v>
      </c>
      <c r="D913" s="63" t="s">
        <v>361</v>
      </c>
      <c r="E913" s="66" t="str">
        <f>IFERROR(INDEX(M_User!$A$12:$J$67,MATCH(D913,M_User!$D$12:$D$67,0),3),"UNMAPPED")</f>
        <v>Masunga Mwala Ramadhani</v>
      </c>
      <c r="F913" s="65" t="str">
        <f>IFERROR(INDEX(M_User!$A$12:$J$67,MATCH(D913,M_User!$D$12:$D$67,0),5),"UNMAPPED")</f>
        <v>MOS</v>
      </c>
      <c r="G913" s="63" t="s">
        <v>949</v>
      </c>
      <c r="H913" s="69" t="s">
        <v>950</v>
      </c>
      <c r="I913" s="63" t="s">
        <v>183</v>
      </c>
      <c r="J913" s="66" t="str">
        <f>IFERROR(INDEX(M_SKU!$A$18:$J$57,MATCH(I913,M_SKU!$B$18:$B$57,0),1),"UNKNOWN SKU")</f>
        <v>Fanta Pineapple RGB 350ml</v>
      </c>
      <c r="K913" s="63" t="s">
        <v>533</v>
      </c>
      <c r="L913" s="276">
        <v>2.8805999999999998</v>
      </c>
      <c r="M913" s="91" cm="1">
        <f t="array" ref="M913">IFERROR(INDEX(M_DepotPrice!$C$10:$C$52,MATCH(1,(M_DepotPrice!$A$10:$A$52=I913)*(M_DepotPrice!$H$10:$H$52=IFERROR(INDEX(M_Depot!$A$7:$A$24,MATCH(F913,M_Depot!$B$7:$B$24,0)),""))*(M_DepotPrice!$G$10:$G$52="Special"),0)),INDEX(M_DepotPrice!$C$10:$C$52,MATCH(1,(M_DepotPrice!$A$10:$A$52=I913)*(M_DepotPrice!$G$10:$G$52="Default"),0)))</f>
        <v>11780</v>
      </c>
      <c r="N913" s="67">
        <f t="shared" si="29"/>
        <v>40041.49224</v>
      </c>
      <c r="O913" s="66" t="str">
        <f t="shared" si="28"/>
        <v>MOS100788|FG004|CK3-33385</v>
      </c>
    </row>
    <row r="914" spans="1:15" ht="15" customHeight="1" x14ac:dyDescent="0.3">
      <c r="A914" s="70" t="s">
        <v>1593</v>
      </c>
      <c r="B914" s="70" t="s">
        <v>586</v>
      </c>
      <c r="C914" s="72">
        <v>46179</v>
      </c>
      <c r="D914" s="73" t="s">
        <v>361</v>
      </c>
      <c r="E914" s="76" t="str">
        <f>IFERROR(INDEX(M_User!$A$12:$J$67,MATCH(D914,M_User!$D$12:$D$67,0),3),"UNMAPPED")</f>
        <v>Masunga Mwala Ramadhani</v>
      </c>
      <c r="F914" s="75" t="str">
        <f>IFERROR(INDEX(M_User!$A$12:$J$67,MATCH(D914,M_User!$D$12:$D$67,0),5),"UNMAPPED")</f>
        <v>MOS</v>
      </c>
      <c r="G914" s="73" t="s">
        <v>949</v>
      </c>
      <c r="H914" s="92" t="s">
        <v>950</v>
      </c>
      <c r="I914" s="73" t="s">
        <v>185</v>
      </c>
      <c r="J914" s="76" t="str">
        <f>IFERROR(INDEX(M_SKU!$A$18:$J$57,MATCH(I914,M_SKU!$B$18:$B$57,0),1),"UNKNOWN SKU")</f>
        <v>Fanta Fruit Blast RGB 350 ml</v>
      </c>
      <c r="K914" s="73" t="s">
        <v>534</v>
      </c>
      <c r="L914" s="276">
        <v>1.5984</v>
      </c>
      <c r="M914" s="94" cm="1">
        <f t="array" ref="M914">IFERROR(INDEX(M_DepotPrice!$C$10:$C$52,MATCH(1,(M_DepotPrice!$A$10:$A$52=I914)*(M_DepotPrice!$H$10:$H$52=IFERROR(INDEX(M_Depot!$A$7:$A$24,MATCH(F914,M_Depot!$B$7:$B$24,0)),""))*(M_DepotPrice!$G$10:$G$52="Special"),0)),INDEX(M_DepotPrice!$C$10:$C$52,MATCH(1,(M_DepotPrice!$A$10:$A$52=I914)*(M_DepotPrice!$G$10:$G$52="Default"),0)))</f>
        <v>11780</v>
      </c>
      <c r="N914" s="95">
        <f t="shared" si="29"/>
        <v>22218.399359999999</v>
      </c>
      <c r="O914" s="82" t="str">
        <f t="shared" si="28"/>
        <v>MOS100788|FG005|CK3-33402</v>
      </c>
    </row>
    <row r="915" spans="1:15" ht="15" customHeight="1" x14ac:dyDescent="0.3">
      <c r="A915" s="60" t="s">
        <v>1594</v>
      </c>
      <c r="B915" s="60" t="s">
        <v>586</v>
      </c>
      <c r="C915" s="62">
        <v>46179</v>
      </c>
      <c r="D915" s="63" t="s">
        <v>361</v>
      </c>
      <c r="E915" s="66" t="str">
        <f>IFERROR(INDEX(M_User!$A$12:$J$67,MATCH(D915,M_User!$D$12:$D$67,0),3),"UNMAPPED")</f>
        <v>Masunga Mwala Ramadhani</v>
      </c>
      <c r="F915" s="65" t="str">
        <f>IFERROR(INDEX(M_User!$A$12:$J$67,MATCH(D915,M_User!$D$12:$D$67,0),5),"UNMAPPED")</f>
        <v>MOS</v>
      </c>
      <c r="G915" s="63" t="s">
        <v>949</v>
      </c>
      <c r="H915" s="69" t="s">
        <v>950</v>
      </c>
      <c r="I915" s="63" t="s">
        <v>187</v>
      </c>
      <c r="J915" s="66" t="str">
        <f>IFERROR(INDEX(M_SKU!$A$18:$J$57,MATCH(I915,M_SKU!$B$18:$B$57,0),1),"UNKNOWN SKU")</f>
        <v>Sprite 350ml</v>
      </c>
      <c r="K915" s="63" t="s">
        <v>535</v>
      </c>
      <c r="L915" s="276">
        <v>4.5622603902402599</v>
      </c>
      <c r="M915" s="91" cm="1">
        <f t="array" ref="M915">IFERROR(INDEX(M_DepotPrice!$C$10:$C$52,MATCH(1,(M_DepotPrice!$A$10:$A$52=I915)*(M_DepotPrice!$H$10:$H$52=IFERROR(INDEX(M_Depot!$A$7:$A$24,MATCH(F915,M_Depot!$B$7:$B$24,0)),""))*(M_DepotPrice!$G$10:$G$52="Special"),0)),INDEX(M_DepotPrice!$C$10:$C$52,MATCH(1,(M_DepotPrice!$A$10:$A$52=I915)*(M_DepotPrice!$G$10:$G$52="Default"),0)))</f>
        <v>11780</v>
      </c>
      <c r="N915" s="67">
        <f t="shared" si="29"/>
        <v>63417.244328495704</v>
      </c>
      <c r="O915" s="66" t="str">
        <f t="shared" si="28"/>
        <v>MOS100788|FG006|CK3-33414</v>
      </c>
    </row>
    <row r="916" spans="1:15" ht="15" customHeight="1" x14ac:dyDescent="0.3">
      <c r="A916" s="70" t="s">
        <v>1595</v>
      </c>
      <c r="B916" s="70" t="s">
        <v>586</v>
      </c>
      <c r="C916" s="72">
        <v>46179</v>
      </c>
      <c r="D916" s="73" t="s">
        <v>361</v>
      </c>
      <c r="E916" s="76" t="str">
        <f>IFERROR(INDEX(M_User!$A$12:$J$67,MATCH(D916,M_User!$D$12:$D$67,0),3),"UNMAPPED")</f>
        <v>Masunga Mwala Ramadhani</v>
      </c>
      <c r="F916" s="75" t="str">
        <f>IFERROR(INDEX(M_User!$A$12:$J$67,MATCH(D916,M_User!$D$12:$D$67,0),5),"UNMAPPED")</f>
        <v>MOS</v>
      </c>
      <c r="G916" s="73" t="s">
        <v>949</v>
      </c>
      <c r="H916" s="92" t="s">
        <v>950</v>
      </c>
      <c r="I916" s="73" t="s">
        <v>190</v>
      </c>
      <c r="J916" s="76" t="str">
        <f>IFERROR(INDEX(M_SKU!$A$18:$J$57,MATCH(I916,M_SKU!$B$18:$B$57,0),1),"UNKNOWN SKU")</f>
        <v>Stoney Tangawizi RGB 350ml</v>
      </c>
      <c r="K916" s="73" t="s">
        <v>536</v>
      </c>
      <c r="L916" s="276">
        <v>1.3146</v>
      </c>
      <c r="M916" s="94" cm="1">
        <f t="array" ref="M916">IFERROR(INDEX(M_DepotPrice!$C$10:$C$52,MATCH(1,(M_DepotPrice!$A$10:$A$52=I916)*(M_DepotPrice!$H$10:$H$52=IFERROR(INDEX(M_Depot!$A$7:$A$24,MATCH(F916,M_Depot!$B$7:$B$24,0)),""))*(M_DepotPrice!$G$10:$G$52="Special"),0)),INDEX(M_DepotPrice!$C$10:$C$52,MATCH(1,(M_DepotPrice!$A$10:$A$52=I916)*(M_DepotPrice!$G$10:$G$52="Default"),0)))</f>
        <v>11780</v>
      </c>
      <c r="N916" s="95">
        <f t="shared" si="29"/>
        <v>18273.465839999997</v>
      </c>
      <c r="O916" s="82" t="str">
        <f t="shared" si="28"/>
        <v>MOS100788|FG007|CK3-33404</v>
      </c>
    </row>
    <row r="917" spans="1:15" ht="15" customHeight="1" x14ac:dyDescent="0.3">
      <c r="A917" s="60" t="s">
        <v>1596</v>
      </c>
      <c r="B917" s="60" t="s">
        <v>586</v>
      </c>
      <c r="C917" s="62">
        <v>46179</v>
      </c>
      <c r="D917" s="63" t="s">
        <v>361</v>
      </c>
      <c r="E917" s="66" t="str">
        <f>IFERROR(INDEX(M_User!$A$12:$J$67,MATCH(D917,M_User!$D$12:$D$67,0),3),"UNMAPPED")</f>
        <v>Masunga Mwala Ramadhani</v>
      </c>
      <c r="F917" s="65" t="str">
        <f>IFERROR(INDEX(M_User!$A$12:$J$67,MATCH(D917,M_User!$D$12:$D$67,0),5),"UNMAPPED")</f>
        <v>MOS</v>
      </c>
      <c r="G917" s="63" t="s">
        <v>949</v>
      </c>
      <c r="H917" s="69" t="s">
        <v>950</v>
      </c>
      <c r="I917" s="63" t="s">
        <v>196</v>
      </c>
      <c r="J917" s="66" t="str">
        <f>IFERROR(INDEX(M_SKU!$A$18:$J$57,MATCH(I917,M_SKU!$B$18:$B$57,0),1),"UNKNOWN SKU")</f>
        <v>Krest Bitter Lemon RGB 300ml</v>
      </c>
      <c r="K917" s="63" t="s">
        <v>538</v>
      </c>
      <c r="L917" s="276">
        <v>1.4941</v>
      </c>
      <c r="M917" s="91" cm="1">
        <f t="array" ref="M917">IFERROR(INDEX(M_DepotPrice!$C$10:$C$52,MATCH(1,(M_DepotPrice!$A$10:$A$52=I917)*(M_DepotPrice!$H$10:$H$52=IFERROR(INDEX(M_Depot!$A$7:$A$24,MATCH(F917,M_Depot!$B$7:$B$24,0)),""))*(M_DepotPrice!$G$10:$G$52="Special"),0)),INDEX(M_DepotPrice!$C$10:$C$52,MATCH(1,(M_DepotPrice!$A$10:$A$52=I917)*(M_DepotPrice!$G$10:$G$52="Default"),0)))</f>
        <v>11780</v>
      </c>
      <c r="N917" s="67">
        <f t="shared" si="29"/>
        <v>20768.587639999998</v>
      </c>
      <c r="O917" s="66" t="str">
        <f t="shared" si="28"/>
        <v>MOS100788|FG009|CK3-33348</v>
      </c>
    </row>
    <row r="918" spans="1:15" ht="15" customHeight="1" x14ac:dyDescent="0.3">
      <c r="A918" s="70" t="s">
        <v>1597</v>
      </c>
      <c r="B918" s="70" t="s">
        <v>586</v>
      </c>
      <c r="C918" s="72">
        <v>46179</v>
      </c>
      <c r="D918" s="73" t="s">
        <v>361</v>
      </c>
      <c r="E918" s="76" t="str">
        <f>IFERROR(INDEX(M_User!$A$12:$J$67,MATCH(D918,M_User!$D$12:$D$67,0),3),"UNMAPPED")</f>
        <v>Masunga Mwala Ramadhani</v>
      </c>
      <c r="F918" s="75" t="str">
        <f>IFERROR(INDEX(M_User!$A$12:$J$67,MATCH(D918,M_User!$D$12:$D$67,0),5),"UNMAPPED")</f>
        <v>MOS</v>
      </c>
      <c r="G918" s="73" t="s">
        <v>949</v>
      </c>
      <c r="H918" s="92" t="s">
        <v>950</v>
      </c>
      <c r="I918" s="73" t="s">
        <v>201</v>
      </c>
      <c r="J918" s="76" t="str">
        <f>IFERROR(INDEX(M_SKU!$A$18:$J$57,MATCH(I918,M_SKU!$B$18:$B$57,0),1),"UNKNOWN SKU")</f>
        <v>Krest Tonic Water RGB 300ml</v>
      </c>
      <c r="K918" s="73" t="s">
        <v>540</v>
      </c>
      <c r="L918" s="276">
        <v>1.1399999999999999</v>
      </c>
      <c r="M918" s="94" cm="1">
        <f t="array" ref="M918">IFERROR(INDEX(M_DepotPrice!$C$10:$C$52,MATCH(1,(M_DepotPrice!$A$10:$A$52=I918)*(M_DepotPrice!$H$10:$H$52=IFERROR(INDEX(M_Depot!$A$7:$A$24,MATCH(F918,M_Depot!$B$7:$B$24,0)),""))*(M_DepotPrice!$G$10:$G$52="Special"),0)),INDEX(M_DepotPrice!$C$10:$C$52,MATCH(1,(M_DepotPrice!$A$10:$A$52=I918)*(M_DepotPrice!$G$10:$G$52="Default"),0)))</f>
        <v>11780</v>
      </c>
      <c r="N918" s="95">
        <f t="shared" si="29"/>
        <v>15846.455999999998</v>
      </c>
      <c r="O918" s="82" t="str">
        <f t="shared" si="28"/>
        <v>MOS100788|FG011|CK3-33347</v>
      </c>
    </row>
    <row r="919" spans="1:15" ht="15" customHeight="1" x14ac:dyDescent="0.3">
      <c r="A919" s="60" t="s">
        <v>1598</v>
      </c>
      <c r="B919" s="60" t="s">
        <v>586</v>
      </c>
      <c r="C919" s="62">
        <v>46179</v>
      </c>
      <c r="D919" s="63" t="s">
        <v>361</v>
      </c>
      <c r="E919" s="66" t="str">
        <f>IFERROR(INDEX(M_User!$A$12:$J$67,MATCH(D919,M_User!$D$12:$D$67,0),3),"UNMAPPED")</f>
        <v>Masunga Mwala Ramadhani</v>
      </c>
      <c r="F919" s="65" t="str">
        <f>IFERROR(INDEX(M_User!$A$12:$J$67,MATCH(D919,M_User!$D$12:$D$67,0),5),"UNMAPPED")</f>
        <v>MOS</v>
      </c>
      <c r="G919" s="63" t="s">
        <v>949</v>
      </c>
      <c r="H919" s="69" t="s">
        <v>950</v>
      </c>
      <c r="I919" s="63" t="s">
        <v>203</v>
      </c>
      <c r="J919" s="66" t="str">
        <f>IFERROR(INDEX(M_SKU!$A$18:$J$57,MATCH(I919,M_SKU!$B$18:$B$57,0),1),"UNKNOWN SKU")</f>
        <v>Krest Ginger Ale RGB 300ml</v>
      </c>
      <c r="K919" s="63" t="s">
        <v>541</v>
      </c>
      <c r="L919" s="276">
        <v>1.94934840910631</v>
      </c>
      <c r="M919" s="91" cm="1">
        <f t="array" ref="M919">IFERROR(INDEX(M_DepotPrice!$C$10:$C$52,MATCH(1,(M_DepotPrice!$A$10:$A$52=I919)*(M_DepotPrice!$H$10:$H$52=IFERROR(INDEX(M_Depot!$A$7:$A$24,MATCH(F919,M_Depot!$B$7:$B$24,0)),""))*(M_DepotPrice!$G$10:$G$52="Special"),0)),INDEX(M_DepotPrice!$C$10:$C$52,MATCH(1,(M_DepotPrice!$A$10:$A$52=I919)*(M_DepotPrice!$G$10:$G$52="Default"),0)))</f>
        <v>11780</v>
      </c>
      <c r="N919" s="67">
        <f t="shared" si="29"/>
        <v>27096.722625941351</v>
      </c>
      <c r="O919" s="66" t="str">
        <f t="shared" si="28"/>
        <v>MOS100788|FG012|CK3-33126</v>
      </c>
    </row>
    <row r="920" spans="1:15" ht="15" customHeight="1" x14ac:dyDescent="0.3">
      <c r="A920" s="70" t="s">
        <v>1599</v>
      </c>
      <c r="B920" s="70" t="s">
        <v>586</v>
      </c>
      <c r="C920" s="72">
        <v>46179</v>
      </c>
      <c r="D920" s="73" t="s">
        <v>361</v>
      </c>
      <c r="E920" s="76" t="str">
        <f>IFERROR(INDEX(M_User!$A$12:$J$67,MATCH(D920,M_User!$D$12:$D$67,0),3),"UNMAPPED")</f>
        <v>Masunga Mwala Ramadhani</v>
      </c>
      <c r="F920" s="75" t="str">
        <f>IFERROR(INDEX(M_User!$A$12:$J$67,MATCH(D920,M_User!$D$12:$D$67,0),5),"UNMAPPED")</f>
        <v>MOS</v>
      </c>
      <c r="G920" s="73" t="s">
        <v>949</v>
      </c>
      <c r="H920" s="92" t="s">
        <v>950</v>
      </c>
      <c r="I920" s="73" t="s">
        <v>209</v>
      </c>
      <c r="J920" s="76" t="str">
        <f>IFERROR(INDEX(M_SKU!$A$18:$J$57,MATCH(I920,M_SKU!$B$18:$B$57,0),1),"UNKNOWN SKU")</f>
        <v>Sparletta Red Apple RGB 350ml</v>
      </c>
      <c r="K920" s="73" t="s">
        <v>542</v>
      </c>
      <c r="L920" s="276">
        <v>0.50649999999999995</v>
      </c>
      <c r="M920" s="94" cm="1">
        <f t="array" ref="M920">IFERROR(INDEX(M_DepotPrice!$C$10:$C$52,MATCH(1,(M_DepotPrice!$A$10:$A$52=I920)*(M_DepotPrice!$H$10:$H$52=IFERROR(INDEX(M_Depot!$A$7:$A$24,MATCH(F920,M_Depot!$B$7:$B$24,0)),""))*(M_DepotPrice!$G$10:$G$52="Special"),0)),INDEX(M_DepotPrice!$C$10:$C$52,MATCH(1,(M_DepotPrice!$A$10:$A$52=I920)*(M_DepotPrice!$G$10:$G$52="Default"),0)))</f>
        <v>11780</v>
      </c>
      <c r="N920" s="95">
        <f t="shared" si="29"/>
        <v>7040.5525999999991</v>
      </c>
      <c r="O920" s="82" t="str">
        <f t="shared" si="28"/>
        <v>MOS100788|FG024|CK3-32758</v>
      </c>
    </row>
    <row r="921" spans="1:15" ht="15" customHeight="1" x14ac:dyDescent="0.3">
      <c r="A921" s="60" t="s">
        <v>1600</v>
      </c>
      <c r="B921" s="60" t="s">
        <v>586</v>
      </c>
      <c r="C921" s="62">
        <v>46179</v>
      </c>
      <c r="D921" s="63" t="s">
        <v>361</v>
      </c>
      <c r="E921" s="66" t="str">
        <f>IFERROR(INDEX(M_User!$A$12:$J$67,MATCH(D921,M_User!$D$12:$D$67,0),3),"UNMAPPED")</f>
        <v>Masunga Mwala Ramadhani</v>
      </c>
      <c r="F921" s="65" t="str">
        <f>IFERROR(INDEX(M_User!$A$12:$J$67,MATCH(D921,M_User!$D$12:$D$67,0),5),"UNMAPPED")</f>
        <v>MOS</v>
      </c>
      <c r="G921" s="63" t="s">
        <v>949</v>
      </c>
      <c r="H921" s="69" t="s">
        <v>950</v>
      </c>
      <c r="I921" s="63" t="s">
        <v>217</v>
      </c>
      <c r="J921" s="66" t="str">
        <f>IFERROR(INDEX(M_SKU!$A$18:$J$57,MATCH(I921,M_SKU!$B$18:$B$57,0),1),"UNKNOWN SKU")</f>
        <v>KNMW 1500ml</v>
      </c>
      <c r="K921" s="63" t="s">
        <v>551</v>
      </c>
      <c r="L921" s="276">
        <v>29</v>
      </c>
      <c r="M921" s="91" cm="1">
        <f t="array" ref="M921">IFERROR(INDEX(M_DepotPrice!$C$10:$C$52,MATCH(1,(M_DepotPrice!$A$10:$A$52=I921)*(M_DepotPrice!$H$10:$H$52=IFERROR(INDEX(M_Depot!$A$7:$A$24,MATCH(F921,M_Depot!$B$7:$B$24,0)),""))*(M_DepotPrice!$G$10:$G$52="Special"),0)),INDEX(M_DepotPrice!$C$10:$C$52,MATCH(1,(M_DepotPrice!$A$10:$A$52=I921)*(M_DepotPrice!$G$10:$G$52="Default"),0)))</f>
        <v>3983</v>
      </c>
      <c r="N921" s="67">
        <f t="shared" si="29"/>
        <v>136298.25999999998</v>
      </c>
      <c r="O921" s="66" t="str">
        <f t="shared" si="28"/>
        <v>MOS100788|KD003|CK4-842</v>
      </c>
    </row>
    <row r="922" spans="1:15" ht="15" customHeight="1" x14ac:dyDescent="0.3">
      <c r="A922" s="70" t="s">
        <v>1601</v>
      </c>
      <c r="B922" s="70" t="s">
        <v>586</v>
      </c>
      <c r="C922" s="72">
        <v>46179</v>
      </c>
      <c r="D922" s="73" t="s">
        <v>361</v>
      </c>
      <c r="E922" s="76" t="str">
        <f>IFERROR(INDEX(M_User!$A$12:$J$67,MATCH(D922,M_User!$D$12:$D$67,0),3),"UNMAPPED")</f>
        <v>Masunga Mwala Ramadhani</v>
      </c>
      <c r="F922" s="75" t="str">
        <f>IFERROR(INDEX(M_User!$A$12:$J$67,MATCH(D922,M_User!$D$12:$D$67,0),5),"UNMAPPED")</f>
        <v>MOS</v>
      </c>
      <c r="G922" s="73" t="s">
        <v>949</v>
      </c>
      <c r="H922" s="92" t="s">
        <v>950</v>
      </c>
      <c r="I922" s="73" t="s">
        <v>229</v>
      </c>
      <c r="J922" s="76" t="str">
        <f>IFERROR(INDEX(M_SKU!$A$18:$J$57,MATCH(I922,M_SKU!$B$18:$B$57,0),1),"UNKNOWN SKU")</f>
        <v>Coke Pet 500ML ( x12)</v>
      </c>
      <c r="K922" s="73" t="s">
        <v>520</v>
      </c>
      <c r="L922" s="276">
        <v>11</v>
      </c>
      <c r="M922" s="94" cm="1">
        <f t="array" ref="M922">IFERROR(INDEX(M_DepotPrice!$C$10:$C$52,MATCH(1,(M_DepotPrice!$A$10:$A$52=I922)*(M_DepotPrice!$H$10:$H$52=IFERROR(INDEX(M_Depot!$A$7:$A$24,MATCH(F922,M_Depot!$B$7:$B$24,0)),""))*(M_DepotPrice!$G$10:$G$52="Special"),0)),INDEX(M_DepotPrice!$C$10:$C$52,MATCH(1,(M_DepotPrice!$A$10:$A$52=I922)*(M_DepotPrice!$G$10:$G$52="Default"),0)))</f>
        <v>8898</v>
      </c>
      <c r="N922" s="95">
        <f t="shared" si="29"/>
        <v>115496.04</v>
      </c>
      <c r="O922" s="82" t="str">
        <f t="shared" si="28"/>
        <v>MOS100788|PH001|CK6-33411</v>
      </c>
    </row>
    <row r="923" spans="1:15" ht="15" customHeight="1" x14ac:dyDescent="0.3">
      <c r="A923" s="60" t="s">
        <v>1602</v>
      </c>
      <c r="B923" s="60" t="s">
        <v>586</v>
      </c>
      <c r="C923" s="62">
        <v>46179</v>
      </c>
      <c r="D923" s="63" t="s">
        <v>361</v>
      </c>
      <c r="E923" s="66" t="str">
        <f>IFERROR(INDEX(M_User!$A$12:$J$67,MATCH(D923,M_User!$D$12:$D$67,0),3),"UNMAPPED")</f>
        <v>Masunga Mwala Ramadhani</v>
      </c>
      <c r="F923" s="65" t="str">
        <f>IFERROR(INDEX(M_User!$A$12:$J$67,MATCH(D923,M_User!$D$12:$D$67,0),5),"UNMAPPED")</f>
        <v>MOS</v>
      </c>
      <c r="G923" s="63" t="s">
        <v>949</v>
      </c>
      <c r="H923" s="69" t="s">
        <v>950</v>
      </c>
      <c r="I923" s="63" t="s">
        <v>242</v>
      </c>
      <c r="J923" s="66" t="str">
        <f>IFERROR(INDEX(M_SKU!$A$18:$J$57,MATCH(I923,M_SKU!$B$18:$B$57,0),1),"UNKNOWN SKU")</f>
        <v>Stoney Tangawizi Pet 500 ml ( x12)</v>
      </c>
      <c r="K923" s="63" t="s">
        <v>525</v>
      </c>
      <c r="L923" s="276">
        <v>1</v>
      </c>
      <c r="M923" s="91" cm="1">
        <f t="array" ref="M923">IFERROR(INDEX(M_DepotPrice!$C$10:$C$52,MATCH(1,(M_DepotPrice!$A$10:$A$52=I923)*(M_DepotPrice!$H$10:$H$52=IFERROR(INDEX(M_Depot!$A$7:$A$24,MATCH(F923,M_Depot!$B$7:$B$24,0)),""))*(M_DepotPrice!$G$10:$G$52="Special"),0)),INDEX(M_DepotPrice!$C$10:$C$52,MATCH(1,(M_DepotPrice!$A$10:$A$52=I923)*(M_DepotPrice!$G$10:$G$52="Default"),0)))</f>
        <v>8898</v>
      </c>
      <c r="N923" s="67">
        <f t="shared" si="29"/>
        <v>10499.64</v>
      </c>
      <c r="O923" s="66" t="str">
        <f t="shared" si="28"/>
        <v>MOS100788|PH007|CK6-33375</v>
      </c>
    </row>
    <row r="924" spans="1:15" ht="15" customHeight="1" x14ac:dyDescent="0.3">
      <c r="A924" s="70" t="s">
        <v>1603</v>
      </c>
      <c r="B924" s="70" t="s">
        <v>586</v>
      </c>
      <c r="C924" s="72">
        <v>46179</v>
      </c>
      <c r="D924" s="73" t="s">
        <v>361</v>
      </c>
      <c r="E924" s="76" t="str">
        <f>IFERROR(INDEX(M_User!$A$12:$J$67,MATCH(D924,M_User!$D$12:$D$67,0),3),"UNMAPPED")</f>
        <v>Masunga Mwala Ramadhani</v>
      </c>
      <c r="F924" s="75" t="str">
        <f>IFERROR(INDEX(M_User!$A$12:$J$67,MATCH(D924,M_User!$D$12:$D$67,0),5),"UNMAPPED")</f>
        <v>MOS</v>
      </c>
      <c r="G924" s="73" t="s">
        <v>949</v>
      </c>
      <c r="H924" s="92" t="s">
        <v>950</v>
      </c>
      <c r="I924" s="73" t="s">
        <v>244</v>
      </c>
      <c r="J924" s="76" t="str">
        <f>IFERROR(INDEX(M_SKU!$A$18:$J$57,MATCH(I924,M_SKU!$B$18:$B$57,0),1),"UNKNOWN SKU")</f>
        <v>Sparletta Pinenut Pet 500 ml ( x12)</v>
      </c>
      <c r="K924" s="73" t="s">
        <v>526</v>
      </c>
      <c r="L924" s="276">
        <v>3</v>
      </c>
      <c r="M924" s="94" cm="1">
        <f t="array" ref="M924">IFERROR(INDEX(M_DepotPrice!$C$10:$C$52,MATCH(1,(M_DepotPrice!$A$10:$A$52=I924)*(M_DepotPrice!$H$10:$H$52=IFERROR(INDEX(M_Depot!$A$7:$A$24,MATCH(F924,M_Depot!$B$7:$B$24,0)),""))*(M_DepotPrice!$G$10:$G$52="Special"),0)),INDEX(M_DepotPrice!$C$10:$C$52,MATCH(1,(M_DepotPrice!$A$10:$A$52=I924)*(M_DepotPrice!$G$10:$G$52="Default"),0)))</f>
        <v>8898</v>
      </c>
      <c r="N924" s="95">
        <f t="shared" si="29"/>
        <v>31498.92</v>
      </c>
      <c r="O924" s="82" t="str">
        <f t="shared" si="28"/>
        <v>MOS100788|PH008|CK5-33370</v>
      </c>
    </row>
    <row r="925" spans="1:15" ht="15" customHeight="1" x14ac:dyDescent="0.3">
      <c r="A925" s="60" t="s">
        <v>1604</v>
      </c>
      <c r="B925" s="60" t="s">
        <v>586</v>
      </c>
      <c r="C925" s="62">
        <v>46179</v>
      </c>
      <c r="D925" s="63" t="s">
        <v>361</v>
      </c>
      <c r="E925" s="66" t="str">
        <f>IFERROR(INDEX(M_User!$A$12:$J$67,MATCH(D925,M_User!$D$12:$D$67,0),3),"UNMAPPED")</f>
        <v>Masunga Mwala Ramadhani</v>
      </c>
      <c r="F925" s="65" t="str">
        <f>IFERROR(INDEX(M_User!$A$12:$J$67,MATCH(D925,M_User!$D$12:$D$67,0),5),"UNMAPPED")</f>
        <v>MOS</v>
      </c>
      <c r="G925" s="63" t="s">
        <v>949</v>
      </c>
      <c r="H925" s="69" t="s">
        <v>950</v>
      </c>
      <c r="I925" s="63" t="s">
        <v>252</v>
      </c>
      <c r="J925" s="66" t="str">
        <f>IFERROR(INDEX(M_SKU!$A$18:$J$57,MATCH(I925,M_SKU!$B$18:$B$57,0),1),"UNKNOWN SKU")</f>
        <v>Sprite Zero Pet 300ML (x 12)</v>
      </c>
      <c r="K925" s="63" t="s">
        <v>545</v>
      </c>
      <c r="L925" s="276">
        <v>1</v>
      </c>
      <c r="M925" s="91" cm="1">
        <f t="array" ref="M925">IFERROR(INDEX(M_DepotPrice!$C$10:$C$52,MATCH(1,(M_DepotPrice!$A$10:$A$52=I925)*(M_DepotPrice!$H$10:$H$52=IFERROR(INDEX(M_Depot!$A$7:$A$24,MATCH(F925,M_Depot!$B$7:$B$24,0)),""))*(M_DepotPrice!$G$10:$G$52="Special"),0)),INDEX(M_DepotPrice!$C$10:$C$52,MATCH(1,(M_DepotPrice!$A$10:$A$52=I925)*(M_DepotPrice!$G$10:$G$52="Default"),0)))</f>
        <v>5085</v>
      </c>
      <c r="N925" s="67">
        <f t="shared" si="29"/>
        <v>6000.2999999999993</v>
      </c>
      <c r="O925" s="66" t="str">
        <f t="shared" si="28"/>
        <v>MOS100788|PO010|CK5-33360</v>
      </c>
    </row>
    <row r="926" spans="1:15" ht="15" customHeight="1" x14ac:dyDescent="0.3">
      <c r="A926" s="70" t="s">
        <v>1605</v>
      </c>
      <c r="B926" s="70" t="s">
        <v>586</v>
      </c>
      <c r="C926" s="72">
        <v>46179</v>
      </c>
      <c r="D926" s="73" t="s">
        <v>361</v>
      </c>
      <c r="E926" s="76" t="str">
        <f>IFERROR(INDEX(M_User!$A$12:$J$67,MATCH(D926,M_User!$D$12:$D$67,0),3),"UNMAPPED")</f>
        <v>Masunga Mwala Ramadhani</v>
      </c>
      <c r="F926" s="75" t="str">
        <f>IFERROR(INDEX(M_User!$A$12:$J$67,MATCH(D926,M_User!$D$12:$D$67,0),5),"UNMAPPED")</f>
        <v>MOS</v>
      </c>
      <c r="G926" s="73" t="s">
        <v>949</v>
      </c>
      <c r="H926" s="92" t="s">
        <v>950</v>
      </c>
      <c r="I926" s="73" t="s">
        <v>261</v>
      </c>
      <c r="J926" s="76" t="str">
        <f>IFERROR(INDEX(M_SKU!$A$18:$J$57,MATCH(I926,M_SKU!$B$18:$B$57,0),1),"UNKNOWN SKU")</f>
        <v>Sparletta Pine Apple Pet 300ML (x 12)</v>
      </c>
      <c r="K926" s="73" t="s">
        <v>547</v>
      </c>
      <c r="L926" s="276">
        <v>4</v>
      </c>
      <c r="M926" s="94" cm="1">
        <f t="array" ref="M926">IFERROR(INDEX(M_DepotPrice!$C$10:$C$52,MATCH(1,(M_DepotPrice!$A$10:$A$52=I926)*(M_DepotPrice!$H$10:$H$52=IFERROR(INDEX(M_Depot!$A$7:$A$24,MATCH(F926,M_Depot!$B$7:$B$24,0)),""))*(M_DepotPrice!$G$10:$G$52="Special"),0)),INDEX(M_DepotPrice!$C$10:$C$52,MATCH(1,(M_DepotPrice!$A$10:$A$52=I926)*(M_DepotPrice!$G$10:$G$52="Default"),0)))</f>
        <v>5085</v>
      </c>
      <c r="N926" s="95">
        <f t="shared" si="29"/>
        <v>24001.199999999997</v>
      </c>
      <c r="O926" s="82" t="str">
        <f t="shared" si="28"/>
        <v>MOS100788|PO015|CK5-33366</v>
      </c>
    </row>
    <row r="927" spans="1:15" ht="15" customHeight="1" x14ac:dyDescent="0.3">
      <c r="A927" s="60" t="s">
        <v>1606</v>
      </c>
      <c r="B927" s="60" t="s">
        <v>588</v>
      </c>
      <c r="C927" s="62">
        <v>46179</v>
      </c>
      <c r="D927" s="63" t="s">
        <v>415</v>
      </c>
      <c r="E927" s="66" t="str">
        <f>IFERROR(INDEX(M_User!$A$12:$J$67,MATCH(D927,M_User!$D$12:$D$67,0),3),"UNMAPPED")</f>
        <v>Joyline J Lyimo</v>
      </c>
      <c r="F927" s="65" t="str">
        <f>IFERROR(INDEX(M_User!$A$12:$J$67,MATCH(D927,M_User!$D$12:$D$67,0),5),"UNMAPPED")</f>
        <v>MOS</v>
      </c>
      <c r="G927" s="63" t="s">
        <v>756</v>
      </c>
      <c r="H927" s="69" t="s">
        <v>757</v>
      </c>
      <c r="I927" s="63" t="s">
        <v>170</v>
      </c>
      <c r="J927" s="66" t="str">
        <f>IFERROR(INDEX(M_SKU!$A$18:$J$57,MATCH(I927,M_SKU!$B$18:$B$57,0),1),"UNKNOWN SKU")</f>
        <v>Coke RGB 350ml</v>
      </c>
      <c r="K927" s="63" t="s">
        <v>585</v>
      </c>
      <c r="L927" s="276">
        <v>15.589</v>
      </c>
      <c r="M927" s="91" cm="1">
        <f t="array" ref="M927">IFERROR(INDEX(M_DepotPrice!$C$10:$C$52,MATCH(1,(M_DepotPrice!$A$10:$A$52=I927)*(M_DepotPrice!$H$10:$H$52=IFERROR(INDEX(M_Depot!$A$7:$A$24,MATCH(F927,M_Depot!$B$7:$B$24,0)),""))*(M_DepotPrice!$G$10:$G$52="Special"),0)),INDEX(M_DepotPrice!$C$10:$C$52,MATCH(1,(M_DepotPrice!$A$10:$A$52=I927)*(M_DepotPrice!$G$10:$G$52="Default"),0)))</f>
        <v>11780</v>
      </c>
      <c r="N927" s="67">
        <f t="shared" si="29"/>
        <v>216693.33559999999</v>
      </c>
      <c r="O927" s="66" t="str">
        <f t="shared" si="28"/>
        <v>MOS100802|FG001|CK3-33410</v>
      </c>
    </row>
    <row r="928" spans="1:15" ht="15" customHeight="1" x14ac:dyDescent="0.3">
      <c r="A928" s="70" t="s">
        <v>1607</v>
      </c>
      <c r="B928" s="70" t="s">
        <v>588</v>
      </c>
      <c r="C928" s="72">
        <v>46179</v>
      </c>
      <c r="D928" s="73" t="s">
        <v>415</v>
      </c>
      <c r="E928" s="76" t="str">
        <f>IFERROR(INDEX(M_User!$A$12:$J$67,MATCH(D928,M_User!$D$12:$D$67,0),3),"UNMAPPED")</f>
        <v>Joyline J Lyimo</v>
      </c>
      <c r="F928" s="75" t="str">
        <f>IFERROR(INDEX(M_User!$A$12:$J$67,MATCH(D928,M_User!$D$12:$D$67,0),5),"UNMAPPED")</f>
        <v>MOS</v>
      </c>
      <c r="G928" s="73" t="s">
        <v>756</v>
      </c>
      <c r="H928" s="92" t="s">
        <v>757</v>
      </c>
      <c r="I928" s="73" t="s">
        <v>178</v>
      </c>
      <c r="J928" s="76" t="str">
        <f>IFERROR(INDEX(M_SKU!$A$18:$J$57,MATCH(I928,M_SKU!$B$18:$B$57,0),1),"UNKNOWN SKU")</f>
        <v>Fanta Orange RGB 350ml</v>
      </c>
      <c r="K928" s="73" t="s">
        <v>531</v>
      </c>
      <c r="L928" s="276">
        <v>14.0656490523267</v>
      </c>
      <c r="M928" s="94" cm="1">
        <f t="array" ref="M928">IFERROR(INDEX(M_DepotPrice!$C$10:$C$52,MATCH(1,(M_DepotPrice!$A$10:$A$52=I928)*(M_DepotPrice!$H$10:$H$52=IFERROR(INDEX(M_Depot!$A$7:$A$24,MATCH(F928,M_Depot!$B$7:$B$24,0)),""))*(M_DepotPrice!$G$10:$G$52="Special"),0)),INDEX(M_DepotPrice!$C$10:$C$52,MATCH(1,(M_DepotPrice!$A$10:$A$52=I928)*(M_DepotPrice!$G$10:$G$52="Default"),0)))</f>
        <v>11780</v>
      </c>
      <c r="N928" s="95">
        <f t="shared" si="29"/>
        <v>195518.14808696206</v>
      </c>
      <c r="O928" s="82" t="str">
        <f t="shared" si="28"/>
        <v>MOS100802|FG002|CK3-33407</v>
      </c>
    </row>
    <row r="929" spans="1:15" ht="15" customHeight="1" x14ac:dyDescent="0.3">
      <c r="A929" s="60" t="s">
        <v>1608</v>
      </c>
      <c r="B929" s="60" t="s">
        <v>588</v>
      </c>
      <c r="C929" s="62">
        <v>46179</v>
      </c>
      <c r="D929" s="63" t="s">
        <v>415</v>
      </c>
      <c r="E929" s="66" t="str">
        <f>IFERROR(INDEX(M_User!$A$12:$J$67,MATCH(D929,M_User!$D$12:$D$67,0),3),"UNMAPPED")</f>
        <v>Joyline J Lyimo</v>
      </c>
      <c r="F929" s="65" t="str">
        <f>IFERROR(INDEX(M_User!$A$12:$J$67,MATCH(D929,M_User!$D$12:$D$67,0),5),"UNMAPPED")</f>
        <v>MOS</v>
      </c>
      <c r="G929" s="63" t="s">
        <v>756</v>
      </c>
      <c r="H929" s="69" t="s">
        <v>757</v>
      </c>
      <c r="I929" s="63" t="s">
        <v>181</v>
      </c>
      <c r="J929" s="66" t="str">
        <f>IFERROR(INDEX(M_SKU!$A$18:$J$57,MATCH(I929,M_SKU!$B$18:$B$57,0),1),"UNKNOWN SKU")</f>
        <v>Fanta Passion RGB 350ml</v>
      </c>
      <c r="K929" s="63" t="s">
        <v>550</v>
      </c>
      <c r="L929" s="276">
        <v>2.9135</v>
      </c>
      <c r="M929" s="91" cm="1">
        <f t="array" ref="M929">IFERROR(INDEX(M_DepotPrice!$C$10:$C$52,MATCH(1,(M_DepotPrice!$A$10:$A$52=I929)*(M_DepotPrice!$H$10:$H$52=IFERROR(INDEX(M_Depot!$A$7:$A$24,MATCH(F929,M_Depot!$B$7:$B$24,0)),""))*(M_DepotPrice!$G$10:$G$52="Special"),0)),INDEX(M_DepotPrice!$C$10:$C$52,MATCH(1,(M_DepotPrice!$A$10:$A$52=I929)*(M_DepotPrice!$G$10:$G$52="Default"),0)))</f>
        <v>11780</v>
      </c>
      <c r="N929" s="67">
        <f t="shared" si="29"/>
        <v>40498.815399999999</v>
      </c>
      <c r="O929" s="66" t="str">
        <f t="shared" si="28"/>
        <v>MOS100802|FG003|CK3-33356</v>
      </c>
    </row>
    <row r="930" spans="1:15" ht="15" customHeight="1" x14ac:dyDescent="0.3">
      <c r="A930" s="70" t="s">
        <v>1609</v>
      </c>
      <c r="B930" s="70" t="s">
        <v>588</v>
      </c>
      <c r="C930" s="72">
        <v>46179</v>
      </c>
      <c r="D930" s="73" t="s">
        <v>415</v>
      </c>
      <c r="E930" s="76" t="str">
        <f>IFERROR(INDEX(M_User!$A$12:$J$67,MATCH(D930,M_User!$D$12:$D$67,0),3),"UNMAPPED")</f>
        <v>Joyline J Lyimo</v>
      </c>
      <c r="F930" s="75" t="str">
        <f>IFERROR(INDEX(M_User!$A$12:$J$67,MATCH(D930,M_User!$D$12:$D$67,0),5),"UNMAPPED")</f>
        <v>MOS</v>
      </c>
      <c r="G930" s="73" t="s">
        <v>756</v>
      </c>
      <c r="H930" s="92" t="s">
        <v>757</v>
      </c>
      <c r="I930" s="73" t="s">
        <v>183</v>
      </c>
      <c r="J930" s="76" t="str">
        <f>IFERROR(INDEX(M_SKU!$A$18:$J$57,MATCH(I930,M_SKU!$B$18:$B$57,0),1),"UNKNOWN SKU")</f>
        <v>Fanta Pineapple RGB 350ml</v>
      </c>
      <c r="K930" s="73" t="s">
        <v>533</v>
      </c>
      <c r="L930" s="276">
        <v>2.6734</v>
      </c>
      <c r="M930" s="94" cm="1">
        <f t="array" ref="M930">IFERROR(INDEX(M_DepotPrice!$C$10:$C$52,MATCH(1,(M_DepotPrice!$A$10:$A$52=I930)*(M_DepotPrice!$H$10:$H$52=IFERROR(INDEX(M_Depot!$A$7:$A$24,MATCH(F930,M_Depot!$B$7:$B$24,0)),""))*(M_DepotPrice!$G$10:$G$52="Special"),0)),INDEX(M_DepotPrice!$C$10:$C$52,MATCH(1,(M_DepotPrice!$A$10:$A$52=I930)*(M_DepotPrice!$G$10:$G$52="Default"),0)))</f>
        <v>11780</v>
      </c>
      <c r="N930" s="95">
        <f t="shared" si="29"/>
        <v>37161.329359999996</v>
      </c>
      <c r="O930" s="82" t="str">
        <f t="shared" si="28"/>
        <v>MOS100802|FG004|CK3-33385</v>
      </c>
    </row>
    <row r="931" spans="1:15" ht="15" customHeight="1" x14ac:dyDescent="0.3">
      <c r="A931" s="60" t="s">
        <v>1610</v>
      </c>
      <c r="B931" s="60" t="s">
        <v>588</v>
      </c>
      <c r="C931" s="62">
        <v>46179</v>
      </c>
      <c r="D931" s="63" t="s">
        <v>415</v>
      </c>
      <c r="E931" s="66" t="str">
        <f>IFERROR(INDEX(M_User!$A$12:$J$67,MATCH(D931,M_User!$D$12:$D$67,0),3),"UNMAPPED")</f>
        <v>Joyline J Lyimo</v>
      </c>
      <c r="F931" s="65" t="str">
        <f>IFERROR(INDEX(M_User!$A$12:$J$67,MATCH(D931,M_User!$D$12:$D$67,0),5),"UNMAPPED")</f>
        <v>MOS</v>
      </c>
      <c r="G931" s="63" t="s">
        <v>756</v>
      </c>
      <c r="H931" s="69" t="s">
        <v>757</v>
      </c>
      <c r="I931" s="63" t="s">
        <v>185</v>
      </c>
      <c r="J931" s="66" t="str">
        <f>IFERROR(INDEX(M_SKU!$A$18:$J$57,MATCH(I931,M_SKU!$B$18:$B$57,0),1),"UNKNOWN SKU")</f>
        <v>Fanta Fruit Blast RGB 350 ml</v>
      </c>
      <c r="K931" s="63" t="s">
        <v>534</v>
      </c>
      <c r="L931" s="276">
        <v>0.85229999999999995</v>
      </c>
      <c r="M931" s="91" cm="1">
        <f t="array" ref="M931">IFERROR(INDEX(M_DepotPrice!$C$10:$C$52,MATCH(1,(M_DepotPrice!$A$10:$A$52=I931)*(M_DepotPrice!$H$10:$H$52=IFERROR(INDEX(M_Depot!$A$7:$A$24,MATCH(F931,M_Depot!$B$7:$B$24,0)),""))*(M_DepotPrice!$G$10:$G$52="Special"),0)),INDEX(M_DepotPrice!$C$10:$C$52,MATCH(1,(M_DepotPrice!$A$10:$A$52=I931)*(M_DepotPrice!$G$10:$G$52="Default"),0)))</f>
        <v>11780</v>
      </c>
      <c r="N931" s="67">
        <f t="shared" si="29"/>
        <v>11847.310919999998</v>
      </c>
      <c r="O931" s="66" t="str">
        <f t="shared" si="28"/>
        <v>MOS100802|FG005|CK3-33402</v>
      </c>
    </row>
    <row r="932" spans="1:15" ht="15" customHeight="1" x14ac:dyDescent="0.3">
      <c r="A932" s="70" t="s">
        <v>1611</v>
      </c>
      <c r="B932" s="70" t="s">
        <v>588</v>
      </c>
      <c r="C932" s="72">
        <v>46179</v>
      </c>
      <c r="D932" s="73" t="s">
        <v>415</v>
      </c>
      <c r="E932" s="76" t="str">
        <f>IFERROR(INDEX(M_User!$A$12:$J$67,MATCH(D932,M_User!$D$12:$D$67,0),3),"UNMAPPED")</f>
        <v>Joyline J Lyimo</v>
      </c>
      <c r="F932" s="75" t="str">
        <f>IFERROR(INDEX(M_User!$A$12:$J$67,MATCH(D932,M_User!$D$12:$D$67,0),5),"UNMAPPED")</f>
        <v>MOS</v>
      </c>
      <c r="G932" s="73" t="s">
        <v>756</v>
      </c>
      <c r="H932" s="92" t="s">
        <v>757</v>
      </c>
      <c r="I932" s="73" t="s">
        <v>187</v>
      </c>
      <c r="J932" s="76" t="str">
        <f>IFERROR(INDEX(M_SKU!$A$18:$J$57,MATCH(I932,M_SKU!$B$18:$B$57,0),1),"UNKNOWN SKU")</f>
        <v>Sprite 350ml</v>
      </c>
      <c r="K932" s="73" t="s">
        <v>535</v>
      </c>
      <c r="L932" s="276">
        <v>8.7194000000000003</v>
      </c>
      <c r="M932" s="94" cm="1">
        <f t="array" ref="M932">IFERROR(INDEX(M_DepotPrice!$C$10:$C$52,MATCH(1,(M_DepotPrice!$A$10:$A$52=I932)*(M_DepotPrice!$H$10:$H$52=IFERROR(INDEX(M_Depot!$A$7:$A$24,MATCH(F932,M_Depot!$B$7:$B$24,0)),""))*(M_DepotPrice!$G$10:$G$52="Special"),0)),INDEX(M_DepotPrice!$C$10:$C$52,MATCH(1,(M_DepotPrice!$A$10:$A$52=I932)*(M_DepotPrice!$G$10:$G$52="Default"),0)))</f>
        <v>11780</v>
      </c>
      <c r="N932" s="95">
        <f t="shared" si="29"/>
        <v>121203.14776000001</v>
      </c>
      <c r="O932" s="82" t="str">
        <f t="shared" si="28"/>
        <v>MOS100802|FG006|CK3-33414</v>
      </c>
    </row>
    <row r="933" spans="1:15" ht="15" customHeight="1" x14ac:dyDescent="0.3">
      <c r="A933" s="60" t="s">
        <v>1612</v>
      </c>
      <c r="B933" s="60" t="s">
        <v>588</v>
      </c>
      <c r="C933" s="62">
        <v>46179</v>
      </c>
      <c r="D933" s="63" t="s">
        <v>415</v>
      </c>
      <c r="E933" s="66" t="str">
        <f>IFERROR(INDEX(M_User!$A$12:$J$67,MATCH(D933,M_User!$D$12:$D$67,0),3),"UNMAPPED")</f>
        <v>Joyline J Lyimo</v>
      </c>
      <c r="F933" s="65" t="str">
        <f>IFERROR(INDEX(M_User!$A$12:$J$67,MATCH(D933,M_User!$D$12:$D$67,0),5),"UNMAPPED")</f>
        <v>MOS</v>
      </c>
      <c r="G933" s="63" t="s">
        <v>756</v>
      </c>
      <c r="H933" s="69" t="s">
        <v>757</v>
      </c>
      <c r="I933" s="63" t="s">
        <v>190</v>
      </c>
      <c r="J933" s="66" t="str">
        <f>IFERROR(INDEX(M_SKU!$A$18:$J$57,MATCH(I933,M_SKU!$B$18:$B$57,0),1),"UNKNOWN SKU")</f>
        <v>Stoney Tangawizi RGB 350ml</v>
      </c>
      <c r="K933" s="63" t="s">
        <v>536</v>
      </c>
      <c r="L933" s="276">
        <v>1.1248</v>
      </c>
      <c r="M933" s="91" cm="1">
        <f t="array" ref="M933">IFERROR(INDEX(M_DepotPrice!$C$10:$C$52,MATCH(1,(M_DepotPrice!$A$10:$A$52=I933)*(M_DepotPrice!$H$10:$H$52=IFERROR(INDEX(M_Depot!$A$7:$A$24,MATCH(F933,M_Depot!$B$7:$B$24,0)),""))*(M_DepotPrice!$G$10:$G$52="Special"),0)),INDEX(M_DepotPrice!$C$10:$C$52,MATCH(1,(M_DepotPrice!$A$10:$A$52=I933)*(M_DepotPrice!$G$10:$G$52="Default"),0)))</f>
        <v>11780</v>
      </c>
      <c r="N933" s="67">
        <f t="shared" si="29"/>
        <v>15635.16992</v>
      </c>
      <c r="O933" s="66" t="str">
        <f t="shared" si="28"/>
        <v>MOS100802|FG007|CK3-33404</v>
      </c>
    </row>
    <row r="934" spans="1:15" ht="15" customHeight="1" x14ac:dyDescent="0.3">
      <c r="A934" s="70" t="s">
        <v>1613</v>
      </c>
      <c r="B934" s="70" t="s">
        <v>588</v>
      </c>
      <c r="C934" s="72">
        <v>46179</v>
      </c>
      <c r="D934" s="73" t="s">
        <v>415</v>
      </c>
      <c r="E934" s="76" t="str">
        <f>IFERROR(INDEX(M_User!$A$12:$J$67,MATCH(D934,M_User!$D$12:$D$67,0),3),"UNMAPPED")</f>
        <v>Joyline J Lyimo</v>
      </c>
      <c r="F934" s="75" t="str">
        <f>IFERROR(INDEX(M_User!$A$12:$J$67,MATCH(D934,M_User!$D$12:$D$67,0),5),"UNMAPPED")</f>
        <v>MOS</v>
      </c>
      <c r="G934" s="73" t="s">
        <v>756</v>
      </c>
      <c r="H934" s="92" t="s">
        <v>757</v>
      </c>
      <c r="I934" s="73" t="s">
        <v>193</v>
      </c>
      <c r="J934" s="76" t="str">
        <f>IFERROR(INDEX(M_SKU!$A$18:$J$57,MATCH(I934,M_SKU!$B$18:$B$57,0),1),"UNKNOWN SKU")</f>
        <v>Sparletta Pinenut RGB 350ml</v>
      </c>
      <c r="K934" s="73" t="s">
        <v>537</v>
      </c>
      <c r="L934" s="276">
        <v>1.1801257795159099</v>
      </c>
      <c r="M934" s="94" cm="1">
        <f t="array" ref="M934">IFERROR(INDEX(M_DepotPrice!$C$10:$C$52,MATCH(1,(M_DepotPrice!$A$10:$A$52=I934)*(M_DepotPrice!$H$10:$H$52=IFERROR(INDEX(M_Depot!$A$7:$A$24,MATCH(F934,M_Depot!$B$7:$B$24,0)),""))*(M_DepotPrice!$G$10:$G$52="Special"),0)),INDEX(M_DepotPrice!$C$10:$C$52,MATCH(1,(M_DepotPrice!$A$10:$A$52=I934)*(M_DepotPrice!$G$10:$G$52="Default"),0)))</f>
        <v>11780</v>
      </c>
      <c r="N934" s="95">
        <f t="shared" si="29"/>
        <v>16404.220385582954</v>
      </c>
      <c r="O934" s="82" t="str">
        <f t="shared" si="28"/>
        <v>MOS100802|FG008|CK3-33365</v>
      </c>
    </row>
    <row r="935" spans="1:15" ht="15" customHeight="1" x14ac:dyDescent="0.3">
      <c r="A935" s="60" t="s">
        <v>1614</v>
      </c>
      <c r="B935" s="60" t="s">
        <v>588</v>
      </c>
      <c r="C935" s="62">
        <v>46179</v>
      </c>
      <c r="D935" s="63" t="s">
        <v>415</v>
      </c>
      <c r="E935" s="66" t="str">
        <f>IFERROR(INDEX(M_User!$A$12:$J$67,MATCH(D935,M_User!$D$12:$D$67,0),3),"UNMAPPED")</f>
        <v>Joyline J Lyimo</v>
      </c>
      <c r="F935" s="65" t="str">
        <f>IFERROR(INDEX(M_User!$A$12:$J$67,MATCH(D935,M_User!$D$12:$D$67,0),5),"UNMAPPED")</f>
        <v>MOS</v>
      </c>
      <c r="G935" s="63" t="s">
        <v>756</v>
      </c>
      <c r="H935" s="69" t="s">
        <v>757</v>
      </c>
      <c r="I935" s="63" t="s">
        <v>196</v>
      </c>
      <c r="J935" s="66" t="str">
        <f>IFERROR(INDEX(M_SKU!$A$18:$J$57,MATCH(I935,M_SKU!$B$18:$B$57,0),1),"UNKNOWN SKU")</f>
        <v>Krest Bitter Lemon RGB 300ml</v>
      </c>
      <c r="K935" s="63" t="s">
        <v>538</v>
      </c>
      <c r="L935" s="276">
        <v>0.83488944542117205</v>
      </c>
      <c r="M935" s="91" cm="1">
        <f t="array" ref="M935">IFERROR(INDEX(M_DepotPrice!$C$10:$C$52,MATCH(1,(M_DepotPrice!$A$10:$A$52=I935)*(M_DepotPrice!$H$10:$H$52=IFERROR(INDEX(M_Depot!$A$7:$A$24,MATCH(F935,M_Depot!$B$7:$B$24,0)),""))*(M_DepotPrice!$G$10:$G$52="Special"),0)),INDEX(M_DepotPrice!$C$10:$C$52,MATCH(1,(M_DepotPrice!$A$10:$A$52=I935)*(M_DepotPrice!$G$10:$G$52="Default"),0)))</f>
        <v>11780</v>
      </c>
      <c r="N935" s="67">
        <f t="shared" si="29"/>
        <v>11605.297247132459</v>
      </c>
      <c r="O935" s="66" t="str">
        <f t="shared" si="28"/>
        <v>MOS100802|FG009|CK3-33348</v>
      </c>
    </row>
    <row r="936" spans="1:15" ht="15" customHeight="1" x14ac:dyDescent="0.3">
      <c r="A936" s="70" t="s">
        <v>1615</v>
      </c>
      <c r="B936" s="70" t="s">
        <v>588</v>
      </c>
      <c r="C936" s="72">
        <v>46179</v>
      </c>
      <c r="D936" s="73" t="s">
        <v>415</v>
      </c>
      <c r="E936" s="76" t="str">
        <f>IFERROR(INDEX(M_User!$A$12:$J$67,MATCH(D936,M_User!$D$12:$D$67,0),3),"UNMAPPED")</f>
        <v>Joyline J Lyimo</v>
      </c>
      <c r="F936" s="75" t="str">
        <f>IFERROR(INDEX(M_User!$A$12:$J$67,MATCH(D936,M_User!$D$12:$D$67,0),5),"UNMAPPED")</f>
        <v>MOS</v>
      </c>
      <c r="G936" s="73" t="s">
        <v>756</v>
      </c>
      <c r="H936" s="92" t="s">
        <v>757</v>
      </c>
      <c r="I936" s="73" t="s">
        <v>201</v>
      </c>
      <c r="J936" s="76" t="str">
        <f>IFERROR(INDEX(M_SKU!$A$18:$J$57,MATCH(I936,M_SKU!$B$18:$B$57,0),1),"UNKNOWN SKU")</f>
        <v>Krest Tonic Water RGB 300ml</v>
      </c>
      <c r="K936" s="73" t="s">
        <v>540</v>
      </c>
      <c r="L936" s="276">
        <v>0.91300000000000003</v>
      </c>
      <c r="M936" s="94" cm="1">
        <f t="array" ref="M936">IFERROR(INDEX(M_DepotPrice!$C$10:$C$52,MATCH(1,(M_DepotPrice!$A$10:$A$52=I936)*(M_DepotPrice!$H$10:$H$52=IFERROR(INDEX(M_Depot!$A$7:$A$24,MATCH(F936,M_Depot!$B$7:$B$24,0)),""))*(M_DepotPrice!$G$10:$G$52="Special"),0)),INDEX(M_DepotPrice!$C$10:$C$52,MATCH(1,(M_DepotPrice!$A$10:$A$52=I936)*(M_DepotPrice!$G$10:$G$52="Default"),0)))</f>
        <v>11780</v>
      </c>
      <c r="N936" s="95">
        <f t="shared" si="29"/>
        <v>12691.065200000001</v>
      </c>
      <c r="O936" s="82" t="str">
        <f t="shared" si="28"/>
        <v>MOS100802|FG011|CK3-33347</v>
      </c>
    </row>
    <row r="937" spans="1:15" ht="15" customHeight="1" x14ac:dyDescent="0.3">
      <c r="A937" s="60" t="s">
        <v>1616</v>
      </c>
      <c r="B937" s="60" t="s">
        <v>588</v>
      </c>
      <c r="C937" s="62">
        <v>46179</v>
      </c>
      <c r="D937" s="63" t="s">
        <v>415</v>
      </c>
      <c r="E937" s="66" t="str">
        <f>IFERROR(INDEX(M_User!$A$12:$J$67,MATCH(D937,M_User!$D$12:$D$67,0),3),"UNMAPPED")</f>
        <v>Joyline J Lyimo</v>
      </c>
      <c r="F937" s="65" t="str">
        <f>IFERROR(INDEX(M_User!$A$12:$J$67,MATCH(D937,M_User!$D$12:$D$67,0),5),"UNMAPPED")</f>
        <v>MOS</v>
      </c>
      <c r="G937" s="63" t="s">
        <v>756</v>
      </c>
      <c r="H937" s="69" t="s">
        <v>757</v>
      </c>
      <c r="I937" s="63" t="s">
        <v>203</v>
      </c>
      <c r="J937" s="66" t="str">
        <f>IFERROR(INDEX(M_SKU!$A$18:$J$57,MATCH(I937,M_SKU!$B$18:$B$57,0),1),"UNKNOWN SKU")</f>
        <v>Krest Ginger Ale RGB 300ml</v>
      </c>
      <c r="K937" s="63" t="s">
        <v>541</v>
      </c>
      <c r="L937" s="276">
        <v>0.651862539967345</v>
      </c>
      <c r="M937" s="91" cm="1">
        <f t="array" ref="M937">IFERROR(INDEX(M_DepotPrice!$C$10:$C$52,MATCH(1,(M_DepotPrice!$A$10:$A$52=I937)*(M_DepotPrice!$H$10:$H$52=IFERROR(INDEX(M_Depot!$A$7:$A$24,MATCH(F937,M_Depot!$B$7:$B$24,0)),""))*(M_DepotPrice!$G$10:$G$52="Special"),0)),INDEX(M_DepotPrice!$C$10:$C$52,MATCH(1,(M_DepotPrice!$A$10:$A$52=I937)*(M_DepotPrice!$G$10:$G$52="Default"),0)))</f>
        <v>11780</v>
      </c>
      <c r="N937" s="67">
        <f t="shared" si="29"/>
        <v>9061.1500505620825</v>
      </c>
      <c r="O937" s="66" t="str">
        <f t="shared" si="28"/>
        <v>MOS100802|FG012|CK3-33126</v>
      </c>
    </row>
    <row r="938" spans="1:15" ht="15" customHeight="1" x14ac:dyDescent="0.3">
      <c r="A938" s="70" t="s">
        <v>1617</v>
      </c>
      <c r="B938" s="70" t="s">
        <v>588</v>
      </c>
      <c r="C938" s="72">
        <v>46179</v>
      </c>
      <c r="D938" s="73" t="s">
        <v>415</v>
      </c>
      <c r="E938" s="76" t="str">
        <f>IFERROR(INDEX(M_User!$A$12:$J$67,MATCH(D938,M_User!$D$12:$D$67,0),3),"UNMAPPED")</f>
        <v>Joyline J Lyimo</v>
      </c>
      <c r="F938" s="75" t="str">
        <f>IFERROR(INDEX(M_User!$A$12:$J$67,MATCH(D938,M_User!$D$12:$D$67,0),5),"UNMAPPED")</f>
        <v>MOS</v>
      </c>
      <c r="G938" s="73" t="s">
        <v>756</v>
      </c>
      <c r="H938" s="92" t="s">
        <v>757</v>
      </c>
      <c r="I938" s="73" t="s">
        <v>217</v>
      </c>
      <c r="J938" s="76" t="str">
        <f>IFERROR(INDEX(M_SKU!$A$18:$J$57,MATCH(I938,M_SKU!$B$18:$B$57,0),1),"UNKNOWN SKU")</f>
        <v>KNMW 1500ml</v>
      </c>
      <c r="K938" s="73" t="s">
        <v>551</v>
      </c>
      <c r="L938" s="276">
        <v>22</v>
      </c>
      <c r="M938" s="94" cm="1">
        <f t="array" ref="M938">IFERROR(INDEX(M_DepotPrice!$C$10:$C$52,MATCH(1,(M_DepotPrice!$A$10:$A$52=I938)*(M_DepotPrice!$H$10:$H$52=IFERROR(INDEX(M_Depot!$A$7:$A$24,MATCH(F938,M_Depot!$B$7:$B$24,0)),""))*(M_DepotPrice!$G$10:$G$52="Special"),0)),INDEX(M_DepotPrice!$C$10:$C$52,MATCH(1,(M_DepotPrice!$A$10:$A$52=I938)*(M_DepotPrice!$G$10:$G$52="Default"),0)))</f>
        <v>3983</v>
      </c>
      <c r="N938" s="95">
        <f t="shared" si="29"/>
        <v>103398.68</v>
      </c>
      <c r="O938" s="82" t="str">
        <f t="shared" si="28"/>
        <v>MOS100802|KD003|CK4-842</v>
      </c>
    </row>
    <row r="939" spans="1:15" ht="15" customHeight="1" x14ac:dyDescent="0.3">
      <c r="A939" s="60" t="s">
        <v>1618</v>
      </c>
      <c r="B939" s="60" t="s">
        <v>519</v>
      </c>
      <c r="C939" s="62">
        <v>46179</v>
      </c>
      <c r="D939" s="63" t="s">
        <v>415</v>
      </c>
      <c r="E939" s="66" t="str">
        <f>IFERROR(INDEX(M_User!$A$12:$J$67,MATCH(D939,M_User!$D$12:$D$67,0),3),"UNMAPPED")</f>
        <v>Joyline J Lyimo</v>
      </c>
      <c r="F939" s="65" t="str">
        <f>IFERROR(INDEX(M_User!$A$12:$J$67,MATCH(D939,M_User!$D$12:$D$67,0),5),"UNMAPPED")</f>
        <v>MOS</v>
      </c>
      <c r="G939" s="63" t="s">
        <v>756</v>
      </c>
      <c r="H939" s="69" t="s">
        <v>757</v>
      </c>
      <c r="I939" s="63" t="s">
        <v>229</v>
      </c>
      <c r="J939" s="66" t="str">
        <f>IFERROR(INDEX(M_SKU!$A$18:$J$57,MATCH(I939,M_SKU!$B$18:$B$57,0),1),"UNKNOWN SKU")</f>
        <v>Coke Pet 500ML ( x12)</v>
      </c>
      <c r="K939" s="63" t="s">
        <v>520</v>
      </c>
      <c r="L939" s="276">
        <v>26</v>
      </c>
      <c r="M939" s="91" cm="1">
        <f t="array" ref="M939">IFERROR(INDEX(M_DepotPrice!$C$10:$C$52,MATCH(1,(M_DepotPrice!$A$10:$A$52=I939)*(M_DepotPrice!$H$10:$H$52=IFERROR(INDEX(M_Depot!$A$7:$A$24,MATCH(F939,M_Depot!$B$7:$B$24,0)),""))*(M_DepotPrice!$G$10:$G$52="Special"),0)),INDEX(M_DepotPrice!$C$10:$C$52,MATCH(1,(M_DepotPrice!$A$10:$A$52=I939)*(M_DepotPrice!$G$10:$G$52="Default"),0)))</f>
        <v>8898</v>
      </c>
      <c r="N939" s="67">
        <f t="shared" si="29"/>
        <v>272990.64</v>
      </c>
      <c r="O939" s="66" t="str">
        <f t="shared" si="28"/>
        <v>MOS100802|PH001|CK6-33411</v>
      </c>
    </row>
    <row r="940" spans="1:15" ht="15" customHeight="1" x14ac:dyDescent="0.3">
      <c r="A940" s="70" t="s">
        <v>1619</v>
      </c>
      <c r="B940" s="70" t="s">
        <v>519</v>
      </c>
      <c r="C940" s="72">
        <v>46179</v>
      </c>
      <c r="D940" s="73" t="s">
        <v>415</v>
      </c>
      <c r="E940" s="76" t="str">
        <f>IFERROR(INDEX(M_User!$A$12:$J$67,MATCH(D940,M_User!$D$12:$D$67,0),3),"UNMAPPED")</f>
        <v>Joyline J Lyimo</v>
      </c>
      <c r="F940" s="75" t="str">
        <f>IFERROR(INDEX(M_User!$A$12:$J$67,MATCH(D940,M_User!$D$12:$D$67,0),5),"UNMAPPED")</f>
        <v>MOS</v>
      </c>
      <c r="G940" s="73" t="s">
        <v>756</v>
      </c>
      <c r="H940" s="92" t="s">
        <v>757</v>
      </c>
      <c r="I940" s="73" t="s">
        <v>232</v>
      </c>
      <c r="J940" s="76" t="str">
        <f>IFERROR(INDEX(M_SKU!$A$18:$J$57,MATCH(I940,M_SKU!$B$18:$B$57,0),1),"UNKNOWN SKU")</f>
        <v>Sprite Pet 500ML (x 12)</v>
      </c>
      <c r="K940" s="73" t="s">
        <v>522</v>
      </c>
      <c r="L940" s="276">
        <v>6</v>
      </c>
      <c r="M940" s="94" cm="1">
        <f t="array" ref="M940">IFERROR(INDEX(M_DepotPrice!$C$10:$C$52,MATCH(1,(M_DepotPrice!$A$10:$A$52=I940)*(M_DepotPrice!$H$10:$H$52=IFERROR(INDEX(M_Depot!$A$7:$A$24,MATCH(F940,M_Depot!$B$7:$B$24,0)),""))*(M_DepotPrice!$G$10:$G$52="Special"),0)),INDEX(M_DepotPrice!$C$10:$C$52,MATCH(1,(M_DepotPrice!$A$10:$A$52=I940)*(M_DepotPrice!$G$10:$G$52="Default"),0)))</f>
        <v>8898</v>
      </c>
      <c r="N940" s="95">
        <f t="shared" si="29"/>
        <v>62997.84</v>
      </c>
      <c r="O940" s="82" t="str">
        <f t="shared" si="28"/>
        <v>MOS100802|PH002|CK6-33362</v>
      </c>
    </row>
    <row r="941" spans="1:15" ht="15" customHeight="1" x14ac:dyDescent="0.3">
      <c r="A941" s="60" t="s">
        <v>1620</v>
      </c>
      <c r="B941" s="60" t="s">
        <v>519</v>
      </c>
      <c r="C941" s="62">
        <v>46179</v>
      </c>
      <c r="D941" s="63" t="s">
        <v>415</v>
      </c>
      <c r="E941" s="66" t="str">
        <f>IFERROR(INDEX(M_User!$A$12:$J$67,MATCH(D941,M_User!$D$12:$D$67,0),3),"UNMAPPED")</f>
        <v>Joyline J Lyimo</v>
      </c>
      <c r="F941" s="65" t="str">
        <f>IFERROR(INDEX(M_User!$A$12:$J$67,MATCH(D941,M_User!$D$12:$D$67,0),5),"UNMAPPED")</f>
        <v>MOS</v>
      </c>
      <c r="G941" s="63" t="s">
        <v>756</v>
      </c>
      <c r="H941" s="69" t="s">
        <v>757</v>
      </c>
      <c r="I941" s="63" t="s">
        <v>234</v>
      </c>
      <c r="J941" s="66" t="str">
        <f>IFERROR(INDEX(M_SKU!$A$18:$J$57,MATCH(I941,M_SKU!$B$18:$B$57,0),1),"UNKNOWN SKU")</f>
        <v>Fanta Orange Pet 500ML ( x 12)</v>
      </c>
      <c r="K941" s="63" t="s">
        <v>523</v>
      </c>
      <c r="L941" s="276">
        <v>16</v>
      </c>
      <c r="M941" s="91" cm="1">
        <f t="array" ref="M941">IFERROR(INDEX(M_DepotPrice!$C$10:$C$52,MATCH(1,(M_DepotPrice!$A$10:$A$52=I941)*(M_DepotPrice!$H$10:$H$52=IFERROR(INDEX(M_Depot!$A$7:$A$24,MATCH(F941,M_Depot!$B$7:$B$24,0)),""))*(M_DepotPrice!$G$10:$G$52="Special"),0)),INDEX(M_DepotPrice!$C$10:$C$52,MATCH(1,(M_DepotPrice!$A$10:$A$52=I941)*(M_DepotPrice!$G$10:$G$52="Default"),0)))</f>
        <v>8898</v>
      </c>
      <c r="N941" s="67">
        <f t="shared" si="29"/>
        <v>167994.23999999999</v>
      </c>
      <c r="O941" s="66" t="str">
        <f t="shared" si="28"/>
        <v>MOS100802|PH003|CK6-33405</v>
      </c>
    </row>
    <row r="942" spans="1:15" ht="15" customHeight="1" x14ac:dyDescent="0.3">
      <c r="A942" s="70" t="s">
        <v>1621</v>
      </c>
      <c r="B942" s="70" t="s">
        <v>519</v>
      </c>
      <c r="C942" s="72">
        <v>46179</v>
      </c>
      <c r="D942" s="73" t="s">
        <v>415</v>
      </c>
      <c r="E942" s="76" t="str">
        <f>IFERROR(INDEX(M_User!$A$12:$J$67,MATCH(D942,M_User!$D$12:$D$67,0),3),"UNMAPPED")</f>
        <v>Joyline J Lyimo</v>
      </c>
      <c r="F942" s="75" t="str">
        <f>IFERROR(INDEX(M_User!$A$12:$J$67,MATCH(D942,M_User!$D$12:$D$67,0),5),"UNMAPPED")</f>
        <v>MOS</v>
      </c>
      <c r="G942" s="73" t="s">
        <v>756</v>
      </c>
      <c r="H942" s="92" t="s">
        <v>757</v>
      </c>
      <c r="I942" s="73" t="s">
        <v>236</v>
      </c>
      <c r="J942" s="76" t="str">
        <f>IFERROR(INDEX(M_SKU!$A$18:$J$57,MATCH(I942,M_SKU!$B$18:$B$57,0),1),"UNKNOWN SKU")</f>
        <v>Fanta Passion Pet 500ML ( x12)</v>
      </c>
      <c r="K942" s="73" t="s">
        <v>524</v>
      </c>
      <c r="L942" s="276">
        <v>4</v>
      </c>
      <c r="M942" s="94" cm="1">
        <f t="array" ref="M942">IFERROR(INDEX(M_DepotPrice!$C$10:$C$52,MATCH(1,(M_DepotPrice!$A$10:$A$52=I942)*(M_DepotPrice!$H$10:$H$52=IFERROR(INDEX(M_Depot!$A$7:$A$24,MATCH(F942,M_Depot!$B$7:$B$24,0)),""))*(M_DepotPrice!$G$10:$G$52="Special"),0)),INDEX(M_DepotPrice!$C$10:$C$52,MATCH(1,(M_DepotPrice!$A$10:$A$52=I942)*(M_DepotPrice!$G$10:$G$52="Default"),0)))</f>
        <v>8898</v>
      </c>
      <c r="N942" s="95">
        <f t="shared" si="29"/>
        <v>41998.559999999998</v>
      </c>
      <c r="O942" s="82" t="str">
        <f t="shared" si="28"/>
        <v>MOS100802|PH004|CK5-33334</v>
      </c>
    </row>
    <row r="943" spans="1:15" ht="15" customHeight="1" x14ac:dyDescent="0.3">
      <c r="A943" s="60" t="s">
        <v>1622</v>
      </c>
      <c r="B943" s="60" t="s">
        <v>519</v>
      </c>
      <c r="C943" s="62">
        <v>46179</v>
      </c>
      <c r="D943" s="63" t="s">
        <v>415</v>
      </c>
      <c r="E943" s="66" t="str">
        <f>IFERROR(INDEX(M_User!$A$12:$J$67,MATCH(D943,M_User!$D$12:$D$67,0),3),"UNMAPPED")</f>
        <v>Joyline J Lyimo</v>
      </c>
      <c r="F943" s="65" t="str">
        <f>IFERROR(INDEX(M_User!$A$12:$J$67,MATCH(D943,M_User!$D$12:$D$67,0),5),"UNMAPPED")</f>
        <v>MOS</v>
      </c>
      <c r="G943" s="63" t="s">
        <v>756</v>
      </c>
      <c r="H943" s="69" t="s">
        <v>757</v>
      </c>
      <c r="I943" s="63" t="s">
        <v>242</v>
      </c>
      <c r="J943" s="66" t="str">
        <f>IFERROR(INDEX(M_SKU!$A$18:$J$57,MATCH(I943,M_SKU!$B$18:$B$57,0),1),"UNKNOWN SKU")</f>
        <v>Stoney Tangawizi Pet 500 ml ( x12)</v>
      </c>
      <c r="K943" s="63" t="s">
        <v>525</v>
      </c>
      <c r="L943" s="276">
        <v>2</v>
      </c>
      <c r="M943" s="91" cm="1">
        <f t="array" ref="M943">IFERROR(INDEX(M_DepotPrice!$C$10:$C$52,MATCH(1,(M_DepotPrice!$A$10:$A$52=I943)*(M_DepotPrice!$H$10:$H$52=IFERROR(INDEX(M_Depot!$A$7:$A$24,MATCH(F943,M_Depot!$B$7:$B$24,0)),""))*(M_DepotPrice!$G$10:$G$52="Special"),0)),INDEX(M_DepotPrice!$C$10:$C$52,MATCH(1,(M_DepotPrice!$A$10:$A$52=I943)*(M_DepotPrice!$G$10:$G$52="Default"),0)))</f>
        <v>8898</v>
      </c>
      <c r="N943" s="67">
        <f t="shared" si="29"/>
        <v>20999.279999999999</v>
      </c>
      <c r="O943" s="66" t="str">
        <f t="shared" si="28"/>
        <v>MOS100802|PH007|CK6-33375</v>
      </c>
    </row>
    <row r="944" spans="1:15" ht="15" customHeight="1" x14ac:dyDescent="0.3">
      <c r="A944" s="70" t="s">
        <v>1623</v>
      </c>
      <c r="B944" s="70" t="s">
        <v>519</v>
      </c>
      <c r="C944" s="72">
        <v>46179</v>
      </c>
      <c r="D944" s="73" t="s">
        <v>415</v>
      </c>
      <c r="E944" s="76" t="str">
        <f>IFERROR(INDEX(M_User!$A$12:$J$67,MATCH(D944,M_User!$D$12:$D$67,0),3),"UNMAPPED")</f>
        <v>Joyline J Lyimo</v>
      </c>
      <c r="F944" s="75" t="str">
        <f>IFERROR(INDEX(M_User!$A$12:$J$67,MATCH(D944,M_User!$D$12:$D$67,0),5),"UNMAPPED")</f>
        <v>MOS</v>
      </c>
      <c r="G944" s="73" t="s">
        <v>756</v>
      </c>
      <c r="H944" s="92" t="s">
        <v>757</v>
      </c>
      <c r="I944" s="73" t="s">
        <v>244</v>
      </c>
      <c r="J944" s="76" t="str">
        <f>IFERROR(INDEX(M_SKU!$A$18:$J$57,MATCH(I944,M_SKU!$B$18:$B$57,0),1),"UNKNOWN SKU")</f>
        <v>Sparletta Pinenut Pet 500 ml ( x12)</v>
      </c>
      <c r="K944" s="73" t="s">
        <v>526</v>
      </c>
      <c r="L944" s="276">
        <v>2</v>
      </c>
      <c r="M944" s="94" cm="1">
        <f t="array" ref="M944">IFERROR(INDEX(M_DepotPrice!$C$10:$C$52,MATCH(1,(M_DepotPrice!$A$10:$A$52=I944)*(M_DepotPrice!$H$10:$H$52=IFERROR(INDEX(M_Depot!$A$7:$A$24,MATCH(F944,M_Depot!$B$7:$B$24,0)),""))*(M_DepotPrice!$G$10:$G$52="Special"),0)),INDEX(M_DepotPrice!$C$10:$C$52,MATCH(1,(M_DepotPrice!$A$10:$A$52=I944)*(M_DepotPrice!$G$10:$G$52="Default"),0)))</f>
        <v>8898</v>
      </c>
      <c r="N944" s="95">
        <f t="shared" si="29"/>
        <v>20999.279999999999</v>
      </c>
      <c r="O944" s="82" t="str">
        <f t="shared" si="28"/>
        <v>MOS100802|PH008|CK5-33370</v>
      </c>
    </row>
    <row r="945" spans="1:15" ht="15" customHeight="1" x14ac:dyDescent="0.3">
      <c r="A945" s="60" t="s">
        <v>1624</v>
      </c>
      <c r="B945" s="60" t="s">
        <v>588</v>
      </c>
      <c r="C945" s="62">
        <v>46179</v>
      </c>
      <c r="D945" s="63" t="s">
        <v>415</v>
      </c>
      <c r="E945" s="66" t="str">
        <f>IFERROR(INDEX(M_User!$A$12:$J$67,MATCH(D945,M_User!$D$12:$D$67,0),3),"UNMAPPED")</f>
        <v>Joyline J Lyimo</v>
      </c>
      <c r="F945" s="65" t="str">
        <f>IFERROR(INDEX(M_User!$A$12:$J$67,MATCH(D945,M_User!$D$12:$D$67,0),5),"UNMAPPED")</f>
        <v>MOS</v>
      </c>
      <c r="G945" s="63" t="s">
        <v>756</v>
      </c>
      <c r="H945" s="69" t="s">
        <v>757</v>
      </c>
      <c r="I945" s="63" t="s">
        <v>252</v>
      </c>
      <c r="J945" s="66" t="str">
        <f>IFERROR(INDEX(M_SKU!$A$18:$J$57,MATCH(I945,M_SKU!$B$18:$B$57,0),1),"UNKNOWN SKU")</f>
        <v>Sprite Zero Pet 300ML (x 12)</v>
      </c>
      <c r="K945" s="63" t="s">
        <v>545</v>
      </c>
      <c r="L945" s="276">
        <v>1</v>
      </c>
      <c r="M945" s="91" cm="1">
        <f t="array" ref="M945">IFERROR(INDEX(M_DepotPrice!$C$10:$C$52,MATCH(1,(M_DepotPrice!$A$10:$A$52=I945)*(M_DepotPrice!$H$10:$H$52=IFERROR(INDEX(M_Depot!$A$7:$A$24,MATCH(F945,M_Depot!$B$7:$B$24,0)),""))*(M_DepotPrice!$G$10:$G$52="Special"),0)),INDEX(M_DepotPrice!$C$10:$C$52,MATCH(1,(M_DepotPrice!$A$10:$A$52=I945)*(M_DepotPrice!$G$10:$G$52="Default"),0)))</f>
        <v>5085</v>
      </c>
      <c r="N945" s="67">
        <f t="shared" si="29"/>
        <v>6000.2999999999993</v>
      </c>
      <c r="O945" s="66" t="str">
        <f t="shared" si="28"/>
        <v>MOS100802|PO010|CK5-33360</v>
      </c>
    </row>
    <row r="946" spans="1:15" ht="15" customHeight="1" x14ac:dyDescent="0.3">
      <c r="A946" s="70" t="s">
        <v>1625</v>
      </c>
      <c r="B946" s="70" t="s">
        <v>588</v>
      </c>
      <c r="C946" s="72">
        <v>46179</v>
      </c>
      <c r="D946" s="73" t="s">
        <v>415</v>
      </c>
      <c r="E946" s="76" t="str">
        <f>IFERROR(INDEX(M_User!$A$12:$J$67,MATCH(D946,M_User!$D$12:$D$67,0),3),"UNMAPPED")</f>
        <v>Joyline J Lyimo</v>
      </c>
      <c r="F946" s="75" t="str">
        <f>IFERROR(INDEX(M_User!$A$12:$J$67,MATCH(D946,M_User!$D$12:$D$67,0),5),"UNMAPPED")</f>
        <v>MOS</v>
      </c>
      <c r="G946" s="73" t="s">
        <v>756</v>
      </c>
      <c r="H946" s="92" t="s">
        <v>757</v>
      </c>
      <c r="I946" s="73" t="s">
        <v>254</v>
      </c>
      <c r="J946" s="76" t="str">
        <f>IFERROR(INDEX(M_SKU!$A$18:$J$57,MATCH(I946,M_SKU!$B$18:$B$57,0),1),"UNKNOWN SKU")</f>
        <v>Fanta Zero Pet 300ML (x 12)</v>
      </c>
      <c r="K946" s="73" t="s">
        <v>546</v>
      </c>
      <c r="L946" s="276">
        <v>2</v>
      </c>
      <c r="M946" s="94" cm="1">
        <f t="array" ref="M946">IFERROR(INDEX(M_DepotPrice!$C$10:$C$52,MATCH(1,(M_DepotPrice!$A$10:$A$52=I946)*(M_DepotPrice!$H$10:$H$52=IFERROR(INDEX(M_Depot!$A$7:$A$24,MATCH(F946,M_Depot!$B$7:$B$24,0)),""))*(M_DepotPrice!$G$10:$G$52="Special"),0)),INDEX(M_DepotPrice!$C$10:$C$52,MATCH(1,(M_DepotPrice!$A$10:$A$52=I946)*(M_DepotPrice!$G$10:$G$52="Default"),0)))</f>
        <v>5085</v>
      </c>
      <c r="N946" s="95">
        <f t="shared" si="29"/>
        <v>12000.599999999999</v>
      </c>
      <c r="O946" s="82" t="str">
        <f t="shared" si="28"/>
        <v>MOS100802|PO012|CK5-33369</v>
      </c>
    </row>
    <row r="947" spans="1:15" ht="15" customHeight="1" x14ac:dyDescent="0.3">
      <c r="A947" s="60" t="s">
        <v>1626</v>
      </c>
      <c r="B947" s="60" t="s">
        <v>588</v>
      </c>
      <c r="C947" s="62">
        <v>46179</v>
      </c>
      <c r="D947" s="63" t="s">
        <v>415</v>
      </c>
      <c r="E947" s="66" t="str">
        <f>IFERROR(INDEX(M_User!$A$12:$J$67,MATCH(D947,M_User!$D$12:$D$67,0),3),"UNMAPPED")</f>
        <v>Joyline J Lyimo</v>
      </c>
      <c r="F947" s="65" t="str">
        <f>IFERROR(INDEX(M_User!$A$12:$J$67,MATCH(D947,M_User!$D$12:$D$67,0),5),"UNMAPPED")</f>
        <v>MOS</v>
      </c>
      <c r="G947" s="63" t="s">
        <v>756</v>
      </c>
      <c r="H947" s="69" t="s">
        <v>757</v>
      </c>
      <c r="I947" s="63" t="s">
        <v>261</v>
      </c>
      <c r="J947" s="66" t="str">
        <f>IFERROR(INDEX(M_SKU!$A$18:$J$57,MATCH(I947,M_SKU!$B$18:$B$57,0),1),"UNKNOWN SKU")</f>
        <v>Sparletta Pine Apple Pet 300ML (x 12)</v>
      </c>
      <c r="K947" s="63" t="s">
        <v>547</v>
      </c>
      <c r="L947" s="276">
        <v>9</v>
      </c>
      <c r="M947" s="91" cm="1">
        <f t="array" ref="M947">IFERROR(INDEX(M_DepotPrice!$C$10:$C$52,MATCH(1,(M_DepotPrice!$A$10:$A$52=I947)*(M_DepotPrice!$H$10:$H$52=IFERROR(INDEX(M_Depot!$A$7:$A$24,MATCH(F947,M_Depot!$B$7:$B$24,0)),""))*(M_DepotPrice!$G$10:$G$52="Special"),0)),INDEX(M_DepotPrice!$C$10:$C$52,MATCH(1,(M_DepotPrice!$A$10:$A$52=I947)*(M_DepotPrice!$G$10:$G$52="Default"),0)))</f>
        <v>5085</v>
      </c>
      <c r="N947" s="67">
        <f t="shared" si="29"/>
        <v>54002.7</v>
      </c>
      <c r="O947" s="66" t="str">
        <f t="shared" si="28"/>
        <v>MOS100802|PO015|CK5-33366</v>
      </c>
    </row>
    <row r="948" spans="1:15" ht="15" customHeight="1" x14ac:dyDescent="0.3">
      <c r="A948" s="70" t="s">
        <v>1627</v>
      </c>
      <c r="B948" s="70" t="s">
        <v>588</v>
      </c>
      <c r="C948" s="72">
        <v>46179</v>
      </c>
      <c r="D948" s="73" t="s">
        <v>415</v>
      </c>
      <c r="E948" s="76" t="str">
        <f>IFERROR(INDEX(M_User!$A$12:$J$67,MATCH(D948,M_User!$D$12:$D$67,0),3),"UNMAPPED")</f>
        <v>Joyline J Lyimo</v>
      </c>
      <c r="F948" s="75" t="str">
        <f>IFERROR(INDEX(M_User!$A$12:$J$67,MATCH(D948,M_User!$D$12:$D$67,0),5),"UNMAPPED")</f>
        <v>MOS</v>
      </c>
      <c r="G948" s="73" t="s">
        <v>797</v>
      </c>
      <c r="H948" s="92" t="s">
        <v>798</v>
      </c>
      <c r="I948" s="73" t="s">
        <v>170</v>
      </c>
      <c r="J948" s="76" t="str">
        <f>IFERROR(INDEX(M_SKU!$A$18:$J$57,MATCH(I948,M_SKU!$B$18:$B$57,0),1),"UNKNOWN SKU")</f>
        <v>Coke RGB 350ml</v>
      </c>
      <c r="K948" s="73" t="s">
        <v>585</v>
      </c>
      <c r="L948" s="276">
        <v>31.6448</v>
      </c>
      <c r="M948" s="94" cm="1">
        <f t="array" ref="M948">IFERROR(INDEX(M_DepotPrice!$C$10:$C$52,MATCH(1,(M_DepotPrice!$A$10:$A$52=I948)*(M_DepotPrice!$H$10:$H$52=IFERROR(INDEX(M_Depot!$A$7:$A$24,MATCH(F948,M_Depot!$B$7:$B$24,0)),""))*(M_DepotPrice!$G$10:$G$52="Special"),0)),INDEX(M_DepotPrice!$C$10:$C$52,MATCH(1,(M_DepotPrice!$A$10:$A$52=I948)*(M_DepotPrice!$G$10:$G$52="Default"),0)))</f>
        <v>11780</v>
      </c>
      <c r="N948" s="95">
        <f t="shared" si="29"/>
        <v>439875.37792</v>
      </c>
      <c r="O948" s="82" t="str">
        <f t="shared" si="28"/>
        <v>MOS100802|FG001|CK3-33410</v>
      </c>
    </row>
    <row r="949" spans="1:15" ht="15" customHeight="1" x14ac:dyDescent="0.3">
      <c r="A949" s="60" t="s">
        <v>1628</v>
      </c>
      <c r="B949" s="60" t="s">
        <v>588</v>
      </c>
      <c r="C949" s="62">
        <v>46179</v>
      </c>
      <c r="D949" s="63" t="s">
        <v>415</v>
      </c>
      <c r="E949" s="66" t="str">
        <f>IFERROR(INDEX(M_User!$A$12:$J$67,MATCH(D949,M_User!$D$12:$D$67,0),3),"UNMAPPED")</f>
        <v>Joyline J Lyimo</v>
      </c>
      <c r="F949" s="65" t="str">
        <f>IFERROR(INDEX(M_User!$A$12:$J$67,MATCH(D949,M_User!$D$12:$D$67,0),5),"UNMAPPED")</f>
        <v>MOS</v>
      </c>
      <c r="G949" s="63" t="s">
        <v>797</v>
      </c>
      <c r="H949" s="69" t="s">
        <v>798</v>
      </c>
      <c r="I949" s="63" t="s">
        <v>178</v>
      </c>
      <c r="J949" s="66" t="str">
        <f>IFERROR(INDEX(M_SKU!$A$18:$J$57,MATCH(I949,M_SKU!$B$18:$B$57,0),1),"UNKNOWN SKU")</f>
        <v>Fanta Orange RGB 350ml</v>
      </c>
      <c r="K949" s="63" t="s">
        <v>531</v>
      </c>
      <c r="L949" s="276">
        <v>11.5631</v>
      </c>
      <c r="M949" s="91" cm="1">
        <f t="array" ref="M949">IFERROR(INDEX(M_DepotPrice!$C$10:$C$52,MATCH(1,(M_DepotPrice!$A$10:$A$52=I949)*(M_DepotPrice!$H$10:$H$52=IFERROR(INDEX(M_Depot!$A$7:$A$24,MATCH(F949,M_Depot!$B$7:$B$24,0)),""))*(M_DepotPrice!$G$10:$G$52="Special"),0)),INDEX(M_DepotPrice!$C$10:$C$52,MATCH(1,(M_DepotPrice!$A$10:$A$52=I949)*(M_DepotPrice!$G$10:$G$52="Default"),0)))</f>
        <v>11780</v>
      </c>
      <c r="N949" s="67">
        <f t="shared" si="29"/>
        <v>160731.71523999999</v>
      </c>
      <c r="O949" s="66" t="str">
        <f t="shared" si="28"/>
        <v>MOS100802|FG002|CK3-33407</v>
      </c>
    </row>
    <row r="950" spans="1:15" ht="15" customHeight="1" x14ac:dyDescent="0.3">
      <c r="A950" s="70" t="s">
        <v>1629</v>
      </c>
      <c r="B950" s="70" t="s">
        <v>588</v>
      </c>
      <c r="C950" s="72">
        <v>46179</v>
      </c>
      <c r="D950" s="73" t="s">
        <v>415</v>
      </c>
      <c r="E950" s="76" t="str">
        <f>IFERROR(INDEX(M_User!$A$12:$J$67,MATCH(D950,M_User!$D$12:$D$67,0),3),"UNMAPPED")</f>
        <v>Joyline J Lyimo</v>
      </c>
      <c r="F950" s="75" t="str">
        <f>IFERROR(INDEX(M_User!$A$12:$J$67,MATCH(D950,M_User!$D$12:$D$67,0),5),"UNMAPPED")</f>
        <v>MOS</v>
      </c>
      <c r="G950" s="73" t="s">
        <v>797</v>
      </c>
      <c r="H950" s="92" t="s">
        <v>798</v>
      </c>
      <c r="I950" s="73" t="s">
        <v>181</v>
      </c>
      <c r="J950" s="76" t="str">
        <f>IFERROR(INDEX(M_SKU!$A$18:$J$57,MATCH(I950,M_SKU!$B$18:$B$57,0),1),"UNKNOWN SKU")</f>
        <v>Fanta Passion RGB 350ml</v>
      </c>
      <c r="K950" s="73" t="s">
        <v>550</v>
      </c>
      <c r="L950" s="276">
        <v>2.2498</v>
      </c>
      <c r="M950" s="94" cm="1">
        <f t="array" ref="M950">IFERROR(INDEX(M_DepotPrice!$C$10:$C$52,MATCH(1,(M_DepotPrice!$A$10:$A$52=I950)*(M_DepotPrice!$H$10:$H$52=IFERROR(INDEX(M_Depot!$A$7:$A$24,MATCH(F950,M_Depot!$B$7:$B$24,0)),""))*(M_DepotPrice!$G$10:$G$52="Special"),0)),INDEX(M_DepotPrice!$C$10:$C$52,MATCH(1,(M_DepotPrice!$A$10:$A$52=I950)*(M_DepotPrice!$G$10:$G$52="Default"),0)))</f>
        <v>11780</v>
      </c>
      <c r="N950" s="95">
        <f t="shared" si="29"/>
        <v>31273.119919999997</v>
      </c>
      <c r="O950" s="82" t="str">
        <f t="shared" si="28"/>
        <v>MOS100802|FG003|CK3-33356</v>
      </c>
    </row>
    <row r="951" spans="1:15" ht="15" customHeight="1" x14ac:dyDescent="0.3">
      <c r="A951" s="60" t="s">
        <v>1630</v>
      </c>
      <c r="B951" s="60" t="s">
        <v>588</v>
      </c>
      <c r="C951" s="62">
        <v>46179</v>
      </c>
      <c r="D951" s="63" t="s">
        <v>415</v>
      </c>
      <c r="E951" s="66" t="str">
        <f>IFERROR(INDEX(M_User!$A$12:$J$67,MATCH(D951,M_User!$D$12:$D$67,0),3),"UNMAPPED")</f>
        <v>Joyline J Lyimo</v>
      </c>
      <c r="F951" s="65" t="str">
        <f>IFERROR(INDEX(M_User!$A$12:$J$67,MATCH(D951,M_User!$D$12:$D$67,0),5),"UNMAPPED")</f>
        <v>MOS</v>
      </c>
      <c r="G951" s="63" t="s">
        <v>797</v>
      </c>
      <c r="H951" s="69" t="s">
        <v>798</v>
      </c>
      <c r="I951" s="63" t="s">
        <v>183</v>
      </c>
      <c r="J951" s="66" t="str">
        <f>IFERROR(INDEX(M_SKU!$A$18:$J$57,MATCH(I951,M_SKU!$B$18:$B$57,0),1),"UNKNOWN SKU")</f>
        <v>Fanta Pineapple RGB 350ml</v>
      </c>
      <c r="K951" s="63" t="s">
        <v>533</v>
      </c>
      <c r="L951" s="276">
        <v>5.0438999999999998</v>
      </c>
      <c r="M951" s="91" cm="1">
        <f t="array" ref="M951">IFERROR(INDEX(M_DepotPrice!$C$10:$C$52,MATCH(1,(M_DepotPrice!$A$10:$A$52=I951)*(M_DepotPrice!$H$10:$H$52=IFERROR(INDEX(M_Depot!$A$7:$A$24,MATCH(F951,M_Depot!$B$7:$B$24,0)),""))*(M_DepotPrice!$G$10:$G$52="Special"),0)),INDEX(M_DepotPrice!$C$10:$C$52,MATCH(1,(M_DepotPrice!$A$10:$A$52=I951)*(M_DepotPrice!$G$10:$G$52="Default"),0)))</f>
        <v>11780</v>
      </c>
      <c r="N951" s="67">
        <f t="shared" si="29"/>
        <v>70112.227559999999</v>
      </c>
      <c r="O951" s="66" t="str">
        <f t="shared" si="28"/>
        <v>MOS100802|FG004|CK3-33385</v>
      </c>
    </row>
    <row r="952" spans="1:15" ht="15" customHeight="1" x14ac:dyDescent="0.3">
      <c r="A952" s="70" t="s">
        <v>1631</v>
      </c>
      <c r="B952" s="70" t="s">
        <v>588</v>
      </c>
      <c r="C952" s="72">
        <v>46179</v>
      </c>
      <c r="D952" s="73" t="s">
        <v>415</v>
      </c>
      <c r="E952" s="76" t="str">
        <f>IFERROR(INDEX(M_User!$A$12:$J$67,MATCH(D952,M_User!$D$12:$D$67,0),3),"UNMAPPED")</f>
        <v>Joyline J Lyimo</v>
      </c>
      <c r="F952" s="75" t="str">
        <f>IFERROR(INDEX(M_User!$A$12:$J$67,MATCH(D952,M_User!$D$12:$D$67,0),5),"UNMAPPED")</f>
        <v>MOS</v>
      </c>
      <c r="G952" s="73" t="s">
        <v>797</v>
      </c>
      <c r="H952" s="92" t="s">
        <v>798</v>
      </c>
      <c r="I952" s="73" t="s">
        <v>185</v>
      </c>
      <c r="J952" s="76" t="str">
        <f>IFERROR(INDEX(M_SKU!$A$18:$J$57,MATCH(I952,M_SKU!$B$18:$B$57,0),1),"UNKNOWN SKU")</f>
        <v>Fanta Fruit Blast RGB 350 ml</v>
      </c>
      <c r="K952" s="73" t="s">
        <v>534</v>
      </c>
      <c r="L952" s="276">
        <v>1.0673999999999999</v>
      </c>
      <c r="M952" s="94" cm="1">
        <f t="array" ref="M952">IFERROR(INDEX(M_DepotPrice!$C$10:$C$52,MATCH(1,(M_DepotPrice!$A$10:$A$52=I952)*(M_DepotPrice!$H$10:$H$52=IFERROR(INDEX(M_Depot!$A$7:$A$24,MATCH(F952,M_Depot!$B$7:$B$24,0)),""))*(M_DepotPrice!$G$10:$G$52="Special"),0)),INDEX(M_DepotPrice!$C$10:$C$52,MATCH(1,(M_DepotPrice!$A$10:$A$52=I952)*(M_DepotPrice!$G$10:$G$52="Default"),0)))</f>
        <v>11780</v>
      </c>
      <c r="N952" s="95">
        <f t="shared" si="29"/>
        <v>14837.286959999999</v>
      </c>
      <c r="O952" s="82" t="str">
        <f t="shared" si="28"/>
        <v>MOS100802|FG005|CK3-33402</v>
      </c>
    </row>
    <row r="953" spans="1:15" ht="15" customHeight="1" x14ac:dyDescent="0.3">
      <c r="A953" s="60" t="s">
        <v>1632</v>
      </c>
      <c r="B953" s="60" t="s">
        <v>588</v>
      </c>
      <c r="C953" s="62">
        <v>46179</v>
      </c>
      <c r="D953" s="63" t="s">
        <v>415</v>
      </c>
      <c r="E953" s="66" t="str">
        <f>IFERROR(INDEX(M_User!$A$12:$J$67,MATCH(D953,M_User!$D$12:$D$67,0),3),"UNMAPPED")</f>
        <v>Joyline J Lyimo</v>
      </c>
      <c r="F953" s="65" t="str">
        <f>IFERROR(INDEX(M_User!$A$12:$J$67,MATCH(D953,M_User!$D$12:$D$67,0),5),"UNMAPPED")</f>
        <v>MOS</v>
      </c>
      <c r="G953" s="63" t="s">
        <v>797</v>
      </c>
      <c r="H953" s="69" t="s">
        <v>798</v>
      </c>
      <c r="I953" s="63" t="s">
        <v>190</v>
      </c>
      <c r="J953" s="66" t="str">
        <f>IFERROR(INDEX(M_SKU!$A$18:$J$57,MATCH(I953,M_SKU!$B$18:$B$57,0),1),"UNKNOWN SKU")</f>
        <v>Stoney Tangawizi RGB 350ml</v>
      </c>
      <c r="K953" s="63" t="s">
        <v>536</v>
      </c>
      <c r="L953" s="276">
        <v>0.80169999999999997</v>
      </c>
      <c r="M953" s="91" cm="1">
        <f t="array" ref="M953">IFERROR(INDEX(M_DepotPrice!$C$10:$C$52,MATCH(1,(M_DepotPrice!$A$10:$A$52=I953)*(M_DepotPrice!$H$10:$H$52=IFERROR(INDEX(M_Depot!$A$7:$A$24,MATCH(F953,M_Depot!$B$7:$B$24,0)),""))*(M_DepotPrice!$G$10:$G$52="Special"),0)),INDEX(M_DepotPrice!$C$10:$C$52,MATCH(1,(M_DepotPrice!$A$10:$A$52=I953)*(M_DepotPrice!$G$10:$G$52="Default"),0)))</f>
        <v>11780</v>
      </c>
      <c r="N953" s="67">
        <f t="shared" si="29"/>
        <v>11143.95068</v>
      </c>
      <c r="O953" s="66" t="str">
        <f t="shared" si="28"/>
        <v>MOS100802|FG007|CK3-33404</v>
      </c>
    </row>
    <row r="954" spans="1:15" ht="15" customHeight="1" x14ac:dyDescent="0.3">
      <c r="A954" s="70" t="s">
        <v>1633</v>
      </c>
      <c r="B954" s="70" t="s">
        <v>588</v>
      </c>
      <c r="C954" s="72">
        <v>46179</v>
      </c>
      <c r="D954" s="73" t="s">
        <v>415</v>
      </c>
      <c r="E954" s="76" t="str">
        <f>IFERROR(INDEX(M_User!$A$12:$J$67,MATCH(D954,M_User!$D$12:$D$67,0),3),"UNMAPPED")</f>
        <v>Joyline J Lyimo</v>
      </c>
      <c r="F954" s="75" t="str">
        <f>IFERROR(INDEX(M_User!$A$12:$J$67,MATCH(D954,M_User!$D$12:$D$67,0),5),"UNMAPPED")</f>
        <v>MOS</v>
      </c>
      <c r="G954" s="73" t="s">
        <v>797</v>
      </c>
      <c r="H954" s="92" t="s">
        <v>798</v>
      </c>
      <c r="I954" s="73" t="s">
        <v>193</v>
      </c>
      <c r="J954" s="76" t="str">
        <f>IFERROR(INDEX(M_SKU!$A$18:$J$57,MATCH(I954,M_SKU!$B$18:$B$57,0),1),"UNKNOWN SKU")</f>
        <v>Sparletta Pinenut RGB 350ml</v>
      </c>
      <c r="K954" s="73" t="s">
        <v>537</v>
      </c>
      <c r="L954" s="276">
        <v>1.7422</v>
      </c>
      <c r="M954" s="94" cm="1">
        <f t="array" ref="M954">IFERROR(INDEX(M_DepotPrice!$C$10:$C$52,MATCH(1,(M_DepotPrice!$A$10:$A$52=I954)*(M_DepotPrice!$H$10:$H$52=IFERROR(INDEX(M_Depot!$A$7:$A$24,MATCH(F954,M_Depot!$B$7:$B$24,0)),""))*(M_DepotPrice!$G$10:$G$52="Special"),0)),INDEX(M_DepotPrice!$C$10:$C$52,MATCH(1,(M_DepotPrice!$A$10:$A$52=I954)*(M_DepotPrice!$G$10:$G$52="Default"),0)))</f>
        <v>11780</v>
      </c>
      <c r="N954" s="95">
        <f t="shared" si="29"/>
        <v>24217.276879999998</v>
      </c>
      <c r="O954" s="82" t="str">
        <f t="shared" si="28"/>
        <v>MOS100802|FG008|CK3-33365</v>
      </c>
    </row>
    <row r="955" spans="1:15" ht="15" customHeight="1" x14ac:dyDescent="0.3">
      <c r="A955" s="60" t="s">
        <v>1634</v>
      </c>
      <c r="B955" s="60" t="s">
        <v>588</v>
      </c>
      <c r="C955" s="62">
        <v>46179</v>
      </c>
      <c r="D955" s="63" t="s">
        <v>415</v>
      </c>
      <c r="E955" s="66" t="str">
        <f>IFERROR(INDEX(M_User!$A$12:$J$67,MATCH(D955,M_User!$D$12:$D$67,0),3),"UNMAPPED")</f>
        <v>Joyline J Lyimo</v>
      </c>
      <c r="F955" s="65" t="str">
        <f>IFERROR(INDEX(M_User!$A$12:$J$67,MATCH(D955,M_User!$D$12:$D$67,0),5),"UNMAPPED")</f>
        <v>MOS</v>
      </c>
      <c r="G955" s="63" t="s">
        <v>797</v>
      </c>
      <c r="H955" s="69" t="s">
        <v>798</v>
      </c>
      <c r="I955" s="63" t="s">
        <v>196</v>
      </c>
      <c r="J955" s="66" t="str">
        <f>IFERROR(INDEX(M_SKU!$A$18:$J$57,MATCH(I955,M_SKU!$B$18:$B$57,0),1),"UNKNOWN SKU")</f>
        <v>Krest Bitter Lemon RGB 300ml</v>
      </c>
      <c r="K955" s="63" t="s">
        <v>538</v>
      </c>
      <c r="L955" s="276">
        <v>0.54100000000000004</v>
      </c>
      <c r="M955" s="91" cm="1">
        <f t="array" ref="M955">IFERROR(INDEX(M_DepotPrice!$C$10:$C$52,MATCH(1,(M_DepotPrice!$A$10:$A$52=I955)*(M_DepotPrice!$H$10:$H$52=IFERROR(INDEX(M_Depot!$A$7:$A$24,MATCH(F955,M_Depot!$B$7:$B$24,0)),""))*(M_DepotPrice!$G$10:$G$52="Special"),0)),INDEX(M_DepotPrice!$C$10:$C$52,MATCH(1,(M_DepotPrice!$A$10:$A$52=I955)*(M_DepotPrice!$G$10:$G$52="Default"),0)))</f>
        <v>11780</v>
      </c>
      <c r="N955" s="67">
        <f t="shared" si="29"/>
        <v>7520.1163999999999</v>
      </c>
      <c r="O955" s="66" t="str">
        <f t="shared" si="28"/>
        <v>MOS100802|FG009|CK3-33348</v>
      </c>
    </row>
    <row r="956" spans="1:15" ht="15" customHeight="1" x14ac:dyDescent="0.3">
      <c r="A956" s="70" t="s">
        <v>1635</v>
      </c>
      <c r="B956" s="70" t="s">
        <v>588</v>
      </c>
      <c r="C956" s="72">
        <v>46179</v>
      </c>
      <c r="D956" s="73" t="s">
        <v>415</v>
      </c>
      <c r="E956" s="76" t="str">
        <f>IFERROR(INDEX(M_User!$A$12:$J$67,MATCH(D956,M_User!$D$12:$D$67,0),3),"UNMAPPED")</f>
        <v>Joyline J Lyimo</v>
      </c>
      <c r="F956" s="75" t="str">
        <f>IFERROR(INDEX(M_User!$A$12:$J$67,MATCH(D956,M_User!$D$12:$D$67,0),5),"UNMAPPED")</f>
        <v>MOS</v>
      </c>
      <c r="G956" s="73" t="s">
        <v>797</v>
      </c>
      <c r="H956" s="92" t="s">
        <v>798</v>
      </c>
      <c r="I956" s="73" t="s">
        <v>199</v>
      </c>
      <c r="J956" s="76" t="str">
        <f>IFERROR(INDEX(M_SKU!$A$18:$J$57,MATCH(I956,M_SKU!$B$18:$B$57,0),1),"UNKNOWN SKU")</f>
        <v>Krest Club Soda RGB 300ml</v>
      </c>
      <c r="K956" s="73" t="s">
        <v>539</v>
      </c>
      <c r="L956" s="276">
        <v>0.77780000000000005</v>
      </c>
      <c r="M956" s="94" cm="1">
        <f t="array" ref="M956">IFERROR(INDEX(M_DepotPrice!$C$10:$C$52,MATCH(1,(M_DepotPrice!$A$10:$A$52=I956)*(M_DepotPrice!$H$10:$H$52=IFERROR(INDEX(M_Depot!$A$7:$A$24,MATCH(F956,M_Depot!$B$7:$B$24,0)),""))*(M_DepotPrice!$G$10:$G$52="Special"),0)),INDEX(M_DepotPrice!$C$10:$C$52,MATCH(1,(M_DepotPrice!$A$10:$A$52=I956)*(M_DepotPrice!$G$10:$G$52="Default"),0)))</f>
        <v>11780</v>
      </c>
      <c r="N956" s="95">
        <f t="shared" si="29"/>
        <v>10811.73112</v>
      </c>
      <c r="O956" s="82" t="str">
        <f t="shared" si="28"/>
        <v>MOS100802|FG010|CK3-33301</v>
      </c>
    </row>
    <row r="957" spans="1:15" ht="15" customHeight="1" x14ac:dyDescent="0.3">
      <c r="A957" s="60" t="s">
        <v>1636</v>
      </c>
      <c r="B957" s="60" t="s">
        <v>588</v>
      </c>
      <c r="C957" s="62">
        <v>46179</v>
      </c>
      <c r="D957" s="63" t="s">
        <v>415</v>
      </c>
      <c r="E957" s="66" t="str">
        <f>IFERROR(INDEX(M_User!$A$12:$J$67,MATCH(D957,M_User!$D$12:$D$67,0),3),"UNMAPPED")</f>
        <v>Joyline J Lyimo</v>
      </c>
      <c r="F957" s="65" t="str">
        <f>IFERROR(INDEX(M_User!$A$12:$J$67,MATCH(D957,M_User!$D$12:$D$67,0),5),"UNMAPPED")</f>
        <v>MOS</v>
      </c>
      <c r="G957" s="63" t="s">
        <v>797</v>
      </c>
      <c r="H957" s="69" t="s">
        <v>798</v>
      </c>
      <c r="I957" s="63" t="s">
        <v>201</v>
      </c>
      <c r="J957" s="66" t="str">
        <f>IFERROR(INDEX(M_SKU!$A$18:$J$57,MATCH(I957,M_SKU!$B$18:$B$57,0),1),"UNKNOWN SKU")</f>
        <v>Krest Tonic Water RGB 300ml</v>
      </c>
      <c r="K957" s="63" t="s">
        <v>540</v>
      </c>
      <c r="L957" s="276">
        <v>0.33139999999999997</v>
      </c>
      <c r="M957" s="91" cm="1">
        <f t="array" ref="M957">IFERROR(INDEX(M_DepotPrice!$C$10:$C$52,MATCH(1,(M_DepotPrice!$A$10:$A$52=I957)*(M_DepotPrice!$H$10:$H$52=IFERROR(INDEX(M_Depot!$A$7:$A$24,MATCH(F957,M_Depot!$B$7:$B$24,0)),""))*(M_DepotPrice!$G$10:$G$52="Special"),0)),INDEX(M_DepotPrice!$C$10:$C$52,MATCH(1,(M_DepotPrice!$A$10:$A$52=I957)*(M_DepotPrice!$G$10:$G$52="Default"),0)))</f>
        <v>11780</v>
      </c>
      <c r="N957" s="67">
        <f t="shared" si="29"/>
        <v>4606.5925599999991</v>
      </c>
      <c r="O957" s="66" t="str">
        <f t="shared" si="28"/>
        <v>MOS100802|FG011|CK3-33347</v>
      </c>
    </row>
    <row r="958" spans="1:15" ht="15" customHeight="1" x14ac:dyDescent="0.3">
      <c r="A958" s="70" t="s">
        <v>1637</v>
      </c>
      <c r="B958" s="70" t="s">
        <v>588</v>
      </c>
      <c r="C958" s="72">
        <v>46179</v>
      </c>
      <c r="D958" s="73" t="s">
        <v>415</v>
      </c>
      <c r="E958" s="76" t="str">
        <f>IFERROR(INDEX(M_User!$A$12:$J$67,MATCH(D958,M_User!$D$12:$D$67,0),3),"UNMAPPED")</f>
        <v>Joyline J Lyimo</v>
      </c>
      <c r="F958" s="75" t="str">
        <f>IFERROR(INDEX(M_User!$A$12:$J$67,MATCH(D958,M_User!$D$12:$D$67,0),5),"UNMAPPED")</f>
        <v>MOS</v>
      </c>
      <c r="G958" s="73" t="s">
        <v>797</v>
      </c>
      <c r="H958" s="92" t="s">
        <v>798</v>
      </c>
      <c r="I958" s="73" t="s">
        <v>203</v>
      </c>
      <c r="J958" s="76" t="str">
        <f>IFERROR(INDEX(M_SKU!$A$18:$J$57,MATCH(I958,M_SKU!$B$18:$B$57,0),1),"UNKNOWN SKU")</f>
        <v>Krest Ginger Ale RGB 300ml</v>
      </c>
      <c r="K958" s="73" t="s">
        <v>541</v>
      </c>
      <c r="L958" s="276">
        <v>1.3113999999999999</v>
      </c>
      <c r="M958" s="94" cm="1">
        <f t="array" ref="M958">IFERROR(INDEX(M_DepotPrice!$C$10:$C$52,MATCH(1,(M_DepotPrice!$A$10:$A$52=I958)*(M_DepotPrice!$H$10:$H$52=IFERROR(INDEX(M_Depot!$A$7:$A$24,MATCH(F958,M_Depot!$B$7:$B$24,0)),""))*(M_DepotPrice!$G$10:$G$52="Special"),0)),INDEX(M_DepotPrice!$C$10:$C$52,MATCH(1,(M_DepotPrice!$A$10:$A$52=I958)*(M_DepotPrice!$G$10:$G$52="Default"),0)))</f>
        <v>11780</v>
      </c>
      <c r="N958" s="95">
        <f t="shared" si="29"/>
        <v>18228.984559999997</v>
      </c>
      <c r="O958" s="82" t="str">
        <f t="shared" si="28"/>
        <v>MOS100802|FG012|CK3-33126</v>
      </c>
    </row>
    <row r="959" spans="1:15" ht="15" customHeight="1" x14ac:dyDescent="0.3">
      <c r="A959" s="60" t="s">
        <v>1638</v>
      </c>
      <c r="B959" s="60" t="s">
        <v>588</v>
      </c>
      <c r="C959" s="62">
        <v>46179</v>
      </c>
      <c r="D959" s="63" t="s">
        <v>415</v>
      </c>
      <c r="E959" s="66" t="str">
        <f>IFERROR(INDEX(M_User!$A$12:$J$67,MATCH(D959,M_User!$D$12:$D$67,0),3),"UNMAPPED")</f>
        <v>Joyline J Lyimo</v>
      </c>
      <c r="F959" s="65" t="str">
        <f>IFERROR(INDEX(M_User!$A$12:$J$67,MATCH(D959,M_User!$D$12:$D$67,0),5),"UNMAPPED")</f>
        <v>MOS</v>
      </c>
      <c r="G959" s="63" t="s">
        <v>797</v>
      </c>
      <c r="H959" s="69" t="s">
        <v>798</v>
      </c>
      <c r="I959" s="63" t="s">
        <v>211</v>
      </c>
      <c r="J959" s="66" t="str">
        <f>IFERROR(INDEX(M_SKU!$A$18:$J$57,MATCH(I959,M_SKU!$B$18:$B$57,0),1),"UNKNOWN SKU")</f>
        <v>KNMW 500ml</v>
      </c>
      <c r="K959" s="63" t="s">
        <v>543</v>
      </c>
      <c r="L959" s="276">
        <v>63</v>
      </c>
      <c r="M959" s="91" cm="1">
        <f t="array" ref="M959">IFERROR(INDEX(M_DepotPrice!$C$10:$C$52,MATCH(1,(M_DepotPrice!$A$10:$A$52=I959)*(M_DepotPrice!$H$10:$H$52=IFERROR(INDEX(M_Depot!$A$7:$A$24,MATCH(F959,M_Depot!$B$7:$B$24,0)),""))*(M_DepotPrice!$G$10:$G$52="Special"),0)),INDEX(M_DepotPrice!$C$10:$C$52,MATCH(1,(M_DepotPrice!$A$10:$A$52=I959)*(M_DepotPrice!$G$10:$G$52="Default"),0)))</f>
        <v>3559</v>
      </c>
      <c r="N959" s="67">
        <f t="shared" si="29"/>
        <v>264576.06</v>
      </c>
      <c r="O959" s="66" t="str">
        <f t="shared" si="28"/>
        <v>MOS100802|KD001|CK6-986</v>
      </c>
    </row>
    <row r="960" spans="1:15" ht="15" customHeight="1" x14ac:dyDescent="0.3">
      <c r="A960" s="70" t="s">
        <v>1639</v>
      </c>
      <c r="B960" s="70" t="s">
        <v>588</v>
      </c>
      <c r="C960" s="72">
        <v>46179</v>
      </c>
      <c r="D960" s="73" t="s">
        <v>415</v>
      </c>
      <c r="E960" s="76" t="str">
        <f>IFERROR(INDEX(M_User!$A$12:$J$67,MATCH(D960,M_User!$D$12:$D$67,0),3),"UNMAPPED")</f>
        <v>Joyline J Lyimo</v>
      </c>
      <c r="F960" s="75" t="str">
        <f>IFERROR(INDEX(M_User!$A$12:$J$67,MATCH(D960,M_User!$D$12:$D$67,0),5),"UNMAPPED")</f>
        <v>MOS</v>
      </c>
      <c r="G960" s="73" t="s">
        <v>797</v>
      </c>
      <c r="H960" s="92" t="s">
        <v>798</v>
      </c>
      <c r="I960" s="73" t="s">
        <v>217</v>
      </c>
      <c r="J960" s="76" t="str">
        <f>IFERROR(INDEX(M_SKU!$A$18:$J$57,MATCH(I960,M_SKU!$B$18:$B$57,0),1),"UNKNOWN SKU")</f>
        <v>KNMW 1500ml</v>
      </c>
      <c r="K960" s="73" t="s">
        <v>551</v>
      </c>
      <c r="L960" s="276">
        <v>39</v>
      </c>
      <c r="M960" s="94" cm="1">
        <f t="array" ref="M960">IFERROR(INDEX(M_DepotPrice!$C$10:$C$52,MATCH(1,(M_DepotPrice!$A$10:$A$52=I960)*(M_DepotPrice!$H$10:$H$52=IFERROR(INDEX(M_Depot!$A$7:$A$24,MATCH(F960,M_Depot!$B$7:$B$24,0)),""))*(M_DepotPrice!$G$10:$G$52="Special"),0)),INDEX(M_DepotPrice!$C$10:$C$52,MATCH(1,(M_DepotPrice!$A$10:$A$52=I960)*(M_DepotPrice!$G$10:$G$52="Default"),0)))</f>
        <v>3983</v>
      </c>
      <c r="N960" s="95">
        <f t="shared" si="29"/>
        <v>183297.66</v>
      </c>
      <c r="O960" s="82" t="str">
        <f t="shared" si="28"/>
        <v>MOS100802|KD003|CK4-842</v>
      </c>
    </row>
    <row r="961" spans="1:15" ht="15" customHeight="1" x14ac:dyDescent="0.3">
      <c r="A961" s="60" t="s">
        <v>1640</v>
      </c>
      <c r="B961" s="60" t="s">
        <v>519</v>
      </c>
      <c r="C961" s="62">
        <v>46179</v>
      </c>
      <c r="D961" s="63" t="s">
        <v>415</v>
      </c>
      <c r="E961" s="66" t="str">
        <f>IFERROR(INDEX(M_User!$A$12:$J$67,MATCH(D961,M_User!$D$12:$D$67,0),3),"UNMAPPED")</f>
        <v>Joyline J Lyimo</v>
      </c>
      <c r="F961" s="65" t="str">
        <f>IFERROR(INDEX(M_User!$A$12:$J$67,MATCH(D961,M_User!$D$12:$D$67,0),5),"UNMAPPED")</f>
        <v>MOS</v>
      </c>
      <c r="G961" s="63" t="s">
        <v>797</v>
      </c>
      <c r="H961" s="69" t="s">
        <v>798</v>
      </c>
      <c r="I961" s="63" t="s">
        <v>229</v>
      </c>
      <c r="J961" s="66" t="str">
        <f>IFERROR(INDEX(M_SKU!$A$18:$J$57,MATCH(I961,M_SKU!$B$18:$B$57,0),1),"UNKNOWN SKU")</f>
        <v>Coke Pet 500ML ( x12)</v>
      </c>
      <c r="K961" s="63" t="s">
        <v>520</v>
      </c>
      <c r="L961" s="276">
        <v>47</v>
      </c>
      <c r="M961" s="91" cm="1">
        <f t="array" ref="M961">IFERROR(INDEX(M_DepotPrice!$C$10:$C$52,MATCH(1,(M_DepotPrice!$A$10:$A$52=I961)*(M_DepotPrice!$H$10:$H$52=IFERROR(INDEX(M_Depot!$A$7:$A$24,MATCH(F961,M_Depot!$B$7:$B$24,0)),""))*(M_DepotPrice!$G$10:$G$52="Special"),0)),INDEX(M_DepotPrice!$C$10:$C$52,MATCH(1,(M_DepotPrice!$A$10:$A$52=I961)*(M_DepotPrice!$G$10:$G$52="Default"),0)))</f>
        <v>8898</v>
      </c>
      <c r="N961" s="67">
        <f t="shared" si="29"/>
        <v>493483.07999999996</v>
      </c>
      <c r="O961" s="66" t="str">
        <f t="shared" si="28"/>
        <v>MOS100802|PH001|CK6-33411</v>
      </c>
    </row>
    <row r="962" spans="1:15" ht="15" customHeight="1" x14ac:dyDescent="0.3">
      <c r="A962" s="70" t="s">
        <v>1641</v>
      </c>
      <c r="B962" s="70" t="s">
        <v>519</v>
      </c>
      <c r="C962" s="72">
        <v>46179</v>
      </c>
      <c r="D962" s="73" t="s">
        <v>415</v>
      </c>
      <c r="E962" s="76" t="str">
        <f>IFERROR(INDEX(M_User!$A$12:$J$67,MATCH(D962,M_User!$D$12:$D$67,0),3),"UNMAPPED")</f>
        <v>Joyline J Lyimo</v>
      </c>
      <c r="F962" s="75" t="str">
        <f>IFERROR(INDEX(M_User!$A$12:$J$67,MATCH(D962,M_User!$D$12:$D$67,0),5),"UNMAPPED")</f>
        <v>MOS</v>
      </c>
      <c r="G962" s="73" t="s">
        <v>797</v>
      </c>
      <c r="H962" s="92" t="s">
        <v>798</v>
      </c>
      <c r="I962" s="73" t="s">
        <v>232</v>
      </c>
      <c r="J962" s="76" t="str">
        <f>IFERROR(INDEX(M_SKU!$A$18:$J$57,MATCH(I962,M_SKU!$B$18:$B$57,0),1),"UNKNOWN SKU")</f>
        <v>Sprite Pet 500ML (x 12)</v>
      </c>
      <c r="K962" s="73" t="s">
        <v>522</v>
      </c>
      <c r="L962" s="276">
        <v>4</v>
      </c>
      <c r="M962" s="94" cm="1">
        <f t="array" ref="M962">IFERROR(INDEX(M_DepotPrice!$C$10:$C$52,MATCH(1,(M_DepotPrice!$A$10:$A$52=I962)*(M_DepotPrice!$H$10:$H$52=IFERROR(INDEX(M_Depot!$A$7:$A$24,MATCH(F962,M_Depot!$B$7:$B$24,0)),""))*(M_DepotPrice!$G$10:$G$52="Special"),0)),INDEX(M_DepotPrice!$C$10:$C$52,MATCH(1,(M_DepotPrice!$A$10:$A$52=I962)*(M_DepotPrice!$G$10:$G$52="Default"),0)))</f>
        <v>8898</v>
      </c>
      <c r="N962" s="95">
        <f t="shared" si="29"/>
        <v>41998.559999999998</v>
      </c>
      <c r="O962" s="82" t="str">
        <f t="shared" si="28"/>
        <v>MOS100802|PH002|CK6-33362</v>
      </c>
    </row>
    <row r="963" spans="1:15" ht="15" customHeight="1" x14ac:dyDescent="0.3">
      <c r="A963" s="60" t="s">
        <v>1642</v>
      </c>
      <c r="B963" s="60" t="s">
        <v>519</v>
      </c>
      <c r="C963" s="62">
        <v>46179</v>
      </c>
      <c r="D963" s="63" t="s">
        <v>415</v>
      </c>
      <c r="E963" s="66" t="str">
        <f>IFERROR(INDEX(M_User!$A$12:$J$67,MATCH(D963,M_User!$D$12:$D$67,0),3),"UNMAPPED")</f>
        <v>Joyline J Lyimo</v>
      </c>
      <c r="F963" s="65" t="str">
        <f>IFERROR(INDEX(M_User!$A$12:$J$67,MATCH(D963,M_User!$D$12:$D$67,0),5),"UNMAPPED")</f>
        <v>MOS</v>
      </c>
      <c r="G963" s="63" t="s">
        <v>797</v>
      </c>
      <c r="H963" s="69" t="s">
        <v>798</v>
      </c>
      <c r="I963" s="63" t="s">
        <v>234</v>
      </c>
      <c r="J963" s="66" t="str">
        <f>IFERROR(INDEX(M_SKU!$A$18:$J$57,MATCH(I963,M_SKU!$B$18:$B$57,0),1),"UNKNOWN SKU")</f>
        <v>Fanta Orange Pet 500ML ( x 12)</v>
      </c>
      <c r="K963" s="63" t="s">
        <v>523</v>
      </c>
      <c r="L963" s="276">
        <v>9</v>
      </c>
      <c r="M963" s="91" cm="1">
        <f t="array" ref="M963">IFERROR(INDEX(M_DepotPrice!$C$10:$C$52,MATCH(1,(M_DepotPrice!$A$10:$A$52=I963)*(M_DepotPrice!$H$10:$H$52=IFERROR(INDEX(M_Depot!$A$7:$A$24,MATCH(F963,M_Depot!$B$7:$B$24,0)),""))*(M_DepotPrice!$G$10:$G$52="Special"),0)),INDEX(M_DepotPrice!$C$10:$C$52,MATCH(1,(M_DepotPrice!$A$10:$A$52=I963)*(M_DepotPrice!$G$10:$G$52="Default"),0)))</f>
        <v>8898</v>
      </c>
      <c r="N963" s="67">
        <f t="shared" si="29"/>
        <v>94496.76</v>
      </c>
      <c r="O963" s="66" t="str">
        <f t="shared" si="28"/>
        <v>MOS100802|PH003|CK6-33405</v>
      </c>
    </row>
    <row r="964" spans="1:15" ht="15" customHeight="1" x14ac:dyDescent="0.3">
      <c r="A964" s="70" t="s">
        <v>1643</v>
      </c>
      <c r="B964" s="70" t="s">
        <v>519</v>
      </c>
      <c r="C964" s="72">
        <v>46179</v>
      </c>
      <c r="D964" s="73" t="s">
        <v>415</v>
      </c>
      <c r="E964" s="76" t="str">
        <f>IFERROR(INDEX(M_User!$A$12:$J$67,MATCH(D964,M_User!$D$12:$D$67,0),3),"UNMAPPED")</f>
        <v>Joyline J Lyimo</v>
      </c>
      <c r="F964" s="75" t="str">
        <f>IFERROR(INDEX(M_User!$A$12:$J$67,MATCH(D964,M_User!$D$12:$D$67,0),5),"UNMAPPED")</f>
        <v>MOS</v>
      </c>
      <c r="G964" s="73" t="s">
        <v>797</v>
      </c>
      <c r="H964" s="92" t="s">
        <v>798</v>
      </c>
      <c r="I964" s="73" t="s">
        <v>236</v>
      </c>
      <c r="J964" s="76" t="str">
        <f>IFERROR(INDEX(M_SKU!$A$18:$J$57,MATCH(I964,M_SKU!$B$18:$B$57,0),1),"UNKNOWN SKU")</f>
        <v>Fanta Passion Pet 500ML ( x12)</v>
      </c>
      <c r="K964" s="73" t="s">
        <v>524</v>
      </c>
      <c r="L964" s="276">
        <v>7</v>
      </c>
      <c r="M964" s="94" cm="1">
        <f t="array" ref="M964">IFERROR(INDEX(M_DepotPrice!$C$10:$C$52,MATCH(1,(M_DepotPrice!$A$10:$A$52=I964)*(M_DepotPrice!$H$10:$H$52=IFERROR(INDEX(M_Depot!$A$7:$A$24,MATCH(F964,M_Depot!$B$7:$B$24,0)),""))*(M_DepotPrice!$G$10:$G$52="Special"),0)),INDEX(M_DepotPrice!$C$10:$C$52,MATCH(1,(M_DepotPrice!$A$10:$A$52=I964)*(M_DepotPrice!$G$10:$G$52="Default"),0)))</f>
        <v>8898</v>
      </c>
      <c r="N964" s="95">
        <f t="shared" si="29"/>
        <v>73497.48</v>
      </c>
      <c r="O964" s="82" t="str">
        <f t="shared" si="28"/>
        <v>MOS100802|PH004|CK5-33334</v>
      </c>
    </row>
    <row r="965" spans="1:15" ht="15" customHeight="1" x14ac:dyDescent="0.3">
      <c r="A965" s="60" t="s">
        <v>1644</v>
      </c>
      <c r="B965" s="60" t="s">
        <v>519</v>
      </c>
      <c r="C965" s="62">
        <v>46179</v>
      </c>
      <c r="D965" s="63" t="s">
        <v>415</v>
      </c>
      <c r="E965" s="66" t="str">
        <f>IFERROR(INDEX(M_User!$A$12:$J$67,MATCH(D965,M_User!$D$12:$D$67,0),3),"UNMAPPED")</f>
        <v>Joyline J Lyimo</v>
      </c>
      <c r="F965" s="65" t="str">
        <f>IFERROR(INDEX(M_User!$A$12:$J$67,MATCH(D965,M_User!$D$12:$D$67,0),5),"UNMAPPED")</f>
        <v>MOS</v>
      </c>
      <c r="G965" s="63" t="s">
        <v>797</v>
      </c>
      <c r="H965" s="69" t="s">
        <v>798</v>
      </c>
      <c r="I965" s="63" t="s">
        <v>242</v>
      </c>
      <c r="J965" s="66" t="str">
        <f>IFERROR(INDEX(M_SKU!$A$18:$J$57,MATCH(I965,M_SKU!$B$18:$B$57,0),1),"UNKNOWN SKU")</f>
        <v>Stoney Tangawizi Pet 500 ml ( x12)</v>
      </c>
      <c r="K965" s="63" t="s">
        <v>525</v>
      </c>
      <c r="L965" s="276">
        <v>2</v>
      </c>
      <c r="M965" s="91" cm="1">
        <f t="array" ref="M965">IFERROR(INDEX(M_DepotPrice!$C$10:$C$52,MATCH(1,(M_DepotPrice!$A$10:$A$52=I965)*(M_DepotPrice!$H$10:$H$52=IFERROR(INDEX(M_Depot!$A$7:$A$24,MATCH(F965,M_Depot!$B$7:$B$24,0)),""))*(M_DepotPrice!$G$10:$G$52="Special"),0)),INDEX(M_DepotPrice!$C$10:$C$52,MATCH(1,(M_DepotPrice!$A$10:$A$52=I965)*(M_DepotPrice!$G$10:$G$52="Default"),0)))</f>
        <v>8898</v>
      </c>
      <c r="N965" s="67">
        <f t="shared" si="29"/>
        <v>20999.279999999999</v>
      </c>
      <c r="O965" s="66" t="str">
        <f t="shared" si="28"/>
        <v>MOS100802|PH007|CK6-33375</v>
      </c>
    </row>
    <row r="966" spans="1:15" ht="15" customHeight="1" x14ac:dyDescent="0.3">
      <c r="A966" s="70" t="s">
        <v>1645</v>
      </c>
      <c r="B966" s="70" t="s">
        <v>519</v>
      </c>
      <c r="C966" s="72">
        <v>46179</v>
      </c>
      <c r="D966" s="73" t="s">
        <v>415</v>
      </c>
      <c r="E966" s="76" t="str">
        <f>IFERROR(INDEX(M_User!$A$12:$J$67,MATCH(D966,M_User!$D$12:$D$67,0),3),"UNMAPPED")</f>
        <v>Joyline J Lyimo</v>
      </c>
      <c r="F966" s="75" t="str">
        <f>IFERROR(INDEX(M_User!$A$12:$J$67,MATCH(D966,M_User!$D$12:$D$67,0),5),"UNMAPPED")</f>
        <v>MOS</v>
      </c>
      <c r="G966" s="73" t="s">
        <v>797</v>
      </c>
      <c r="H966" s="92" t="s">
        <v>798</v>
      </c>
      <c r="I966" s="73" t="s">
        <v>244</v>
      </c>
      <c r="J966" s="76" t="str">
        <f>IFERROR(INDEX(M_SKU!$A$18:$J$57,MATCH(I966,M_SKU!$B$18:$B$57,0),1),"UNKNOWN SKU")</f>
        <v>Sparletta Pinenut Pet 500 ml ( x12)</v>
      </c>
      <c r="K966" s="73" t="s">
        <v>526</v>
      </c>
      <c r="L966" s="276">
        <v>3</v>
      </c>
      <c r="M966" s="94" cm="1">
        <f t="array" ref="M966">IFERROR(INDEX(M_DepotPrice!$C$10:$C$52,MATCH(1,(M_DepotPrice!$A$10:$A$52=I966)*(M_DepotPrice!$H$10:$H$52=IFERROR(INDEX(M_Depot!$A$7:$A$24,MATCH(F966,M_Depot!$B$7:$B$24,0)),""))*(M_DepotPrice!$G$10:$G$52="Special"),0)),INDEX(M_DepotPrice!$C$10:$C$52,MATCH(1,(M_DepotPrice!$A$10:$A$52=I966)*(M_DepotPrice!$G$10:$G$52="Default"),0)))</f>
        <v>8898</v>
      </c>
      <c r="N966" s="95">
        <f t="shared" si="29"/>
        <v>31498.92</v>
      </c>
      <c r="O966" s="82" t="str">
        <f t="shared" si="28"/>
        <v>MOS100802|PH008|CK5-33370</v>
      </c>
    </row>
    <row r="967" spans="1:15" ht="15" customHeight="1" x14ac:dyDescent="0.3">
      <c r="A967" s="60" t="s">
        <v>1646</v>
      </c>
      <c r="B967" s="60" t="s">
        <v>588</v>
      </c>
      <c r="C967" s="62">
        <v>46179</v>
      </c>
      <c r="D967" s="63" t="s">
        <v>415</v>
      </c>
      <c r="E967" s="66" t="str">
        <f>IFERROR(INDEX(M_User!$A$12:$J$67,MATCH(D967,M_User!$D$12:$D$67,0),3),"UNMAPPED")</f>
        <v>Joyline J Lyimo</v>
      </c>
      <c r="F967" s="65" t="str">
        <f>IFERROR(INDEX(M_User!$A$12:$J$67,MATCH(D967,M_User!$D$12:$D$67,0),5),"UNMAPPED")</f>
        <v>MOS</v>
      </c>
      <c r="G967" s="63" t="s">
        <v>797</v>
      </c>
      <c r="H967" s="69" t="s">
        <v>798</v>
      </c>
      <c r="I967" s="63" t="s">
        <v>252</v>
      </c>
      <c r="J967" s="66" t="str">
        <f>IFERROR(INDEX(M_SKU!$A$18:$J$57,MATCH(I967,M_SKU!$B$18:$B$57,0),1),"UNKNOWN SKU")</f>
        <v>Sprite Zero Pet 300ML (x 12)</v>
      </c>
      <c r="K967" s="63" t="s">
        <v>545</v>
      </c>
      <c r="L967" s="276">
        <v>2</v>
      </c>
      <c r="M967" s="91" cm="1">
        <f t="array" ref="M967">IFERROR(INDEX(M_DepotPrice!$C$10:$C$52,MATCH(1,(M_DepotPrice!$A$10:$A$52=I967)*(M_DepotPrice!$H$10:$H$52=IFERROR(INDEX(M_Depot!$A$7:$A$24,MATCH(F967,M_Depot!$B$7:$B$24,0)),""))*(M_DepotPrice!$G$10:$G$52="Special"),0)),INDEX(M_DepotPrice!$C$10:$C$52,MATCH(1,(M_DepotPrice!$A$10:$A$52=I967)*(M_DepotPrice!$G$10:$G$52="Default"),0)))</f>
        <v>5085</v>
      </c>
      <c r="N967" s="67">
        <f t="shared" si="29"/>
        <v>12000.599999999999</v>
      </c>
      <c r="O967" s="66" t="str">
        <f t="shared" si="28"/>
        <v>MOS100802|PO010|CK5-33360</v>
      </c>
    </row>
    <row r="968" spans="1:15" ht="15" customHeight="1" x14ac:dyDescent="0.3">
      <c r="A968" s="70" t="s">
        <v>1647</v>
      </c>
      <c r="B968" s="70" t="s">
        <v>588</v>
      </c>
      <c r="C968" s="72">
        <v>46179</v>
      </c>
      <c r="D968" s="73" t="s">
        <v>415</v>
      </c>
      <c r="E968" s="76" t="str">
        <f>IFERROR(INDEX(M_User!$A$12:$J$67,MATCH(D968,M_User!$D$12:$D$67,0),3),"UNMAPPED")</f>
        <v>Joyline J Lyimo</v>
      </c>
      <c r="F968" s="75" t="str">
        <f>IFERROR(INDEX(M_User!$A$12:$J$67,MATCH(D968,M_User!$D$12:$D$67,0),5),"UNMAPPED")</f>
        <v>MOS</v>
      </c>
      <c r="G968" s="73" t="s">
        <v>797</v>
      </c>
      <c r="H968" s="92" t="s">
        <v>798</v>
      </c>
      <c r="I968" s="73" t="s">
        <v>254</v>
      </c>
      <c r="J968" s="76" t="str">
        <f>IFERROR(INDEX(M_SKU!$A$18:$J$57,MATCH(I968,M_SKU!$B$18:$B$57,0),1),"UNKNOWN SKU")</f>
        <v>Fanta Zero Pet 300ML (x 12)</v>
      </c>
      <c r="K968" s="73" t="s">
        <v>546</v>
      </c>
      <c r="L968" s="276">
        <v>3</v>
      </c>
      <c r="M968" s="94" cm="1">
        <f t="array" ref="M968">IFERROR(INDEX(M_DepotPrice!$C$10:$C$52,MATCH(1,(M_DepotPrice!$A$10:$A$52=I968)*(M_DepotPrice!$H$10:$H$52=IFERROR(INDEX(M_Depot!$A$7:$A$24,MATCH(F968,M_Depot!$B$7:$B$24,0)),""))*(M_DepotPrice!$G$10:$G$52="Special"),0)),INDEX(M_DepotPrice!$C$10:$C$52,MATCH(1,(M_DepotPrice!$A$10:$A$52=I968)*(M_DepotPrice!$G$10:$G$52="Default"),0)))</f>
        <v>5085</v>
      </c>
      <c r="N968" s="95">
        <f t="shared" si="29"/>
        <v>18000.899999999998</v>
      </c>
      <c r="O968" s="82" t="str">
        <f t="shared" si="28"/>
        <v>MOS100802|PO012|CK5-33369</v>
      </c>
    </row>
    <row r="969" spans="1:15" ht="15" customHeight="1" x14ac:dyDescent="0.3">
      <c r="A969" s="60" t="s">
        <v>1648</v>
      </c>
      <c r="B969" s="60" t="s">
        <v>588</v>
      </c>
      <c r="C969" s="62">
        <v>46179</v>
      </c>
      <c r="D969" s="63" t="s">
        <v>415</v>
      </c>
      <c r="E969" s="66" t="str">
        <f>IFERROR(INDEX(M_User!$A$12:$J$67,MATCH(D969,M_User!$D$12:$D$67,0),3),"UNMAPPED")</f>
        <v>Joyline J Lyimo</v>
      </c>
      <c r="F969" s="65" t="str">
        <f>IFERROR(INDEX(M_User!$A$12:$J$67,MATCH(D969,M_User!$D$12:$D$67,0),5),"UNMAPPED")</f>
        <v>MOS</v>
      </c>
      <c r="G969" s="63" t="s">
        <v>797</v>
      </c>
      <c r="H969" s="69" t="s">
        <v>798</v>
      </c>
      <c r="I969" s="63" t="s">
        <v>261</v>
      </c>
      <c r="J969" s="66" t="str">
        <f>IFERROR(INDEX(M_SKU!$A$18:$J$57,MATCH(I969,M_SKU!$B$18:$B$57,0),1),"UNKNOWN SKU")</f>
        <v>Sparletta Pine Apple Pet 300ML (x 12)</v>
      </c>
      <c r="K969" s="63" t="s">
        <v>547</v>
      </c>
      <c r="L969" s="276">
        <v>4</v>
      </c>
      <c r="M969" s="91" cm="1">
        <f t="array" ref="M969">IFERROR(INDEX(M_DepotPrice!$C$10:$C$52,MATCH(1,(M_DepotPrice!$A$10:$A$52=I969)*(M_DepotPrice!$H$10:$H$52=IFERROR(INDEX(M_Depot!$A$7:$A$24,MATCH(F969,M_Depot!$B$7:$B$24,0)),""))*(M_DepotPrice!$G$10:$G$52="Special"),0)),INDEX(M_DepotPrice!$C$10:$C$52,MATCH(1,(M_DepotPrice!$A$10:$A$52=I969)*(M_DepotPrice!$G$10:$G$52="Default"),0)))</f>
        <v>5085</v>
      </c>
      <c r="N969" s="67">
        <f t="shared" si="29"/>
        <v>24001.199999999997</v>
      </c>
      <c r="O969" s="66" t="str">
        <f t="shared" ref="O969:O1032" si="30">D969 &amp; "|" &amp; I969 &amp; "|" &amp; K969</f>
        <v>MOS100802|PO015|CK5-33366</v>
      </c>
    </row>
    <row r="970" spans="1:15" ht="15" customHeight="1" x14ac:dyDescent="0.3">
      <c r="A970" s="70" t="s">
        <v>1649</v>
      </c>
      <c r="B970" s="70" t="s">
        <v>588</v>
      </c>
      <c r="C970" s="72">
        <v>46179</v>
      </c>
      <c r="D970" s="73" t="s">
        <v>415</v>
      </c>
      <c r="E970" s="76" t="str">
        <f>IFERROR(INDEX(M_User!$A$12:$J$67,MATCH(D970,M_User!$D$12:$D$67,0),3),"UNMAPPED")</f>
        <v>Joyline J Lyimo</v>
      </c>
      <c r="F970" s="75" t="str">
        <f>IFERROR(INDEX(M_User!$A$12:$J$67,MATCH(D970,M_User!$D$12:$D$67,0),5),"UNMAPPED")</f>
        <v>MOS</v>
      </c>
      <c r="G970" s="73" t="s">
        <v>825</v>
      </c>
      <c r="H970" s="92" t="s">
        <v>826</v>
      </c>
      <c r="I970" s="73" t="s">
        <v>170</v>
      </c>
      <c r="J970" s="76" t="str">
        <f>IFERROR(INDEX(M_SKU!$A$18:$J$57,MATCH(I970,M_SKU!$B$18:$B$57,0),1),"UNKNOWN SKU")</f>
        <v>Coke RGB 350ml</v>
      </c>
      <c r="K970" s="73" t="s">
        <v>585</v>
      </c>
      <c r="L970" s="276">
        <v>18.111525233887999</v>
      </c>
      <c r="M970" s="94" cm="1">
        <f t="array" ref="M970">IFERROR(INDEX(M_DepotPrice!$C$10:$C$52,MATCH(1,(M_DepotPrice!$A$10:$A$52=I970)*(M_DepotPrice!$H$10:$H$52=IFERROR(INDEX(M_Depot!$A$7:$A$24,MATCH(F970,M_Depot!$B$7:$B$24,0)),""))*(M_DepotPrice!$G$10:$G$52="Special"),0)),INDEX(M_DepotPrice!$C$10:$C$52,MATCH(1,(M_DepotPrice!$A$10:$A$52=I970)*(M_DepotPrice!$G$10:$G$52="Default"),0)))</f>
        <v>11780</v>
      </c>
      <c r="N970" s="95">
        <f t="shared" ref="N970:N1033" si="31">(L970*M970)*1.18</f>
        <v>251757.44536113672</v>
      </c>
      <c r="O970" s="82" t="str">
        <f t="shared" si="30"/>
        <v>MOS100802|FG001|CK3-33410</v>
      </c>
    </row>
    <row r="971" spans="1:15" ht="15" customHeight="1" x14ac:dyDescent="0.3">
      <c r="A971" s="60" t="s">
        <v>1650</v>
      </c>
      <c r="B971" s="60" t="s">
        <v>588</v>
      </c>
      <c r="C971" s="62">
        <v>46179</v>
      </c>
      <c r="D971" s="63" t="s">
        <v>415</v>
      </c>
      <c r="E971" s="66" t="str">
        <f>IFERROR(INDEX(M_User!$A$12:$J$67,MATCH(D971,M_User!$D$12:$D$67,0),3),"UNMAPPED")</f>
        <v>Joyline J Lyimo</v>
      </c>
      <c r="F971" s="65" t="str">
        <f>IFERROR(INDEX(M_User!$A$12:$J$67,MATCH(D971,M_User!$D$12:$D$67,0),5),"UNMAPPED")</f>
        <v>MOS</v>
      </c>
      <c r="G971" s="63" t="s">
        <v>825</v>
      </c>
      <c r="H971" s="69" t="s">
        <v>826</v>
      </c>
      <c r="I971" s="63" t="s">
        <v>181</v>
      </c>
      <c r="J971" s="66" t="str">
        <f>IFERROR(INDEX(M_SKU!$A$18:$J$57,MATCH(I971,M_SKU!$B$18:$B$57,0),1),"UNKNOWN SKU")</f>
        <v>Fanta Passion RGB 350ml</v>
      </c>
      <c r="K971" s="63" t="s">
        <v>550</v>
      </c>
      <c r="L971" s="276">
        <v>2.5753370585266202</v>
      </c>
      <c r="M971" s="91" cm="1">
        <f t="array" ref="M971">IFERROR(INDEX(M_DepotPrice!$C$10:$C$52,MATCH(1,(M_DepotPrice!$A$10:$A$52=I971)*(M_DepotPrice!$H$10:$H$52=IFERROR(INDEX(M_Depot!$A$7:$A$24,MATCH(F971,M_Depot!$B$7:$B$24,0)),""))*(M_DepotPrice!$G$10:$G$52="Special"),0)),INDEX(M_DepotPrice!$C$10:$C$52,MATCH(1,(M_DepotPrice!$A$10:$A$52=I971)*(M_DepotPrice!$G$10:$G$52="Default"),0)))</f>
        <v>11780</v>
      </c>
      <c r="N971" s="67">
        <f t="shared" si="31"/>
        <v>35798.215248343433</v>
      </c>
      <c r="O971" s="66" t="str">
        <f t="shared" si="30"/>
        <v>MOS100802|FG003|CK3-33356</v>
      </c>
    </row>
    <row r="972" spans="1:15" ht="15" customHeight="1" x14ac:dyDescent="0.3">
      <c r="A972" s="70" t="s">
        <v>1651</v>
      </c>
      <c r="B972" s="70" t="s">
        <v>588</v>
      </c>
      <c r="C972" s="72">
        <v>46179</v>
      </c>
      <c r="D972" s="73" t="s">
        <v>415</v>
      </c>
      <c r="E972" s="76" t="str">
        <f>IFERROR(INDEX(M_User!$A$12:$J$67,MATCH(D972,M_User!$D$12:$D$67,0),3),"UNMAPPED")</f>
        <v>Joyline J Lyimo</v>
      </c>
      <c r="F972" s="75" t="str">
        <f>IFERROR(INDEX(M_User!$A$12:$J$67,MATCH(D972,M_User!$D$12:$D$67,0),5),"UNMAPPED")</f>
        <v>MOS</v>
      </c>
      <c r="G972" s="73" t="s">
        <v>825</v>
      </c>
      <c r="H972" s="92" t="s">
        <v>826</v>
      </c>
      <c r="I972" s="73" t="s">
        <v>183</v>
      </c>
      <c r="J972" s="76" t="str">
        <f>IFERROR(INDEX(M_SKU!$A$18:$J$57,MATCH(I972,M_SKU!$B$18:$B$57,0),1),"UNKNOWN SKU")</f>
        <v>Fanta Pineapple RGB 350ml</v>
      </c>
      <c r="K972" s="73" t="s">
        <v>533</v>
      </c>
      <c r="L972" s="276">
        <v>4.8029421853070096</v>
      </c>
      <c r="M972" s="94" cm="1">
        <f t="array" ref="M972">IFERROR(INDEX(M_DepotPrice!$C$10:$C$52,MATCH(1,(M_DepotPrice!$A$10:$A$52=I972)*(M_DepotPrice!$H$10:$H$52=IFERROR(INDEX(M_Depot!$A$7:$A$24,MATCH(F972,M_Depot!$B$7:$B$24,0)),""))*(M_DepotPrice!$G$10:$G$52="Special"),0)),INDEX(M_DepotPrice!$C$10:$C$52,MATCH(1,(M_DepotPrice!$A$10:$A$52=I972)*(M_DepotPrice!$G$10:$G$52="Default"),0)))</f>
        <v>11780</v>
      </c>
      <c r="N972" s="95">
        <f t="shared" si="31"/>
        <v>66762.817552641558</v>
      </c>
      <c r="O972" s="82" t="str">
        <f t="shared" si="30"/>
        <v>MOS100802|FG004|CK3-33385</v>
      </c>
    </row>
    <row r="973" spans="1:15" ht="15" customHeight="1" x14ac:dyDescent="0.3">
      <c r="A973" s="60" t="s">
        <v>1652</v>
      </c>
      <c r="B973" s="60" t="s">
        <v>588</v>
      </c>
      <c r="C973" s="62">
        <v>46179</v>
      </c>
      <c r="D973" s="63" t="s">
        <v>415</v>
      </c>
      <c r="E973" s="66" t="str">
        <f>IFERROR(INDEX(M_User!$A$12:$J$67,MATCH(D973,M_User!$D$12:$D$67,0),3),"UNMAPPED")</f>
        <v>Joyline J Lyimo</v>
      </c>
      <c r="F973" s="65" t="str">
        <f>IFERROR(INDEX(M_User!$A$12:$J$67,MATCH(D973,M_User!$D$12:$D$67,0),5),"UNMAPPED")</f>
        <v>MOS</v>
      </c>
      <c r="G973" s="63" t="s">
        <v>825</v>
      </c>
      <c r="H973" s="69" t="s">
        <v>826</v>
      </c>
      <c r="I973" s="63" t="s">
        <v>185</v>
      </c>
      <c r="J973" s="66" t="str">
        <f>IFERROR(INDEX(M_SKU!$A$18:$J$57,MATCH(I973,M_SKU!$B$18:$B$57,0),1),"UNKNOWN SKU")</f>
        <v>Fanta Fruit Blast RGB 350 ml</v>
      </c>
      <c r="K973" s="63" t="s">
        <v>534</v>
      </c>
      <c r="L973" s="276">
        <v>1.0677739937535</v>
      </c>
      <c r="M973" s="91" cm="1">
        <f t="array" ref="M973">IFERROR(INDEX(M_DepotPrice!$C$10:$C$52,MATCH(1,(M_DepotPrice!$A$10:$A$52=I973)*(M_DepotPrice!$H$10:$H$52=IFERROR(INDEX(M_Depot!$A$7:$A$24,MATCH(F973,M_Depot!$B$7:$B$24,0)),""))*(M_DepotPrice!$G$10:$G$52="Special"),0)),INDEX(M_DepotPrice!$C$10:$C$52,MATCH(1,(M_DepotPrice!$A$10:$A$52=I973)*(M_DepotPrice!$G$10:$G$52="Default"),0)))</f>
        <v>11780</v>
      </c>
      <c r="N973" s="67">
        <f t="shared" si="31"/>
        <v>14842.485622771152</v>
      </c>
      <c r="O973" s="66" t="str">
        <f t="shared" si="30"/>
        <v>MOS100802|FG005|CK3-33402</v>
      </c>
    </row>
    <row r="974" spans="1:15" ht="15" customHeight="1" x14ac:dyDescent="0.3">
      <c r="A974" s="70" t="s">
        <v>1653</v>
      </c>
      <c r="B974" s="70" t="s">
        <v>588</v>
      </c>
      <c r="C974" s="72">
        <v>46179</v>
      </c>
      <c r="D974" s="73" t="s">
        <v>415</v>
      </c>
      <c r="E974" s="76" t="str">
        <f>IFERROR(INDEX(M_User!$A$12:$J$67,MATCH(D974,M_User!$D$12:$D$67,0),3),"UNMAPPED")</f>
        <v>Joyline J Lyimo</v>
      </c>
      <c r="F974" s="75" t="str">
        <f>IFERROR(INDEX(M_User!$A$12:$J$67,MATCH(D974,M_User!$D$12:$D$67,0),5),"UNMAPPED")</f>
        <v>MOS</v>
      </c>
      <c r="G974" s="73" t="s">
        <v>825</v>
      </c>
      <c r="H974" s="92" t="s">
        <v>826</v>
      </c>
      <c r="I974" s="73" t="s">
        <v>187</v>
      </c>
      <c r="J974" s="76" t="str">
        <f>IFERROR(INDEX(M_SKU!$A$18:$J$57,MATCH(I974,M_SKU!$B$18:$B$57,0),1),"UNKNOWN SKU")</f>
        <v>Sprite 350ml</v>
      </c>
      <c r="K974" s="73" t="s">
        <v>535</v>
      </c>
      <c r="L974" s="276">
        <v>6.6042899455812298</v>
      </c>
      <c r="M974" s="94" cm="1">
        <f t="array" ref="M974">IFERROR(INDEX(M_DepotPrice!$C$10:$C$52,MATCH(1,(M_DepotPrice!$A$10:$A$52=I974)*(M_DepotPrice!$H$10:$H$52=IFERROR(INDEX(M_Depot!$A$7:$A$24,MATCH(F974,M_Depot!$B$7:$B$24,0)),""))*(M_DepotPrice!$G$10:$G$52="Special"),0)),INDEX(M_DepotPrice!$C$10:$C$52,MATCH(1,(M_DepotPrice!$A$10:$A$52=I974)*(M_DepotPrice!$G$10:$G$52="Default"),0)))</f>
        <v>11780</v>
      </c>
      <c r="N974" s="95">
        <f t="shared" si="31"/>
        <v>91802.271959557314</v>
      </c>
      <c r="O974" s="82" t="str">
        <f t="shared" si="30"/>
        <v>MOS100802|FG006|CK3-33414</v>
      </c>
    </row>
    <row r="975" spans="1:15" ht="15" customHeight="1" x14ac:dyDescent="0.3">
      <c r="A975" s="60" t="s">
        <v>1654</v>
      </c>
      <c r="B975" s="60" t="s">
        <v>588</v>
      </c>
      <c r="C975" s="62">
        <v>46179</v>
      </c>
      <c r="D975" s="63" t="s">
        <v>415</v>
      </c>
      <c r="E975" s="66" t="str">
        <f>IFERROR(INDEX(M_User!$A$12:$J$67,MATCH(D975,M_User!$D$12:$D$67,0),3),"UNMAPPED")</f>
        <v>Joyline J Lyimo</v>
      </c>
      <c r="F975" s="65" t="str">
        <f>IFERROR(INDEX(M_User!$A$12:$J$67,MATCH(D975,M_User!$D$12:$D$67,0),5),"UNMAPPED")</f>
        <v>MOS</v>
      </c>
      <c r="G975" s="63" t="s">
        <v>825</v>
      </c>
      <c r="H975" s="69" t="s">
        <v>826</v>
      </c>
      <c r="I975" s="63" t="s">
        <v>190</v>
      </c>
      <c r="J975" s="66" t="str">
        <f>IFERROR(INDEX(M_SKU!$A$18:$J$57,MATCH(I975,M_SKU!$B$18:$B$57,0),1),"UNKNOWN SKU")</f>
        <v>Stoney Tangawizi RGB 350ml</v>
      </c>
      <c r="K975" s="63" t="s">
        <v>536</v>
      </c>
      <c r="L975" s="276">
        <v>1.00920294116758</v>
      </c>
      <c r="M975" s="91" cm="1">
        <f t="array" ref="M975">IFERROR(INDEX(M_DepotPrice!$C$10:$C$52,MATCH(1,(M_DepotPrice!$A$10:$A$52=I975)*(M_DepotPrice!$H$10:$H$52=IFERROR(INDEX(M_Depot!$A$7:$A$24,MATCH(F975,M_Depot!$B$7:$B$24,0)),""))*(M_DepotPrice!$G$10:$G$52="Special"),0)),INDEX(M_DepotPrice!$C$10:$C$52,MATCH(1,(M_DepotPrice!$A$10:$A$52=I975)*(M_DepotPrice!$G$10:$G$52="Default"),0)))</f>
        <v>11780</v>
      </c>
      <c r="N975" s="67">
        <f t="shared" si="31"/>
        <v>14028.324563405829</v>
      </c>
      <c r="O975" s="66" t="str">
        <f t="shared" si="30"/>
        <v>MOS100802|FG007|CK3-33404</v>
      </c>
    </row>
    <row r="976" spans="1:15" ht="15" customHeight="1" x14ac:dyDescent="0.3">
      <c r="A976" s="70" t="s">
        <v>1655</v>
      </c>
      <c r="B976" s="70" t="s">
        <v>588</v>
      </c>
      <c r="C976" s="72">
        <v>46179</v>
      </c>
      <c r="D976" s="73" t="s">
        <v>415</v>
      </c>
      <c r="E976" s="76" t="str">
        <f>IFERROR(INDEX(M_User!$A$12:$J$67,MATCH(D976,M_User!$D$12:$D$67,0),3),"UNMAPPED")</f>
        <v>Joyline J Lyimo</v>
      </c>
      <c r="F976" s="75" t="str">
        <f>IFERROR(INDEX(M_User!$A$12:$J$67,MATCH(D976,M_User!$D$12:$D$67,0),5),"UNMAPPED")</f>
        <v>MOS</v>
      </c>
      <c r="G976" s="73" t="s">
        <v>825</v>
      </c>
      <c r="H976" s="92" t="s">
        <v>826</v>
      </c>
      <c r="I976" s="73" t="s">
        <v>196</v>
      </c>
      <c r="J976" s="76" t="str">
        <f>IFERROR(INDEX(M_SKU!$A$18:$J$57,MATCH(I976,M_SKU!$B$18:$B$57,0),1),"UNKNOWN SKU")</f>
        <v>Krest Bitter Lemon RGB 300ml</v>
      </c>
      <c r="K976" s="73" t="s">
        <v>538</v>
      </c>
      <c r="L976" s="276">
        <v>0.55859999999999999</v>
      </c>
      <c r="M976" s="94" cm="1">
        <f t="array" ref="M976">IFERROR(INDEX(M_DepotPrice!$C$10:$C$52,MATCH(1,(M_DepotPrice!$A$10:$A$52=I976)*(M_DepotPrice!$H$10:$H$52=IFERROR(INDEX(M_Depot!$A$7:$A$24,MATCH(F976,M_Depot!$B$7:$B$24,0)),""))*(M_DepotPrice!$G$10:$G$52="Special"),0)),INDEX(M_DepotPrice!$C$10:$C$52,MATCH(1,(M_DepotPrice!$A$10:$A$52=I976)*(M_DepotPrice!$G$10:$G$52="Default"),0)))</f>
        <v>11780</v>
      </c>
      <c r="N976" s="95">
        <f t="shared" si="31"/>
        <v>7764.7634399999997</v>
      </c>
      <c r="O976" s="82" t="str">
        <f t="shared" si="30"/>
        <v>MOS100802|FG009|CK3-33348</v>
      </c>
    </row>
    <row r="977" spans="1:15" ht="15" customHeight="1" x14ac:dyDescent="0.3">
      <c r="A977" s="60" t="s">
        <v>1656</v>
      </c>
      <c r="B977" s="60" t="s">
        <v>588</v>
      </c>
      <c r="C977" s="62">
        <v>46179</v>
      </c>
      <c r="D977" s="63" t="s">
        <v>415</v>
      </c>
      <c r="E977" s="66" t="str">
        <f>IFERROR(INDEX(M_User!$A$12:$J$67,MATCH(D977,M_User!$D$12:$D$67,0),3),"UNMAPPED")</f>
        <v>Joyline J Lyimo</v>
      </c>
      <c r="F977" s="65" t="str">
        <f>IFERROR(INDEX(M_User!$A$12:$J$67,MATCH(D977,M_User!$D$12:$D$67,0),5),"UNMAPPED")</f>
        <v>MOS</v>
      </c>
      <c r="G977" s="63" t="s">
        <v>825</v>
      </c>
      <c r="H977" s="69" t="s">
        <v>826</v>
      </c>
      <c r="I977" s="63" t="s">
        <v>199</v>
      </c>
      <c r="J977" s="66" t="str">
        <f>IFERROR(INDEX(M_SKU!$A$18:$J$57,MATCH(I977,M_SKU!$B$18:$B$57,0),1),"UNKNOWN SKU")</f>
        <v>Krest Club Soda RGB 300ml</v>
      </c>
      <c r="K977" s="63" t="s">
        <v>539</v>
      </c>
      <c r="L977" s="276">
        <v>1.1264360914696601</v>
      </c>
      <c r="M977" s="91" cm="1">
        <f t="array" ref="M977">IFERROR(INDEX(M_DepotPrice!$C$10:$C$52,MATCH(1,(M_DepotPrice!$A$10:$A$52=I977)*(M_DepotPrice!$H$10:$H$52=IFERROR(INDEX(M_Depot!$A$7:$A$24,MATCH(F977,M_Depot!$B$7:$B$24,0)),""))*(M_DepotPrice!$G$10:$G$52="Special"),0)),INDEX(M_DepotPrice!$C$10:$C$52,MATCH(1,(M_DepotPrice!$A$10:$A$52=I977)*(M_DepotPrice!$G$10:$G$52="Default"),0)))</f>
        <v>11780</v>
      </c>
      <c r="N977" s="67">
        <f t="shared" si="31"/>
        <v>15657.912245864862</v>
      </c>
      <c r="O977" s="66" t="str">
        <f t="shared" si="30"/>
        <v>MOS100802|FG010|CK3-33301</v>
      </c>
    </row>
    <row r="978" spans="1:15" ht="15" customHeight="1" x14ac:dyDescent="0.3">
      <c r="A978" s="70" t="s">
        <v>1657</v>
      </c>
      <c r="B978" s="70" t="s">
        <v>588</v>
      </c>
      <c r="C978" s="72">
        <v>46179</v>
      </c>
      <c r="D978" s="73" t="s">
        <v>415</v>
      </c>
      <c r="E978" s="76" t="str">
        <f>IFERROR(INDEX(M_User!$A$12:$J$67,MATCH(D978,M_User!$D$12:$D$67,0),3),"UNMAPPED")</f>
        <v>Joyline J Lyimo</v>
      </c>
      <c r="F978" s="75" t="str">
        <f>IFERROR(INDEX(M_User!$A$12:$J$67,MATCH(D978,M_User!$D$12:$D$67,0),5),"UNMAPPED")</f>
        <v>MOS</v>
      </c>
      <c r="G978" s="73" t="s">
        <v>825</v>
      </c>
      <c r="H978" s="92" t="s">
        <v>826</v>
      </c>
      <c r="I978" s="73" t="s">
        <v>201</v>
      </c>
      <c r="J978" s="76" t="str">
        <f>IFERROR(INDEX(M_SKU!$A$18:$J$57,MATCH(I978,M_SKU!$B$18:$B$57,0),1),"UNKNOWN SKU")</f>
        <v>Krest Tonic Water RGB 300ml</v>
      </c>
      <c r="K978" s="73" t="s">
        <v>540</v>
      </c>
      <c r="L978" s="276">
        <v>0.72222469592028204</v>
      </c>
      <c r="M978" s="94" cm="1">
        <f t="array" ref="M978">IFERROR(INDEX(M_DepotPrice!$C$10:$C$52,MATCH(1,(M_DepotPrice!$A$10:$A$52=I978)*(M_DepotPrice!$H$10:$H$52=IFERROR(INDEX(M_Depot!$A$7:$A$24,MATCH(F978,M_Depot!$B$7:$B$24,0)),""))*(M_DepotPrice!$G$10:$G$52="Special"),0)),INDEX(M_DepotPrice!$C$10:$C$52,MATCH(1,(M_DepotPrice!$A$10:$A$52=I978)*(M_DepotPrice!$G$10:$G$52="Default"),0)))</f>
        <v>11780</v>
      </c>
      <c r="N978" s="95">
        <f t="shared" si="31"/>
        <v>10039.212163170288</v>
      </c>
      <c r="O978" s="82" t="str">
        <f t="shared" si="30"/>
        <v>MOS100802|FG011|CK3-33347</v>
      </c>
    </row>
    <row r="979" spans="1:15" ht="15" customHeight="1" x14ac:dyDescent="0.3">
      <c r="A979" s="60" t="s">
        <v>1658</v>
      </c>
      <c r="B979" s="60" t="s">
        <v>588</v>
      </c>
      <c r="C979" s="62">
        <v>46179</v>
      </c>
      <c r="D979" s="63" t="s">
        <v>415</v>
      </c>
      <c r="E979" s="66" t="str">
        <f>IFERROR(INDEX(M_User!$A$12:$J$67,MATCH(D979,M_User!$D$12:$D$67,0),3),"UNMAPPED")</f>
        <v>Joyline J Lyimo</v>
      </c>
      <c r="F979" s="65" t="str">
        <f>IFERROR(INDEX(M_User!$A$12:$J$67,MATCH(D979,M_User!$D$12:$D$67,0),5),"UNMAPPED")</f>
        <v>MOS</v>
      </c>
      <c r="G979" s="63" t="s">
        <v>825</v>
      </c>
      <c r="H979" s="69" t="s">
        <v>826</v>
      </c>
      <c r="I979" s="63" t="s">
        <v>211</v>
      </c>
      <c r="J979" s="66" t="str">
        <f>IFERROR(INDEX(M_SKU!$A$18:$J$57,MATCH(I979,M_SKU!$B$18:$B$57,0),1),"UNKNOWN SKU")</f>
        <v>KNMW 500ml</v>
      </c>
      <c r="K979" s="63" t="s">
        <v>543</v>
      </c>
      <c r="L979" s="276">
        <v>55</v>
      </c>
      <c r="M979" s="91" cm="1">
        <f t="array" ref="M979">IFERROR(INDEX(M_DepotPrice!$C$10:$C$52,MATCH(1,(M_DepotPrice!$A$10:$A$52=I979)*(M_DepotPrice!$H$10:$H$52=IFERROR(INDEX(M_Depot!$A$7:$A$24,MATCH(F979,M_Depot!$B$7:$B$24,0)),""))*(M_DepotPrice!$G$10:$G$52="Special"),0)),INDEX(M_DepotPrice!$C$10:$C$52,MATCH(1,(M_DepotPrice!$A$10:$A$52=I979)*(M_DepotPrice!$G$10:$G$52="Default"),0)))</f>
        <v>3559</v>
      </c>
      <c r="N979" s="67">
        <f t="shared" si="31"/>
        <v>230979.09999999998</v>
      </c>
      <c r="O979" s="66" t="str">
        <f t="shared" si="30"/>
        <v>MOS100802|KD001|CK6-986</v>
      </c>
    </row>
    <row r="980" spans="1:15" ht="15" customHeight="1" x14ac:dyDescent="0.3">
      <c r="A980" s="70" t="s">
        <v>1659</v>
      </c>
      <c r="B980" s="70" t="s">
        <v>588</v>
      </c>
      <c r="C980" s="72">
        <v>46179</v>
      </c>
      <c r="D980" s="73" t="s">
        <v>415</v>
      </c>
      <c r="E980" s="76" t="str">
        <f>IFERROR(INDEX(M_User!$A$12:$J$67,MATCH(D980,M_User!$D$12:$D$67,0),3),"UNMAPPED")</f>
        <v>Joyline J Lyimo</v>
      </c>
      <c r="F980" s="75" t="str">
        <f>IFERROR(INDEX(M_User!$A$12:$J$67,MATCH(D980,M_User!$D$12:$D$67,0),5),"UNMAPPED")</f>
        <v>MOS</v>
      </c>
      <c r="G980" s="73" t="s">
        <v>825</v>
      </c>
      <c r="H980" s="92" t="s">
        <v>826</v>
      </c>
      <c r="I980" s="73" t="s">
        <v>217</v>
      </c>
      <c r="J980" s="76" t="str">
        <f>IFERROR(INDEX(M_SKU!$A$18:$J$57,MATCH(I980,M_SKU!$B$18:$B$57,0),1),"UNKNOWN SKU")</f>
        <v>KNMW 1500ml</v>
      </c>
      <c r="K980" s="73" t="s">
        <v>551</v>
      </c>
      <c r="L980" s="276">
        <v>32</v>
      </c>
      <c r="M980" s="94" cm="1">
        <f t="array" ref="M980">IFERROR(INDEX(M_DepotPrice!$C$10:$C$52,MATCH(1,(M_DepotPrice!$A$10:$A$52=I980)*(M_DepotPrice!$H$10:$H$52=IFERROR(INDEX(M_Depot!$A$7:$A$24,MATCH(F980,M_Depot!$B$7:$B$24,0)),""))*(M_DepotPrice!$G$10:$G$52="Special"),0)),INDEX(M_DepotPrice!$C$10:$C$52,MATCH(1,(M_DepotPrice!$A$10:$A$52=I980)*(M_DepotPrice!$G$10:$G$52="Default"),0)))</f>
        <v>3983</v>
      </c>
      <c r="N980" s="95">
        <f t="shared" si="31"/>
        <v>150398.07999999999</v>
      </c>
      <c r="O980" s="82" t="str">
        <f t="shared" si="30"/>
        <v>MOS100802|KD003|CK4-842</v>
      </c>
    </row>
    <row r="981" spans="1:15" ht="15" customHeight="1" x14ac:dyDescent="0.3">
      <c r="A981" s="60" t="s">
        <v>1660</v>
      </c>
      <c r="B981" s="60" t="s">
        <v>519</v>
      </c>
      <c r="C981" s="62">
        <v>46179</v>
      </c>
      <c r="D981" s="63" t="s">
        <v>415</v>
      </c>
      <c r="E981" s="66" t="str">
        <f>IFERROR(INDEX(M_User!$A$12:$J$67,MATCH(D981,M_User!$D$12:$D$67,0),3),"UNMAPPED")</f>
        <v>Joyline J Lyimo</v>
      </c>
      <c r="F981" s="65" t="str">
        <f>IFERROR(INDEX(M_User!$A$12:$J$67,MATCH(D981,M_User!$D$12:$D$67,0),5),"UNMAPPED")</f>
        <v>MOS</v>
      </c>
      <c r="G981" s="63" t="s">
        <v>825</v>
      </c>
      <c r="H981" s="69" t="s">
        <v>826</v>
      </c>
      <c r="I981" s="63" t="s">
        <v>232</v>
      </c>
      <c r="J981" s="66" t="str">
        <f>IFERROR(INDEX(M_SKU!$A$18:$J$57,MATCH(I981,M_SKU!$B$18:$B$57,0),1),"UNKNOWN SKU")</f>
        <v>Sprite Pet 500ML (x 12)</v>
      </c>
      <c r="K981" s="63" t="s">
        <v>522</v>
      </c>
      <c r="L981" s="276">
        <v>5</v>
      </c>
      <c r="M981" s="91" cm="1">
        <f t="array" ref="M981">IFERROR(INDEX(M_DepotPrice!$C$10:$C$52,MATCH(1,(M_DepotPrice!$A$10:$A$52=I981)*(M_DepotPrice!$H$10:$H$52=IFERROR(INDEX(M_Depot!$A$7:$A$24,MATCH(F981,M_Depot!$B$7:$B$24,0)),""))*(M_DepotPrice!$G$10:$G$52="Special"),0)),INDEX(M_DepotPrice!$C$10:$C$52,MATCH(1,(M_DepotPrice!$A$10:$A$52=I981)*(M_DepotPrice!$G$10:$G$52="Default"),0)))</f>
        <v>8898</v>
      </c>
      <c r="N981" s="67">
        <f t="shared" si="31"/>
        <v>52498.2</v>
      </c>
      <c r="O981" s="66" t="str">
        <f t="shared" si="30"/>
        <v>MOS100802|PH002|CK6-33362</v>
      </c>
    </row>
    <row r="982" spans="1:15" ht="15" customHeight="1" x14ac:dyDescent="0.3">
      <c r="A982" s="70" t="s">
        <v>1661</v>
      </c>
      <c r="B982" s="70" t="s">
        <v>519</v>
      </c>
      <c r="C982" s="72">
        <v>46179</v>
      </c>
      <c r="D982" s="73" t="s">
        <v>415</v>
      </c>
      <c r="E982" s="76" t="str">
        <f>IFERROR(INDEX(M_User!$A$12:$J$67,MATCH(D982,M_User!$D$12:$D$67,0),3),"UNMAPPED")</f>
        <v>Joyline J Lyimo</v>
      </c>
      <c r="F982" s="75" t="str">
        <f>IFERROR(INDEX(M_User!$A$12:$J$67,MATCH(D982,M_User!$D$12:$D$67,0),5),"UNMAPPED")</f>
        <v>MOS</v>
      </c>
      <c r="G982" s="73" t="s">
        <v>825</v>
      </c>
      <c r="H982" s="92" t="s">
        <v>826</v>
      </c>
      <c r="I982" s="73" t="s">
        <v>234</v>
      </c>
      <c r="J982" s="76" t="str">
        <f>IFERROR(INDEX(M_SKU!$A$18:$J$57,MATCH(I982,M_SKU!$B$18:$B$57,0),1),"UNKNOWN SKU")</f>
        <v>Fanta Orange Pet 500ML ( x 12)</v>
      </c>
      <c r="K982" s="73" t="s">
        <v>523</v>
      </c>
      <c r="L982" s="276">
        <v>13</v>
      </c>
      <c r="M982" s="94" cm="1">
        <f t="array" ref="M982">IFERROR(INDEX(M_DepotPrice!$C$10:$C$52,MATCH(1,(M_DepotPrice!$A$10:$A$52=I982)*(M_DepotPrice!$H$10:$H$52=IFERROR(INDEX(M_Depot!$A$7:$A$24,MATCH(F982,M_Depot!$B$7:$B$24,0)),""))*(M_DepotPrice!$G$10:$G$52="Special"),0)),INDEX(M_DepotPrice!$C$10:$C$52,MATCH(1,(M_DepotPrice!$A$10:$A$52=I982)*(M_DepotPrice!$G$10:$G$52="Default"),0)))</f>
        <v>8898</v>
      </c>
      <c r="N982" s="95">
        <f t="shared" si="31"/>
        <v>136495.32</v>
      </c>
      <c r="O982" s="82" t="str">
        <f t="shared" si="30"/>
        <v>MOS100802|PH003|CK6-33405</v>
      </c>
    </row>
    <row r="983" spans="1:15" ht="15" customHeight="1" x14ac:dyDescent="0.3">
      <c r="A983" s="60" t="s">
        <v>1662</v>
      </c>
      <c r="B983" s="60" t="s">
        <v>519</v>
      </c>
      <c r="C983" s="62">
        <v>46179</v>
      </c>
      <c r="D983" s="63" t="s">
        <v>415</v>
      </c>
      <c r="E983" s="66" t="str">
        <f>IFERROR(INDEX(M_User!$A$12:$J$67,MATCH(D983,M_User!$D$12:$D$67,0),3),"UNMAPPED")</f>
        <v>Joyline J Lyimo</v>
      </c>
      <c r="F983" s="65" t="str">
        <f>IFERROR(INDEX(M_User!$A$12:$J$67,MATCH(D983,M_User!$D$12:$D$67,0),5),"UNMAPPED")</f>
        <v>MOS</v>
      </c>
      <c r="G983" s="63" t="s">
        <v>825</v>
      </c>
      <c r="H983" s="69" t="s">
        <v>826</v>
      </c>
      <c r="I983" s="63" t="s">
        <v>236</v>
      </c>
      <c r="J983" s="66" t="str">
        <f>IFERROR(INDEX(M_SKU!$A$18:$J$57,MATCH(I983,M_SKU!$B$18:$B$57,0),1),"UNKNOWN SKU")</f>
        <v>Fanta Passion Pet 500ML ( x12)</v>
      </c>
      <c r="K983" s="63" t="s">
        <v>524</v>
      </c>
      <c r="L983" s="276">
        <v>4</v>
      </c>
      <c r="M983" s="91" cm="1">
        <f t="array" ref="M983">IFERROR(INDEX(M_DepotPrice!$C$10:$C$52,MATCH(1,(M_DepotPrice!$A$10:$A$52=I983)*(M_DepotPrice!$H$10:$H$52=IFERROR(INDEX(M_Depot!$A$7:$A$24,MATCH(F983,M_Depot!$B$7:$B$24,0)),""))*(M_DepotPrice!$G$10:$G$52="Special"),0)),INDEX(M_DepotPrice!$C$10:$C$52,MATCH(1,(M_DepotPrice!$A$10:$A$52=I983)*(M_DepotPrice!$G$10:$G$52="Default"),0)))</f>
        <v>8898</v>
      </c>
      <c r="N983" s="67">
        <f t="shared" si="31"/>
        <v>41998.559999999998</v>
      </c>
      <c r="O983" s="66" t="str">
        <f t="shared" si="30"/>
        <v>MOS100802|PH004|CK5-33334</v>
      </c>
    </row>
    <row r="984" spans="1:15" ht="15" customHeight="1" x14ac:dyDescent="0.3">
      <c r="A984" s="70" t="s">
        <v>1663</v>
      </c>
      <c r="B984" s="70" t="s">
        <v>519</v>
      </c>
      <c r="C984" s="72">
        <v>46179</v>
      </c>
      <c r="D984" s="73" t="s">
        <v>415</v>
      </c>
      <c r="E984" s="76" t="str">
        <f>IFERROR(INDEX(M_User!$A$12:$J$67,MATCH(D984,M_User!$D$12:$D$67,0),3),"UNMAPPED")</f>
        <v>Joyline J Lyimo</v>
      </c>
      <c r="F984" s="75" t="str">
        <f>IFERROR(INDEX(M_User!$A$12:$J$67,MATCH(D984,M_User!$D$12:$D$67,0),5),"UNMAPPED")</f>
        <v>MOS</v>
      </c>
      <c r="G984" s="73" t="s">
        <v>825</v>
      </c>
      <c r="H984" s="92" t="s">
        <v>826</v>
      </c>
      <c r="I984" s="73" t="s">
        <v>242</v>
      </c>
      <c r="J984" s="76" t="str">
        <f>IFERROR(INDEX(M_SKU!$A$18:$J$57,MATCH(I984,M_SKU!$B$18:$B$57,0),1),"UNKNOWN SKU")</f>
        <v>Stoney Tangawizi Pet 500 ml ( x12)</v>
      </c>
      <c r="K984" s="73" t="s">
        <v>525</v>
      </c>
      <c r="L984" s="276">
        <v>1</v>
      </c>
      <c r="M984" s="94" cm="1">
        <f t="array" ref="M984">IFERROR(INDEX(M_DepotPrice!$C$10:$C$52,MATCH(1,(M_DepotPrice!$A$10:$A$52=I984)*(M_DepotPrice!$H$10:$H$52=IFERROR(INDEX(M_Depot!$A$7:$A$24,MATCH(F984,M_Depot!$B$7:$B$24,0)),""))*(M_DepotPrice!$G$10:$G$52="Special"),0)),INDEX(M_DepotPrice!$C$10:$C$52,MATCH(1,(M_DepotPrice!$A$10:$A$52=I984)*(M_DepotPrice!$G$10:$G$52="Default"),0)))</f>
        <v>8898</v>
      </c>
      <c r="N984" s="95">
        <f t="shared" si="31"/>
        <v>10499.64</v>
      </c>
      <c r="O984" s="82" t="str">
        <f t="shared" si="30"/>
        <v>MOS100802|PH007|CK6-33375</v>
      </c>
    </row>
    <row r="985" spans="1:15" ht="15" customHeight="1" x14ac:dyDescent="0.3">
      <c r="A985" s="60" t="s">
        <v>1664</v>
      </c>
      <c r="B985" s="60" t="s">
        <v>588</v>
      </c>
      <c r="C985" s="62">
        <v>46179</v>
      </c>
      <c r="D985" s="63" t="s">
        <v>415</v>
      </c>
      <c r="E985" s="66" t="str">
        <f>IFERROR(INDEX(M_User!$A$12:$J$67,MATCH(D985,M_User!$D$12:$D$67,0),3),"UNMAPPED")</f>
        <v>Joyline J Lyimo</v>
      </c>
      <c r="F985" s="65" t="str">
        <f>IFERROR(INDEX(M_User!$A$12:$J$67,MATCH(D985,M_User!$D$12:$D$67,0),5),"UNMAPPED")</f>
        <v>MOS</v>
      </c>
      <c r="G985" s="63" t="s">
        <v>825</v>
      </c>
      <c r="H985" s="69" t="s">
        <v>826</v>
      </c>
      <c r="I985" s="63" t="s">
        <v>252</v>
      </c>
      <c r="J985" s="66" t="str">
        <f>IFERROR(INDEX(M_SKU!$A$18:$J$57,MATCH(I985,M_SKU!$B$18:$B$57,0),1),"UNKNOWN SKU")</f>
        <v>Sprite Zero Pet 300ML (x 12)</v>
      </c>
      <c r="K985" s="63" t="s">
        <v>545</v>
      </c>
      <c r="L985" s="276">
        <v>2</v>
      </c>
      <c r="M985" s="91" cm="1">
        <f t="array" ref="M985">IFERROR(INDEX(M_DepotPrice!$C$10:$C$52,MATCH(1,(M_DepotPrice!$A$10:$A$52=I985)*(M_DepotPrice!$H$10:$H$52=IFERROR(INDEX(M_Depot!$A$7:$A$24,MATCH(F985,M_Depot!$B$7:$B$24,0)),""))*(M_DepotPrice!$G$10:$G$52="Special"),0)),INDEX(M_DepotPrice!$C$10:$C$52,MATCH(1,(M_DepotPrice!$A$10:$A$52=I985)*(M_DepotPrice!$G$10:$G$52="Default"),0)))</f>
        <v>5085</v>
      </c>
      <c r="N985" s="67">
        <f t="shared" si="31"/>
        <v>12000.599999999999</v>
      </c>
      <c r="O985" s="66" t="str">
        <f t="shared" si="30"/>
        <v>MOS100802|PO010|CK5-33360</v>
      </c>
    </row>
    <row r="986" spans="1:15" ht="15" customHeight="1" x14ac:dyDescent="0.3">
      <c r="A986" s="70" t="s">
        <v>1665</v>
      </c>
      <c r="B986" s="70" t="s">
        <v>588</v>
      </c>
      <c r="C986" s="72">
        <v>46179</v>
      </c>
      <c r="D986" s="73" t="s">
        <v>415</v>
      </c>
      <c r="E986" s="76" t="str">
        <f>IFERROR(INDEX(M_User!$A$12:$J$67,MATCH(D986,M_User!$D$12:$D$67,0),3),"UNMAPPED")</f>
        <v>Joyline J Lyimo</v>
      </c>
      <c r="F986" s="75" t="str">
        <f>IFERROR(INDEX(M_User!$A$12:$J$67,MATCH(D986,M_User!$D$12:$D$67,0),5),"UNMAPPED")</f>
        <v>MOS</v>
      </c>
      <c r="G986" s="73" t="s">
        <v>825</v>
      </c>
      <c r="H986" s="92" t="s">
        <v>826</v>
      </c>
      <c r="I986" s="73" t="s">
        <v>261</v>
      </c>
      <c r="J986" s="76" t="str">
        <f>IFERROR(INDEX(M_SKU!$A$18:$J$57,MATCH(I986,M_SKU!$B$18:$B$57,0),1),"UNKNOWN SKU")</f>
        <v>Sparletta Pine Apple Pet 300ML (x 12)</v>
      </c>
      <c r="K986" s="73" t="s">
        <v>547</v>
      </c>
      <c r="L986" s="276">
        <v>7</v>
      </c>
      <c r="M986" s="94" cm="1">
        <f t="array" ref="M986">IFERROR(INDEX(M_DepotPrice!$C$10:$C$52,MATCH(1,(M_DepotPrice!$A$10:$A$52=I986)*(M_DepotPrice!$H$10:$H$52=IFERROR(INDEX(M_Depot!$A$7:$A$24,MATCH(F986,M_Depot!$B$7:$B$24,0)),""))*(M_DepotPrice!$G$10:$G$52="Special"),0)),INDEX(M_DepotPrice!$C$10:$C$52,MATCH(1,(M_DepotPrice!$A$10:$A$52=I986)*(M_DepotPrice!$G$10:$G$52="Default"),0)))</f>
        <v>5085</v>
      </c>
      <c r="N986" s="95">
        <f t="shared" si="31"/>
        <v>42002.1</v>
      </c>
      <c r="O986" s="82" t="str">
        <f t="shared" si="30"/>
        <v>MOS100802|PO015|CK5-33366</v>
      </c>
    </row>
    <row r="987" spans="1:15" ht="15" customHeight="1" x14ac:dyDescent="0.3">
      <c r="A987" s="60" t="s">
        <v>1666</v>
      </c>
      <c r="B987" s="60" t="s">
        <v>577</v>
      </c>
      <c r="C987" s="62">
        <v>46179</v>
      </c>
      <c r="D987" s="63" t="s">
        <v>401</v>
      </c>
      <c r="E987" s="66" t="str">
        <f>IFERROR(INDEX(M_User!$A$12:$J$67,MATCH(D987,M_User!$D$12:$D$67,0),3),"UNMAPPED")</f>
        <v>Alice Jonathan Mfuru</v>
      </c>
      <c r="F987" s="65" t="str">
        <f>IFERROR(INDEX(M_User!$A$12:$J$67,MATCH(D987,M_User!$D$12:$D$67,0),5),"UNMAPPED")</f>
        <v>MOS</v>
      </c>
      <c r="G987" s="63" t="s">
        <v>840</v>
      </c>
      <c r="H987" s="69" t="s">
        <v>841</v>
      </c>
      <c r="I987" s="63" t="s">
        <v>170</v>
      </c>
      <c r="J987" s="66" t="str">
        <f>IFERROR(INDEX(M_SKU!$A$18:$J$57,MATCH(I987,M_SKU!$B$18:$B$57,0),1),"UNKNOWN SKU")</f>
        <v>Coke RGB 350ml</v>
      </c>
      <c r="K987" s="63" t="s">
        <v>530</v>
      </c>
      <c r="L987" s="276">
        <v>17.656400000000001</v>
      </c>
      <c r="M987" s="91" cm="1">
        <f t="array" ref="M987">IFERROR(INDEX(M_DepotPrice!$C$10:$C$52,MATCH(1,(M_DepotPrice!$A$10:$A$52=I987)*(M_DepotPrice!$H$10:$H$52=IFERROR(INDEX(M_Depot!$A$7:$A$24,MATCH(F987,M_Depot!$B$7:$B$24,0)),""))*(M_DepotPrice!$G$10:$G$52="Special"),0)),INDEX(M_DepotPrice!$C$10:$C$52,MATCH(1,(M_DepotPrice!$A$10:$A$52=I987)*(M_DepotPrice!$G$10:$G$52="Default"),0)))</f>
        <v>11780</v>
      </c>
      <c r="N987" s="67">
        <f t="shared" si="31"/>
        <v>245431.02256000001</v>
      </c>
      <c r="O987" s="66" t="str">
        <f t="shared" si="30"/>
        <v>MOS100823|FG001|CK3-33409</v>
      </c>
    </row>
    <row r="988" spans="1:15" ht="15" customHeight="1" x14ac:dyDescent="0.3">
      <c r="A988" s="70" t="s">
        <v>1667</v>
      </c>
      <c r="B988" s="70" t="s">
        <v>577</v>
      </c>
      <c r="C988" s="72">
        <v>46179</v>
      </c>
      <c r="D988" s="73" t="s">
        <v>401</v>
      </c>
      <c r="E988" s="76" t="str">
        <f>IFERROR(INDEX(M_User!$A$12:$J$67,MATCH(D988,M_User!$D$12:$D$67,0),3),"UNMAPPED")</f>
        <v>Alice Jonathan Mfuru</v>
      </c>
      <c r="F988" s="75" t="str">
        <f>IFERROR(INDEX(M_User!$A$12:$J$67,MATCH(D988,M_User!$D$12:$D$67,0),5),"UNMAPPED")</f>
        <v>MOS</v>
      </c>
      <c r="G988" s="73" t="s">
        <v>840</v>
      </c>
      <c r="H988" s="92" t="s">
        <v>841</v>
      </c>
      <c r="I988" s="73" t="s">
        <v>178</v>
      </c>
      <c r="J988" s="76" t="str">
        <f>IFERROR(INDEX(M_SKU!$A$18:$J$57,MATCH(I988,M_SKU!$B$18:$B$57,0),1),"UNKNOWN SKU")</f>
        <v>Fanta Orange RGB 350ml</v>
      </c>
      <c r="K988" s="73" t="s">
        <v>531</v>
      </c>
      <c r="L988" s="276">
        <v>5.3204000000000002</v>
      </c>
      <c r="M988" s="94" cm="1">
        <f t="array" ref="M988">IFERROR(INDEX(M_DepotPrice!$C$10:$C$52,MATCH(1,(M_DepotPrice!$A$10:$A$52=I988)*(M_DepotPrice!$H$10:$H$52=IFERROR(INDEX(M_Depot!$A$7:$A$24,MATCH(F988,M_Depot!$B$7:$B$24,0)),""))*(M_DepotPrice!$G$10:$G$52="Special"),0)),INDEX(M_DepotPrice!$C$10:$C$52,MATCH(1,(M_DepotPrice!$A$10:$A$52=I988)*(M_DepotPrice!$G$10:$G$52="Default"),0)))</f>
        <v>11780</v>
      </c>
      <c r="N988" s="95">
        <f t="shared" si="31"/>
        <v>73955.688160000005</v>
      </c>
      <c r="O988" s="82" t="str">
        <f t="shared" si="30"/>
        <v>MOS100823|FG002|CK3-33407</v>
      </c>
    </row>
    <row r="989" spans="1:15" ht="15" customHeight="1" x14ac:dyDescent="0.3">
      <c r="A989" s="60" t="s">
        <v>1668</v>
      </c>
      <c r="B989" s="60" t="s">
        <v>577</v>
      </c>
      <c r="C989" s="62">
        <v>46179</v>
      </c>
      <c r="D989" s="63" t="s">
        <v>401</v>
      </c>
      <c r="E989" s="66" t="str">
        <f>IFERROR(INDEX(M_User!$A$12:$J$67,MATCH(D989,M_User!$D$12:$D$67,0),3),"UNMAPPED")</f>
        <v>Alice Jonathan Mfuru</v>
      </c>
      <c r="F989" s="65" t="str">
        <f>IFERROR(INDEX(M_User!$A$12:$J$67,MATCH(D989,M_User!$D$12:$D$67,0),5),"UNMAPPED")</f>
        <v>MOS</v>
      </c>
      <c r="G989" s="63" t="s">
        <v>840</v>
      </c>
      <c r="H989" s="69" t="s">
        <v>841</v>
      </c>
      <c r="I989" s="63" t="s">
        <v>181</v>
      </c>
      <c r="J989" s="66" t="str">
        <f>IFERROR(INDEX(M_SKU!$A$18:$J$57,MATCH(I989,M_SKU!$B$18:$B$57,0),1),"UNKNOWN SKU")</f>
        <v>Fanta Passion RGB 350ml</v>
      </c>
      <c r="K989" s="63" t="s">
        <v>550</v>
      </c>
      <c r="L989" s="276">
        <v>3.7412000000000001</v>
      </c>
      <c r="M989" s="91" cm="1">
        <f t="array" ref="M989">IFERROR(INDEX(M_DepotPrice!$C$10:$C$52,MATCH(1,(M_DepotPrice!$A$10:$A$52=I989)*(M_DepotPrice!$H$10:$H$52=IFERROR(INDEX(M_Depot!$A$7:$A$24,MATCH(F989,M_Depot!$B$7:$B$24,0)),""))*(M_DepotPrice!$G$10:$G$52="Special"),0)),INDEX(M_DepotPrice!$C$10:$C$52,MATCH(1,(M_DepotPrice!$A$10:$A$52=I989)*(M_DepotPrice!$G$10:$G$52="Default"),0)))</f>
        <v>11780</v>
      </c>
      <c r="N989" s="67">
        <f t="shared" si="31"/>
        <v>52004.176480000002</v>
      </c>
      <c r="O989" s="66" t="str">
        <f t="shared" si="30"/>
        <v>MOS100823|FG003|CK3-33356</v>
      </c>
    </row>
    <row r="990" spans="1:15" ht="15" customHeight="1" x14ac:dyDescent="0.3">
      <c r="A990" s="70" t="s">
        <v>1669</v>
      </c>
      <c r="B990" s="70" t="s">
        <v>577</v>
      </c>
      <c r="C990" s="72">
        <v>46179</v>
      </c>
      <c r="D990" s="73" t="s">
        <v>401</v>
      </c>
      <c r="E990" s="76" t="str">
        <f>IFERROR(INDEX(M_User!$A$12:$J$67,MATCH(D990,M_User!$D$12:$D$67,0),3),"UNMAPPED")</f>
        <v>Alice Jonathan Mfuru</v>
      </c>
      <c r="F990" s="75" t="str">
        <f>IFERROR(INDEX(M_User!$A$12:$J$67,MATCH(D990,M_User!$D$12:$D$67,0),5),"UNMAPPED")</f>
        <v>MOS</v>
      </c>
      <c r="G990" s="73" t="s">
        <v>840</v>
      </c>
      <c r="H990" s="92" t="s">
        <v>841</v>
      </c>
      <c r="I990" s="73" t="s">
        <v>183</v>
      </c>
      <c r="J990" s="76" t="str">
        <f>IFERROR(INDEX(M_SKU!$A$18:$J$57,MATCH(I990,M_SKU!$B$18:$B$57,0),1),"UNKNOWN SKU")</f>
        <v>Fanta Pineapple RGB 350ml</v>
      </c>
      <c r="K990" s="73" t="s">
        <v>533</v>
      </c>
      <c r="L990" s="276">
        <v>3.5042</v>
      </c>
      <c r="M990" s="94" cm="1">
        <f t="array" ref="M990">IFERROR(INDEX(M_DepotPrice!$C$10:$C$52,MATCH(1,(M_DepotPrice!$A$10:$A$52=I990)*(M_DepotPrice!$H$10:$H$52=IFERROR(INDEX(M_Depot!$A$7:$A$24,MATCH(F990,M_Depot!$B$7:$B$24,0)),""))*(M_DepotPrice!$G$10:$G$52="Special"),0)),INDEX(M_DepotPrice!$C$10:$C$52,MATCH(1,(M_DepotPrice!$A$10:$A$52=I990)*(M_DepotPrice!$G$10:$G$52="Default"),0)))</f>
        <v>11780</v>
      </c>
      <c r="N990" s="95">
        <f t="shared" si="31"/>
        <v>48709.78168</v>
      </c>
      <c r="O990" s="82" t="str">
        <f t="shared" si="30"/>
        <v>MOS100823|FG004|CK3-33385</v>
      </c>
    </row>
    <row r="991" spans="1:15" ht="15" customHeight="1" x14ac:dyDescent="0.3">
      <c r="A991" s="60" t="s">
        <v>1670</v>
      </c>
      <c r="B991" s="60" t="s">
        <v>577</v>
      </c>
      <c r="C991" s="62">
        <v>46179</v>
      </c>
      <c r="D991" s="63" t="s">
        <v>401</v>
      </c>
      <c r="E991" s="66" t="str">
        <f>IFERROR(INDEX(M_User!$A$12:$J$67,MATCH(D991,M_User!$D$12:$D$67,0),3),"UNMAPPED")</f>
        <v>Alice Jonathan Mfuru</v>
      </c>
      <c r="F991" s="65" t="str">
        <f>IFERROR(INDEX(M_User!$A$12:$J$67,MATCH(D991,M_User!$D$12:$D$67,0),5),"UNMAPPED")</f>
        <v>MOS</v>
      </c>
      <c r="G991" s="63" t="s">
        <v>840</v>
      </c>
      <c r="H991" s="69" t="s">
        <v>841</v>
      </c>
      <c r="I991" s="63" t="s">
        <v>185</v>
      </c>
      <c r="J991" s="66" t="str">
        <f>IFERROR(INDEX(M_SKU!$A$18:$J$57,MATCH(I991,M_SKU!$B$18:$B$57,0),1),"UNKNOWN SKU")</f>
        <v>Fanta Fruit Blast RGB 350 ml</v>
      </c>
      <c r="K991" s="63" t="s">
        <v>534</v>
      </c>
      <c r="L991" s="276">
        <v>0.79798928326003904</v>
      </c>
      <c r="M991" s="91" cm="1">
        <f t="array" ref="M991">IFERROR(INDEX(M_DepotPrice!$C$10:$C$52,MATCH(1,(M_DepotPrice!$A$10:$A$52=I991)*(M_DepotPrice!$H$10:$H$52=IFERROR(INDEX(M_Depot!$A$7:$A$24,MATCH(F991,M_Depot!$B$7:$B$24,0)),""))*(M_DepotPrice!$G$10:$G$52="Special"),0)),INDEX(M_DepotPrice!$C$10:$C$52,MATCH(1,(M_DepotPrice!$A$10:$A$52=I991)*(M_DepotPrice!$G$10:$G$52="Default"),0)))</f>
        <v>11780</v>
      </c>
      <c r="N991" s="67">
        <f t="shared" si="31"/>
        <v>11092.370233027847</v>
      </c>
      <c r="O991" s="66" t="str">
        <f t="shared" si="30"/>
        <v>MOS100823|FG005|CK3-33402</v>
      </c>
    </row>
    <row r="992" spans="1:15" ht="15" customHeight="1" x14ac:dyDescent="0.3">
      <c r="A992" s="70" t="s">
        <v>1671</v>
      </c>
      <c r="B992" s="70" t="s">
        <v>577</v>
      </c>
      <c r="C992" s="72">
        <v>46179</v>
      </c>
      <c r="D992" s="73" t="s">
        <v>401</v>
      </c>
      <c r="E992" s="76" t="str">
        <f>IFERROR(INDEX(M_User!$A$12:$J$67,MATCH(D992,M_User!$D$12:$D$67,0),3),"UNMAPPED")</f>
        <v>Alice Jonathan Mfuru</v>
      </c>
      <c r="F992" s="75" t="str">
        <f>IFERROR(INDEX(M_User!$A$12:$J$67,MATCH(D992,M_User!$D$12:$D$67,0),5),"UNMAPPED")</f>
        <v>MOS</v>
      </c>
      <c r="G992" s="73" t="s">
        <v>840</v>
      </c>
      <c r="H992" s="92" t="s">
        <v>841</v>
      </c>
      <c r="I992" s="73" t="s">
        <v>193</v>
      </c>
      <c r="J992" s="76" t="str">
        <f>IFERROR(INDEX(M_SKU!$A$18:$J$57,MATCH(I992,M_SKU!$B$18:$B$57,0),1),"UNKNOWN SKU")</f>
        <v>Sparletta Pinenut RGB 350ml</v>
      </c>
      <c r="K992" s="73" t="s">
        <v>537</v>
      </c>
      <c r="L992" s="276">
        <v>0.53669999999999995</v>
      </c>
      <c r="M992" s="94" cm="1">
        <f t="array" ref="M992">IFERROR(INDEX(M_DepotPrice!$C$10:$C$52,MATCH(1,(M_DepotPrice!$A$10:$A$52=I992)*(M_DepotPrice!$H$10:$H$52=IFERROR(INDEX(M_Depot!$A$7:$A$24,MATCH(F992,M_Depot!$B$7:$B$24,0)),""))*(M_DepotPrice!$G$10:$G$52="Special"),0)),INDEX(M_DepotPrice!$C$10:$C$52,MATCH(1,(M_DepotPrice!$A$10:$A$52=I992)*(M_DepotPrice!$G$10:$G$52="Default"),0)))</f>
        <v>11780</v>
      </c>
      <c r="N992" s="95">
        <f t="shared" si="31"/>
        <v>7460.3446799999983</v>
      </c>
      <c r="O992" s="82" t="str">
        <f t="shared" si="30"/>
        <v>MOS100823|FG008|CK3-33365</v>
      </c>
    </row>
    <row r="993" spans="1:15" ht="15" customHeight="1" x14ac:dyDescent="0.3">
      <c r="A993" s="60" t="s">
        <v>1672</v>
      </c>
      <c r="B993" s="60" t="s">
        <v>577</v>
      </c>
      <c r="C993" s="62">
        <v>46179</v>
      </c>
      <c r="D993" s="63" t="s">
        <v>401</v>
      </c>
      <c r="E993" s="66" t="str">
        <f>IFERROR(INDEX(M_User!$A$12:$J$67,MATCH(D993,M_User!$D$12:$D$67,0),3),"UNMAPPED")</f>
        <v>Alice Jonathan Mfuru</v>
      </c>
      <c r="F993" s="65" t="str">
        <f>IFERROR(INDEX(M_User!$A$12:$J$67,MATCH(D993,M_User!$D$12:$D$67,0),5),"UNMAPPED")</f>
        <v>MOS</v>
      </c>
      <c r="G993" s="63" t="s">
        <v>840</v>
      </c>
      <c r="H993" s="69" t="s">
        <v>841</v>
      </c>
      <c r="I993" s="63" t="s">
        <v>209</v>
      </c>
      <c r="J993" s="66" t="str">
        <f>IFERROR(INDEX(M_SKU!$A$18:$J$57,MATCH(I993,M_SKU!$B$18:$B$57,0),1),"UNKNOWN SKU")</f>
        <v>Sparletta Red Apple RGB 350ml</v>
      </c>
      <c r="K993" s="63" t="s">
        <v>542</v>
      </c>
      <c r="L993" s="276">
        <v>0.46844214661948302</v>
      </c>
      <c r="M993" s="91" cm="1">
        <f t="array" ref="M993">IFERROR(INDEX(M_DepotPrice!$C$10:$C$52,MATCH(1,(M_DepotPrice!$A$10:$A$52=I993)*(M_DepotPrice!$H$10:$H$52=IFERROR(INDEX(M_Depot!$A$7:$A$24,MATCH(F993,M_Depot!$B$7:$B$24,0)),""))*(M_DepotPrice!$G$10:$G$52="Special"),0)),INDEX(M_DepotPrice!$C$10:$C$52,MATCH(1,(M_DepotPrice!$A$10:$A$52=I993)*(M_DepotPrice!$G$10:$G$52="Default"),0)))</f>
        <v>11780</v>
      </c>
      <c r="N993" s="67">
        <f t="shared" si="31"/>
        <v>6511.5332148694624</v>
      </c>
      <c r="O993" s="66" t="str">
        <f t="shared" si="30"/>
        <v>MOS100823|FG024|CK3-32758</v>
      </c>
    </row>
    <row r="994" spans="1:15" ht="15" customHeight="1" x14ac:dyDescent="0.3">
      <c r="A994" s="70" t="s">
        <v>1673</v>
      </c>
      <c r="B994" s="70" t="s">
        <v>577</v>
      </c>
      <c r="C994" s="72">
        <v>46179</v>
      </c>
      <c r="D994" s="73" t="s">
        <v>401</v>
      </c>
      <c r="E994" s="76" t="str">
        <f>IFERROR(INDEX(M_User!$A$12:$J$67,MATCH(D994,M_User!$D$12:$D$67,0),3),"UNMAPPED")</f>
        <v>Alice Jonathan Mfuru</v>
      </c>
      <c r="F994" s="75" t="str">
        <f>IFERROR(INDEX(M_User!$A$12:$J$67,MATCH(D994,M_User!$D$12:$D$67,0),5),"UNMAPPED")</f>
        <v>MOS</v>
      </c>
      <c r="G994" s="73" t="s">
        <v>840</v>
      </c>
      <c r="H994" s="92" t="s">
        <v>841</v>
      </c>
      <c r="I994" s="73" t="s">
        <v>225</v>
      </c>
      <c r="J994" s="76" t="str">
        <f>IFERROR(INDEX(M_SKU!$A$18:$J$57,MATCH(I994,M_SKU!$B$18:$B$57,0),1),"UNKNOWN SKU")</f>
        <v>Kilimanjaro Drinking Water 18900 ML</v>
      </c>
      <c r="K994" s="73" t="s">
        <v>567</v>
      </c>
      <c r="L994" s="276">
        <v>2</v>
      </c>
      <c r="M994" s="94" cm="1">
        <f t="array" ref="M994">IFERROR(INDEX(M_DepotPrice!$C$10:$C$52,MATCH(1,(M_DepotPrice!$A$10:$A$52=I994)*(M_DepotPrice!$H$10:$H$52=IFERROR(INDEX(M_Depot!$A$7:$A$24,MATCH(F994,M_Depot!$B$7:$B$24,0)),""))*(M_DepotPrice!$G$10:$G$52="Special"),0)),INDEX(M_DepotPrice!$C$10:$C$52,MATCH(1,(M_DepotPrice!$A$10:$A$52=I994)*(M_DepotPrice!$G$10:$G$52="Default"),0)))</f>
        <v>5932</v>
      </c>
      <c r="N994" s="95">
        <f t="shared" si="31"/>
        <v>13999.519999999999</v>
      </c>
      <c r="O994" s="82" t="str">
        <f t="shared" si="30"/>
        <v>MOS100823|KD006|CK7-915</v>
      </c>
    </row>
    <row r="995" spans="1:15" ht="15" customHeight="1" x14ac:dyDescent="0.3">
      <c r="A995" s="60" t="s">
        <v>1674</v>
      </c>
      <c r="B995" s="60" t="s">
        <v>577</v>
      </c>
      <c r="C995" s="62">
        <v>46179</v>
      </c>
      <c r="D995" s="63" t="s">
        <v>401</v>
      </c>
      <c r="E995" s="66" t="str">
        <f>IFERROR(INDEX(M_User!$A$12:$J$67,MATCH(D995,M_User!$D$12:$D$67,0),3),"UNMAPPED")</f>
        <v>Alice Jonathan Mfuru</v>
      </c>
      <c r="F995" s="65" t="str">
        <f>IFERROR(INDEX(M_User!$A$12:$J$67,MATCH(D995,M_User!$D$12:$D$67,0),5),"UNMAPPED")</f>
        <v>MOS</v>
      </c>
      <c r="G995" s="63" t="s">
        <v>840</v>
      </c>
      <c r="H995" s="69" t="s">
        <v>841</v>
      </c>
      <c r="I995" s="63" t="s">
        <v>229</v>
      </c>
      <c r="J995" s="66" t="str">
        <f>IFERROR(INDEX(M_SKU!$A$18:$J$57,MATCH(I995,M_SKU!$B$18:$B$57,0),1),"UNKNOWN SKU")</f>
        <v>Coke Pet 500ML ( x12)</v>
      </c>
      <c r="K995" s="63" t="s">
        <v>520</v>
      </c>
      <c r="L995" s="276">
        <v>18</v>
      </c>
      <c r="M995" s="91" cm="1">
        <f t="array" ref="M995">IFERROR(INDEX(M_DepotPrice!$C$10:$C$52,MATCH(1,(M_DepotPrice!$A$10:$A$52=I995)*(M_DepotPrice!$H$10:$H$52=IFERROR(INDEX(M_Depot!$A$7:$A$24,MATCH(F995,M_Depot!$B$7:$B$24,0)),""))*(M_DepotPrice!$G$10:$G$52="Special"),0)),INDEX(M_DepotPrice!$C$10:$C$52,MATCH(1,(M_DepotPrice!$A$10:$A$52=I995)*(M_DepotPrice!$G$10:$G$52="Default"),0)))</f>
        <v>8898</v>
      </c>
      <c r="N995" s="67">
        <f t="shared" si="31"/>
        <v>188993.52</v>
      </c>
      <c r="O995" s="66" t="str">
        <f t="shared" si="30"/>
        <v>MOS100823|PH001|CK6-33411</v>
      </c>
    </row>
    <row r="996" spans="1:15" ht="15" customHeight="1" x14ac:dyDescent="0.3">
      <c r="A996" s="70" t="s">
        <v>1675</v>
      </c>
      <c r="B996" s="70" t="s">
        <v>577</v>
      </c>
      <c r="C996" s="72">
        <v>46179</v>
      </c>
      <c r="D996" s="73" t="s">
        <v>401</v>
      </c>
      <c r="E996" s="76" t="str">
        <f>IFERROR(INDEX(M_User!$A$12:$J$67,MATCH(D996,M_User!$D$12:$D$67,0),3),"UNMAPPED")</f>
        <v>Alice Jonathan Mfuru</v>
      </c>
      <c r="F996" s="75" t="str">
        <f>IFERROR(INDEX(M_User!$A$12:$J$67,MATCH(D996,M_User!$D$12:$D$67,0),5),"UNMAPPED")</f>
        <v>MOS</v>
      </c>
      <c r="G996" s="73" t="s">
        <v>840</v>
      </c>
      <c r="H996" s="92" t="s">
        <v>841</v>
      </c>
      <c r="I996" s="73" t="s">
        <v>232</v>
      </c>
      <c r="J996" s="76" t="str">
        <f>IFERROR(INDEX(M_SKU!$A$18:$J$57,MATCH(I996,M_SKU!$B$18:$B$57,0),1),"UNKNOWN SKU")</f>
        <v>Sprite Pet 500ML (x 12)</v>
      </c>
      <c r="K996" s="73" t="s">
        <v>522</v>
      </c>
      <c r="L996" s="276">
        <v>3</v>
      </c>
      <c r="M996" s="94" cm="1">
        <f t="array" ref="M996">IFERROR(INDEX(M_DepotPrice!$C$10:$C$52,MATCH(1,(M_DepotPrice!$A$10:$A$52=I996)*(M_DepotPrice!$H$10:$H$52=IFERROR(INDEX(M_Depot!$A$7:$A$24,MATCH(F996,M_Depot!$B$7:$B$24,0)),""))*(M_DepotPrice!$G$10:$G$52="Special"),0)),INDEX(M_DepotPrice!$C$10:$C$52,MATCH(1,(M_DepotPrice!$A$10:$A$52=I996)*(M_DepotPrice!$G$10:$G$52="Default"),0)))</f>
        <v>8898</v>
      </c>
      <c r="N996" s="95">
        <f t="shared" si="31"/>
        <v>31498.92</v>
      </c>
      <c r="O996" s="82" t="str">
        <f t="shared" si="30"/>
        <v>MOS100823|PH002|CK6-33362</v>
      </c>
    </row>
    <row r="997" spans="1:15" ht="15" customHeight="1" x14ac:dyDescent="0.3">
      <c r="A997" s="60" t="s">
        <v>1676</v>
      </c>
      <c r="B997" s="60" t="s">
        <v>577</v>
      </c>
      <c r="C997" s="62">
        <v>46179</v>
      </c>
      <c r="D997" s="63" t="s">
        <v>401</v>
      </c>
      <c r="E997" s="66" t="str">
        <f>IFERROR(INDEX(M_User!$A$12:$J$67,MATCH(D997,M_User!$D$12:$D$67,0),3),"UNMAPPED")</f>
        <v>Alice Jonathan Mfuru</v>
      </c>
      <c r="F997" s="65" t="str">
        <f>IFERROR(INDEX(M_User!$A$12:$J$67,MATCH(D997,M_User!$D$12:$D$67,0),5),"UNMAPPED")</f>
        <v>MOS</v>
      </c>
      <c r="G997" s="63" t="s">
        <v>840</v>
      </c>
      <c r="H997" s="69" t="s">
        <v>841</v>
      </c>
      <c r="I997" s="63" t="s">
        <v>234</v>
      </c>
      <c r="J997" s="66" t="str">
        <f>IFERROR(INDEX(M_SKU!$A$18:$J$57,MATCH(I997,M_SKU!$B$18:$B$57,0),1),"UNKNOWN SKU")</f>
        <v>Fanta Orange Pet 500ML ( x 12)</v>
      </c>
      <c r="K997" s="63" t="s">
        <v>523</v>
      </c>
      <c r="L997" s="276">
        <v>6</v>
      </c>
      <c r="M997" s="91" cm="1">
        <f t="array" ref="M997">IFERROR(INDEX(M_DepotPrice!$C$10:$C$52,MATCH(1,(M_DepotPrice!$A$10:$A$52=I997)*(M_DepotPrice!$H$10:$H$52=IFERROR(INDEX(M_Depot!$A$7:$A$24,MATCH(F997,M_Depot!$B$7:$B$24,0)),""))*(M_DepotPrice!$G$10:$G$52="Special"),0)),INDEX(M_DepotPrice!$C$10:$C$52,MATCH(1,(M_DepotPrice!$A$10:$A$52=I997)*(M_DepotPrice!$G$10:$G$52="Default"),0)))</f>
        <v>8898</v>
      </c>
      <c r="N997" s="67">
        <f t="shared" si="31"/>
        <v>62997.84</v>
      </c>
      <c r="O997" s="66" t="str">
        <f t="shared" si="30"/>
        <v>MOS100823|PH003|CK6-33405</v>
      </c>
    </row>
    <row r="998" spans="1:15" ht="15" customHeight="1" x14ac:dyDescent="0.3">
      <c r="A998" s="70" t="s">
        <v>1677</v>
      </c>
      <c r="B998" s="70" t="s">
        <v>577</v>
      </c>
      <c r="C998" s="72">
        <v>46179</v>
      </c>
      <c r="D998" s="73" t="s">
        <v>401</v>
      </c>
      <c r="E998" s="76" t="str">
        <f>IFERROR(INDEX(M_User!$A$12:$J$67,MATCH(D998,M_User!$D$12:$D$67,0),3),"UNMAPPED")</f>
        <v>Alice Jonathan Mfuru</v>
      </c>
      <c r="F998" s="75" t="str">
        <f>IFERROR(INDEX(M_User!$A$12:$J$67,MATCH(D998,M_User!$D$12:$D$67,0),5),"UNMAPPED")</f>
        <v>MOS</v>
      </c>
      <c r="G998" s="73" t="s">
        <v>840</v>
      </c>
      <c r="H998" s="92" t="s">
        <v>841</v>
      </c>
      <c r="I998" s="73" t="s">
        <v>242</v>
      </c>
      <c r="J998" s="76" t="str">
        <f>IFERROR(INDEX(M_SKU!$A$18:$J$57,MATCH(I998,M_SKU!$B$18:$B$57,0),1),"UNKNOWN SKU")</f>
        <v>Stoney Tangawizi Pet 500 ml ( x12)</v>
      </c>
      <c r="K998" s="73" t="s">
        <v>525</v>
      </c>
      <c r="L998" s="276">
        <v>1</v>
      </c>
      <c r="M998" s="94" cm="1">
        <f t="array" ref="M998">IFERROR(INDEX(M_DepotPrice!$C$10:$C$52,MATCH(1,(M_DepotPrice!$A$10:$A$52=I998)*(M_DepotPrice!$H$10:$H$52=IFERROR(INDEX(M_Depot!$A$7:$A$24,MATCH(F998,M_Depot!$B$7:$B$24,0)),""))*(M_DepotPrice!$G$10:$G$52="Special"),0)),INDEX(M_DepotPrice!$C$10:$C$52,MATCH(1,(M_DepotPrice!$A$10:$A$52=I998)*(M_DepotPrice!$G$10:$G$52="Default"),0)))</f>
        <v>8898</v>
      </c>
      <c r="N998" s="95">
        <f t="shared" si="31"/>
        <v>10499.64</v>
      </c>
      <c r="O998" s="82" t="str">
        <f t="shared" si="30"/>
        <v>MOS100823|PH007|CK6-33375</v>
      </c>
    </row>
    <row r="999" spans="1:15" ht="15" customHeight="1" x14ac:dyDescent="0.3">
      <c r="A999" s="60" t="s">
        <v>1678</v>
      </c>
      <c r="B999" s="60" t="s">
        <v>577</v>
      </c>
      <c r="C999" s="62">
        <v>46179</v>
      </c>
      <c r="D999" s="63" t="s">
        <v>401</v>
      </c>
      <c r="E999" s="66" t="str">
        <f>IFERROR(INDEX(M_User!$A$12:$J$67,MATCH(D999,M_User!$D$12:$D$67,0),3),"UNMAPPED")</f>
        <v>Alice Jonathan Mfuru</v>
      </c>
      <c r="F999" s="65" t="str">
        <f>IFERROR(INDEX(M_User!$A$12:$J$67,MATCH(D999,M_User!$D$12:$D$67,0),5),"UNMAPPED")</f>
        <v>MOS</v>
      </c>
      <c r="G999" s="63" t="s">
        <v>756</v>
      </c>
      <c r="H999" s="69" t="s">
        <v>757</v>
      </c>
      <c r="I999" s="63" t="s">
        <v>170</v>
      </c>
      <c r="J999" s="66" t="str">
        <f>IFERROR(INDEX(M_SKU!$A$18:$J$57,MATCH(I999,M_SKU!$B$18:$B$57,0),1),"UNKNOWN SKU")</f>
        <v>Coke RGB 350ml</v>
      </c>
      <c r="K999" s="63" t="s">
        <v>530</v>
      </c>
      <c r="L999" s="276">
        <v>18.341100000000001</v>
      </c>
      <c r="M999" s="91" cm="1">
        <f t="array" ref="M999">IFERROR(INDEX(M_DepotPrice!$C$10:$C$52,MATCH(1,(M_DepotPrice!$A$10:$A$52=I999)*(M_DepotPrice!$H$10:$H$52=IFERROR(INDEX(M_Depot!$A$7:$A$24,MATCH(F999,M_Depot!$B$7:$B$24,0)),""))*(M_DepotPrice!$G$10:$G$52="Special"),0)),INDEX(M_DepotPrice!$C$10:$C$52,MATCH(1,(M_DepotPrice!$A$10:$A$52=I999)*(M_DepotPrice!$G$10:$G$52="Default"),0)))</f>
        <v>11780</v>
      </c>
      <c r="N999" s="67">
        <f t="shared" si="31"/>
        <v>254948.62643999999</v>
      </c>
      <c r="O999" s="66" t="str">
        <f t="shared" si="30"/>
        <v>MOS100823|FG001|CK3-33409</v>
      </c>
    </row>
    <row r="1000" spans="1:15" ht="15" customHeight="1" x14ac:dyDescent="0.3">
      <c r="A1000" s="70" t="s">
        <v>1679</v>
      </c>
      <c r="B1000" s="70" t="s">
        <v>577</v>
      </c>
      <c r="C1000" s="72">
        <v>46179</v>
      </c>
      <c r="D1000" s="73" t="s">
        <v>401</v>
      </c>
      <c r="E1000" s="76" t="str">
        <f>IFERROR(INDEX(M_User!$A$12:$J$67,MATCH(D1000,M_User!$D$12:$D$67,0),3),"UNMAPPED")</f>
        <v>Alice Jonathan Mfuru</v>
      </c>
      <c r="F1000" s="75" t="str">
        <f>IFERROR(INDEX(M_User!$A$12:$J$67,MATCH(D1000,M_User!$D$12:$D$67,0),5),"UNMAPPED")</f>
        <v>MOS</v>
      </c>
      <c r="G1000" s="73" t="s">
        <v>756</v>
      </c>
      <c r="H1000" s="92" t="s">
        <v>757</v>
      </c>
      <c r="I1000" s="73" t="s">
        <v>178</v>
      </c>
      <c r="J1000" s="76" t="str">
        <f>IFERROR(INDEX(M_SKU!$A$18:$J$57,MATCH(I1000,M_SKU!$B$18:$B$57,0),1),"UNKNOWN SKU")</f>
        <v>Fanta Orange RGB 350ml</v>
      </c>
      <c r="K1000" s="73" t="s">
        <v>531</v>
      </c>
      <c r="L1000" s="276">
        <v>2.4310392774445702</v>
      </c>
      <c r="M1000" s="94" cm="1">
        <f t="array" ref="M1000">IFERROR(INDEX(M_DepotPrice!$C$10:$C$52,MATCH(1,(M_DepotPrice!$A$10:$A$52=I1000)*(M_DepotPrice!$H$10:$H$52=IFERROR(INDEX(M_Depot!$A$7:$A$24,MATCH(F1000,M_Depot!$B$7:$B$24,0)),""))*(M_DepotPrice!$G$10:$G$52="Special"),0)),INDEX(M_DepotPrice!$C$10:$C$52,MATCH(1,(M_DepotPrice!$A$10:$A$52=I1000)*(M_DepotPrice!$G$10:$G$52="Default"),0)))</f>
        <v>11780</v>
      </c>
      <c r="N1000" s="95">
        <f t="shared" si="31"/>
        <v>33792.418372190499</v>
      </c>
      <c r="O1000" s="82" t="str">
        <f t="shared" si="30"/>
        <v>MOS100823|FG002|CK3-33407</v>
      </c>
    </row>
    <row r="1001" spans="1:15" ht="15" customHeight="1" x14ac:dyDescent="0.3">
      <c r="A1001" s="60" t="s">
        <v>1680</v>
      </c>
      <c r="B1001" s="60" t="s">
        <v>577</v>
      </c>
      <c r="C1001" s="62">
        <v>46179</v>
      </c>
      <c r="D1001" s="63" t="s">
        <v>401</v>
      </c>
      <c r="E1001" s="66" t="str">
        <f>IFERROR(INDEX(M_User!$A$12:$J$67,MATCH(D1001,M_User!$D$12:$D$67,0),3),"UNMAPPED")</f>
        <v>Alice Jonathan Mfuru</v>
      </c>
      <c r="F1001" s="65" t="str">
        <f>IFERROR(INDEX(M_User!$A$12:$J$67,MATCH(D1001,M_User!$D$12:$D$67,0),5),"UNMAPPED")</f>
        <v>MOS</v>
      </c>
      <c r="G1001" s="63" t="s">
        <v>756</v>
      </c>
      <c r="H1001" s="69" t="s">
        <v>757</v>
      </c>
      <c r="I1001" s="63" t="s">
        <v>183</v>
      </c>
      <c r="J1001" s="66" t="str">
        <f>IFERROR(INDEX(M_SKU!$A$18:$J$57,MATCH(I1001,M_SKU!$B$18:$B$57,0),1),"UNKNOWN SKU")</f>
        <v>Fanta Pineapple RGB 350ml</v>
      </c>
      <c r="K1001" s="63" t="s">
        <v>533</v>
      </c>
      <c r="L1001" s="276">
        <v>3.2423688075401702</v>
      </c>
      <c r="M1001" s="91" cm="1">
        <f t="array" ref="M1001">IFERROR(INDEX(M_DepotPrice!$C$10:$C$52,MATCH(1,(M_DepotPrice!$A$10:$A$52=I1001)*(M_DepotPrice!$H$10:$H$52=IFERROR(INDEX(M_Depot!$A$7:$A$24,MATCH(F1001,M_Depot!$B$7:$B$24,0)),""))*(M_DepotPrice!$G$10:$G$52="Special"),0)),INDEX(M_DepotPrice!$C$10:$C$52,MATCH(1,(M_DepotPrice!$A$10:$A$52=I1001)*(M_DepotPrice!$G$10:$G$52="Default"),0)))</f>
        <v>11780</v>
      </c>
      <c r="N1001" s="67">
        <f t="shared" si="31"/>
        <v>45070.223372331384</v>
      </c>
      <c r="O1001" s="66" t="str">
        <f t="shared" si="30"/>
        <v>MOS100823|FG004|CK3-33385</v>
      </c>
    </row>
    <row r="1002" spans="1:15" ht="15" customHeight="1" x14ac:dyDescent="0.3">
      <c r="A1002" s="70" t="s">
        <v>1681</v>
      </c>
      <c r="B1002" s="70" t="s">
        <v>577</v>
      </c>
      <c r="C1002" s="72">
        <v>46179</v>
      </c>
      <c r="D1002" s="73" t="s">
        <v>401</v>
      </c>
      <c r="E1002" s="76" t="str">
        <f>IFERROR(INDEX(M_User!$A$12:$J$67,MATCH(D1002,M_User!$D$12:$D$67,0),3),"UNMAPPED")</f>
        <v>Alice Jonathan Mfuru</v>
      </c>
      <c r="F1002" s="75" t="str">
        <f>IFERROR(INDEX(M_User!$A$12:$J$67,MATCH(D1002,M_User!$D$12:$D$67,0),5),"UNMAPPED")</f>
        <v>MOS</v>
      </c>
      <c r="G1002" s="73" t="s">
        <v>756</v>
      </c>
      <c r="H1002" s="92" t="s">
        <v>757</v>
      </c>
      <c r="I1002" s="73" t="s">
        <v>187</v>
      </c>
      <c r="J1002" s="76" t="str">
        <f>IFERROR(INDEX(M_SKU!$A$18:$J$57,MATCH(I1002,M_SKU!$B$18:$B$57,0),1),"UNKNOWN SKU")</f>
        <v>Sprite 350ml</v>
      </c>
      <c r="K1002" s="73" t="s">
        <v>535</v>
      </c>
      <c r="L1002" s="276">
        <v>0.8498</v>
      </c>
      <c r="M1002" s="94" cm="1">
        <f t="array" ref="M1002">IFERROR(INDEX(M_DepotPrice!$C$10:$C$52,MATCH(1,(M_DepotPrice!$A$10:$A$52=I1002)*(M_DepotPrice!$H$10:$H$52=IFERROR(INDEX(M_Depot!$A$7:$A$24,MATCH(F1002,M_Depot!$B$7:$B$24,0)),""))*(M_DepotPrice!$G$10:$G$52="Special"),0)),INDEX(M_DepotPrice!$C$10:$C$52,MATCH(1,(M_DepotPrice!$A$10:$A$52=I1002)*(M_DepotPrice!$G$10:$G$52="Default"),0)))</f>
        <v>11780</v>
      </c>
      <c r="N1002" s="95">
        <f t="shared" si="31"/>
        <v>11812.55992</v>
      </c>
      <c r="O1002" s="82" t="str">
        <f t="shared" si="30"/>
        <v>MOS100823|FG006|CK3-33414</v>
      </c>
    </row>
    <row r="1003" spans="1:15" ht="15" customHeight="1" x14ac:dyDescent="0.3">
      <c r="A1003" s="60" t="s">
        <v>1682</v>
      </c>
      <c r="B1003" s="60" t="s">
        <v>577</v>
      </c>
      <c r="C1003" s="62">
        <v>46179</v>
      </c>
      <c r="D1003" s="63" t="s">
        <v>401</v>
      </c>
      <c r="E1003" s="66" t="str">
        <f>IFERROR(INDEX(M_User!$A$12:$J$67,MATCH(D1003,M_User!$D$12:$D$67,0),3),"UNMAPPED")</f>
        <v>Alice Jonathan Mfuru</v>
      </c>
      <c r="F1003" s="65" t="str">
        <f>IFERROR(INDEX(M_User!$A$12:$J$67,MATCH(D1003,M_User!$D$12:$D$67,0),5),"UNMAPPED")</f>
        <v>MOS</v>
      </c>
      <c r="G1003" s="63" t="s">
        <v>756</v>
      </c>
      <c r="H1003" s="69" t="s">
        <v>757</v>
      </c>
      <c r="I1003" s="63" t="s">
        <v>190</v>
      </c>
      <c r="J1003" s="66" t="str">
        <f>IFERROR(INDEX(M_SKU!$A$18:$J$57,MATCH(I1003,M_SKU!$B$18:$B$57,0),1),"UNKNOWN SKU")</f>
        <v>Stoney Tangawizi RGB 350ml</v>
      </c>
      <c r="K1003" s="63" t="s">
        <v>536</v>
      </c>
      <c r="L1003" s="276">
        <v>0.61750000000000005</v>
      </c>
      <c r="M1003" s="91" cm="1">
        <f t="array" ref="M1003">IFERROR(INDEX(M_DepotPrice!$C$10:$C$52,MATCH(1,(M_DepotPrice!$A$10:$A$52=I1003)*(M_DepotPrice!$H$10:$H$52=IFERROR(INDEX(M_Depot!$A$7:$A$24,MATCH(F1003,M_Depot!$B$7:$B$24,0)),""))*(M_DepotPrice!$G$10:$G$52="Special"),0)),INDEX(M_DepotPrice!$C$10:$C$52,MATCH(1,(M_DepotPrice!$A$10:$A$52=I1003)*(M_DepotPrice!$G$10:$G$52="Default"),0)))</f>
        <v>11780</v>
      </c>
      <c r="N1003" s="67">
        <f t="shared" si="31"/>
        <v>8583.4969999999994</v>
      </c>
      <c r="O1003" s="66" t="str">
        <f t="shared" si="30"/>
        <v>MOS100823|FG007|CK3-33404</v>
      </c>
    </row>
    <row r="1004" spans="1:15" ht="15" customHeight="1" x14ac:dyDescent="0.3">
      <c r="A1004" s="70" t="s">
        <v>1683</v>
      </c>
      <c r="B1004" s="70" t="s">
        <v>577</v>
      </c>
      <c r="C1004" s="72">
        <v>46179</v>
      </c>
      <c r="D1004" s="73" t="s">
        <v>401</v>
      </c>
      <c r="E1004" s="76" t="str">
        <f>IFERROR(INDEX(M_User!$A$12:$J$67,MATCH(D1004,M_User!$D$12:$D$67,0),3),"UNMAPPED")</f>
        <v>Alice Jonathan Mfuru</v>
      </c>
      <c r="F1004" s="75" t="str">
        <f>IFERROR(INDEX(M_User!$A$12:$J$67,MATCH(D1004,M_User!$D$12:$D$67,0),5),"UNMAPPED")</f>
        <v>MOS</v>
      </c>
      <c r="G1004" s="73" t="s">
        <v>756</v>
      </c>
      <c r="H1004" s="92" t="s">
        <v>757</v>
      </c>
      <c r="I1004" s="73" t="s">
        <v>193</v>
      </c>
      <c r="J1004" s="76" t="str">
        <f>IFERROR(INDEX(M_SKU!$A$18:$J$57,MATCH(I1004,M_SKU!$B$18:$B$57,0),1),"UNKNOWN SKU")</f>
        <v>Sparletta Pinenut RGB 350ml</v>
      </c>
      <c r="K1004" s="73" t="s">
        <v>537</v>
      </c>
      <c r="L1004" s="276">
        <v>0.60897111761712297</v>
      </c>
      <c r="M1004" s="94" cm="1">
        <f t="array" ref="M1004">IFERROR(INDEX(M_DepotPrice!$C$10:$C$52,MATCH(1,(M_DepotPrice!$A$10:$A$52=I1004)*(M_DepotPrice!$H$10:$H$52=IFERROR(INDEX(M_Depot!$A$7:$A$24,MATCH(F1004,M_Depot!$B$7:$B$24,0)),""))*(M_DepotPrice!$G$10:$G$52="Special"),0)),INDEX(M_DepotPrice!$C$10:$C$52,MATCH(1,(M_DepotPrice!$A$10:$A$52=I1004)*(M_DepotPrice!$G$10:$G$52="Default"),0)))</f>
        <v>11780</v>
      </c>
      <c r="N1004" s="95">
        <f t="shared" si="31"/>
        <v>8464.9421233250559</v>
      </c>
      <c r="O1004" s="82" t="str">
        <f t="shared" si="30"/>
        <v>MOS100823|FG008|CK3-33365</v>
      </c>
    </row>
    <row r="1005" spans="1:15" ht="15" customHeight="1" x14ac:dyDescent="0.3">
      <c r="A1005" s="60" t="s">
        <v>1684</v>
      </c>
      <c r="B1005" s="60" t="s">
        <v>577</v>
      </c>
      <c r="C1005" s="62">
        <v>46179</v>
      </c>
      <c r="D1005" s="63" t="s">
        <v>401</v>
      </c>
      <c r="E1005" s="66" t="str">
        <f>IFERROR(INDEX(M_User!$A$12:$J$67,MATCH(D1005,M_User!$D$12:$D$67,0),3),"UNMAPPED")</f>
        <v>Alice Jonathan Mfuru</v>
      </c>
      <c r="F1005" s="65" t="str">
        <f>IFERROR(INDEX(M_User!$A$12:$J$67,MATCH(D1005,M_User!$D$12:$D$67,0),5),"UNMAPPED")</f>
        <v>MOS</v>
      </c>
      <c r="G1005" s="63" t="s">
        <v>756</v>
      </c>
      <c r="H1005" s="69" t="s">
        <v>757</v>
      </c>
      <c r="I1005" s="63" t="s">
        <v>209</v>
      </c>
      <c r="J1005" s="66" t="str">
        <f>IFERROR(INDEX(M_SKU!$A$18:$J$57,MATCH(I1005,M_SKU!$B$18:$B$57,0),1),"UNKNOWN SKU")</f>
        <v>Sparletta Red Apple RGB 350ml</v>
      </c>
      <c r="K1005" s="63" t="s">
        <v>542</v>
      </c>
      <c r="L1005" s="276">
        <v>0.55120000000000002</v>
      </c>
      <c r="M1005" s="91" cm="1">
        <f t="array" ref="M1005">IFERROR(INDEX(M_DepotPrice!$C$10:$C$52,MATCH(1,(M_DepotPrice!$A$10:$A$52=I1005)*(M_DepotPrice!$H$10:$H$52=IFERROR(INDEX(M_Depot!$A$7:$A$24,MATCH(F1005,M_Depot!$B$7:$B$24,0)),""))*(M_DepotPrice!$G$10:$G$52="Special"),0)),INDEX(M_DepotPrice!$C$10:$C$52,MATCH(1,(M_DepotPrice!$A$10:$A$52=I1005)*(M_DepotPrice!$G$10:$G$52="Default"),0)))</f>
        <v>11780</v>
      </c>
      <c r="N1005" s="67">
        <f t="shared" si="31"/>
        <v>7661.9004800000002</v>
      </c>
      <c r="O1005" s="66" t="str">
        <f t="shared" si="30"/>
        <v>MOS100823|FG024|CK3-32758</v>
      </c>
    </row>
    <row r="1006" spans="1:15" ht="15" customHeight="1" x14ac:dyDescent="0.3">
      <c r="A1006" s="70" t="s">
        <v>1685</v>
      </c>
      <c r="B1006" s="70" t="s">
        <v>577</v>
      </c>
      <c r="C1006" s="72">
        <v>46179</v>
      </c>
      <c r="D1006" s="73" t="s">
        <v>401</v>
      </c>
      <c r="E1006" s="76" t="str">
        <f>IFERROR(INDEX(M_User!$A$12:$J$67,MATCH(D1006,M_User!$D$12:$D$67,0),3),"UNMAPPED")</f>
        <v>Alice Jonathan Mfuru</v>
      </c>
      <c r="F1006" s="75" t="str">
        <f>IFERROR(INDEX(M_User!$A$12:$J$67,MATCH(D1006,M_User!$D$12:$D$67,0),5),"UNMAPPED")</f>
        <v>MOS</v>
      </c>
      <c r="G1006" s="73" t="s">
        <v>756</v>
      </c>
      <c r="H1006" s="92" t="s">
        <v>757</v>
      </c>
      <c r="I1006" s="73" t="s">
        <v>211</v>
      </c>
      <c r="J1006" s="76" t="str">
        <f>IFERROR(INDEX(M_SKU!$A$18:$J$57,MATCH(I1006,M_SKU!$B$18:$B$57,0),1),"UNKNOWN SKU")</f>
        <v>KNMW 500ml</v>
      </c>
      <c r="K1006" s="73" t="s">
        <v>543</v>
      </c>
      <c r="L1006" s="276">
        <v>6</v>
      </c>
      <c r="M1006" s="94" cm="1">
        <f t="array" ref="M1006">IFERROR(INDEX(M_DepotPrice!$C$10:$C$52,MATCH(1,(M_DepotPrice!$A$10:$A$52=I1006)*(M_DepotPrice!$H$10:$H$52=IFERROR(INDEX(M_Depot!$A$7:$A$24,MATCH(F1006,M_Depot!$B$7:$B$24,0)),""))*(M_DepotPrice!$G$10:$G$52="Special"),0)),INDEX(M_DepotPrice!$C$10:$C$52,MATCH(1,(M_DepotPrice!$A$10:$A$52=I1006)*(M_DepotPrice!$G$10:$G$52="Default"),0)))</f>
        <v>3559</v>
      </c>
      <c r="N1006" s="95">
        <f t="shared" si="31"/>
        <v>25197.719999999998</v>
      </c>
      <c r="O1006" s="82" t="str">
        <f t="shared" si="30"/>
        <v>MOS100823|KD001|CK6-986</v>
      </c>
    </row>
    <row r="1007" spans="1:15" ht="15" customHeight="1" x14ac:dyDescent="0.3">
      <c r="A1007" s="60" t="s">
        <v>1686</v>
      </c>
      <c r="B1007" s="60" t="s">
        <v>577</v>
      </c>
      <c r="C1007" s="62">
        <v>46179</v>
      </c>
      <c r="D1007" s="63" t="s">
        <v>401</v>
      </c>
      <c r="E1007" s="66" t="str">
        <f>IFERROR(INDEX(M_User!$A$12:$J$67,MATCH(D1007,M_User!$D$12:$D$67,0),3),"UNMAPPED")</f>
        <v>Alice Jonathan Mfuru</v>
      </c>
      <c r="F1007" s="65" t="str">
        <f>IFERROR(INDEX(M_User!$A$12:$J$67,MATCH(D1007,M_User!$D$12:$D$67,0),5),"UNMAPPED")</f>
        <v>MOS</v>
      </c>
      <c r="G1007" s="63" t="s">
        <v>756</v>
      </c>
      <c r="H1007" s="69" t="s">
        <v>757</v>
      </c>
      <c r="I1007" s="63" t="s">
        <v>217</v>
      </c>
      <c r="J1007" s="66" t="str">
        <f>IFERROR(INDEX(M_SKU!$A$18:$J$57,MATCH(I1007,M_SKU!$B$18:$B$57,0),1),"UNKNOWN SKU")</f>
        <v>KNMW 1500ml</v>
      </c>
      <c r="K1007" s="63" t="s">
        <v>551</v>
      </c>
      <c r="L1007" s="276">
        <v>27</v>
      </c>
      <c r="M1007" s="91" cm="1">
        <f t="array" ref="M1007">IFERROR(INDEX(M_DepotPrice!$C$10:$C$52,MATCH(1,(M_DepotPrice!$A$10:$A$52=I1007)*(M_DepotPrice!$H$10:$H$52=IFERROR(INDEX(M_Depot!$A$7:$A$24,MATCH(F1007,M_Depot!$B$7:$B$24,0)),""))*(M_DepotPrice!$G$10:$G$52="Special"),0)),INDEX(M_DepotPrice!$C$10:$C$52,MATCH(1,(M_DepotPrice!$A$10:$A$52=I1007)*(M_DepotPrice!$G$10:$G$52="Default"),0)))</f>
        <v>3983</v>
      </c>
      <c r="N1007" s="67">
        <f t="shared" si="31"/>
        <v>126898.37999999999</v>
      </c>
      <c r="O1007" s="66" t="str">
        <f t="shared" si="30"/>
        <v>MOS100823|KD003|CK4-842</v>
      </c>
    </row>
    <row r="1008" spans="1:15" ht="15" customHeight="1" x14ac:dyDescent="0.3">
      <c r="A1008" s="70" t="s">
        <v>1687</v>
      </c>
      <c r="B1008" s="70" t="s">
        <v>577</v>
      </c>
      <c r="C1008" s="72">
        <v>46179</v>
      </c>
      <c r="D1008" s="73" t="s">
        <v>401</v>
      </c>
      <c r="E1008" s="76" t="str">
        <f>IFERROR(INDEX(M_User!$A$12:$J$67,MATCH(D1008,M_User!$D$12:$D$67,0),3),"UNMAPPED")</f>
        <v>Alice Jonathan Mfuru</v>
      </c>
      <c r="F1008" s="75" t="str">
        <f>IFERROR(INDEX(M_User!$A$12:$J$67,MATCH(D1008,M_User!$D$12:$D$67,0),5),"UNMAPPED")</f>
        <v>MOS</v>
      </c>
      <c r="G1008" s="73" t="s">
        <v>756</v>
      </c>
      <c r="H1008" s="92" t="s">
        <v>757</v>
      </c>
      <c r="I1008" s="73" t="s">
        <v>222</v>
      </c>
      <c r="J1008" s="76" t="str">
        <f>IFERROR(INDEX(M_SKU!$A$18:$J$57,MATCH(I1008,M_SKU!$B$18:$B$57,0),1),"UNKNOWN SKU")</f>
        <v>Kilimanjaro Drinking Water 12000 ML</v>
      </c>
      <c r="K1008" s="73" t="s">
        <v>566</v>
      </c>
      <c r="L1008" s="276">
        <v>1</v>
      </c>
      <c r="M1008" s="94" cm="1">
        <f t="array" ref="M1008">IFERROR(INDEX(M_DepotPrice!$C$10:$C$52,MATCH(1,(M_DepotPrice!$A$10:$A$52=I1008)*(M_DepotPrice!$H$10:$H$52=IFERROR(INDEX(M_Depot!$A$7:$A$24,MATCH(F1008,M_Depot!$B$7:$B$24,0)),""))*(M_DepotPrice!$G$10:$G$52="Special"),0)),INDEX(M_DepotPrice!$C$10:$C$52,MATCH(1,(M_DepotPrice!$A$10:$A$52=I1008)*(M_DepotPrice!$G$10:$G$52="Default"),0)))</f>
        <v>3559</v>
      </c>
      <c r="N1008" s="95">
        <f t="shared" si="31"/>
        <v>4199.62</v>
      </c>
      <c r="O1008" s="82" t="str">
        <f t="shared" si="30"/>
        <v>MOS100823|KD005|CK7-913</v>
      </c>
    </row>
    <row r="1009" spans="1:15" ht="15" customHeight="1" x14ac:dyDescent="0.3">
      <c r="A1009" s="60" t="s">
        <v>1688</v>
      </c>
      <c r="B1009" s="60" t="s">
        <v>577</v>
      </c>
      <c r="C1009" s="62">
        <v>46179</v>
      </c>
      <c r="D1009" s="63" t="s">
        <v>401</v>
      </c>
      <c r="E1009" s="66" t="str">
        <f>IFERROR(INDEX(M_User!$A$12:$J$67,MATCH(D1009,M_User!$D$12:$D$67,0),3),"UNMAPPED")</f>
        <v>Alice Jonathan Mfuru</v>
      </c>
      <c r="F1009" s="65" t="str">
        <f>IFERROR(INDEX(M_User!$A$12:$J$67,MATCH(D1009,M_User!$D$12:$D$67,0),5),"UNMAPPED")</f>
        <v>MOS</v>
      </c>
      <c r="G1009" s="63" t="s">
        <v>756</v>
      </c>
      <c r="H1009" s="69" t="s">
        <v>757</v>
      </c>
      <c r="I1009" s="63" t="s">
        <v>225</v>
      </c>
      <c r="J1009" s="66" t="str">
        <f>IFERROR(INDEX(M_SKU!$A$18:$J$57,MATCH(I1009,M_SKU!$B$18:$B$57,0),1),"UNKNOWN SKU")</f>
        <v>Kilimanjaro Drinking Water 18900 ML</v>
      </c>
      <c r="K1009" s="63" t="s">
        <v>567</v>
      </c>
      <c r="L1009" s="276">
        <v>1</v>
      </c>
      <c r="M1009" s="91" cm="1">
        <f t="array" ref="M1009">IFERROR(INDEX(M_DepotPrice!$C$10:$C$52,MATCH(1,(M_DepotPrice!$A$10:$A$52=I1009)*(M_DepotPrice!$H$10:$H$52=IFERROR(INDEX(M_Depot!$A$7:$A$24,MATCH(F1009,M_Depot!$B$7:$B$24,0)),""))*(M_DepotPrice!$G$10:$G$52="Special"),0)),INDEX(M_DepotPrice!$C$10:$C$52,MATCH(1,(M_DepotPrice!$A$10:$A$52=I1009)*(M_DepotPrice!$G$10:$G$52="Default"),0)))</f>
        <v>5932</v>
      </c>
      <c r="N1009" s="67">
        <f t="shared" si="31"/>
        <v>6999.7599999999993</v>
      </c>
      <c r="O1009" s="66" t="str">
        <f t="shared" si="30"/>
        <v>MOS100823|KD006|CK7-915</v>
      </c>
    </row>
    <row r="1010" spans="1:15" ht="15" customHeight="1" x14ac:dyDescent="0.3">
      <c r="A1010" s="70" t="s">
        <v>1689</v>
      </c>
      <c r="B1010" s="70" t="s">
        <v>577</v>
      </c>
      <c r="C1010" s="72">
        <v>46179</v>
      </c>
      <c r="D1010" s="73" t="s">
        <v>401</v>
      </c>
      <c r="E1010" s="76" t="str">
        <f>IFERROR(INDEX(M_User!$A$12:$J$67,MATCH(D1010,M_User!$D$12:$D$67,0),3),"UNMAPPED")</f>
        <v>Alice Jonathan Mfuru</v>
      </c>
      <c r="F1010" s="75" t="str">
        <f>IFERROR(INDEX(M_User!$A$12:$J$67,MATCH(D1010,M_User!$D$12:$D$67,0),5),"UNMAPPED")</f>
        <v>MOS</v>
      </c>
      <c r="G1010" s="73" t="s">
        <v>756</v>
      </c>
      <c r="H1010" s="92" t="s">
        <v>757</v>
      </c>
      <c r="I1010" s="73" t="s">
        <v>229</v>
      </c>
      <c r="J1010" s="76" t="str">
        <f>IFERROR(INDEX(M_SKU!$A$18:$J$57,MATCH(I1010,M_SKU!$B$18:$B$57,0),1),"UNKNOWN SKU")</f>
        <v>Coke Pet 500ML ( x12)</v>
      </c>
      <c r="K1010" s="73" t="s">
        <v>520</v>
      </c>
      <c r="L1010" s="276">
        <v>21</v>
      </c>
      <c r="M1010" s="94" cm="1">
        <f t="array" ref="M1010">IFERROR(INDEX(M_DepotPrice!$C$10:$C$52,MATCH(1,(M_DepotPrice!$A$10:$A$52=I1010)*(M_DepotPrice!$H$10:$H$52=IFERROR(INDEX(M_Depot!$A$7:$A$24,MATCH(F1010,M_Depot!$B$7:$B$24,0)),""))*(M_DepotPrice!$G$10:$G$52="Special"),0)),INDEX(M_DepotPrice!$C$10:$C$52,MATCH(1,(M_DepotPrice!$A$10:$A$52=I1010)*(M_DepotPrice!$G$10:$G$52="Default"),0)))</f>
        <v>8898</v>
      </c>
      <c r="N1010" s="95">
        <f t="shared" si="31"/>
        <v>220492.44</v>
      </c>
      <c r="O1010" s="82" t="str">
        <f t="shared" si="30"/>
        <v>MOS100823|PH001|CK6-33411</v>
      </c>
    </row>
    <row r="1011" spans="1:15" ht="15" customHeight="1" x14ac:dyDescent="0.3">
      <c r="A1011" s="60" t="s">
        <v>1690</v>
      </c>
      <c r="B1011" s="60" t="s">
        <v>577</v>
      </c>
      <c r="C1011" s="62">
        <v>46179</v>
      </c>
      <c r="D1011" s="63" t="s">
        <v>401</v>
      </c>
      <c r="E1011" s="66" t="str">
        <f>IFERROR(INDEX(M_User!$A$12:$J$67,MATCH(D1011,M_User!$D$12:$D$67,0),3),"UNMAPPED")</f>
        <v>Alice Jonathan Mfuru</v>
      </c>
      <c r="F1011" s="65" t="str">
        <f>IFERROR(INDEX(M_User!$A$12:$J$67,MATCH(D1011,M_User!$D$12:$D$67,0),5),"UNMAPPED")</f>
        <v>MOS</v>
      </c>
      <c r="G1011" s="63" t="s">
        <v>756</v>
      </c>
      <c r="H1011" s="69" t="s">
        <v>757</v>
      </c>
      <c r="I1011" s="63" t="s">
        <v>234</v>
      </c>
      <c r="J1011" s="66" t="str">
        <f>IFERROR(INDEX(M_SKU!$A$18:$J$57,MATCH(I1011,M_SKU!$B$18:$B$57,0),1),"UNKNOWN SKU")</f>
        <v>Fanta Orange Pet 500ML ( x 12)</v>
      </c>
      <c r="K1011" s="63" t="s">
        <v>523</v>
      </c>
      <c r="L1011" s="276">
        <v>10</v>
      </c>
      <c r="M1011" s="91" cm="1">
        <f t="array" ref="M1011">IFERROR(INDEX(M_DepotPrice!$C$10:$C$52,MATCH(1,(M_DepotPrice!$A$10:$A$52=I1011)*(M_DepotPrice!$H$10:$H$52=IFERROR(INDEX(M_Depot!$A$7:$A$24,MATCH(F1011,M_Depot!$B$7:$B$24,0)),""))*(M_DepotPrice!$G$10:$G$52="Special"),0)),INDEX(M_DepotPrice!$C$10:$C$52,MATCH(1,(M_DepotPrice!$A$10:$A$52=I1011)*(M_DepotPrice!$G$10:$G$52="Default"),0)))</f>
        <v>8898</v>
      </c>
      <c r="N1011" s="67">
        <f t="shared" si="31"/>
        <v>104996.4</v>
      </c>
      <c r="O1011" s="66" t="str">
        <f t="shared" si="30"/>
        <v>MOS100823|PH003|CK6-33405</v>
      </c>
    </row>
    <row r="1012" spans="1:15" ht="15" customHeight="1" x14ac:dyDescent="0.3">
      <c r="A1012" s="70" t="s">
        <v>1691</v>
      </c>
      <c r="B1012" s="70" t="s">
        <v>577</v>
      </c>
      <c r="C1012" s="72">
        <v>46179</v>
      </c>
      <c r="D1012" s="73" t="s">
        <v>401</v>
      </c>
      <c r="E1012" s="76" t="str">
        <f>IFERROR(INDEX(M_User!$A$12:$J$67,MATCH(D1012,M_User!$D$12:$D$67,0),3),"UNMAPPED")</f>
        <v>Alice Jonathan Mfuru</v>
      </c>
      <c r="F1012" s="75" t="str">
        <f>IFERROR(INDEX(M_User!$A$12:$J$67,MATCH(D1012,M_User!$D$12:$D$67,0),5),"UNMAPPED")</f>
        <v>MOS</v>
      </c>
      <c r="G1012" s="73" t="s">
        <v>756</v>
      </c>
      <c r="H1012" s="92" t="s">
        <v>757</v>
      </c>
      <c r="I1012" s="73" t="s">
        <v>236</v>
      </c>
      <c r="J1012" s="76" t="str">
        <f>IFERROR(INDEX(M_SKU!$A$18:$J$57,MATCH(I1012,M_SKU!$B$18:$B$57,0),1),"UNKNOWN SKU")</f>
        <v>Fanta Passion Pet 500ML ( x12)</v>
      </c>
      <c r="K1012" s="73" t="s">
        <v>524</v>
      </c>
      <c r="L1012" s="276">
        <v>9</v>
      </c>
      <c r="M1012" s="94" cm="1">
        <f t="array" ref="M1012">IFERROR(INDEX(M_DepotPrice!$C$10:$C$52,MATCH(1,(M_DepotPrice!$A$10:$A$52=I1012)*(M_DepotPrice!$H$10:$H$52=IFERROR(INDEX(M_Depot!$A$7:$A$24,MATCH(F1012,M_Depot!$B$7:$B$24,0)),""))*(M_DepotPrice!$G$10:$G$52="Special"),0)),INDEX(M_DepotPrice!$C$10:$C$52,MATCH(1,(M_DepotPrice!$A$10:$A$52=I1012)*(M_DepotPrice!$G$10:$G$52="Default"),0)))</f>
        <v>8898</v>
      </c>
      <c r="N1012" s="95">
        <f t="shared" si="31"/>
        <v>94496.76</v>
      </c>
      <c r="O1012" s="82" t="str">
        <f t="shared" si="30"/>
        <v>MOS100823|PH004|CK5-33334</v>
      </c>
    </row>
    <row r="1013" spans="1:15" ht="15" customHeight="1" x14ac:dyDescent="0.3">
      <c r="A1013" s="60" t="s">
        <v>1692</v>
      </c>
      <c r="B1013" s="60" t="s">
        <v>577</v>
      </c>
      <c r="C1013" s="62">
        <v>46179</v>
      </c>
      <c r="D1013" s="63" t="s">
        <v>401</v>
      </c>
      <c r="E1013" s="66" t="str">
        <f>IFERROR(INDEX(M_User!$A$12:$J$67,MATCH(D1013,M_User!$D$12:$D$67,0),3),"UNMAPPED")</f>
        <v>Alice Jonathan Mfuru</v>
      </c>
      <c r="F1013" s="65" t="str">
        <f>IFERROR(INDEX(M_User!$A$12:$J$67,MATCH(D1013,M_User!$D$12:$D$67,0),5),"UNMAPPED")</f>
        <v>MOS</v>
      </c>
      <c r="G1013" s="63" t="s">
        <v>756</v>
      </c>
      <c r="H1013" s="69" t="s">
        <v>757</v>
      </c>
      <c r="I1013" s="63" t="s">
        <v>244</v>
      </c>
      <c r="J1013" s="66" t="str">
        <f>IFERROR(INDEX(M_SKU!$A$18:$J$57,MATCH(I1013,M_SKU!$B$18:$B$57,0),1),"UNKNOWN SKU")</f>
        <v>Sparletta Pinenut Pet 500 ml ( x12)</v>
      </c>
      <c r="K1013" s="63" t="s">
        <v>526</v>
      </c>
      <c r="L1013" s="276">
        <v>1</v>
      </c>
      <c r="M1013" s="91" cm="1">
        <f t="array" ref="M1013">IFERROR(INDEX(M_DepotPrice!$C$10:$C$52,MATCH(1,(M_DepotPrice!$A$10:$A$52=I1013)*(M_DepotPrice!$H$10:$H$52=IFERROR(INDEX(M_Depot!$A$7:$A$24,MATCH(F1013,M_Depot!$B$7:$B$24,0)),""))*(M_DepotPrice!$G$10:$G$52="Special"),0)),INDEX(M_DepotPrice!$C$10:$C$52,MATCH(1,(M_DepotPrice!$A$10:$A$52=I1013)*(M_DepotPrice!$G$10:$G$52="Default"),0)))</f>
        <v>8898</v>
      </c>
      <c r="N1013" s="67">
        <f t="shared" si="31"/>
        <v>10499.64</v>
      </c>
      <c r="O1013" s="66" t="str">
        <f t="shared" si="30"/>
        <v>MOS100823|PH008|CK5-33370</v>
      </c>
    </row>
    <row r="1014" spans="1:15" ht="15" customHeight="1" x14ac:dyDescent="0.3">
      <c r="A1014" s="70" t="s">
        <v>1693</v>
      </c>
      <c r="B1014" s="70" t="s">
        <v>577</v>
      </c>
      <c r="C1014" s="72">
        <v>46179</v>
      </c>
      <c r="D1014" s="73" t="s">
        <v>401</v>
      </c>
      <c r="E1014" s="76" t="str">
        <f>IFERROR(INDEX(M_User!$A$12:$J$67,MATCH(D1014,M_User!$D$12:$D$67,0),3),"UNMAPPED")</f>
        <v>Alice Jonathan Mfuru</v>
      </c>
      <c r="F1014" s="75" t="str">
        <f>IFERROR(INDEX(M_User!$A$12:$J$67,MATCH(D1014,M_User!$D$12:$D$67,0),5),"UNMAPPED")</f>
        <v>MOS</v>
      </c>
      <c r="G1014" s="73" t="s">
        <v>783</v>
      </c>
      <c r="H1014" s="92" t="s">
        <v>784</v>
      </c>
      <c r="I1014" s="73" t="s">
        <v>170</v>
      </c>
      <c r="J1014" s="76" t="str">
        <f>IFERROR(INDEX(M_SKU!$A$18:$J$57,MATCH(I1014,M_SKU!$B$18:$B$57,0),1),"UNKNOWN SKU")</f>
        <v>Coke RGB 350ml</v>
      </c>
      <c r="K1014" s="73" t="s">
        <v>530</v>
      </c>
      <c r="L1014" s="276">
        <v>11.8704909993571</v>
      </c>
      <c r="M1014" s="94" cm="1">
        <f t="array" ref="M1014">IFERROR(INDEX(M_DepotPrice!$C$10:$C$52,MATCH(1,(M_DepotPrice!$A$10:$A$52=I1014)*(M_DepotPrice!$H$10:$H$52=IFERROR(INDEX(M_Depot!$A$7:$A$24,MATCH(F1014,M_Depot!$B$7:$B$24,0)),""))*(M_DepotPrice!$G$10:$G$52="Special"),0)),INDEX(M_DepotPrice!$C$10:$C$52,MATCH(1,(M_DepotPrice!$A$10:$A$52=I1014)*(M_DepotPrice!$G$10:$G$52="Default"),0)))</f>
        <v>11780</v>
      </c>
      <c r="N1014" s="95">
        <f t="shared" si="31"/>
        <v>165004.57308746342</v>
      </c>
      <c r="O1014" s="82" t="str">
        <f t="shared" si="30"/>
        <v>MOS100823|FG001|CK3-33409</v>
      </c>
    </row>
    <row r="1015" spans="1:15" ht="15" customHeight="1" x14ac:dyDescent="0.3">
      <c r="A1015" s="60" t="s">
        <v>1694</v>
      </c>
      <c r="B1015" s="60" t="s">
        <v>577</v>
      </c>
      <c r="C1015" s="62">
        <v>46179</v>
      </c>
      <c r="D1015" s="63" t="s">
        <v>401</v>
      </c>
      <c r="E1015" s="66" t="str">
        <f>IFERROR(INDEX(M_User!$A$12:$J$67,MATCH(D1015,M_User!$D$12:$D$67,0),3),"UNMAPPED")</f>
        <v>Alice Jonathan Mfuru</v>
      </c>
      <c r="F1015" s="65" t="str">
        <f>IFERROR(INDEX(M_User!$A$12:$J$67,MATCH(D1015,M_User!$D$12:$D$67,0),5),"UNMAPPED")</f>
        <v>MOS</v>
      </c>
      <c r="G1015" s="63" t="s">
        <v>783</v>
      </c>
      <c r="H1015" s="69" t="s">
        <v>784</v>
      </c>
      <c r="I1015" s="63" t="s">
        <v>185</v>
      </c>
      <c r="J1015" s="66" t="str">
        <f>IFERROR(INDEX(M_SKU!$A$18:$J$57,MATCH(I1015,M_SKU!$B$18:$B$57,0),1),"UNKNOWN SKU")</f>
        <v>Fanta Fruit Blast RGB 350 ml</v>
      </c>
      <c r="K1015" s="63" t="s">
        <v>534</v>
      </c>
      <c r="L1015" s="276">
        <v>1.8099000000000001</v>
      </c>
      <c r="M1015" s="91" cm="1">
        <f t="array" ref="M1015">IFERROR(INDEX(M_DepotPrice!$C$10:$C$52,MATCH(1,(M_DepotPrice!$A$10:$A$52=I1015)*(M_DepotPrice!$H$10:$H$52=IFERROR(INDEX(M_Depot!$A$7:$A$24,MATCH(F1015,M_Depot!$B$7:$B$24,0)),""))*(M_DepotPrice!$G$10:$G$52="Special"),0)),INDEX(M_DepotPrice!$C$10:$C$52,MATCH(1,(M_DepotPrice!$A$10:$A$52=I1015)*(M_DepotPrice!$G$10:$G$52="Default"),0)))</f>
        <v>11780</v>
      </c>
      <c r="N1015" s="67">
        <f t="shared" si="31"/>
        <v>25158.333959999996</v>
      </c>
      <c r="O1015" s="66" t="str">
        <f t="shared" si="30"/>
        <v>MOS100823|FG005|CK3-33402</v>
      </c>
    </row>
    <row r="1016" spans="1:15" ht="15" customHeight="1" x14ac:dyDescent="0.3">
      <c r="A1016" s="70" t="s">
        <v>1695</v>
      </c>
      <c r="B1016" s="70" t="s">
        <v>577</v>
      </c>
      <c r="C1016" s="72">
        <v>46179</v>
      </c>
      <c r="D1016" s="73" t="s">
        <v>401</v>
      </c>
      <c r="E1016" s="76" t="str">
        <f>IFERROR(INDEX(M_User!$A$12:$J$67,MATCH(D1016,M_User!$D$12:$D$67,0),3),"UNMAPPED")</f>
        <v>Alice Jonathan Mfuru</v>
      </c>
      <c r="F1016" s="75" t="str">
        <f>IFERROR(INDEX(M_User!$A$12:$J$67,MATCH(D1016,M_User!$D$12:$D$67,0),5),"UNMAPPED")</f>
        <v>MOS</v>
      </c>
      <c r="G1016" s="73" t="s">
        <v>783</v>
      </c>
      <c r="H1016" s="92" t="s">
        <v>784</v>
      </c>
      <c r="I1016" s="73" t="s">
        <v>187</v>
      </c>
      <c r="J1016" s="76" t="str">
        <f>IFERROR(INDEX(M_SKU!$A$18:$J$57,MATCH(I1016,M_SKU!$B$18:$B$57,0),1),"UNKNOWN SKU")</f>
        <v>Sprite 350ml</v>
      </c>
      <c r="K1016" s="73" t="s">
        <v>535</v>
      </c>
      <c r="L1016" s="276">
        <v>2.3123999999999998</v>
      </c>
      <c r="M1016" s="94" cm="1">
        <f t="array" ref="M1016">IFERROR(INDEX(M_DepotPrice!$C$10:$C$52,MATCH(1,(M_DepotPrice!$A$10:$A$52=I1016)*(M_DepotPrice!$H$10:$H$52=IFERROR(INDEX(M_Depot!$A$7:$A$24,MATCH(F1016,M_Depot!$B$7:$B$24,0)),""))*(M_DepotPrice!$G$10:$G$52="Special"),0)),INDEX(M_DepotPrice!$C$10:$C$52,MATCH(1,(M_DepotPrice!$A$10:$A$52=I1016)*(M_DepotPrice!$G$10:$G$52="Default"),0)))</f>
        <v>11780</v>
      </c>
      <c r="N1016" s="95">
        <f t="shared" si="31"/>
        <v>32143.284959999994</v>
      </c>
      <c r="O1016" s="82" t="str">
        <f t="shared" si="30"/>
        <v>MOS100823|FG006|CK3-33414</v>
      </c>
    </row>
    <row r="1017" spans="1:15" ht="15" customHeight="1" x14ac:dyDescent="0.3">
      <c r="A1017" s="60" t="s">
        <v>1696</v>
      </c>
      <c r="B1017" s="60" t="s">
        <v>577</v>
      </c>
      <c r="C1017" s="62">
        <v>46179</v>
      </c>
      <c r="D1017" s="63" t="s">
        <v>401</v>
      </c>
      <c r="E1017" s="66" t="str">
        <f>IFERROR(INDEX(M_User!$A$12:$J$67,MATCH(D1017,M_User!$D$12:$D$67,0),3),"UNMAPPED")</f>
        <v>Alice Jonathan Mfuru</v>
      </c>
      <c r="F1017" s="65" t="str">
        <f>IFERROR(INDEX(M_User!$A$12:$J$67,MATCH(D1017,M_User!$D$12:$D$67,0),5),"UNMAPPED")</f>
        <v>MOS</v>
      </c>
      <c r="G1017" s="63" t="s">
        <v>783</v>
      </c>
      <c r="H1017" s="69" t="s">
        <v>784</v>
      </c>
      <c r="I1017" s="63" t="s">
        <v>211</v>
      </c>
      <c r="J1017" s="66" t="str">
        <f>IFERROR(INDEX(M_SKU!$A$18:$J$57,MATCH(I1017,M_SKU!$B$18:$B$57,0),1),"UNKNOWN SKU")</f>
        <v>KNMW 500ml</v>
      </c>
      <c r="K1017" s="63" t="s">
        <v>543</v>
      </c>
      <c r="L1017" s="276">
        <v>4</v>
      </c>
      <c r="M1017" s="91" cm="1">
        <f t="array" ref="M1017">IFERROR(INDEX(M_DepotPrice!$C$10:$C$52,MATCH(1,(M_DepotPrice!$A$10:$A$52=I1017)*(M_DepotPrice!$H$10:$H$52=IFERROR(INDEX(M_Depot!$A$7:$A$24,MATCH(F1017,M_Depot!$B$7:$B$24,0)),""))*(M_DepotPrice!$G$10:$G$52="Special"),0)),INDEX(M_DepotPrice!$C$10:$C$52,MATCH(1,(M_DepotPrice!$A$10:$A$52=I1017)*(M_DepotPrice!$G$10:$G$52="Default"),0)))</f>
        <v>3559</v>
      </c>
      <c r="N1017" s="67">
        <f t="shared" si="31"/>
        <v>16798.48</v>
      </c>
      <c r="O1017" s="66" t="str">
        <f t="shared" si="30"/>
        <v>MOS100823|KD001|CK6-986</v>
      </c>
    </row>
    <row r="1018" spans="1:15" ht="15" customHeight="1" x14ac:dyDescent="0.3">
      <c r="A1018" s="70" t="s">
        <v>1697</v>
      </c>
      <c r="B1018" s="70" t="s">
        <v>577</v>
      </c>
      <c r="C1018" s="72">
        <v>46179</v>
      </c>
      <c r="D1018" s="73" t="s">
        <v>401</v>
      </c>
      <c r="E1018" s="76" t="str">
        <f>IFERROR(INDEX(M_User!$A$12:$J$67,MATCH(D1018,M_User!$D$12:$D$67,0),3),"UNMAPPED")</f>
        <v>Alice Jonathan Mfuru</v>
      </c>
      <c r="F1018" s="75" t="str">
        <f>IFERROR(INDEX(M_User!$A$12:$J$67,MATCH(D1018,M_User!$D$12:$D$67,0),5),"UNMAPPED")</f>
        <v>MOS</v>
      </c>
      <c r="G1018" s="73" t="s">
        <v>783</v>
      </c>
      <c r="H1018" s="92" t="s">
        <v>784</v>
      </c>
      <c r="I1018" s="73" t="s">
        <v>222</v>
      </c>
      <c r="J1018" s="76" t="str">
        <f>IFERROR(INDEX(M_SKU!$A$18:$J$57,MATCH(I1018,M_SKU!$B$18:$B$57,0),1),"UNKNOWN SKU")</f>
        <v>Kilimanjaro Drinking Water 12000 ML</v>
      </c>
      <c r="K1018" s="73" t="s">
        <v>566</v>
      </c>
      <c r="L1018" s="276">
        <v>1</v>
      </c>
      <c r="M1018" s="94" cm="1">
        <f t="array" ref="M1018">IFERROR(INDEX(M_DepotPrice!$C$10:$C$52,MATCH(1,(M_DepotPrice!$A$10:$A$52=I1018)*(M_DepotPrice!$H$10:$H$52=IFERROR(INDEX(M_Depot!$A$7:$A$24,MATCH(F1018,M_Depot!$B$7:$B$24,0)),""))*(M_DepotPrice!$G$10:$G$52="Special"),0)),INDEX(M_DepotPrice!$C$10:$C$52,MATCH(1,(M_DepotPrice!$A$10:$A$52=I1018)*(M_DepotPrice!$G$10:$G$52="Default"),0)))</f>
        <v>3559</v>
      </c>
      <c r="N1018" s="95">
        <f t="shared" si="31"/>
        <v>4199.62</v>
      </c>
      <c r="O1018" s="82" t="str">
        <f t="shared" si="30"/>
        <v>MOS100823|KD005|CK7-913</v>
      </c>
    </row>
    <row r="1019" spans="1:15" ht="15" customHeight="1" x14ac:dyDescent="0.3">
      <c r="A1019" s="60" t="s">
        <v>1698</v>
      </c>
      <c r="B1019" s="60" t="s">
        <v>577</v>
      </c>
      <c r="C1019" s="62">
        <v>46179</v>
      </c>
      <c r="D1019" s="63" t="s">
        <v>401</v>
      </c>
      <c r="E1019" s="66" t="str">
        <f>IFERROR(INDEX(M_User!$A$12:$J$67,MATCH(D1019,M_User!$D$12:$D$67,0),3),"UNMAPPED")</f>
        <v>Alice Jonathan Mfuru</v>
      </c>
      <c r="F1019" s="65" t="str">
        <f>IFERROR(INDEX(M_User!$A$12:$J$67,MATCH(D1019,M_User!$D$12:$D$67,0),5),"UNMAPPED")</f>
        <v>MOS</v>
      </c>
      <c r="G1019" s="63" t="s">
        <v>783</v>
      </c>
      <c r="H1019" s="69" t="s">
        <v>784</v>
      </c>
      <c r="I1019" s="63" t="s">
        <v>232</v>
      </c>
      <c r="J1019" s="66" t="str">
        <f>IFERROR(INDEX(M_SKU!$A$18:$J$57,MATCH(I1019,M_SKU!$B$18:$B$57,0),1),"UNKNOWN SKU")</f>
        <v>Sprite Pet 500ML (x 12)</v>
      </c>
      <c r="K1019" s="63" t="s">
        <v>522</v>
      </c>
      <c r="L1019" s="276">
        <v>6</v>
      </c>
      <c r="M1019" s="91" cm="1">
        <f t="array" ref="M1019">IFERROR(INDEX(M_DepotPrice!$C$10:$C$52,MATCH(1,(M_DepotPrice!$A$10:$A$52=I1019)*(M_DepotPrice!$H$10:$H$52=IFERROR(INDEX(M_Depot!$A$7:$A$24,MATCH(F1019,M_Depot!$B$7:$B$24,0)),""))*(M_DepotPrice!$G$10:$G$52="Special"),0)),INDEX(M_DepotPrice!$C$10:$C$52,MATCH(1,(M_DepotPrice!$A$10:$A$52=I1019)*(M_DepotPrice!$G$10:$G$52="Default"),0)))</f>
        <v>8898</v>
      </c>
      <c r="N1019" s="67">
        <f t="shared" si="31"/>
        <v>62997.84</v>
      </c>
      <c r="O1019" s="66" t="str">
        <f t="shared" si="30"/>
        <v>MOS100823|PH002|CK6-33362</v>
      </c>
    </row>
    <row r="1020" spans="1:15" ht="15" customHeight="1" x14ac:dyDescent="0.3">
      <c r="A1020" s="70" t="s">
        <v>1699</v>
      </c>
      <c r="B1020" s="70" t="s">
        <v>577</v>
      </c>
      <c r="C1020" s="72">
        <v>46179</v>
      </c>
      <c r="D1020" s="73" t="s">
        <v>401</v>
      </c>
      <c r="E1020" s="76" t="str">
        <f>IFERROR(INDEX(M_User!$A$12:$J$67,MATCH(D1020,M_User!$D$12:$D$67,0),3),"UNMAPPED")</f>
        <v>Alice Jonathan Mfuru</v>
      </c>
      <c r="F1020" s="75" t="str">
        <f>IFERROR(INDEX(M_User!$A$12:$J$67,MATCH(D1020,M_User!$D$12:$D$67,0),5),"UNMAPPED")</f>
        <v>MOS</v>
      </c>
      <c r="G1020" s="73" t="s">
        <v>783</v>
      </c>
      <c r="H1020" s="92" t="s">
        <v>784</v>
      </c>
      <c r="I1020" s="73" t="s">
        <v>242</v>
      </c>
      <c r="J1020" s="76" t="str">
        <f>IFERROR(INDEX(M_SKU!$A$18:$J$57,MATCH(I1020,M_SKU!$B$18:$B$57,0),1),"UNKNOWN SKU")</f>
        <v>Stoney Tangawizi Pet 500 ml ( x12)</v>
      </c>
      <c r="K1020" s="73" t="s">
        <v>525</v>
      </c>
      <c r="L1020" s="276">
        <v>1</v>
      </c>
      <c r="M1020" s="94" cm="1">
        <f t="array" ref="M1020">IFERROR(INDEX(M_DepotPrice!$C$10:$C$52,MATCH(1,(M_DepotPrice!$A$10:$A$52=I1020)*(M_DepotPrice!$H$10:$H$52=IFERROR(INDEX(M_Depot!$A$7:$A$24,MATCH(F1020,M_Depot!$B$7:$B$24,0)),""))*(M_DepotPrice!$G$10:$G$52="Special"),0)),INDEX(M_DepotPrice!$C$10:$C$52,MATCH(1,(M_DepotPrice!$A$10:$A$52=I1020)*(M_DepotPrice!$G$10:$G$52="Default"),0)))</f>
        <v>8898</v>
      </c>
      <c r="N1020" s="95">
        <f t="shared" si="31"/>
        <v>10499.64</v>
      </c>
      <c r="O1020" s="82" t="str">
        <f t="shared" si="30"/>
        <v>MOS100823|PH007|CK6-33375</v>
      </c>
    </row>
    <row r="1021" spans="1:15" ht="15" customHeight="1" x14ac:dyDescent="0.3">
      <c r="A1021" s="60" t="s">
        <v>1700</v>
      </c>
      <c r="B1021" s="60" t="s">
        <v>577</v>
      </c>
      <c r="C1021" s="62">
        <v>46179</v>
      </c>
      <c r="D1021" s="63" t="s">
        <v>401</v>
      </c>
      <c r="E1021" s="66" t="str">
        <f>IFERROR(INDEX(M_User!$A$12:$J$67,MATCH(D1021,M_User!$D$12:$D$67,0),3),"UNMAPPED")</f>
        <v>Alice Jonathan Mfuru</v>
      </c>
      <c r="F1021" s="65" t="str">
        <f>IFERROR(INDEX(M_User!$A$12:$J$67,MATCH(D1021,M_User!$D$12:$D$67,0),5),"UNMAPPED")</f>
        <v>MOS</v>
      </c>
      <c r="G1021" s="63" t="s">
        <v>783</v>
      </c>
      <c r="H1021" s="69" t="s">
        <v>784</v>
      </c>
      <c r="I1021" s="63" t="s">
        <v>244</v>
      </c>
      <c r="J1021" s="66" t="str">
        <f>IFERROR(INDEX(M_SKU!$A$18:$J$57,MATCH(I1021,M_SKU!$B$18:$B$57,0),1),"UNKNOWN SKU")</f>
        <v>Sparletta Pinenut Pet 500 ml ( x12)</v>
      </c>
      <c r="K1021" s="63" t="s">
        <v>526</v>
      </c>
      <c r="L1021" s="276">
        <v>2</v>
      </c>
      <c r="M1021" s="91" cm="1">
        <f t="array" ref="M1021">IFERROR(INDEX(M_DepotPrice!$C$10:$C$52,MATCH(1,(M_DepotPrice!$A$10:$A$52=I1021)*(M_DepotPrice!$H$10:$H$52=IFERROR(INDEX(M_Depot!$A$7:$A$24,MATCH(F1021,M_Depot!$B$7:$B$24,0)),""))*(M_DepotPrice!$G$10:$G$52="Special"),0)),INDEX(M_DepotPrice!$C$10:$C$52,MATCH(1,(M_DepotPrice!$A$10:$A$52=I1021)*(M_DepotPrice!$G$10:$G$52="Default"),0)))</f>
        <v>8898</v>
      </c>
      <c r="N1021" s="67">
        <f t="shared" si="31"/>
        <v>20999.279999999999</v>
      </c>
      <c r="O1021" s="66" t="str">
        <f t="shared" si="30"/>
        <v>MOS100823|PH008|CK5-33370</v>
      </c>
    </row>
    <row r="1022" spans="1:15" ht="15" customHeight="1" x14ac:dyDescent="0.3">
      <c r="A1022" s="70" t="s">
        <v>1701</v>
      </c>
      <c r="B1022" s="70" t="s">
        <v>577</v>
      </c>
      <c r="C1022" s="72">
        <v>46179</v>
      </c>
      <c r="D1022" s="73" t="s">
        <v>401</v>
      </c>
      <c r="E1022" s="76" t="str">
        <f>IFERROR(INDEX(M_User!$A$12:$J$67,MATCH(D1022,M_User!$D$12:$D$67,0),3),"UNMAPPED")</f>
        <v>Alice Jonathan Mfuru</v>
      </c>
      <c r="F1022" s="75" t="str">
        <f>IFERROR(INDEX(M_User!$A$12:$J$67,MATCH(D1022,M_User!$D$12:$D$67,0),5),"UNMAPPED")</f>
        <v>MOS</v>
      </c>
      <c r="G1022" s="73" t="s">
        <v>949</v>
      </c>
      <c r="H1022" s="92" t="s">
        <v>950</v>
      </c>
      <c r="I1022" s="73" t="s">
        <v>187</v>
      </c>
      <c r="J1022" s="76" t="str">
        <f>IFERROR(INDEX(M_SKU!$A$18:$J$57,MATCH(I1022,M_SKU!$B$18:$B$57,0),1),"UNKNOWN SKU")</f>
        <v>Sprite 350ml</v>
      </c>
      <c r="K1022" s="73" t="s">
        <v>535</v>
      </c>
      <c r="L1022" s="276">
        <v>2.2005688492917499</v>
      </c>
      <c r="M1022" s="94" cm="1">
        <f t="array" ref="M1022">IFERROR(INDEX(M_DepotPrice!$C$10:$C$52,MATCH(1,(M_DepotPrice!$A$10:$A$52=I1022)*(M_DepotPrice!$H$10:$H$52=IFERROR(INDEX(M_Depot!$A$7:$A$24,MATCH(F1022,M_Depot!$B$7:$B$24,0)),""))*(M_DepotPrice!$G$10:$G$52="Special"),0)),INDEX(M_DepotPrice!$C$10:$C$52,MATCH(1,(M_DepotPrice!$A$10:$A$52=I1022)*(M_DepotPrice!$G$10:$G$52="Default"),0)))</f>
        <v>11780</v>
      </c>
      <c r="N1022" s="95">
        <f t="shared" si="31"/>
        <v>30588.787232695038</v>
      </c>
      <c r="O1022" s="82" t="str">
        <f t="shared" si="30"/>
        <v>MOS100823|FG006|CK3-33414</v>
      </c>
    </row>
    <row r="1023" spans="1:15" ht="15" customHeight="1" x14ac:dyDescent="0.3">
      <c r="A1023" s="60" t="s">
        <v>1702</v>
      </c>
      <c r="B1023" s="60" t="s">
        <v>577</v>
      </c>
      <c r="C1023" s="62">
        <v>46179</v>
      </c>
      <c r="D1023" s="63" t="s">
        <v>401</v>
      </c>
      <c r="E1023" s="66" t="str">
        <f>IFERROR(INDEX(M_User!$A$12:$J$67,MATCH(D1023,M_User!$D$12:$D$67,0),3),"UNMAPPED")</f>
        <v>Alice Jonathan Mfuru</v>
      </c>
      <c r="F1023" s="65" t="str">
        <f>IFERROR(INDEX(M_User!$A$12:$J$67,MATCH(D1023,M_User!$D$12:$D$67,0),5),"UNMAPPED")</f>
        <v>MOS</v>
      </c>
      <c r="G1023" s="63" t="s">
        <v>949</v>
      </c>
      <c r="H1023" s="69" t="s">
        <v>950</v>
      </c>
      <c r="I1023" s="63" t="s">
        <v>190</v>
      </c>
      <c r="J1023" s="66" t="str">
        <f>IFERROR(INDEX(M_SKU!$A$18:$J$57,MATCH(I1023,M_SKU!$B$18:$B$57,0),1),"UNKNOWN SKU")</f>
        <v>Stoney Tangawizi RGB 350ml</v>
      </c>
      <c r="K1023" s="63" t="s">
        <v>536</v>
      </c>
      <c r="L1023" s="276">
        <v>0.59319999999999995</v>
      </c>
      <c r="M1023" s="91" cm="1">
        <f t="array" ref="M1023">IFERROR(INDEX(M_DepotPrice!$C$10:$C$52,MATCH(1,(M_DepotPrice!$A$10:$A$52=I1023)*(M_DepotPrice!$H$10:$H$52=IFERROR(INDEX(M_Depot!$A$7:$A$24,MATCH(F1023,M_Depot!$B$7:$B$24,0)),""))*(M_DepotPrice!$G$10:$G$52="Special"),0)),INDEX(M_DepotPrice!$C$10:$C$52,MATCH(1,(M_DepotPrice!$A$10:$A$52=I1023)*(M_DepotPrice!$G$10:$G$52="Default"),0)))</f>
        <v>11780</v>
      </c>
      <c r="N1023" s="67">
        <f t="shared" si="31"/>
        <v>8245.7172799999989</v>
      </c>
      <c r="O1023" s="66" t="str">
        <f t="shared" si="30"/>
        <v>MOS100823|FG007|CK3-33404</v>
      </c>
    </row>
    <row r="1024" spans="1:15" ht="15" customHeight="1" x14ac:dyDescent="0.3">
      <c r="A1024" s="70" t="s">
        <v>1703</v>
      </c>
      <c r="B1024" s="70" t="s">
        <v>577</v>
      </c>
      <c r="C1024" s="72">
        <v>46179</v>
      </c>
      <c r="D1024" s="73" t="s">
        <v>401</v>
      </c>
      <c r="E1024" s="76" t="str">
        <f>IFERROR(INDEX(M_User!$A$12:$J$67,MATCH(D1024,M_User!$D$12:$D$67,0),3),"UNMAPPED")</f>
        <v>Alice Jonathan Mfuru</v>
      </c>
      <c r="F1024" s="75" t="str">
        <f>IFERROR(INDEX(M_User!$A$12:$J$67,MATCH(D1024,M_User!$D$12:$D$67,0),5),"UNMAPPED")</f>
        <v>MOS</v>
      </c>
      <c r="G1024" s="73" t="s">
        <v>949</v>
      </c>
      <c r="H1024" s="92" t="s">
        <v>950</v>
      </c>
      <c r="I1024" s="73" t="s">
        <v>193</v>
      </c>
      <c r="J1024" s="76" t="str">
        <f>IFERROR(INDEX(M_SKU!$A$18:$J$57,MATCH(I1024,M_SKU!$B$18:$B$57,0),1),"UNKNOWN SKU")</f>
        <v>Sparletta Pinenut RGB 350ml</v>
      </c>
      <c r="K1024" s="73" t="s">
        <v>537</v>
      </c>
      <c r="L1024" s="276">
        <v>0.66169999999999995</v>
      </c>
      <c r="M1024" s="94" cm="1">
        <f t="array" ref="M1024">IFERROR(INDEX(M_DepotPrice!$C$10:$C$52,MATCH(1,(M_DepotPrice!$A$10:$A$52=I1024)*(M_DepotPrice!$H$10:$H$52=IFERROR(INDEX(M_Depot!$A$7:$A$24,MATCH(F1024,M_Depot!$B$7:$B$24,0)),""))*(M_DepotPrice!$G$10:$G$52="Special"),0)),INDEX(M_DepotPrice!$C$10:$C$52,MATCH(1,(M_DepotPrice!$A$10:$A$52=I1024)*(M_DepotPrice!$G$10:$G$52="Default"),0)))</f>
        <v>11780</v>
      </c>
      <c r="N1024" s="95">
        <f t="shared" si="31"/>
        <v>9197.8946799999976</v>
      </c>
      <c r="O1024" s="82" t="str">
        <f t="shared" si="30"/>
        <v>MOS100823|FG008|CK3-33365</v>
      </c>
    </row>
    <row r="1025" spans="1:15" ht="15" customHeight="1" x14ac:dyDescent="0.3">
      <c r="A1025" s="60" t="s">
        <v>1704</v>
      </c>
      <c r="B1025" s="60" t="s">
        <v>577</v>
      </c>
      <c r="C1025" s="62">
        <v>46179</v>
      </c>
      <c r="D1025" s="63" t="s">
        <v>401</v>
      </c>
      <c r="E1025" s="66" t="str">
        <f>IFERROR(INDEX(M_User!$A$12:$J$67,MATCH(D1025,M_User!$D$12:$D$67,0),3),"UNMAPPED")</f>
        <v>Alice Jonathan Mfuru</v>
      </c>
      <c r="F1025" s="65" t="str">
        <f>IFERROR(INDEX(M_User!$A$12:$J$67,MATCH(D1025,M_User!$D$12:$D$67,0),5),"UNMAPPED")</f>
        <v>MOS</v>
      </c>
      <c r="G1025" s="63" t="s">
        <v>949</v>
      </c>
      <c r="H1025" s="69" t="s">
        <v>950</v>
      </c>
      <c r="I1025" s="63" t="s">
        <v>209</v>
      </c>
      <c r="J1025" s="66" t="str">
        <f>IFERROR(INDEX(M_SKU!$A$18:$J$57,MATCH(I1025,M_SKU!$B$18:$B$57,0),1),"UNKNOWN SKU")</f>
        <v>Sparletta Red Apple RGB 350ml</v>
      </c>
      <c r="K1025" s="63" t="s">
        <v>542</v>
      </c>
      <c r="L1025" s="276">
        <v>0.34079999999999999</v>
      </c>
      <c r="M1025" s="91" cm="1">
        <f t="array" ref="M1025">IFERROR(INDEX(M_DepotPrice!$C$10:$C$52,MATCH(1,(M_DepotPrice!$A$10:$A$52=I1025)*(M_DepotPrice!$H$10:$H$52=IFERROR(INDEX(M_Depot!$A$7:$A$24,MATCH(F1025,M_Depot!$B$7:$B$24,0)),""))*(M_DepotPrice!$G$10:$G$52="Special"),0)),INDEX(M_DepotPrice!$C$10:$C$52,MATCH(1,(M_DepotPrice!$A$10:$A$52=I1025)*(M_DepotPrice!$G$10:$G$52="Default"),0)))</f>
        <v>11780</v>
      </c>
      <c r="N1025" s="67">
        <f t="shared" si="31"/>
        <v>4737.2563199999995</v>
      </c>
      <c r="O1025" s="66" t="str">
        <f t="shared" si="30"/>
        <v>MOS100823|FG024|CK3-32758</v>
      </c>
    </row>
    <row r="1026" spans="1:15" ht="15" customHeight="1" x14ac:dyDescent="0.3">
      <c r="A1026" s="70" t="s">
        <v>1705</v>
      </c>
      <c r="B1026" s="70" t="s">
        <v>577</v>
      </c>
      <c r="C1026" s="72">
        <v>46179</v>
      </c>
      <c r="D1026" s="73" t="s">
        <v>401</v>
      </c>
      <c r="E1026" s="76" t="str">
        <f>IFERROR(INDEX(M_User!$A$12:$J$67,MATCH(D1026,M_User!$D$12:$D$67,0),3),"UNMAPPED")</f>
        <v>Alice Jonathan Mfuru</v>
      </c>
      <c r="F1026" s="75" t="str">
        <f>IFERROR(INDEX(M_User!$A$12:$J$67,MATCH(D1026,M_User!$D$12:$D$67,0),5),"UNMAPPED")</f>
        <v>MOS</v>
      </c>
      <c r="G1026" s="73" t="s">
        <v>949</v>
      </c>
      <c r="H1026" s="92" t="s">
        <v>950</v>
      </c>
      <c r="I1026" s="73" t="s">
        <v>211</v>
      </c>
      <c r="J1026" s="76" t="str">
        <f>IFERROR(INDEX(M_SKU!$A$18:$J$57,MATCH(I1026,M_SKU!$B$18:$B$57,0),1),"UNKNOWN SKU")</f>
        <v>KNMW 500ml</v>
      </c>
      <c r="K1026" s="73" t="s">
        <v>543</v>
      </c>
      <c r="L1026" s="276">
        <v>6</v>
      </c>
      <c r="M1026" s="94" cm="1">
        <f t="array" ref="M1026">IFERROR(INDEX(M_DepotPrice!$C$10:$C$52,MATCH(1,(M_DepotPrice!$A$10:$A$52=I1026)*(M_DepotPrice!$H$10:$H$52=IFERROR(INDEX(M_Depot!$A$7:$A$24,MATCH(F1026,M_Depot!$B$7:$B$24,0)),""))*(M_DepotPrice!$G$10:$G$52="Special"),0)),INDEX(M_DepotPrice!$C$10:$C$52,MATCH(1,(M_DepotPrice!$A$10:$A$52=I1026)*(M_DepotPrice!$G$10:$G$52="Default"),0)))</f>
        <v>3559</v>
      </c>
      <c r="N1026" s="95">
        <f t="shared" si="31"/>
        <v>25197.719999999998</v>
      </c>
      <c r="O1026" s="82" t="str">
        <f t="shared" si="30"/>
        <v>MOS100823|KD001|CK6-986</v>
      </c>
    </row>
    <row r="1027" spans="1:15" ht="15" customHeight="1" x14ac:dyDescent="0.3">
      <c r="A1027" s="60" t="s">
        <v>1706</v>
      </c>
      <c r="B1027" s="60" t="s">
        <v>577</v>
      </c>
      <c r="C1027" s="62">
        <v>46179</v>
      </c>
      <c r="D1027" s="63" t="s">
        <v>401</v>
      </c>
      <c r="E1027" s="66" t="str">
        <f>IFERROR(INDEX(M_User!$A$12:$J$67,MATCH(D1027,M_User!$D$12:$D$67,0),3),"UNMAPPED")</f>
        <v>Alice Jonathan Mfuru</v>
      </c>
      <c r="F1027" s="65" t="str">
        <f>IFERROR(INDEX(M_User!$A$12:$J$67,MATCH(D1027,M_User!$D$12:$D$67,0),5),"UNMAPPED")</f>
        <v>MOS</v>
      </c>
      <c r="G1027" s="63" t="s">
        <v>949</v>
      </c>
      <c r="H1027" s="69" t="s">
        <v>950</v>
      </c>
      <c r="I1027" s="63" t="s">
        <v>217</v>
      </c>
      <c r="J1027" s="66" t="str">
        <f>IFERROR(INDEX(M_SKU!$A$18:$J$57,MATCH(I1027,M_SKU!$B$18:$B$57,0),1),"UNKNOWN SKU")</f>
        <v>KNMW 1500ml</v>
      </c>
      <c r="K1027" s="63" t="s">
        <v>551</v>
      </c>
      <c r="L1027" s="276">
        <v>42</v>
      </c>
      <c r="M1027" s="91" cm="1">
        <f t="array" ref="M1027">IFERROR(INDEX(M_DepotPrice!$C$10:$C$52,MATCH(1,(M_DepotPrice!$A$10:$A$52=I1027)*(M_DepotPrice!$H$10:$H$52=IFERROR(INDEX(M_Depot!$A$7:$A$24,MATCH(F1027,M_Depot!$B$7:$B$24,0)),""))*(M_DepotPrice!$G$10:$G$52="Special"),0)),INDEX(M_DepotPrice!$C$10:$C$52,MATCH(1,(M_DepotPrice!$A$10:$A$52=I1027)*(M_DepotPrice!$G$10:$G$52="Default"),0)))</f>
        <v>3983</v>
      </c>
      <c r="N1027" s="67">
        <f t="shared" si="31"/>
        <v>197397.47999999998</v>
      </c>
      <c r="O1027" s="66" t="str">
        <f t="shared" si="30"/>
        <v>MOS100823|KD003|CK4-842</v>
      </c>
    </row>
    <row r="1028" spans="1:15" ht="15" customHeight="1" x14ac:dyDescent="0.3">
      <c r="A1028" s="70" t="s">
        <v>1707</v>
      </c>
      <c r="B1028" s="70" t="s">
        <v>577</v>
      </c>
      <c r="C1028" s="72">
        <v>46179</v>
      </c>
      <c r="D1028" s="73" t="s">
        <v>401</v>
      </c>
      <c r="E1028" s="76" t="str">
        <f>IFERROR(INDEX(M_User!$A$12:$J$67,MATCH(D1028,M_User!$D$12:$D$67,0),3),"UNMAPPED")</f>
        <v>Alice Jonathan Mfuru</v>
      </c>
      <c r="F1028" s="75" t="str">
        <f>IFERROR(INDEX(M_User!$A$12:$J$67,MATCH(D1028,M_User!$D$12:$D$67,0),5),"UNMAPPED")</f>
        <v>MOS</v>
      </c>
      <c r="G1028" s="73" t="s">
        <v>949</v>
      </c>
      <c r="H1028" s="92" t="s">
        <v>950</v>
      </c>
      <c r="I1028" s="73" t="s">
        <v>222</v>
      </c>
      <c r="J1028" s="76" t="str">
        <f>IFERROR(INDEX(M_SKU!$A$18:$J$57,MATCH(I1028,M_SKU!$B$18:$B$57,0),1),"UNKNOWN SKU")</f>
        <v>Kilimanjaro Drinking Water 12000 ML</v>
      </c>
      <c r="K1028" s="73" t="s">
        <v>566</v>
      </c>
      <c r="L1028" s="276">
        <v>1</v>
      </c>
      <c r="M1028" s="94" cm="1">
        <f t="array" ref="M1028">IFERROR(INDEX(M_DepotPrice!$C$10:$C$52,MATCH(1,(M_DepotPrice!$A$10:$A$52=I1028)*(M_DepotPrice!$H$10:$H$52=IFERROR(INDEX(M_Depot!$A$7:$A$24,MATCH(F1028,M_Depot!$B$7:$B$24,0)),""))*(M_DepotPrice!$G$10:$G$52="Special"),0)),INDEX(M_DepotPrice!$C$10:$C$52,MATCH(1,(M_DepotPrice!$A$10:$A$52=I1028)*(M_DepotPrice!$G$10:$G$52="Default"),0)))</f>
        <v>3559</v>
      </c>
      <c r="N1028" s="95">
        <f t="shared" si="31"/>
        <v>4199.62</v>
      </c>
      <c r="O1028" s="82" t="str">
        <f t="shared" si="30"/>
        <v>MOS100823|KD005|CK7-913</v>
      </c>
    </row>
    <row r="1029" spans="1:15" ht="15" customHeight="1" x14ac:dyDescent="0.3">
      <c r="A1029" s="60" t="s">
        <v>1708</v>
      </c>
      <c r="B1029" s="60" t="s">
        <v>577</v>
      </c>
      <c r="C1029" s="62">
        <v>46179</v>
      </c>
      <c r="D1029" s="63" t="s">
        <v>401</v>
      </c>
      <c r="E1029" s="66" t="str">
        <f>IFERROR(INDEX(M_User!$A$12:$J$67,MATCH(D1029,M_User!$D$12:$D$67,0),3),"UNMAPPED")</f>
        <v>Alice Jonathan Mfuru</v>
      </c>
      <c r="F1029" s="65" t="str">
        <f>IFERROR(INDEX(M_User!$A$12:$J$67,MATCH(D1029,M_User!$D$12:$D$67,0),5),"UNMAPPED")</f>
        <v>MOS</v>
      </c>
      <c r="G1029" s="63" t="s">
        <v>949</v>
      </c>
      <c r="H1029" s="69" t="s">
        <v>950</v>
      </c>
      <c r="I1029" s="63" t="s">
        <v>229</v>
      </c>
      <c r="J1029" s="66" t="str">
        <f>IFERROR(INDEX(M_SKU!$A$18:$J$57,MATCH(I1029,M_SKU!$B$18:$B$57,0),1),"UNKNOWN SKU")</f>
        <v>Coke Pet 500ML ( x12)</v>
      </c>
      <c r="K1029" s="63" t="s">
        <v>520</v>
      </c>
      <c r="L1029" s="276">
        <v>19</v>
      </c>
      <c r="M1029" s="91" cm="1">
        <f t="array" ref="M1029">IFERROR(INDEX(M_DepotPrice!$C$10:$C$52,MATCH(1,(M_DepotPrice!$A$10:$A$52=I1029)*(M_DepotPrice!$H$10:$H$52=IFERROR(INDEX(M_Depot!$A$7:$A$24,MATCH(F1029,M_Depot!$B$7:$B$24,0)),""))*(M_DepotPrice!$G$10:$G$52="Special"),0)),INDEX(M_DepotPrice!$C$10:$C$52,MATCH(1,(M_DepotPrice!$A$10:$A$52=I1029)*(M_DepotPrice!$G$10:$G$52="Default"),0)))</f>
        <v>8898</v>
      </c>
      <c r="N1029" s="67">
        <f t="shared" si="31"/>
        <v>199493.16</v>
      </c>
      <c r="O1029" s="66" t="str">
        <f t="shared" si="30"/>
        <v>MOS100823|PH001|CK6-33411</v>
      </c>
    </row>
    <row r="1030" spans="1:15" ht="15" customHeight="1" x14ac:dyDescent="0.3">
      <c r="A1030" s="70" t="s">
        <v>1709</v>
      </c>
      <c r="B1030" s="70" t="s">
        <v>577</v>
      </c>
      <c r="C1030" s="72">
        <v>46179</v>
      </c>
      <c r="D1030" s="73" t="s">
        <v>401</v>
      </c>
      <c r="E1030" s="76" t="str">
        <f>IFERROR(INDEX(M_User!$A$12:$J$67,MATCH(D1030,M_User!$D$12:$D$67,0),3),"UNMAPPED")</f>
        <v>Alice Jonathan Mfuru</v>
      </c>
      <c r="F1030" s="75" t="str">
        <f>IFERROR(INDEX(M_User!$A$12:$J$67,MATCH(D1030,M_User!$D$12:$D$67,0),5),"UNMAPPED")</f>
        <v>MOS</v>
      </c>
      <c r="G1030" s="73" t="s">
        <v>949</v>
      </c>
      <c r="H1030" s="92" t="s">
        <v>950</v>
      </c>
      <c r="I1030" s="73" t="s">
        <v>234</v>
      </c>
      <c r="J1030" s="76" t="str">
        <f>IFERROR(INDEX(M_SKU!$A$18:$J$57,MATCH(I1030,M_SKU!$B$18:$B$57,0),1),"UNKNOWN SKU")</f>
        <v>Fanta Orange Pet 500ML ( x 12)</v>
      </c>
      <c r="K1030" s="73" t="s">
        <v>523</v>
      </c>
      <c r="L1030" s="276">
        <v>8</v>
      </c>
      <c r="M1030" s="94" cm="1">
        <f t="array" ref="M1030">IFERROR(INDEX(M_DepotPrice!$C$10:$C$52,MATCH(1,(M_DepotPrice!$A$10:$A$52=I1030)*(M_DepotPrice!$H$10:$H$52=IFERROR(INDEX(M_Depot!$A$7:$A$24,MATCH(F1030,M_Depot!$B$7:$B$24,0)),""))*(M_DepotPrice!$G$10:$G$52="Special"),0)),INDEX(M_DepotPrice!$C$10:$C$52,MATCH(1,(M_DepotPrice!$A$10:$A$52=I1030)*(M_DepotPrice!$G$10:$G$52="Default"),0)))</f>
        <v>8898</v>
      </c>
      <c r="N1030" s="95">
        <f t="shared" si="31"/>
        <v>83997.119999999995</v>
      </c>
      <c r="O1030" s="82" t="str">
        <f t="shared" si="30"/>
        <v>MOS100823|PH003|CK6-33405</v>
      </c>
    </row>
    <row r="1031" spans="1:15" ht="15" customHeight="1" x14ac:dyDescent="0.3">
      <c r="A1031" s="60" t="s">
        <v>1710</v>
      </c>
      <c r="B1031" s="60" t="s">
        <v>577</v>
      </c>
      <c r="C1031" s="62">
        <v>46179</v>
      </c>
      <c r="D1031" s="63" t="s">
        <v>401</v>
      </c>
      <c r="E1031" s="66" t="str">
        <f>IFERROR(INDEX(M_User!$A$12:$J$67,MATCH(D1031,M_User!$D$12:$D$67,0),3),"UNMAPPED")</f>
        <v>Alice Jonathan Mfuru</v>
      </c>
      <c r="F1031" s="65" t="str">
        <f>IFERROR(INDEX(M_User!$A$12:$J$67,MATCH(D1031,M_User!$D$12:$D$67,0),5),"UNMAPPED")</f>
        <v>MOS</v>
      </c>
      <c r="G1031" s="63" t="s">
        <v>949</v>
      </c>
      <c r="H1031" s="69" t="s">
        <v>950</v>
      </c>
      <c r="I1031" s="63" t="s">
        <v>236</v>
      </c>
      <c r="J1031" s="66" t="str">
        <f>IFERROR(INDEX(M_SKU!$A$18:$J$57,MATCH(I1031,M_SKU!$B$18:$B$57,0),1),"UNKNOWN SKU")</f>
        <v>Fanta Passion Pet 500ML ( x12)</v>
      </c>
      <c r="K1031" s="63" t="s">
        <v>524</v>
      </c>
      <c r="L1031" s="276">
        <v>5</v>
      </c>
      <c r="M1031" s="91" cm="1">
        <f t="array" ref="M1031">IFERROR(INDEX(M_DepotPrice!$C$10:$C$52,MATCH(1,(M_DepotPrice!$A$10:$A$52=I1031)*(M_DepotPrice!$H$10:$H$52=IFERROR(INDEX(M_Depot!$A$7:$A$24,MATCH(F1031,M_Depot!$B$7:$B$24,0)),""))*(M_DepotPrice!$G$10:$G$52="Special"),0)),INDEX(M_DepotPrice!$C$10:$C$52,MATCH(1,(M_DepotPrice!$A$10:$A$52=I1031)*(M_DepotPrice!$G$10:$G$52="Default"),0)))</f>
        <v>8898</v>
      </c>
      <c r="N1031" s="67">
        <f t="shared" si="31"/>
        <v>52498.2</v>
      </c>
      <c r="O1031" s="66" t="str">
        <f t="shared" si="30"/>
        <v>MOS100823|PH004|CK5-33334</v>
      </c>
    </row>
    <row r="1032" spans="1:15" ht="15" customHeight="1" x14ac:dyDescent="0.3">
      <c r="A1032" s="70" t="s">
        <v>1711</v>
      </c>
      <c r="B1032" s="70" t="s">
        <v>577</v>
      </c>
      <c r="C1032" s="72">
        <v>46179</v>
      </c>
      <c r="D1032" s="73" t="s">
        <v>401</v>
      </c>
      <c r="E1032" s="76" t="str">
        <f>IFERROR(INDEX(M_User!$A$12:$J$67,MATCH(D1032,M_User!$D$12:$D$67,0),3),"UNMAPPED")</f>
        <v>Alice Jonathan Mfuru</v>
      </c>
      <c r="F1032" s="75" t="str">
        <f>IFERROR(INDEX(M_User!$A$12:$J$67,MATCH(D1032,M_User!$D$12:$D$67,0),5),"UNMAPPED")</f>
        <v>MOS</v>
      </c>
      <c r="G1032" s="73" t="s">
        <v>949</v>
      </c>
      <c r="H1032" s="92" t="s">
        <v>950</v>
      </c>
      <c r="I1032" s="73" t="s">
        <v>242</v>
      </c>
      <c r="J1032" s="76" t="str">
        <f>IFERROR(INDEX(M_SKU!$A$18:$J$57,MATCH(I1032,M_SKU!$B$18:$B$57,0),1),"UNKNOWN SKU")</f>
        <v>Stoney Tangawizi Pet 500 ml ( x12)</v>
      </c>
      <c r="K1032" s="73" t="s">
        <v>525</v>
      </c>
      <c r="L1032" s="276">
        <v>1</v>
      </c>
      <c r="M1032" s="94" cm="1">
        <f t="array" ref="M1032">IFERROR(INDEX(M_DepotPrice!$C$10:$C$52,MATCH(1,(M_DepotPrice!$A$10:$A$52=I1032)*(M_DepotPrice!$H$10:$H$52=IFERROR(INDEX(M_Depot!$A$7:$A$24,MATCH(F1032,M_Depot!$B$7:$B$24,0)),""))*(M_DepotPrice!$G$10:$G$52="Special"),0)),INDEX(M_DepotPrice!$C$10:$C$52,MATCH(1,(M_DepotPrice!$A$10:$A$52=I1032)*(M_DepotPrice!$G$10:$G$52="Default"),0)))</f>
        <v>8898</v>
      </c>
      <c r="N1032" s="95">
        <f t="shared" si="31"/>
        <v>10499.64</v>
      </c>
      <c r="O1032" s="82" t="str">
        <f t="shared" si="30"/>
        <v>MOS100823|PH007|CK6-33375</v>
      </c>
    </row>
    <row r="1033" spans="1:15" ht="15" customHeight="1" x14ac:dyDescent="0.3">
      <c r="A1033" s="60" t="s">
        <v>1712</v>
      </c>
      <c r="B1033" s="60" t="s">
        <v>577</v>
      </c>
      <c r="C1033" s="62">
        <v>46179</v>
      </c>
      <c r="D1033" s="63" t="s">
        <v>401</v>
      </c>
      <c r="E1033" s="66" t="str">
        <f>IFERROR(INDEX(M_User!$A$12:$J$67,MATCH(D1033,M_User!$D$12:$D$67,0),3),"UNMAPPED")</f>
        <v>Alice Jonathan Mfuru</v>
      </c>
      <c r="F1033" s="65" t="str">
        <f>IFERROR(INDEX(M_User!$A$12:$J$67,MATCH(D1033,M_User!$D$12:$D$67,0),5),"UNMAPPED")</f>
        <v>MOS</v>
      </c>
      <c r="G1033" s="63" t="s">
        <v>949</v>
      </c>
      <c r="H1033" s="69" t="s">
        <v>950</v>
      </c>
      <c r="I1033" s="63" t="s">
        <v>244</v>
      </c>
      <c r="J1033" s="66" t="str">
        <f>IFERROR(INDEX(M_SKU!$A$18:$J$57,MATCH(I1033,M_SKU!$B$18:$B$57,0),1),"UNKNOWN SKU")</f>
        <v>Sparletta Pinenut Pet 500 ml ( x12)</v>
      </c>
      <c r="K1033" s="63" t="s">
        <v>526</v>
      </c>
      <c r="L1033" s="276">
        <v>1</v>
      </c>
      <c r="M1033" s="91" cm="1">
        <f t="array" ref="M1033">IFERROR(INDEX(M_DepotPrice!$C$10:$C$52,MATCH(1,(M_DepotPrice!$A$10:$A$52=I1033)*(M_DepotPrice!$H$10:$H$52=IFERROR(INDEX(M_Depot!$A$7:$A$24,MATCH(F1033,M_Depot!$B$7:$B$24,0)),""))*(M_DepotPrice!$G$10:$G$52="Special"),0)),INDEX(M_DepotPrice!$C$10:$C$52,MATCH(1,(M_DepotPrice!$A$10:$A$52=I1033)*(M_DepotPrice!$G$10:$G$52="Default"),0)))</f>
        <v>8898</v>
      </c>
      <c r="N1033" s="67">
        <f t="shared" si="31"/>
        <v>10499.64</v>
      </c>
      <c r="O1033" s="66" t="str">
        <f t="shared" ref="O1033:O1096" si="32">D1033 &amp; "|" &amp; I1033 &amp; "|" &amp; K1033</f>
        <v>MOS100823|PH008|CK5-33370</v>
      </c>
    </row>
    <row r="1034" spans="1:15" ht="15" customHeight="1" x14ac:dyDescent="0.3">
      <c r="A1034" s="70" t="s">
        <v>1713</v>
      </c>
      <c r="B1034" s="70" t="s">
        <v>577</v>
      </c>
      <c r="C1034" s="72">
        <v>46179</v>
      </c>
      <c r="D1034" s="73" t="s">
        <v>401</v>
      </c>
      <c r="E1034" s="76" t="str">
        <f>IFERROR(INDEX(M_User!$A$12:$J$67,MATCH(D1034,M_User!$D$12:$D$67,0),3),"UNMAPPED")</f>
        <v>Alice Jonathan Mfuru</v>
      </c>
      <c r="F1034" s="75" t="str">
        <f>IFERROR(INDEX(M_User!$A$12:$J$67,MATCH(D1034,M_User!$D$12:$D$67,0),5),"UNMAPPED")</f>
        <v>MOS</v>
      </c>
      <c r="G1034" s="73" t="s">
        <v>825</v>
      </c>
      <c r="H1034" s="92" t="s">
        <v>826</v>
      </c>
      <c r="I1034" s="73" t="s">
        <v>170</v>
      </c>
      <c r="J1034" s="76" t="str">
        <f>IFERROR(INDEX(M_SKU!$A$18:$J$57,MATCH(I1034,M_SKU!$B$18:$B$57,0),1),"UNKNOWN SKU")</f>
        <v>Coke RGB 350ml</v>
      </c>
      <c r="K1034" s="73" t="s">
        <v>530</v>
      </c>
      <c r="L1034" s="276">
        <v>10.7021</v>
      </c>
      <c r="M1034" s="94" cm="1">
        <f t="array" ref="M1034">IFERROR(INDEX(M_DepotPrice!$C$10:$C$52,MATCH(1,(M_DepotPrice!$A$10:$A$52=I1034)*(M_DepotPrice!$H$10:$H$52=IFERROR(INDEX(M_Depot!$A$7:$A$24,MATCH(F1034,M_Depot!$B$7:$B$24,0)),""))*(M_DepotPrice!$G$10:$G$52="Special"),0)),INDEX(M_DepotPrice!$C$10:$C$52,MATCH(1,(M_DepotPrice!$A$10:$A$52=I1034)*(M_DepotPrice!$G$10:$G$52="Default"),0)))</f>
        <v>11780</v>
      </c>
      <c r="N1034" s="95">
        <f t="shared" ref="N1034:N1097" si="33">(L1034*M1034)*1.18</f>
        <v>148763.47083999999</v>
      </c>
      <c r="O1034" s="82" t="str">
        <f t="shared" si="32"/>
        <v>MOS100823|FG001|CK3-33409</v>
      </c>
    </row>
    <row r="1035" spans="1:15" ht="15" customHeight="1" x14ac:dyDescent="0.3">
      <c r="A1035" s="60" t="s">
        <v>1714</v>
      </c>
      <c r="B1035" s="60" t="s">
        <v>577</v>
      </c>
      <c r="C1035" s="62">
        <v>46179</v>
      </c>
      <c r="D1035" s="63" t="s">
        <v>401</v>
      </c>
      <c r="E1035" s="66" t="str">
        <f>IFERROR(INDEX(M_User!$A$12:$J$67,MATCH(D1035,M_User!$D$12:$D$67,0),3),"UNMAPPED")</f>
        <v>Alice Jonathan Mfuru</v>
      </c>
      <c r="F1035" s="65" t="str">
        <f>IFERROR(INDEX(M_User!$A$12:$J$67,MATCH(D1035,M_User!$D$12:$D$67,0),5),"UNMAPPED")</f>
        <v>MOS</v>
      </c>
      <c r="G1035" s="63" t="s">
        <v>825</v>
      </c>
      <c r="H1035" s="69" t="s">
        <v>826</v>
      </c>
      <c r="I1035" s="63" t="s">
        <v>178</v>
      </c>
      <c r="J1035" s="66" t="str">
        <f>IFERROR(INDEX(M_SKU!$A$18:$J$57,MATCH(I1035,M_SKU!$B$18:$B$57,0),1),"UNKNOWN SKU")</f>
        <v>Fanta Orange RGB 350ml</v>
      </c>
      <c r="K1035" s="63" t="s">
        <v>531</v>
      </c>
      <c r="L1035" s="276">
        <v>5.8898999999999999</v>
      </c>
      <c r="M1035" s="91" cm="1">
        <f t="array" ref="M1035">IFERROR(INDEX(M_DepotPrice!$C$10:$C$52,MATCH(1,(M_DepotPrice!$A$10:$A$52=I1035)*(M_DepotPrice!$H$10:$H$52=IFERROR(INDEX(M_Depot!$A$7:$A$24,MATCH(F1035,M_Depot!$B$7:$B$24,0)),""))*(M_DepotPrice!$G$10:$G$52="Special"),0)),INDEX(M_DepotPrice!$C$10:$C$52,MATCH(1,(M_DepotPrice!$A$10:$A$52=I1035)*(M_DepotPrice!$G$10:$G$52="Default"),0)))</f>
        <v>11780</v>
      </c>
      <c r="N1035" s="67">
        <f t="shared" si="33"/>
        <v>81871.965959999987</v>
      </c>
      <c r="O1035" s="66" t="str">
        <f t="shared" si="32"/>
        <v>MOS100823|FG002|CK3-33407</v>
      </c>
    </row>
    <row r="1036" spans="1:15" ht="15" customHeight="1" x14ac:dyDescent="0.3">
      <c r="A1036" s="70" t="s">
        <v>1715</v>
      </c>
      <c r="B1036" s="70" t="s">
        <v>577</v>
      </c>
      <c r="C1036" s="72">
        <v>46179</v>
      </c>
      <c r="D1036" s="73" t="s">
        <v>401</v>
      </c>
      <c r="E1036" s="76" t="str">
        <f>IFERROR(INDEX(M_User!$A$12:$J$67,MATCH(D1036,M_User!$D$12:$D$67,0),3),"UNMAPPED")</f>
        <v>Alice Jonathan Mfuru</v>
      </c>
      <c r="F1036" s="75" t="str">
        <f>IFERROR(INDEX(M_User!$A$12:$J$67,MATCH(D1036,M_User!$D$12:$D$67,0),5),"UNMAPPED")</f>
        <v>MOS</v>
      </c>
      <c r="G1036" s="73" t="s">
        <v>825</v>
      </c>
      <c r="H1036" s="92" t="s">
        <v>826</v>
      </c>
      <c r="I1036" s="73" t="s">
        <v>181</v>
      </c>
      <c r="J1036" s="76" t="str">
        <f>IFERROR(INDEX(M_SKU!$A$18:$J$57,MATCH(I1036,M_SKU!$B$18:$B$57,0),1),"UNKNOWN SKU")</f>
        <v>Fanta Passion RGB 350ml</v>
      </c>
      <c r="K1036" s="73" t="s">
        <v>550</v>
      </c>
      <c r="L1036" s="276">
        <v>2.7857874953417601</v>
      </c>
      <c r="M1036" s="94" cm="1">
        <f t="array" ref="M1036">IFERROR(INDEX(M_DepotPrice!$C$10:$C$52,MATCH(1,(M_DepotPrice!$A$10:$A$52=I1036)*(M_DepotPrice!$H$10:$H$52=IFERROR(INDEX(M_Depot!$A$7:$A$24,MATCH(F1036,M_Depot!$B$7:$B$24,0)),""))*(M_DepotPrice!$G$10:$G$52="Special"),0)),INDEX(M_DepotPrice!$C$10:$C$52,MATCH(1,(M_DepotPrice!$A$10:$A$52=I1036)*(M_DepotPrice!$G$10:$G$52="Default"),0)))</f>
        <v>11780</v>
      </c>
      <c r="N1036" s="95">
        <f t="shared" si="33"/>
        <v>38723.560500248605</v>
      </c>
      <c r="O1036" s="82" t="str">
        <f t="shared" si="32"/>
        <v>MOS100823|FG003|CK3-33356</v>
      </c>
    </row>
    <row r="1037" spans="1:15" ht="15" customHeight="1" x14ac:dyDescent="0.3">
      <c r="A1037" s="60" t="s">
        <v>1716</v>
      </c>
      <c r="B1037" s="60" t="s">
        <v>577</v>
      </c>
      <c r="C1037" s="62">
        <v>46179</v>
      </c>
      <c r="D1037" s="63" t="s">
        <v>401</v>
      </c>
      <c r="E1037" s="66" t="str">
        <f>IFERROR(INDEX(M_User!$A$12:$J$67,MATCH(D1037,M_User!$D$12:$D$67,0),3),"UNMAPPED")</f>
        <v>Alice Jonathan Mfuru</v>
      </c>
      <c r="F1037" s="65" t="str">
        <f>IFERROR(INDEX(M_User!$A$12:$J$67,MATCH(D1037,M_User!$D$12:$D$67,0),5),"UNMAPPED")</f>
        <v>MOS</v>
      </c>
      <c r="G1037" s="63" t="s">
        <v>825</v>
      </c>
      <c r="H1037" s="69" t="s">
        <v>826</v>
      </c>
      <c r="I1037" s="63" t="s">
        <v>187</v>
      </c>
      <c r="J1037" s="66" t="str">
        <f>IFERROR(INDEX(M_SKU!$A$18:$J$57,MATCH(I1037,M_SKU!$B$18:$B$57,0),1),"UNKNOWN SKU")</f>
        <v>Sprite 350ml</v>
      </c>
      <c r="K1037" s="63" t="s">
        <v>535</v>
      </c>
      <c r="L1037" s="276">
        <v>1.528</v>
      </c>
      <c r="M1037" s="91" cm="1">
        <f t="array" ref="M1037">IFERROR(INDEX(M_DepotPrice!$C$10:$C$52,MATCH(1,(M_DepotPrice!$A$10:$A$52=I1037)*(M_DepotPrice!$H$10:$H$52=IFERROR(INDEX(M_Depot!$A$7:$A$24,MATCH(F1037,M_Depot!$B$7:$B$24,0)),""))*(M_DepotPrice!$G$10:$G$52="Special"),0)),INDEX(M_DepotPrice!$C$10:$C$52,MATCH(1,(M_DepotPrice!$A$10:$A$52=I1037)*(M_DepotPrice!$G$10:$G$52="Default"),0)))</f>
        <v>11780</v>
      </c>
      <c r="N1037" s="67">
        <f t="shared" si="33"/>
        <v>21239.8112</v>
      </c>
      <c r="O1037" s="66" t="str">
        <f t="shared" si="32"/>
        <v>MOS100823|FG006|CK3-33414</v>
      </c>
    </row>
    <row r="1038" spans="1:15" ht="15" customHeight="1" x14ac:dyDescent="0.3">
      <c r="A1038" s="70" t="s">
        <v>1717</v>
      </c>
      <c r="B1038" s="70" t="s">
        <v>577</v>
      </c>
      <c r="C1038" s="72">
        <v>46179</v>
      </c>
      <c r="D1038" s="73" t="s">
        <v>401</v>
      </c>
      <c r="E1038" s="76" t="str">
        <f>IFERROR(INDEX(M_User!$A$12:$J$67,MATCH(D1038,M_User!$D$12:$D$67,0),3),"UNMAPPED")</f>
        <v>Alice Jonathan Mfuru</v>
      </c>
      <c r="F1038" s="75" t="str">
        <f>IFERROR(INDEX(M_User!$A$12:$J$67,MATCH(D1038,M_User!$D$12:$D$67,0),5),"UNMAPPED")</f>
        <v>MOS</v>
      </c>
      <c r="G1038" s="73" t="s">
        <v>825</v>
      </c>
      <c r="H1038" s="92" t="s">
        <v>826</v>
      </c>
      <c r="I1038" s="73" t="s">
        <v>190</v>
      </c>
      <c r="J1038" s="76" t="str">
        <f>IFERROR(INDEX(M_SKU!$A$18:$J$57,MATCH(I1038,M_SKU!$B$18:$B$57,0),1),"UNKNOWN SKU")</f>
        <v>Stoney Tangawizi RGB 350ml</v>
      </c>
      <c r="K1038" s="73" t="s">
        <v>536</v>
      </c>
      <c r="L1038" s="276">
        <v>0.37031035455979999</v>
      </c>
      <c r="M1038" s="94" cm="1">
        <f t="array" ref="M1038">IFERROR(INDEX(M_DepotPrice!$C$10:$C$52,MATCH(1,(M_DepotPrice!$A$10:$A$52=I1038)*(M_DepotPrice!$H$10:$H$52=IFERROR(INDEX(M_Depot!$A$7:$A$24,MATCH(F1038,M_Depot!$B$7:$B$24,0)),""))*(M_DepotPrice!$G$10:$G$52="Special"),0)),INDEX(M_DepotPrice!$C$10:$C$52,MATCH(1,(M_DepotPrice!$A$10:$A$52=I1038)*(M_DepotPrice!$G$10:$G$52="Default"),0)))</f>
        <v>11780</v>
      </c>
      <c r="N1038" s="95">
        <f t="shared" si="33"/>
        <v>5147.4620525230439</v>
      </c>
      <c r="O1038" s="82" t="str">
        <f t="shared" si="32"/>
        <v>MOS100823|FG007|CK3-33404</v>
      </c>
    </row>
    <row r="1039" spans="1:15" ht="15" customHeight="1" x14ac:dyDescent="0.3">
      <c r="A1039" s="60" t="s">
        <v>1718</v>
      </c>
      <c r="B1039" s="60" t="s">
        <v>577</v>
      </c>
      <c r="C1039" s="62">
        <v>46179</v>
      </c>
      <c r="D1039" s="63" t="s">
        <v>401</v>
      </c>
      <c r="E1039" s="66" t="str">
        <f>IFERROR(INDEX(M_User!$A$12:$J$67,MATCH(D1039,M_User!$D$12:$D$67,0),3),"UNMAPPED")</f>
        <v>Alice Jonathan Mfuru</v>
      </c>
      <c r="F1039" s="65" t="str">
        <f>IFERROR(INDEX(M_User!$A$12:$J$67,MATCH(D1039,M_User!$D$12:$D$67,0),5),"UNMAPPED")</f>
        <v>MOS</v>
      </c>
      <c r="G1039" s="63" t="s">
        <v>825</v>
      </c>
      <c r="H1039" s="69" t="s">
        <v>826</v>
      </c>
      <c r="I1039" s="63" t="s">
        <v>209</v>
      </c>
      <c r="J1039" s="66" t="str">
        <f>IFERROR(INDEX(M_SKU!$A$18:$J$57,MATCH(I1039,M_SKU!$B$18:$B$57,0),1),"UNKNOWN SKU")</f>
        <v>Sparletta Red Apple RGB 350ml</v>
      </c>
      <c r="K1039" s="63" t="s">
        <v>542</v>
      </c>
      <c r="L1039" s="276">
        <v>0.32129999999999997</v>
      </c>
      <c r="M1039" s="91" cm="1">
        <f t="array" ref="M1039">IFERROR(INDEX(M_DepotPrice!$C$10:$C$52,MATCH(1,(M_DepotPrice!$A$10:$A$52=I1039)*(M_DepotPrice!$H$10:$H$52=IFERROR(INDEX(M_Depot!$A$7:$A$24,MATCH(F1039,M_Depot!$B$7:$B$24,0)),""))*(M_DepotPrice!$G$10:$G$52="Special"),0)),INDEX(M_DepotPrice!$C$10:$C$52,MATCH(1,(M_DepotPrice!$A$10:$A$52=I1039)*(M_DepotPrice!$G$10:$G$52="Default"),0)))</f>
        <v>11780</v>
      </c>
      <c r="N1039" s="67">
        <f t="shared" si="33"/>
        <v>4466.1985199999999</v>
      </c>
      <c r="O1039" s="66" t="str">
        <f t="shared" si="32"/>
        <v>MOS100823|FG024|CK3-32758</v>
      </c>
    </row>
    <row r="1040" spans="1:15" ht="15" customHeight="1" x14ac:dyDescent="0.3">
      <c r="A1040" s="70" t="s">
        <v>1719</v>
      </c>
      <c r="B1040" s="70" t="s">
        <v>577</v>
      </c>
      <c r="C1040" s="72">
        <v>46179</v>
      </c>
      <c r="D1040" s="73" t="s">
        <v>401</v>
      </c>
      <c r="E1040" s="76" t="str">
        <f>IFERROR(INDEX(M_User!$A$12:$J$67,MATCH(D1040,M_User!$D$12:$D$67,0),3),"UNMAPPED")</f>
        <v>Alice Jonathan Mfuru</v>
      </c>
      <c r="F1040" s="75" t="str">
        <f>IFERROR(INDEX(M_User!$A$12:$J$67,MATCH(D1040,M_User!$D$12:$D$67,0),5),"UNMAPPED")</f>
        <v>MOS</v>
      </c>
      <c r="G1040" s="73" t="s">
        <v>825</v>
      </c>
      <c r="H1040" s="92" t="s">
        <v>826</v>
      </c>
      <c r="I1040" s="73" t="s">
        <v>211</v>
      </c>
      <c r="J1040" s="76" t="str">
        <f>IFERROR(INDEX(M_SKU!$A$18:$J$57,MATCH(I1040,M_SKU!$B$18:$B$57,0),1),"UNKNOWN SKU")</f>
        <v>KNMW 500ml</v>
      </c>
      <c r="K1040" s="73" t="s">
        <v>543</v>
      </c>
      <c r="L1040" s="276">
        <v>2</v>
      </c>
      <c r="M1040" s="94" cm="1">
        <f t="array" ref="M1040">IFERROR(INDEX(M_DepotPrice!$C$10:$C$52,MATCH(1,(M_DepotPrice!$A$10:$A$52=I1040)*(M_DepotPrice!$H$10:$H$52=IFERROR(INDEX(M_Depot!$A$7:$A$24,MATCH(F1040,M_Depot!$B$7:$B$24,0)),""))*(M_DepotPrice!$G$10:$G$52="Special"),0)),INDEX(M_DepotPrice!$C$10:$C$52,MATCH(1,(M_DepotPrice!$A$10:$A$52=I1040)*(M_DepotPrice!$G$10:$G$52="Default"),0)))</f>
        <v>3559</v>
      </c>
      <c r="N1040" s="95">
        <f t="shared" si="33"/>
        <v>8399.24</v>
      </c>
      <c r="O1040" s="82" t="str">
        <f t="shared" si="32"/>
        <v>MOS100823|KD001|CK6-986</v>
      </c>
    </row>
    <row r="1041" spans="1:15" ht="15" customHeight="1" x14ac:dyDescent="0.3">
      <c r="A1041" s="60" t="s">
        <v>1720</v>
      </c>
      <c r="B1041" s="60" t="s">
        <v>577</v>
      </c>
      <c r="C1041" s="62">
        <v>46179</v>
      </c>
      <c r="D1041" s="63" t="s">
        <v>401</v>
      </c>
      <c r="E1041" s="66" t="str">
        <f>IFERROR(INDEX(M_User!$A$12:$J$67,MATCH(D1041,M_User!$D$12:$D$67,0),3),"UNMAPPED")</f>
        <v>Alice Jonathan Mfuru</v>
      </c>
      <c r="F1041" s="65" t="str">
        <f>IFERROR(INDEX(M_User!$A$12:$J$67,MATCH(D1041,M_User!$D$12:$D$67,0),5),"UNMAPPED")</f>
        <v>MOS</v>
      </c>
      <c r="G1041" s="63" t="s">
        <v>825</v>
      </c>
      <c r="H1041" s="69" t="s">
        <v>826</v>
      </c>
      <c r="I1041" s="63" t="s">
        <v>222</v>
      </c>
      <c r="J1041" s="66" t="str">
        <f>IFERROR(INDEX(M_SKU!$A$18:$J$57,MATCH(I1041,M_SKU!$B$18:$B$57,0),1),"UNKNOWN SKU")</f>
        <v>Kilimanjaro Drinking Water 12000 ML</v>
      </c>
      <c r="K1041" s="63" t="s">
        <v>566</v>
      </c>
      <c r="L1041" s="276">
        <v>1</v>
      </c>
      <c r="M1041" s="91" cm="1">
        <f t="array" ref="M1041">IFERROR(INDEX(M_DepotPrice!$C$10:$C$52,MATCH(1,(M_DepotPrice!$A$10:$A$52=I1041)*(M_DepotPrice!$H$10:$H$52=IFERROR(INDEX(M_Depot!$A$7:$A$24,MATCH(F1041,M_Depot!$B$7:$B$24,0)),""))*(M_DepotPrice!$G$10:$G$52="Special"),0)),INDEX(M_DepotPrice!$C$10:$C$52,MATCH(1,(M_DepotPrice!$A$10:$A$52=I1041)*(M_DepotPrice!$G$10:$G$52="Default"),0)))</f>
        <v>3559</v>
      </c>
      <c r="N1041" s="67">
        <f t="shared" si="33"/>
        <v>4199.62</v>
      </c>
      <c r="O1041" s="66" t="str">
        <f t="shared" si="32"/>
        <v>MOS100823|KD005|CK7-913</v>
      </c>
    </row>
    <row r="1042" spans="1:15" ht="15" customHeight="1" x14ac:dyDescent="0.3">
      <c r="A1042" s="70" t="s">
        <v>1721</v>
      </c>
      <c r="B1042" s="70" t="s">
        <v>577</v>
      </c>
      <c r="C1042" s="72">
        <v>46179</v>
      </c>
      <c r="D1042" s="73" t="s">
        <v>401</v>
      </c>
      <c r="E1042" s="76" t="str">
        <f>IFERROR(INDEX(M_User!$A$12:$J$67,MATCH(D1042,M_User!$D$12:$D$67,0),3),"UNMAPPED")</f>
        <v>Alice Jonathan Mfuru</v>
      </c>
      <c r="F1042" s="75" t="str">
        <f>IFERROR(INDEX(M_User!$A$12:$J$67,MATCH(D1042,M_User!$D$12:$D$67,0),5),"UNMAPPED")</f>
        <v>MOS</v>
      </c>
      <c r="G1042" s="73" t="s">
        <v>825</v>
      </c>
      <c r="H1042" s="92" t="s">
        <v>826</v>
      </c>
      <c r="I1042" s="73" t="s">
        <v>225</v>
      </c>
      <c r="J1042" s="76" t="str">
        <f>IFERROR(INDEX(M_SKU!$A$18:$J$57,MATCH(I1042,M_SKU!$B$18:$B$57,0),1),"UNKNOWN SKU")</f>
        <v>Kilimanjaro Drinking Water 18900 ML</v>
      </c>
      <c r="K1042" s="73" t="s">
        <v>567</v>
      </c>
      <c r="L1042" s="276">
        <v>1</v>
      </c>
      <c r="M1042" s="94" cm="1">
        <f t="array" ref="M1042">IFERROR(INDEX(M_DepotPrice!$C$10:$C$52,MATCH(1,(M_DepotPrice!$A$10:$A$52=I1042)*(M_DepotPrice!$H$10:$H$52=IFERROR(INDEX(M_Depot!$A$7:$A$24,MATCH(F1042,M_Depot!$B$7:$B$24,0)),""))*(M_DepotPrice!$G$10:$G$52="Special"),0)),INDEX(M_DepotPrice!$C$10:$C$52,MATCH(1,(M_DepotPrice!$A$10:$A$52=I1042)*(M_DepotPrice!$G$10:$G$52="Default"),0)))</f>
        <v>5932</v>
      </c>
      <c r="N1042" s="95">
        <f t="shared" si="33"/>
        <v>6999.7599999999993</v>
      </c>
      <c r="O1042" s="82" t="str">
        <f t="shared" si="32"/>
        <v>MOS100823|KD006|CK7-915</v>
      </c>
    </row>
    <row r="1043" spans="1:15" ht="15" customHeight="1" x14ac:dyDescent="0.3">
      <c r="A1043" s="60" t="s">
        <v>1722</v>
      </c>
      <c r="B1043" s="60" t="s">
        <v>577</v>
      </c>
      <c r="C1043" s="62">
        <v>46179</v>
      </c>
      <c r="D1043" s="63" t="s">
        <v>401</v>
      </c>
      <c r="E1043" s="66" t="str">
        <f>IFERROR(INDEX(M_User!$A$12:$J$67,MATCH(D1043,M_User!$D$12:$D$67,0),3),"UNMAPPED")</f>
        <v>Alice Jonathan Mfuru</v>
      </c>
      <c r="F1043" s="65" t="str">
        <f>IFERROR(INDEX(M_User!$A$12:$J$67,MATCH(D1043,M_User!$D$12:$D$67,0),5),"UNMAPPED")</f>
        <v>MOS</v>
      </c>
      <c r="G1043" s="63" t="s">
        <v>825</v>
      </c>
      <c r="H1043" s="69" t="s">
        <v>826</v>
      </c>
      <c r="I1043" s="63" t="s">
        <v>232</v>
      </c>
      <c r="J1043" s="66" t="str">
        <f>IFERROR(INDEX(M_SKU!$A$18:$J$57,MATCH(I1043,M_SKU!$B$18:$B$57,0),1),"UNKNOWN SKU")</f>
        <v>Sprite Pet 500ML (x 12)</v>
      </c>
      <c r="K1043" s="63" t="s">
        <v>522</v>
      </c>
      <c r="L1043" s="276">
        <v>3</v>
      </c>
      <c r="M1043" s="91" cm="1">
        <f t="array" ref="M1043">IFERROR(INDEX(M_DepotPrice!$C$10:$C$52,MATCH(1,(M_DepotPrice!$A$10:$A$52=I1043)*(M_DepotPrice!$H$10:$H$52=IFERROR(INDEX(M_Depot!$A$7:$A$24,MATCH(F1043,M_Depot!$B$7:$B$24,0)),""))*(M_DepotPrice!$G$10:$G$52="Special"),0)),INDEX(M_DepotPrice!$C$10:$C$52,MATCH(1,(M_DepotPrice!$A$10:$A$52=I1043)*(M_DepotPrice!$G$10:$G$52="Default"),0)))</f>
        <v>8898</v>
      </c>
      <c r="N1043" s="67">
        <f t="shared" si="33"/>
        <v>31498.92</v>
      </c>
      <c r="O1043" s="66" t="str">
        <f t="shared" si="32"/>
        <v>MOS100823|PH002|CK6-33362</v>
      </c>
    </row>
    <row r="1044" spans="1:15" ht="15" customHeight="1" x14ac:dyDescent="0.3">
      <c r="A1044" s="70" t="s">
        <v>1723</v>
      </c>
      <c r="B1044" s="70" t="s">
        <v>577</v>
      </c>
      <c r="C1044" s="72">
        <v>46179</v>
      </c>
      <c r="D1044" s="73" t="s">
        <v>401</v>
      </c>
      <c r="E1044" s="76" t="str">
        <f>IFERROR(INDEX(M_User!$A$12:$J$67,MATCH(D1044,M_User!$D$12:$D$67,0),3),"UNMAPPED")</f>
        <v>Alice Jonathan Mfuru</v>
      </c>
      <c r="F1044" s="75" t="str">
        <f>IFERROR(INDEX(M_User!$A$12:$J$67,MATCH(D1044,M_User!$D$12:$D$67,0),5),"UNMAPPED")</f>
        <v>MOS</v>
      </c>
      <c r="G1044" s="73" t="s">
        <v>825</v>
      </c>
      <c r="H1044" s="92" t="s">
        <v>826</v>
      </c>
      <c r="I1044" s="73" t="s">
        <v>234</v>
      </c>
      <c r="J1044" s="76" t="str">
        <f>IFERROR(INDEX(M_SKU!$A$18:$J$57,MATCH(I1044,M_SKU!$B$18:$B$57,0),1),"UNKNOWN SKU")</f>
        <v>Fanta Orange Pet 500ML ( x 12)</v>
      </c>
      <c r="K1044" s="73" t="s">
        <v>523</v>
      </c>
      <c r="L1044" s="276">
        <v>10</v>
      </c>
      <c r="M1044" s="94" cm="1">
        <f t="array" ref="M1044">IFERROR(INDEX(M_DepotPrice!$C$10:$C$52,MATCH(1,(M_DepotPrice!$A$10:$A$52=I1044)*(M_DepotPrice!$H$10:$H$52=IFERROR(INDEX(M_Depot!$A$7:$A$24,MATCH(F1044,M_Depot!$B$7:$B$24,0)),""))*(M_DepotPrice!$G$10:$G$52="Special"),0)),INDEX(M_DepotPrice!$C$10:$C$52,MATCH(1,(M_DepotPrice!$A$10:$A$52=I1044)*(M_DepotPrice!$G$10:$G$52="Default"),0)))</f>
        <v>8898</v>
      </c>
      <c r="N1044" s="95">
        <f t="shared" si="33"/>
        <v>104996.4</v>
      </c>
      <c r="O1044" s="82" t="str">
        <f t="shared" si="32"/>
        <v>MOS100823|PH003|CK6-33405</v>
      </c>
    </row>
    <row r="1045" spans="1:15" ht="15" customHeight="1" x14ac:dyDescent="0.3">
      <c r="A1045" s="60" t="s">
        <v>1724</v>
      </c>
      <c r="B1045" s="60" t="s">
        <v>577</v>
      </c>
      <c r="C1045" s="62">
        <v>46179</v>
      </c>
      <c r="D1045" s="63" t="s">
        <v>401</v>
      </c>
      <c r="E1045" s="66" t="str">
        <f>IFERROR(INDEX(M_User!$A$12:$J$67,MATCH(D1045,M_User!$D$12:$D$67,0),3),"UNMAPPED")</f>
        <v>Alice Jonathan Mfuru</v>
      </c>
      <c r="F1045" s="65" t="str">
        <f>IFERROR(INDEX(M_User!$A$12:$J$67,MATCH(D1045,M_User!$D$12:$D$67,0),5),"UNMAPPED")</f>
        <v>MOS</v>
      </c>
      <c r="G1045" s="63" t="s">
        <v>825</v>
      </c>
      <c r="H1045" s="69" t="s">
        <v>826</v>
      </c>
      <c r="I1045" s="63" t="s">
        <v>242</v>
      </c>
      <c r="J1045" s="66" t="str">
        <f>IFERROR(INDEX(M_SKU!$A$18:$J$57,MATCH(I1045,M_SKU!$B$18:$B$57,0),1),"UNKNOWN SKU")</f>
        <v>Stoney Tangawizi Pet 500 ml ( x12)</v>
      </c>
      <c r="K1045" s="63" t="s">
        <v>525</v>
      </c>
      <c r="L1045" s="276">
        <v>1</v>
      </c>
      <c r="M1045" s="91" cm="1">
        <f t="array" ref="M1045">IFERROR(INDEX(M_DepotPrice!$C$10:$C$52,MATCH(1,(M_DepotPrice!$A$10:$A$52=I1045)*(M_DepotPrice!$H$10:$H$52=IFERROR(INDEX(M_Depot!$A$7:$A$24,MATCH(F1045,M_Depot!$B$7:$B$24,0)),""))*(M_DepotPrice!$G$10:$G$52="Special"),0)),INDEX(M_DepotPrice!$C$10:$C$52,MATCH(1,(M_DepotPrice!$A$10:$A$52=I1045)*(M_DepotPrice!$G$10:$G$52="Default"),0)))</f>
        <v>8898</v>
      </c>
      <c r="N1045" s="67">
        <f t="shared" si="33"/>
        <v>10499.64</v>
      </c>
      <c r="O1045" s="66" t="str">
        <f t="shared" si="32"/>
        <v>MOS100823|PH007|CK6-33375</v>
      </c>
    </row>
    <row r="1046" spans="1:15" ht="15" customHeight="1" x14ac:dyDescent="0.3">
      <c r="A1046" s="70" t="s">
        <v>1725</v>
      </c>
      <c r="B1046" s="70" t="s">
        <v>577</v>
      </c>
      <c r="C1046" s="72">
        <v>46179</v>
      </c>
      <c r="D1046" s="73" t="s">
        <v>401</v>
      </c>
      <c r="E1046" s="76" t="str">
        <f>IFERROR(INDEX(M_User!$A$12:$J$67,MATCH(D1046,M_User!$D$12:$D$67,0),3),"UNMAPPED")</f>
        <v>Alice Jonathan Mfuru</v>
      </c>
      <c r="F1046" s="75" t="str">
        <f>IFERROR(INDEX(M_User!$A$12:$J$67,MATCH(D1046,M_User!$D$12:$D$67,0),5),"UNMAPPED")</f>
        <v>MOS</v>
      </c>
      <c r="G1046" s="73" t="s">
        <v>825</v>
      </c>
      <c r="H1046" s="92" t="s">
        <v>826</v>
      </c>
      <c r="I1046" s="73" t="s">
        <v>244</v>
      </c>
      <c r="J1046" s="76" t="str">
        <f>IFERROR(INDEX(M_SKU!$A$18:$J$57,MATCH(I1046,M_SKU!$B$18:$B$57,0),1),"UNKNOWN SKU")</f>
        <v>Sparletta Pinenut Pet 500 ml ( x12)</v>
      </c>
      <c r="K1046" s="73" t="s">
        <v>526</v>
      </c>
      <c r="L1046" s="276">
        <v>1</v>
      </c>
      <c r="M1046" s="94" cm="1">
        <f t="array" ref="M1046">IFERROR(INDEX(M_DepotPrice!$C$10:$C$52,MATCH(1,(M_DepotPrice!$A$10:$A$52=I1046)*(M_DepotPrice!$H$10:$H$52=IFERROR(INDEX(M_Depot!$A$7:$A$24,MATCH(F1046,M_Depot!$B$7:$B$24,0)),""))*(M_DepotPrice!$G$10:$G$52="Special"),0)),INDEX(M_DepotPrice!$C$10:$C$52,MATCH(1,(M_DepotPrice!$A$10:$A$52=I1046)*(M_DepotPrice!$G$10:$G$52="Default"),0)))</f>
        <v>8898</v>
      </c>
      <c r="N1046" s="95">
        <f t="shared" si="33"/>
        <v>10499.64</v>
      </c>
      <c r="O1046" s="82" t="str">
        <f t="shared" si="32"/>
        <v>MOS100823|PH008|CK5-33370</v>
      </c>
    </row>
    <row r="1047" spans="1:15" ht="15" customHeight="1" x14ac:dyDescent="0.3">
      <c r="A1047" s="60" t="s">
        <v>1726</v>
      </c>
      <c r="B1047" s="60" t="s">
        <v>579</v>
      </c>
      <c r="C1047" s="62">
        <v>46179</v>
      </c>
      <c r="D1047" s="63" t="s">
        <v>350</v>
      </c>
      <c r="E1047" s="66" t="str">
        <f>IFERROR(INDEX(M_User!$A$12:$J$67,MATCH(D1047,M_User!$D$12:$D$67,0),3),"UNMAPPED")</f>
        <v>Samson Felix Ngowi</v>
      </c>
      <c r="F1047" s="65" t="str">
        <f>IFERROR(INDEX(M_User!$A$12:$J$67,MATCH(D1047,M_User!$D$12:$D$67,0),5),"UNMAPPED")</f>
        <v>MOS</v>
      </c>
      <c r="G1047" s="63" t="s">
        <v>840</v>
      </c>
      <c r="H1047" s="69" t="s">
        <v>841</v>
      </c>
      <c r="I1047" s="63" t="s">
        <v>170</v>
      </c>
      <c r="J1047" s="66" t="str">
        <f>IFERROR(INDEX(M_SKU!$A$18:$J$57,MATCH(I1047,M_SKU!$B$18:$B$57,0),1),"UNKNOWN SKU")</f>
        <v>Coke RGB 350ml</v>
      </c>
      <c r="K1047" s="63" t="s">
        <v>530</v>
      </c>
      <c r="L1047" s="276">
        <v>13.945600000000001</v>
      </c>
      <c r="M1047" s="91" cm="1">
        <f t="array" ref="M1047">IFERROR(INDEX(M_DepotPrice!$C$10:$C$52,MATCH(1,(M_DepotPrice!$A$10:$A$52=I1047)*(M_DepotPrice!$H$10:$H$52=IFERROR(INDEX(M_Depot!$A$7:$A$24,MATCH(F1047,M_Depot!$B$7:$B$24,0)),""))*(M_DepotPrice!$G$10:$G$52="Special"),0)),INDEX(M_DepotPrice!$C$10:$C$52,MATCH(1,(M_DepotPrice!$A$10:$A$52=I1047)*(M_DepotPrice!$G$10:$G$52="Default"),0)))</f>
        <v>11780</v>
      </c>
      <c r="N1047" s="67">
        <f t="shared" si="33"/>
        <v>193849.41824</v>
      </c>
      <c r="O1047" s="66" t="str">
        <f t="shared" si="32"/>
        <v>MOS100842|FG001|CK3-33409</v>
      </c>
    </row>
    <row r="1048" spans="1:15" ht="15" customHeight="1" x14ac:dyDescent="0.3">
      <c r="A1048" s="70" t="s">
        <v>1727</v>
      </c>
      <c r="B1048" s="70" t="s">
        <v>589</v>
      </c>
      <c r="C1048" s="72">
        <v>46179</v>
      </c>
      <c r="D1048" s="73" t="s">
        <v>350</v>
      </c>
      <c r="E1048" s="76" t="str">
        <f>IFERROR(INDEX(M_User!$A$12:$J$67,MATCH(D1048,M_User!$D$12:$D$67,0),3),"UNMAPPED")</f>
        <v>Samson Felix Ngowi</v>
      </c>
      <c r="F1048" s="75" t="str">
        <f>IFERROR(INDEX(M_User!$A$12:$J$67,MATCH(D1048,M_User!$D$12:$D$67,0),5),"UNMAPPED")</f>
        <v>MOS</v>
      </c>
      <c r="G1048" s="73" t="s">
        <v>840</v>
      </c>
      <c r="H1048" s="92" t="s">
        <v>841</v>
      </c>
      <c r="I1048" s="73" t="s">
        <v>170</v>
      </c>
      <c r="J1048" s="76" t="str">
        <f>IFERROR(INDEX(M_SKU!$A$18:$J$57,MATCH(I1048,M_SKU!$B$18:$B$57,0),1),"UNKNOWN SKU")</f>
        <v>Coke RGB 350ml</v>
      </c>
      <c r="K1048" s="73" t="s">
        <v>585</v>
      </c>
      <c r="L1048" s="276">
        <v>4.1891942112459502</v>
      </c>
      <c r="M1048" s="94" cm="1">
        <f t="array" ref="M1048">IFERROR(INDEX(M_DepotPrice!$C$10:$C$52,MATCH(1,(M_DepotPrice!$A$10:$A$52=I1048)*(M_DepotPrice!$H$10:$H$52=IFERROR(INDEX(M_Depot!$A$7:$A$24,MATCH(F1048,M_Depot!$B$7:$B$24,0)),""))*(M_DepotPrice!$G$10:$G$52="Special"),0)),INDEX(M_DepotPrice!$C$10:$C$52,MATCH(1,(M_DepotPrice!$A$10:$A$52=I1048)*(M_DepotPrice!$G$10:$G$52="Default"),0)))</f>
        <v>11780</v>
      </c>
      <c r="N1048" s="95">
        <f t="shared" si="33"/>
        <v>58231.475214003207</v>
      </c>
      <c r="O1048" s="82" t="str">
        <f t="shared" si="32"/>
        <v>MOS100842|FG001|CK3-33410</v>
      </c>
    </row>
    <row r="1049" spans="1:15" ht="15" customHeight="1" x14ac:dyDescent="0.3">
      <c r="A1049" s="60" t="s">
        <v>1728</v>
      </c>
      <c r="B1049" s="60" t="s">
        <v>589</v>
      </c>
      <c r="C1049" s="62">
        <v>46179</v>
      </c>
      <c r="D1049" s="63" t="s">
        <v>350</v>
      </c>
      <c r="E1049" s="66" t="str">
        <f>IFERROR(INDEX(M_User!$A$12:$J$67,MATCH(D1049,M_User!$D$12:$D$67,0),3),"UNMAPPED")</f>
        <v>Samson Felix Ngowi</v>
      </c>
      <c r="F1049" s="65" t="str">
        <f>IFERROR(INDEX(M_User!$A$12:$J$67,MATCH(D1049,M_User!$D$12:$D$67,0),5),"UNMAPPED")</f>
        <v>MOS</v>
      </c>
      <c r="G1049" s="63" t="s">
        <v>840</v>
      </c>
      <c r="H1049" s="69" t="s">
        <v>841</v>
      </c>
      <c r="I1049" s="63" t="s">
        <v>178</v>
      </c>
      <c r="J1049" s="66" t="str">
        <f>IFERROR(INDEX(M_SKU!$A$18:$J$57,MATCH(I1049,M_SKU!$B$18:$B$57,0),1),"UNKNOWN SKU")</f>
        <v>Fanta Orange RGB 350ml</v>
      </c>
      <c r="K1049" s="63" t="s">
        <v>590</v>
      </c>
      <c r="L1049" s="276">
        <v>0.76160000000000005</v>
      </c>
      <c r="M1049" s="91" cm="1">
        <f t="array" ref="M1049">IFERROR(INDEX(M_DepotPrice!$C$10:$C$52,MATCH(1,(M_DepotPrice!$A$10:$A$52=I1049)*(M_DepotPrice!$H$10:$H$52=IFERROR(INDEX(M_Depot!$A$7:$A$24,MATCH(F1049,M_Depot!$B$7:$B$24,0)),""))*(M_DepotPrice!$G$10:$G$52="Special"),0)),INDEX(M_DepotPrice!$C$10:$C$52,MATCH(1,(M_DepotPrice!$A$10:$A$52=I1049)*(M_DepotPrice!$G$10:$G$52="Default"),0)))</f>
        <v>11780</v>
      </c>
      <c r="N1049" s="67">
        <f t="shared" si="33"/>
        <v>10586.54464</v>
      </c>
      <c r="O1049" s="66" t="str">
        <f t="shared" si="32"/>
        <v>MOS100842|FG002|CK3-33406</v>
      </c>
    </row>
    <row r="1050" spans="1:15" ht="15" customHeight="1" x14ac:dyDescent="0.3">
      <c r="A1050" s="70" t="s">
        <v>1729</v>
      </c>
      <c r="B1050" s="70" t="s">
        <v>579</v>
      </c>
      <c r="C1050" s="72">
        <v>46179</v>
      </c>
      <c r="D1050" s="73" t="s">
        <v>350</v>
      </c>
      <c r="E1050" s="76" t="str">
        <f>IFERROR(INDEX(M_User!$A$12:$J$67,MATCH(D1050,M_User!$D$12:$D$67,0),3),"UNMAPPED")</f>
        <v>Samson Felix Ngowi</v>
      </c>
      <c r="F1050" s="75" t="str">
        <f>IFERROR(INDEX(M_User!$A$12:$J$67,MATCH(D1050,M_User!$D$12:$D$67,0),5),"UNMAPPED")</f>
        <v>MOS</v>
      </c>
      <c r="G1050" s="73" t="s">
        <v>840</v>
      </c>
      <c r="H1050" s="92" t="s">
        <v>841</v>
      </c>
      <c r="I1050" s="73" t="s">
        <v>178</v>
      </c>
      <c r="J1050" s="76" t="str">
        <f>IFERROR(INDEX(M_SKU!$A$18:$J$57,MATCH(I1050,M_SKU!$B$18:$B$57,0),1),"UNKNOWN SKU")</f>
        <v>Fanta Orange RGB 350ml</v>
      </c>
      <c r="K1050" s="73" t="s">
        <v>531</v>
      </c>
      <c r="L1050" s="276">
        <v>3.9732683591548401</v>
      </c>
      <c r="M1050" s="94" cm="1">
        <f t="array" ref="M1050">IFERROR(INDEX(M_DepotPrice!$C$10:$C$52,MATCH(1,(M_DepotPrice!$A$10:$A$52=I1050)*(M_DepotPrice!$H$10:$H$52=IFERROR(INDEX(M_Depot!$A$7:$A$24,MATCH(F1050,M_Depot!$B$7:$B$24,0)),""))*(M_DepotPrice!$G$10:$G$52="Special"),0)),INDEX(M_DepotPrice!$C$10:$C$52,MATCH(1,(M_DepotPrice!$A$10:$A$52=I1050)*(M_DepotPrice!$G$10:$G$52="Default"),0)))</f>
        <v>11780</v>
      </c>
      <c r="N1050" s="95">
        <f t="shared" si="33"/>
        <v>55230.019499595939</v>
      </c>
      <c r="O1050" s="82" t="str">
        <f t="shared" si="32"/>
        <v>MOS100842|FG002|CK3-33407</v>
      </c>
    </row>
    <row r="1051" spans="1:15" ht="15" customHeight="1" x14ac:dyDescent="0.3">
      <c r="A1051" s="60" t="s">
        <v>1730</v>
      </c>
      <c r="B1051" s="60" t="s">
        <v>579</v>
      </c>
      <c r="C1051" s="62">
        <v>46179</v>
      </c>
      <c r="D1051" s="63" t="s">
        <v>350</v>
      </c>
      <c r="E1051" s="66" t="str">
        <f>IFERROR(INDEX(M_User!$A$12:$J$67,MATCH(D1051,M_User!$D$12:$D$67,0),3),"UNMAPPED")</f>
        <v>Samson Felix Ngowi</v>
      </c>
      <c r="F1051" s="65" t="str">
        <f>IFERROR(INDEX(M_User!$A$12:$J$67,MATCH(D1051,M_User!$D$12:$D$67,0),5),"UNMAPPED")</f>
        <v>MOS</v>
      </c>
      <c r="G1051" s="63" t="s">
        <v>840</v>
      </c>
      <c r="H1051" s="69" t="s">
        <v>841</v>
      </c>
      <c r="I1051" s="63" t="s">
        <v>181</v>
      </c>
      <c r="J1051" s="66" t="str">
        <f>IFERROR(INDEX(M_SKU!$A$18:$J$57,MATCH(I1051,M_SKU!$B$18:$B$57,0),1),"UNKNOWN SKU")</f>
        <v>Fanta Passion RGB 350ml</v>
      </c>
      <c r="K1051" s="63" t="s">
        <v>550</v>
      </c>
      <c r="L1051" s="276">
        <v>2.1125756448190902</v>
      </c>
      <c r="M1051" s="91" cm="1">
        <f t="array" ref="M1051">IFERROR(INDEX(M_DepotPrice!$C$10:$C$52,MATCH(1,(M_DepotPrice!$A$10:$A$52=I1051)*(M_DepotPrice!$H$10:$H$52=IFERROR(INDEX(M_Depot!$A$7:$A$24,MATCH(F1051,M_Depot!$B$7:$B$24,0)),""))*(M_DepotPrice!$G$10:$G$52="Special"),0)),INDEX(M_DepotPrice!$C$10:$C$52,MATCH(1,(M_DepotPrice!$A$10:$A$52=I1051)*(M_DepotPrice!$G$10:$G$52="Default"),0)))</f>
        <v>11780</v>
      </c>
      <c r="N1051" s="67">
        <f t="shared" si="33"/>
        <v>29365.646493243283</v>
      </c>
      <c r="O1051" s="66" t="str">
        <f t="shared" si="32"/>
        <v>MOS100842|FG003|CK3-33356</v>
      </c>
    </row>
    <row r="1052" spans="1:15" ht="15" customHeight="1" x14ac:dyDescent="0.3">
      <c r="A1052" s="70" t="s">
        <v>1731</v>
      </c>
      <c r="B1052" s="70" t="s">
        <v>589</v>
      </c>
      <c r="C1052" s="72">
        <v>46179</v>
      </c>
      <c r="D1052" s="73" t="s">
        <v>350</v>
      </c>
      <c r="E1052" s="76" t="str">
        <f>IFERROR(INDEX(M_User!$A$12:$J$67,MATCH(D1052,M_User!$D$12:$D$67,0),3),"UNMAPPED")</f>
        <v>Samson Felix Ngowi</v>
      </c>
      <c r="F1052" s="75" t="str">
        <f>IFERROR(INDEX(M_User!$A$12:$J$67,MATCH(D1052,M_User!$D$12:$D$67,0),5),"UNMAPPED")</f>
        <v>MOS</v>
      </c>
      <c r="G1052" s="73" t="s">
        <v>840</v>
      </c>
      <c r="H1052" s="92" t="s">
        <v>841</v>
      </c>
      <c r="I1052" s="73" t="s">
        <v>181</v>
      </c>
      <c r="J1052" s="76" t="str">
        <f>IFERROR(INDEX(M_SKU!$A$18:$J$57,MATCH(I1052,M_SKU!$B$18:$B$57,0),1),"UNKNOWN SKU")</f>
        <v>Fanta Passion RGB 350ml</v>
      </c>
      <c r="K1052" s="73" t="s">
        <v>532</v>
      </c>
      <c r="L1052" s="276">
        <v>0.51331951324542502</v>
      </c>
      <c r="M1052" s="94" cm="1">
        <f t="array" ref="M1052">IFERROR(INDEX(M_DepotPrice!$C$10:$C$52,MATCH(1,(M_DepotPrice!$A$10:$A$52=I1052)*(M_DepotPrice!$H$10:$H$52=IFERROR(INDEX(M_Depot!$A$7:$A$24,MATCH(F1052,M_Depot!$B$7:$B$24,0)),""))*(M_DepotPrice!$G$10:$G$52="Special"),0)),INDEX(M_DepotPrice!$C$10:$C$52,MATCH(1,(M_DepotPrice!$A$10:$A$52=I1052)*(M_DepotPrice!$G$10:$G$52="Default"),0)))</f>
        <v>11780</v>
      </c>
      <c r="N1052" s="95">
        <f t="shared" si="33"/>
        <v>7135.3465619167064</v>
      </c>
      <c r="O1052" s="82" t="str">
        <f t="shared" si="32"/>
        <v>MOS100842|FG003|CK3-33387</v>
      </c>
    </row>
    <row r="1053" spans="1:15" ht="15" customHeight="1" x14ac:dyDescent="0.3">
      <c r="A1053" s="60" t="s">
        <v>1732</v>
      </c>
      <c r="B1053" s="60" t="s">
        <v>579</v>
      </c>
      <c r="C1053" s="62">
        <v>46179</v>
      </c>
      <c r="D1053" s="63" t="s">
        <v>350</v>
      </c>
      <c r="E1053" s="66" t="str">
        <f>IFERROR(INDEX(M_User!$A$12:$J$67,MATCH(D1053,M_User!$D$12:$D$67,0),3),"UNMAPPED")</f>
        <v>Samson Felix Ngowi</v>
      </c>
      <c r="F1053" s="65" t="str">
        <f>IFERROR(INDEX(M_User!$A$12:$J$67,MATCH(D1053,M_User!$D$12:$D$67,0),5),"UNMAPPED")</f>
        <v>MOS</v>
      </c>
      <c r="G1053" s="63" t="s">
        <v>840</v>
      </c>
      <c r="H1053" s="69" t="s">
        <v>841</v>
      </c>
      <c r="I1053" s="63" t="s">
        <v>185</v>
      </c>
      <c r="J1053" s="66" t="str">
        <f>IFERROR(INDEX(M_SKU!$A$18:$J$57,MATCH(I1053,M_SKU!$B$18:$B$57,0),1),"UNKNOWN SKU")</f>
        <v>Fanta Fruit Blast RGB 350 ml</v>
      </c>
      <c r="K1053" s="63" t="s">
        <v>534</v>
      </c>
      <c r="L1053" s="276">
        <v>0.60780000000000001</v>
      </c>
      <c r="M1053" s="91" cm="1">
        <f t="array" ref="M1053">IFERROR(INDEX(M_DepotPrice!$C$10:$C$52,MATCH(1,(M_DepotPrice!$A$10:$A$52=I1053)*(M_DepotPrice!$H$10:$H$52=IFERROR(INDEX(M_Depot!$A$7:$A$24,MATCH(F1053,M_Depot!$B$7:$B$24,0)),""))*(M_DepotPrice!$G$10:$G$52="Special"),0)),INDEX(M_DepotPrice!$C$10:$C$52,MATCH(1,(M_DepotPrice!$A$10:$A$52=I1053)*(M_DepotPrice!$G$10:$G$52="Default"),0)))</f>
        <v>11780</v>
      </c>
      <c r="N1053" s="67">
        <f t="shared" si="33"/>
        <v>8448.6631199999993</v>
      </c>
      <c r="O1053" s="66" t="str">
        <f t="shared" si="32"/>
        <v>MOS100842|FG005|CK3-33402</v>
      </c>
    </row>
    <row r="1054" spans="1:15" ht="15" customHeight="1" x14ac:dyDescent="0.3">
      <c r="A1054" s="70" t="s">
        <v>1733</v>
      </c>
      <c r="B1054" s="70" t="s">
        <v>589</v>
      </c>
      <c r="C1054" s="72">
        <v>46179</v>
      </c>
      <c r="D1054" s="73" t="s">
        <v>350</v>
      </c>
      <c r="E1054" s="76" t="str">
        <f>IFERROR(INDEX(M_User!$A$12:$J$67,MATCH(D1054,M_User!$D$12:$D$67,0),3),"UNMAPPED")</f>
        <v>Samson Felix Ngowi</v>
      </c>
      <c r="F1054" s="75" t="str">
        <f>IFERROR(INDEX(M_User!$A$12:$J$67,MATCH(D1054,M_User!$D$12:$D$67,0),5),"UNMAPPED")</f>
        <v>MOS</v>
      </c>
      <c r="G1054" s="73" t="s">
        <v>840</v>
      </c>
      <c r="H1054" s="92" t="s">
        <v>841</v>
      </c>
      <c r="I1054" s="73" t="s">
        <v>185</v>
      </c>
      <c r="J1054" s="76" t="str">
        <f>IFERROR(INDEX(M_SKU!$A$18:$J$57,MATCH(I1054,M_SKU!$B$18:$B$57,0),1),"UNKNOWN SKU")</f>
        <v>Fanta Fruit Blast RGB 350 ml</v>
      </c>
      <c r="K1054" s="73" t="s">
        <v>534</v>
      </c>
      <c r="L1054" s="276">
        <v>0.28949999999999998</v>
      </c>
      <c r="M1054" s="94" cm="1">
        <f t="array" ref="M1054">IFERROR(INDEX(M_DepotPrice!$C$10:$C$52,MATCH(1,(M_DepotPrice!$A$10:$A$52=I1054)*(M_DepotPrice!$H$10:$H$52=IFERROR(INDEX(M_Depot!$A$7:$A$24,MATCH(F1054,M_Depot!$B$7:$B$24,0)),""))*(M_DepotPrice!$G$10:$G$52="Special"),0)),INDEX(M_DepotPrice!$C$10:$C$52,MATCH(1,(M_DepotPrice!$A$10:$A$52=I1054)*(M_DepotPrice!$G$10:$G$52="Default"),0)))</f>
        <v>11780</v>
      </c>
      <c r="N1054" s="95">
        <f t="shared" si="33"/>
        <v>4024.1657999999998</v>
      </c>
      <c r="O1054" s="82" t="str">
        <f t="shared" si="32"/>
        <v>MOS100842|FG005|CK3-33402</v>
      </c>
    </row>
    <row r="1055" spans="1:15" ht="15" customHeight="1" x14ac:dyDescent="0.3">
      <c r="A1055" s="60" t="s">
        <v>1734</v>
      </c>
      <c r="B1055" s="60" t="s">
        <v>579</v>
      </c>
      <c r="C1055" s="62">
        <v>46179</v>
      </c>
      <c r="D1055" s="63" t="s">
        <v>350</v>
      </c>
      <c r="E1055" s="66" t="str">
        <f>IFERROR(INDEX(M_User!$A$12:$J$67,MATCH(D1055,M_User!$D$12:$D$67,0),3),"UNMAPPED")</f>
        <v>Samson Felix Ngowi</v>
      </c>
      <c r="F1055" s="65" t="str">
        <f>IFERROR(INDEX(M_User!$A$12:$J$67,MATCH(D1055,M_User!$D$12:$D$67,0),5),"UNMAPPED")</f>
        <v>MOS</v>
      </c>
      <c r="G1055" s="63" t="s">
        <v>840</v>
      </c>
      <c r="H1055" s="69" t="s">
        <v>841</v>
      </c>
      <c r="I1055" s="63" t="s">
        <v>187</v>
      </c>
      <c r="J1055" s="66" t="str">
        <f>IFERROR(INDEX(M_SKU!$A$18:$J$57,MATCH(I1055,M_SKU!$B$18:$B$57,0),1),"UNKNOWN SKU")</f>
        <v>Sprite 350ml</v>
      </c>
      <c r="K1055" s="63" t="s">
        <v>535</v>
      </c>
      <c r="L1055" s="276">
        <v>2.7326897830751502</v>
      </c>
      <c r="M1055" s="91" cm="1">
        <f t="array" ref="M1055">IFERROR(INDEX(M_DepotPrice!$C$10:$C$52,MATCH(1,(M_DepotPrice!$A$10:$A$52=I1055)*(M_DepotPrice!$H$10:$H$52=IFERROR(INDEX(M_Depot!$A$7:$A$24,MATCH(F1055,M_Depot!$B$7:$B$24,0)),""))*(M_DepotPrice!$G$10:$G$52="Special"),0)),INDEX(M_DepotPrice!$C$10:$C$52,MATCH(1,(M_DepotPrice!$A$10:$A$52=I1055)*(M_DepotPrice!$G$10:$G$52="Default"),0)))</f>
        <v>11780</v>
      </c>
      <c r="N1055" s="67">
        <f t="shared" si="33"/>
        <v>37985.481060657818</v>
      </c>
      <c r="O1055" s="66" t="str">
        <f t="shared" si="32"/>
        <v>MOS100842|FG006|CK3-33414</v>
      </c>
    </row>
    <row r="1056" spans="1:15" ht="15" customHeight="1" x14ac:dyDescent="0.3">
      <c r="A1056" s="70" t="s">
        <v>1735</v>
      </c>
      <c r="B1056" s="70" t="s">
        <v>589</v>
      </c>
      <c r="C1056" s="72">
        <v>46179</v>
      </c>
      <c r="D1056" s="73" t="s">
        <v>350</v>
      </c>
      <c r="E1056" s="76" t="str">
        <f>IFERROR(INDEX(M_User!$A$12:$J$67,MATCH(D1056,M_User!$D$12:$D$67,0),3),"UNMAPPED")</f>
        <v>Samson Felix Ngowi</v>
      </c>
      <c r="F1056" s="75" t="str">
        <f>IFERROR(INDEX(M_User!$A$12:$J$67,MATCH(D1056,M_User!$D$12:$D$67,0),5),"UNMAPPED")</f>
        <v>MOS</v>
      </c>
      <c r="G1056" s="73" t="s">
        <v>840</v>
      </c>
      <c r="H1056" s="92" t="s">
        <v>841</v>
      </c>
      <c r="I1056" s="73" t="s">
        <v>187</v>
      </c>
      <c r="J1056" s="76" t="str">
        <f>IFERROR(INDEX(M_SKU!$A$18:$J$57,MATCH(I1056,M_SKU!$B$18:$B$57,0),1),"UNKNOWN SKU")</f>
        <v>Sprite 350ml</v>
      </c>
      <c r="K1056" s="73" t="s">
        <v>535</v>
      </c>
      <c r="L1056" s="276">
        <v>0.53283286345582903</v>
      </c>
      <c r="M1056" s="94" cm="1">
        <f t="array" ref="M1056">IFERROR(INDEX(M_DepotPrice!$C$10:$C$52,MATCH(1,(M_DepotPrice!$A$10:$A$52=I1056)*(M_DepotPrice!$H$10:$H$52=IFERROR(INDEX(M_Depot!$A$7:$A$24,MATCH(F1056,M_Depot!$B$7:$B$24,0)),""))*(M_DepotPrice!$G$10:$G$52="Special"),0)),INDEX(M_DepotPrice!$C$10:$C$52,MATCH(1,(M_DepotPrice!$A$10:$A$52=I1056)*(M_DepotPrice!$G$10:$G$52="Default"),0)))</f>
        <v>11780</v>
      </c>
      <c r="N1056" s="95">
        <f t="shared" si="33"/>
        <v>7406.5899351814051</v>
      </c>
      <c r="O1056" s="82" t="str">
        <f t="shared" si="32"/>
        <v>MOS100842|FG006|CK3-33414</v>
      </c>
    </row>
    <row r="1057" spans="1:15" ht="15" customHeight="1" x14ac:dyDescent="0.3">
      <c r="A1057" s="60" t="s">
        <v>1736</v>
      </c>
      <c r="B1057" s="60" t="s">
        <v>589</v>
      </c>
      <c r="C1057" s="62">
        <v>46179</v>
      </c>
      <c r="D1057" s="63" t="s">
        <v>350</v>
      </c>
      <c r="E1057" s="66" t="str">
        <f>IFERROR(INDEX(M_User!$A$12:$J$67,MATCH(D1057,M_User!$D$12:$D$67,0),3),"UNMAPPED")</f>
        <v>Samson Felix Ngowi</v>
      </c>
      <c r="F1057" s="65" t="str">
        <f>IFERROR(INDEX(M_User!$A$12:$J$67,MATCH(D1057,M_User!$D$12:$D$67,0),5),"UNMAPPED")</f>
        <v>MOS</v>
      </c>
      <c r="G1057" s="63" t="s">
        <v>840</v>
      </c>
      <c r="H1057" s="69" t="s">
        <v>841</v>
      </c>
      <c r="I1057" s="63" t="s">
        <v>190</v>
      </c>
      <c r="J1057" s="66" t="str">
        <f>IFERROR(INDEX(M_SKU!$A$18:$J$57,MATCH(I1057,M_SKU!$B$18:$B$57,0),1),"UNKNOWN SKU")</f>
        <v>Stoney Tangawizi RGB 350ml</v>
      </c>
      <c r="K1057" s="63" t="s">
        <v>536</v>
      </c>
      <c r="L1057" s="276">
        <v>0.18614994872537499</v>
      </c>
      <c r="M1057" s="91" cm="1">
        <f t="array" ref="M1057">IFERROR(INDEX(M_DepotPrice!$C$10:$C$52,MATCH(1,(M_DepotPrice!$A$10:$A$52=I1057)*(M_DepotPrice!$H$10:$H$52=IFERROR(INDEX(M_Depot!$A$7:$A$24,MATCH(F1057,M_Depot!$B$7:$B$24,0)),""))*(M_DepotPrice!$G$10:$G$52="Special"),0)),INDEX(M_DepotPrice!$C$10:$C$52,MATCH(1,(M_DepotPrice!$A$10:$A$52=I1057)*(M_DepotPrice!$G$10:$G$52="Default"),0)))</f>
        <v>11780</v>
      </c>
      <c r="N1057" s="67">
        <f t="shared" si="33"/>
        <v>2587.5587472622024</v>
      </c>
      <c r="O1057" s="66" t="str">
        <f t="shared" si="32"/>
        <v>MOS100842|FG007|CK3-33404</v>
      </c>
    </row>
    <row r="1058" spans="1:15" ht="15" customHeight="1" x14ac:dyDescent="0.3">
      <c r="A1058" s="70" t="s">
        <v>1737</v>
      </c>
      <c r="B1058" s="70" t="s">
        <v>589</v>
      </c>
      <c r="C1058" s="72">
        <v>46179</v>
      </c>
      <c r="D1058" s="73" t="s">
        <v>350</v>
      </c>
      <c r="E1058" s="76" t="str">
        <f>IFERROR(INDEX(M_User!$A$12:$J$67,MATCH(D1058,M_User!$D$12:$D$67,0),3),"UNMAPPED")</f>
        <v>Samson Felix Ngowi</v>
      </c>
      <c r="F1058" s="75" t="str">
        <f>IFERROR(INDEX(M_User!$A$12:$J$67,MATCH(D1058,M_User!$D$12:$D$67,0),5),"UNMAPPED")</f>
        <v>MOS</v>
      </c>
      <c r="G1058" s="73" t="s">
        <v>840</v>
      </c>
      <c r="H1058" s="92" t="s">
        <v>841</v>
      </c>
      <c r="I1058" s="73" t="s">
        <v>193</v>
      </c>
      <c r="J1058" s="76" t="str">
        <f>IFERROR(INDEX(M_SKU!$A$18:$J$57,MATCH(I1058,M_SKU!$B$18:$B$57,0),1),"UNKNOWN SKU")</f>
        <v>Sparletta Pinenut RGB 350ml</v>
      </c>
      <c r="K1058" s="73" t="s">
        <v>591</v>
      </c>
      <c r="L1058" s="276">
        <v>0.17754389982558799</v>
      </c>
      <c r="M1058" s="94" cm="1">
        <f t="array" ref="M1058">IFERROR(INDEX(M_DepotPrice!$C$10:$C$52,MATCH(1,(M_DepotPrice!$A$10:$A$52=I1058)*(M_DepotPrice!$H$10:$H$52=IFERROR(INDEX(M_Depot!$A$7:$A$24,MATCH(F1058,M_Depot!$B$7:$B$24,0)),""))*(M_DepotPrice!$G$10:$G$52="Special"),0)),INDEX(M_DepotPrice!$C$10:$C$52,MATCH(1,(M_DepotPrice!$A$10:$A$52=I1058)*(M_DepotPrice!$G$10:$G$52="Default"),0)))</f>
        <v>11780</v>
      </c>
      <c r="N1058" s="95">
        <f t="shared" si="33"/>
        <v>2467.9312251356032</v>
      </c>
      <c r="O1058" s="82" t="str">
        <f t="shared" si="32"/>
        <v>MOS100842|FG008|CK3-33261</v>
      </c>
    </row>
    <row r="1059" spans="1:15" ht="15" customHeight="1" x14ac:dyDescent="0.3">
      <c r="A1059" s="60" t="s">
        <v>1738</v>
      </c>
      <c r="B1059" s="60" t="s">
        <v>579</v>
      </c>
      <c r="C1059" s="62">
        <v>46179</v>
      </c>
      <c r="D1059" s="63" t="s">
        <v>350</v>
      </c>
      <c r="E1059" s="66" t="str">
        <f>IFERROR(INDEX(M_User!$A$12:$J$67,MATCH(D1059,M_User!$D$12:$D$67,0),3),"UNMAPPED")</f>
        <v>Samson Felix Ngowi</v>
      </c>
      <c r="F1059" s="65" t="str">
        <f>IFERROR(INDEX(M_User!$A$12:$J$67,MATCH(D1059,M_User!$D$12:$D$67,0),5),"UNMAPPED")</f>
        <v>MOS</v>
      </c>
      <c r="G1059" s="63" t="s">
        <v>840</v>
      </c>
      <c r="H1059" s="69" t="s">
        <v>841</v>
      </c>
      <c r="I1059" s="63" t="s">
        <v>193</v>
      </c>
      <c r="J1059" s="66" t="str">
        <f>IFERROR(INDEX(M_SKU!$A$18:$J$57,MATCH(I1059,M_SKU!$B$18:$B$57,0),1),"UNKNOWN SKU")</f>
        <v>Sparletta Pinenut RGB 350ml</v>
      </c>
      <c r="K1059" s="63" t="s">
        <v>580</v>
      </c>
      <c r="L1059" s="276">
        <v>0.79330000000000001</v>
      </c>
      <c r="M1059" s="91" cm="1">
        <f t="array" ref="M1059">IFERROR(INDEX(M_DepotPrice!$C$10:$C$52,MATCH(1,(M_DepotPrice!$A$10:$A$52=I1059)*(M_DepotPrice!$H$10:$H$52=IFERROR(INDEX(M_Depot!$A$7:$A$24,MATCH(F1059,M_Depot!$B$7:$B$24,0)),""))*(M_DepotPrice!$G$10:$G$52="Special"),0)),INDEX(M_DepotPrice!$C$10:$C$52,MATCH(1,(M_DepotPrice!$A$10:$A$52=I1059)*(M_DepotPrice!$G$10:$G$52="Default"),0)))</f>
        <v>11780</v>
      </c>
      <c r="N1059" s="67">
        <f t="shared" si="33"/>
        <v>11027.187320000001</v>
      </c>
      <c r="O1059" s="66" t="str">
        <f t="shared" si="32"/>
        <v>MOS100842|FG008|CK3-33367</v>
      </c>
    </row>
    <row r="1060" spans="1:15" ht="15" customHeight="1" x14ac:dyDescent="0.3">
      <c r="A1060" s="70" t="s">
        <v>1739</v>
      </c>
      <c r="B1060" s="70" t="s">
        <v>579</v>
      </c>
      <c r="C1060" s="72">
        <v>46179</v>
      </c>
      <c r="D1060" s="73" t="s">
        <v>350</v>
      </c>
      <c r="E1060" s="76" t="str">
        <f>IFERROR(INDEX(M_User!$A$12:$J$67,MATCH(D1060,M_User!$D$12:$D$67,0),3),"UNMAPPED")</f>
        <v>Samson Felix Ngowi</v>
      </c>
      <c r="F1060" s="75" t="str">
        <f>IFERROR(INDEX(M_User!$A$12:$J$67,MATCH(D1060,M_User!$D$12:$D$67,0),5),"UNMAPPED")</f>
        <v>MOS</v>
      </c>
      <c r="G1060" s="73" t="s">
        <v>840</v>
      </c>
      <c r="H1060" s="92" t="s">
        <v>841</v>
      </c>
      <c r="I1060" s="73" t="s">
        <v>196</v>
      </c>
      <c r="J1060" s="76" t="str">
        <f>IFERROR(INDEX(M_SKU!$A$18:$J$57,MATCH(I1060,M_SKU!$B$18:$B$57,0),1),"UNKNOWN SKU")</f>
        <v>Krest Bitter Lemon RGB 300ml</v>
      </c>
      <c r="K1060" s="73" t="s">
        <v>538</v>
      </c>
      <c r="L1060" s="276">
        <v>0.80382683134199495</v>
      </c>
      <c r="M1060" s="94" cm="1">
        <f t="array" ref="M1060">IFERROR(INDEX(M_DepotPrice!$C$10:$C$52,MATCH(1,(M_DepotPrice!$A$10:$A$52=I1060)*(M_DepotPrice!$H$10:$H$52=IFERROR(INDEX(M_Depot!$A$7:$A$24,MATCH(F1060,M_Depot!$B$7:$B$24,0)),""))*(M_DepotPrice!$G$10:$G$52="Special"),0)),INDEX(M_DepotPrice!$C$10:$C$52,MATCH(1,(M_DepotPrice!$A$10:$A$52=I1060)*(M_DepotPrice!$G$10:$G$52="Default"),0)))</f>
        <v>11780</v>
      </c>
      <c r="N1060" s="95">
        <f t="shared" si="33"/>
        <v>11173.514486386266</v>
      </c>
      <c r="O1060" s="82" t="str">
        <f t="shared" si="32"/>
        <v>MOS100842|FG009|CK3-33348</v>
      </c>
    </row>
    <row r="1061" spans="1:15" ht="15" customHeight="1" x14ac:dyDescent="0.3">
      <c r="A1061" s="60" t="s">
        <v>1740</v>
      </c>
      <c r="B1061" s="60" t="s">
        <v>589</v>
      </c>
      <c r="C1061" s="62">
        <v>46179</v>
      </c>
      <c r="D1061" s="63" t="s">
        <v>350</v>
      </c>
      <c r="E1061" s="66" t="str">
        <f>IFERROR(INDEX(M_User!$A$12:$J$67,MATCH(D1061,M_User!$D$12:$D$67,0),3),"UNMAPPED")</f>
        <v>Samson Felix Ngowi</v>
      </c>
      <c r="F1061" s="65" t="str">
        <f>IFERROR(INDEX(M_User!$A$12:$J$67,MATCH(D1061,M_User!$D$12:$D$67,0),5),"UNMAPPED")</f>
        <v>MOS</v>
      </c>
      <c r="G1061" s="63" t="s">
        <v>840</v>
      </c>
      <c r="H1061" s="69" t="s">
        <v>841</v>
      </c>
      <c r="I1061" s="63" t="s">
        <v>196</v>
      </c>
      <c r="J1061" s="66" t="str">
        <f>IFERROR(INDEX(M_SKU!$A$18:$J$57,MATCH(I1061,M_SKU!$B$18:$B$57,0),1),"UNKNOWN SKU")</f>
        <v>Krest Bitter Lemon RGB 300ml</v>
      </c>
      <c r="K1061" s="63" t="s">
        <v>538</v>
      </c>
      <c r="L1061" s="276">
        <v>0.44900000000000001</v>
      </c>
      <c r="M1061" s="91" cm="1">
        <f t="array" ref="M1061">IFERROR(INDEX(M_DepotPrice!$C$10:$C$52,MATCH(1,(M_DepotPrice!$A$10:$A$52=I1061)*(M_DepotPrice!$H$10:$H$52=IFERROR(INDEX(M_Depot!$A$7:$A$24,MATCH(F1061,M_Depot!$B$7:$B$24,0)),""))*(M_DepotPrice!$G$10:$G$52="Special"),0)),INDEX(M_DepotPrice!$C$10:$C$52,MATCH(1,(M_DepotPrice!$A$10:$A$52=I1061)*(M_DepotPrice!$G$10:$G$52="Default"),0)))</f>
        <v>11780</v>
      </c>
      <c r="N1061" s="67">
        <f t="shared" si="33"/>
        <v>6241.2795999999998</v>
      </c>
      <c r="O1061" s="66" t="str">
        <f t="shared" si="32"/>
        <v>MOS100842|FG009|CK3-33348</v>
      </c>
    </row>
    <row r="1062" spans="1:15" ht="15" customHeight="1" x14ac:dyDescent="0.3">
      <c r="A1062" s="70" t="s">
        <v>1741</v>
      </c>
      <c r="B1062" s="70" t="s">
        <v>589</v>
      </c>
      <c r="C1062" s="72">
        <v>46179</v>
      </c>
      <c r="D1062" s="73" t="s">
        <v>350</v>
      </c>
      <c r="E1062" s="76" t="str">
        <f>IFERROR(INDEX(M_User!$A$12:$J$67,MATCH(D1062,M_User!$D$12:$D$67,0),3),"UNMAPPED")</f>
        <v>Samson Felix Ngowi</v>
      </c>
      <c r="F1062" s="75" t="str">
        <f>IFERROR(INDEX(M_User!$A$12:$J$67,MATCH(D1062,M_User!$D$12:$D$67,0),5),"UNMAPPED")</f>
        <v>MOS</v>
      </c>
      <c r="G1062" s="73" t="s">
        <v>840</v>
      </c>
      <c r="H1062" s="92" t="s">
        <v>841</v>
      </c>
      <c r="I1062" s="73" t="s">
        <v>199</v>
      </c>
      <c r="J1062" s="76" t="str">
        <f>IFERROR(INDEX(M_SKU!$A$18:$J$57,MATCH(I1062,M_SKU!$B$18:$B$57,0),1),"UNKNOWN SKU")</f>
        <v>Krest Club Soda RGB 300ml</v>
      </c>
      <c r="K1062" s="73" t="s">
        <v>592</v>
      </c>
      <c r="L1062" s="276">
        <v>0.31169999999999998</v>
      </c>
      <c r="M1062" s="94" cm="1">
        <f t="array" ref="M1062">IFERROR(INDEX(M_DepotPrice!$C$10:$C$52,MATCH(1,(M_DepotPrice!$A$10:$A$52=I1062)*(M_DepotPrice!$H$10:$H$52=IFERROR(INDEX(M_Depot!$A$7:$A$24,MATCH(F1062,M_Depot!$B$7:$B$24,0)),""))*(M_DepotPrice!$G$10:$G$52="Special"),0)),INDEX(M_DepotPrice!$C$10:$C$52,MATCH(1,(M_DepotPrice!$A$10:$A$52=I1062)*(M_DepotPrice!$G$10:$G$52="Default"),0)))</f>
        <v>11780</v>
      </c>
      <c r="N1062" s="95">
        <f t="shared" si="33"/>
        <v>4332.7546799999991</v>
      </c>
      <c r="O1062" s="82" t="str">
        <f t="shared" si="32"/>
        <v>MOS100842|FG010|CK3-33070</v>
      </c>
    </row>
    <row r="1063" spans="1:15" ht="15" customHeight="1" x14ac:dyDescent="0.3">
      <c r="A1063" s="60" t="s">
        <v>1742</v>
      </c>
      <c r="B1063" s="60" t="s">
        <v>579</v>
      </c>
      <c r="C1063" s="62">
        <v>46179</v>
      </c>
      <c r="D1063" s="63" t="s">
        <v>350</v>
      </c>
      <c r="E1063" s="66" t="str">
        <f>IFERROR(INDEX(M_User!$A$12:$J$67,MATCH(D1063,M_User!$D$12:$D$67,0),3),"UNMAPPED")</f>
        <v>Samson Felix Ngowi</v>
      </c>
      <c r="F1063" s="65" t="str">
        <f>IFERROR(INDEX(M_User!$A$12:$J$67,MATCH(D1063,M_User!$D$12:$D$67,0),5),"UNMAPPED")</f>
        <v>MOS</v>
      </c>
      <c r="G1063" s="63" t="s">
        <v>840</v>
      </c>
      <c r="H1063" s="69" t="s">
        <v>841</v>
      </c>
      <c r="I1063" s="63" t="s">
        <v>199</v>
      </c>
      <c r="J1063" s="66" t="str">
        <f>IFERROR(INDEX(M_SKU!$A$18:$J$57,MATCH(I1063,M_SKU!$B$18:$B$57,0),1),"UNKNOWN SKU")</f>
        <v>Krest Club Soda RGB 300ml</v>
      </c>
      <c r="K1063" s="63" t="s">
        <v>539</v>
      </c>
      <c r="L1063" s="276">
        <v>0.33639999999999998</v>
      </c>
      <c r="M1063" s="91" cm="1">
        <f t="array" ref="M1063">IFERROR(INDEX(M_DepotPrice!$C$10:$C$52,MATCH(1,(M_DepotPrice!$A$10:$A$52=I1063)*(M_DepotPrice!$H$10:$H$52=IFERROR(INDEX(M_Depot!$A$7:$A$24,MATCH(F1063,M_Depot!$B$7:$B$24,0)),""))*(M_DepotPrice!$G$10:$G$52="Special"),0)),INDEX(M_DepotPrice!$C$10:$C$52,MATCH(1,(M_DepotPrice!$A$10:$A$52=I1063)*(M_DepotPrice!$G$10:$G$52="Default"),0)))</f>
        <v>11780</v>
      </c>
      <c r="N1063" s="67">
        <f t="shared" si="33"/>
        <v>4676.0945599999995</v>
      </c>
      <c r="O1063" s="66" t="str">
        <f t="shared" si="32"/>
        <v>MOS100842|FG010|CK3-33301</v>
      </c>
    </row>
    <row r="1064" spans="1:15" ht="15" customHeight="1" x14ac:dyDescent="0.3">
      <c r="A1064" s="70" t="s">
        <v>1743</v>
      </c>
      <c r="B1064" s="70" t="s">
        <v>579</v>
      </c>
      <c r="C1064" s="72">
        <v>46179</v>
      </c>
      <c r="D1064" s="73" t="s">
        <v>350</v>
      </c>
      <c r="E1064" s="76" t="str">
        <f>IFERROR(INDEX(M_User!$A$12:$J$67,MATCH(D1064,M_User!$D$12:$D$67,0),3),"UNMAPPED")</f>
        <v>Samson Felix Ngowi</v>
      </c>
      <c r="F1064" s="75" t="str">
        <f>IFERROR(INDEX(M_User!$A$12:$J$67,MATCH(D1064,M_User!$D$12:$D$67,0),5),"UNMAPPED")</f>
        <v>MOS</v>
      </c>
      <c r="G1064" s="73" t="s">
        <v>840</v>
      </c>
      <c r="H1064" s="92" t="s">
        <v>841</v>
      </c>
      <c r="I1064" s="73" t="s">
        <v>201</v>
      </c>
      <c r="J1064" s="76" t="str">
        <f>IFERROR(INDEX(M_SKU!$A$18:$J$57,MATCH(I1064,M_SKU!$B$18:$B$57,0),1),"UNKNOWN SKU")</f>
        <v>Krest Tonic Water RGB 300ml</v>
      </c>
      <c r="K1064" s="73" t="s">
        <v>540</v>
      </c>
      <c r="L1064" s="276">
        <v>0.71037821024083303</v>
      </c>
      <c r="M1064" s="94" cm="1">
        <f t="array" ref="M1064">IFERROR(INDEX(M_DepotPrice!$C$10:$C$52,MATCH(1,(M_DepotPrice!$A$10:$A$52=I1064)*(M_DepotPrice!$H$10:$H$52=IFERROR(INDEX(M_Depot!$A$7:$A$24,MATCH(F1064,M_Depot!$B$7:$B$24,0)),""))*(M_DepotPrice!$G$10:$G$52="Special"),0)),INDEX(M_DepotPrice!$C$10:$C$52,MATCH(1,(M_DepotPrice!$A$10:$A$52=I1064)*(M_DepotPrice!$G$10:$G$52="Default"),0)))</f>
        <v>11780</v>
      </c>
      <c r="N1064" s="95">
        <f t="shared" si="33"/>
        <v>9874.5412736316739</v>
      </c>
      <c r="O1064" s="82" t="str">
        <f t="shared" si="32"/>
        <v>MOS100842|FG011|CK3-33347</v>
      </c>
    </row>
    <row r="1065" spans="1:15" ht="15" customHeight="1" x14ac:dyDescent="0.3">
      <c r="A1065" s="60" t="s">
        <v>1744</v>
      </c>
      <c r="B1065" s="60" t="s">
        <v>589</v>
      </c>
      <c r="C1065" s="62">
        <v>46179</v>
      </c>
      <c r="D1065" s="63" t="s">
        <v>350</v>
      </c>
      <c r="E1065" s="66" t="str">
        <f>IFERROR(INDEX(M_User!$A$12:$J$67,MATCH(D1065,M_User!$D$12:$D$67,0),3),"UNMAPPED")</f>
        <v>Samson Felix Ngowi</v>
      </c>
      <c r="F1065" s="65" t="str">
        <f>IFERROR(INDEX(M_User!$A$12:$J$67,MATCH(D1065,M_User!$D$12:$D$67,0),5),"UNMAPPED")</f>
        <v>MOS</v>
      </c>
      <c r="G1065" s="63" t="s">
        <v>840</v>
      </c>
      <c r="H1065" s="69" t="s">
        <v>841</v>
      </c>
      <c r="I1065" s="63" t="s">
        <v>201</v>
      </c>
      <c r="J1065" s="66" t="str">
        <f>IFERROR(INDEX(M_SKU!$A$18:$J$57,MATCH(I1065,M_SKU!$B$18:$B$57,0),1),"UNKNOWN SKU")</f>
        <v>Krest Tonic Water RGB 300ml</v>
      </c>
      <c r="K1065" s="63" t="s">
        <v>540</v>
      </c>
      <c r="L1065" s="276">
        <v>0.35289999999999999</v>
      </c>
      <c r="M1065" s="91" cm="1">
        <f t="array" ref="M1065">IFERROR(INDEX(M_DepotPrice!$C$10:$C$52,MATCH(1,(M_DepotPrice!$A$10:$A$52=I1065)*(M_DepotPrice!$H$10:$H$52=IFERROR(INDEX(M_Depot!$A$7:$A$24,MATCH(F1065,M_Depot!$B$7:$B$24,0)),""))*(M_DepotPrice!$G$10:$G$52="Special"),0)),INDEX(M_DepotPrice!$C$10:$C$52,MATCH(1,(M_DepotPrice!$A$10:$A$52=I1065)*(M_DepotPrice!$G$10:$G$52="Default"),0)))</f>
        <v>11780</v>
      </c>
      <c r="N1065" s="67">
        <f t="shared" si="33"/>
        <v>4905.4511599999996</v>
      </c>
      <c r="O1065" s="66" t="str">
        <f t="shared" si="32"/>
        <v>MOS100842|FG011|CK3-33347</v>
      </c>
    </row>
    <row r="1066" spans="1:15" ht="15" customHeight="1" x14ac:dyDescent="0.3">
      <c r="A1066" s="70" t="s">
        <v>1745</v>
      </c>
      <c r="B1066" s="70" t="s">
        <v>589</v>
      </c>
      <c r="C1066" s="72">
        <v>46179</v>
      </c>
      <c r="D1066" s="73" t="s">
        <v>350</v>
      </c>
      <c r="E1066" s="76" t="str">
        <f>IFERROR(INDEX(M_User!$A$12:$J$67,MATCH(D1066,M_User!$D$12:$D$67,0),3),"UNMAPPED")</f>
        <v>Samson Felix Ngowi</v>
      </c>
      <c r="F1066" s="75" t="str">
        <f>IFERROR(INDEX(M_User!$A$12:$J$67,MATCH(D1066,M_User!$D$12:$D$67,0),5),"UNMAPPED")</f>
        <v>MOS</v>
      </c>
      <c r="G1066" s="73" t="s">
        <v>840</v>
      </c>
      <c r="H1066" s="92" t="s">
        <v>841</v>
      </c>
      <c r="I1066" s="73" t="s">
        <v>203</v>
      </c>
      <c r="J1066" s="76" t="str">
        <f>IFERROR(INDEX(M_SKU!$A$18:$J$57,MATCH(I1066,M_SKU!$B$18:$B$57,0),1),"UNKNOWN SKU")</f>
        <v>Krest Ginger Ale RGB 300ml</v>
      </c>
      <c r="K1066" s="73" t="s">
        <v>541</v>
      </c>
      <c r="L1066" s="276">
        <v>0.1326</v>
      </c>
      <c r="M1066" s="94" cm="1">
        <f t="array" ref="M1066">IFERROR(INDEX(M_DepotPrice!$C$10:$C$52,MATCH(1,(M_DepotPrice!$A$10:$A$52=I1066)*(M_DepotPrice!$H$10:$H$52=IFERROR(INDEX(M_Depot!$A$7:$A$24,MATCH(F1066,M_Depot!$B$7:$B$24,0)),""))*(M_DepotPrice!$G$10:$G$52="Special"),0)),INDEX(M_DepotPrice!$C$10:$C$52,MATCH(1,(M_DepotPrice!$A$10:$A$52=I1066)*(M_DepotPrice!$G$10:$G$52="Default"),0)))</f>
        <v>11780</v>
      </c>
      <c r="N1066" s="95">
        <f t="shared" si="33"/>
        <v>1843.1930399999999</v>
      </c>
      <c r="O1066" s="82" t="str">
        <f t="shared" si="32"/>
        <v>MOS100842|FG012|CK3-33126</v>
      </c>
    </row>
    <row r="1067" spans="1:15" ht="15" customHeight="1" x14ac:dyDescent="0.3">
      <c r="A1067" s="60" t="s">
        <v>1746</v>
      </c>
      <c r="B1067" s="60" t="s">
        <v>579</v>
      </c>
      <c r="C1067" s="62">
        <v>46179</v>
      </c>
      <c r="D1067" s="63" t="s">
        <v>350</v>
      </c>
      <c r="E1067" s="66" t="str">
        <f>IFERROR(INDEX(M_User!$A$12:$J$67,MATCH(D1067,M_User!$D$12:$D$67,0),3),"UNMAPPED")</f>
        <v>Samson Felix Ngowi</v>
      </c>
      <c r="F1067" s="65" t="str">
        <f>IFERROR(INDEX(M_User!$A$12:$J$67,MATCH(D1067,M_User!$D$12:$D$67,0),5),"UNMAPPED")</f>
        <v>MOS</v>
      </c>
      <c r="G1067" s="63" t="s">
        <v>840</v>
      </c>
      <c r="H1067" s="69" t="s">
        <v>841</v>
      </c>
      <c r="I1067" s="63" t="s">
        <v>203</v>
      </c>
      <c r="J1067" s="66" t="str">
        <f>IFERROR(INDEX(M_SKU!$A$18:$J$57,MATCH(I1067,M_SKU!$B$18:$B$57,0),1),"UNKNOWN SKU")</f>
        <v>Krest Ginger Ale RGB 300ml</v>
      </c>
      <c r="K1067" s="63" t="s">
        <v>541</v>
      </c>
      <c r="L1067" s="276">
        <v>0.86580000000000001</v>
      </c>
      <c r="M1067" s="91" cm="1">
        <f t="array" ref="M1067">IFERROR(INDEX(M_DepotPrice!$C$10:$C$52,MATCH(1,(M_DepotPrice!$A$10:$A$52=I1067)*(M_DepotPrice!$H$10:$H$52=IFERROR(INDEX(M_Depot!$A$7:$A$24,MATCH(F1067,M_Depot!$B$7:$B$24,0)),""))*(M_DepotPrice!$G$10:$G$52="Special"),0)),INDEX(M_DepotPrice!$C$10:$C$52,MATCH(1,(M_DepotPrice!$A$10:$A$52=I1067)*(M_DepotPrice!$G$10:$G$52="Default"),0)))</f>
        <v>11780</v>
      </c>
      <c r="N1067" s="67">
        <f t="shared" si="33"/>
        <v>12034.96632</v>
      </c>
      <c r="O1067" s="66" t="str">
        <f t="shared" si="32"/>
        <v>MOS100842|FG012|CK3-33126</v>
      </c>
    </row>
    <row r="1068" spans="1:15" ht="15" customHeight="1" x14ac:dyDescent="0.3">
      <c r="A1068" s="70" t="s">
        <v>1747</v>
      </c>
      <c r="B1068" s="70" t="s">
        <v>579</v>
      </c>
      <c r="C1068" s="72">
        <v>46179</v>
      </c>
      <c r="D1068" s="73" t="s">
        <v>350</v>
      </c>
      <c r="E1068" s="76" t="str">
        <f>IFERROR(INDEX(M_User!$A$12:$J$67,MATCH(D1068,M_User!$D$12:$D$67,0),3),"UNMAPPED")</f>
        <v>Samson Felix Ngowi</v>
      </c>
      <c r="F1068" s="75" t="str">
        <f>IFERROR(INDEX(M_User!$A$12:$J$67,MATCH(D1068,M_User!$D$12:$D$67,0),5),"UNMAPPED")</f>
        <v>MOS</v>
      </c>
      <c r="G1068" s="73" t="s">
        <v>840</v>
      </c>
      <c r="H1068" s="92" t="s">
        <v>841</v>
      </c>
      <c r="I1068" s="73" t="s">
        <v>209</v>
      </c>
      <c r="J1068" s="76" t="str">
        <f>IFERROR(INDEX(M_SKU!$A$18:$J$57,MATCH(I1068,M_SKU!$B$18:$B$57,0),1),"UNKNOWN SKU")</f>
        <v>Sparletta Red Apple RGB 350ml</v>
      </c>
      <c r="K1068" s="73" t="s">
        <v>542</v>
      </c>
      <c r="L1068" s="276">
        <v>0.78220000000000001</v>
      </c>
      <c r="M1068" s="94" cm="1">
        <f t="array" ref="M1068">IFERROR(INDEX(M_DepotPrice!$C$10:$C$52,MATCH(1,(M_DepotPrice!$A$10:$A$52=I1068)*(M_DepotPrice!$H$10:$H$52=IFERROR(INDEX(M_Depot!$A$7:$A$24,MATCH(F1068,M_Depot!$B$7:$B$24,0)),""))*(M_DepotPrice!$G$10:$G$52="Special"),0)),INDEX(M_DepotPrice!$C$10:$C$52,MATCH(1,(M_DepotPrice!$A$10:$A$52=I1068)*(M_DepotPrice!$G$10:$G$52="Default"),0)))</f>
        <v>11780</v>
      </c>
      <c r="N1068" s="95">
        <f t="shared" si="33"/>
        <v>10872.892879999999</v>
      </c>
      <c r="O1068" s="82" t="str">
        <f t="shared" si="32"/>
        <v>MOS100842|FG024|CK3-32758</v>
      </c>
    </row>
    <row r="1069" spans="1:15" ht="15" customHeight="1" x14ac:dyDescent="0.3">
      <c r="A1069" s="60" t="s">
        <v>1748</v>
      </c>
      <c r="B1069" s="60" t="s">
        <v>589</v>
      </c>
      <c r="C1069" s="62">
        <v>46179</v>
      </c>
      <c r="D1069" s="63" t="s">
        <v>350</v>
      </c>
      <c r="E1069" s="66" t="str">
        <f>IFERROR(INDEX(M_User!$A$12:$J$67,MATCH(D1069,M_User!$D$12:$D$67,0),3),"UNMAPPED")</f>
        <v>Samson Felix Ngowi</v>
      </c>
      <c r="F1069" s="65" t="str">
        <f>IFERROR(INDEX(M_User!$A$12:$J$67,MATCH(D1069,M_User!$D$12:$D$67,0),5),"UNMAPPED")</f>
        <v>MOS</v>
      </c>
      <c r="G1069" s="63" t="s">
        <v>840</v>
      </c>
      <c r="H1069" s="69" t="s">
        <v>841</v>
      </c>
      <c r="I1069" s="63" t="s">
        <v>211</v>
      </c>
      <c r="J1069" s="66" t="str">
        <f>IFERROR(INDEX(M_SKU!$A$18:$J$57,MATCH(I1069,M_SKU!$B$18:$B$57,0),1),"UNKNOWN SKU")</f>
        <v>KNMW 500ml</v>
      </c>
      <c r="K1069" s="63" t="s">
        <v>593</v>
      </c>
      <c r="L1069" s="276">
        <v>15</v>
      </c>
      <c r="M1069" s="91" cm="1">
        <f t="array" ref="M1069">IFERROR(INDEX(M_DepotPrice!$C$10:$C$52,MATCH(1,(M_DepotPrice!$A$10:$A$52=I1069)*(M_DepotPrice!$H$10:$H$52=IFERROR(INDEX(M_Depot!$A$7:$A$24,MATCH(F1069,M_Depot!$B$7:$B$24,0)),""))*(M_DepotPrice!$G$10:$G$52="Special"),0)),INDEX(M_DepotPrice!$C$10:$C$52,MATCH(1,(M_DepotPrice!$A$10:$A$52=I1069)*(M_DepotPrice!$G$10:$G$52="Default"),0)))</f>
        <v>3559</v>
      </c>
      <c r="N1069" s="67">
        <f t="shared" si="33"/>
        <v>62994.299999999996</v>
      </c>
      <c r="O1069" s="66" t="str">
        <f t="shared" si="32"/>
        <v>MOS100842|KD001|CK6-984</v>
      </c>
    </row>
    <row r="1070" spans="1:15" ht="15" customHeight="1" x14ac:dyDescent="0.3">
      <c r="A1070" s="70" t="s">
        <v>1749</v>
      </c>
      <c r="B1070" s="70" t="s">
        <v>579</v>
      </c>
      <c r="C1070" s="72">
        <v>46179</v>
      </c>
      <c r="D1070" s="73" t="s">
        <v>350</v>
      </c>
      <c r="E1070" s="76" t="str">
        <f>IFERROR(INDEX(M_User!$A$12:$J$67,MATCH(D1070,M_User!$D$12:$D$67,0),3),"UNMAPPED")</f>
        <v>Samson Felix Ngowi</v>
      </c>
      <c r="F1070" s="75" t="str">
        <f>IFERROR(INDEX(M_User!$A$12:$J$67,MATCH(D1070,M_User!$D$12:$D$67,0),5),"UNMAPPED")</f>
        <v>MOS</v>
      </c>
      <c r="G1070" s="73" t="s">
        <v>840</v>
      </c>
      <c r="H1070" s="92" t="s">
        <v>841</v>
      </c>
      <c r="I1070" s="73" t="s">
        <v>211</v>
      </c>
      <c r="J1070" s="76" t="str">
        <f>IFERROR(INDEX(M_SKU!$A$18:$J$57,MATCH(I1070,M_SKU!$B$18:$B$57,0),1),"UNKNOWN SKU")</f>
        <v>KNMW 500ml</v>
      </c>
      <c r="K1070" s="73" t="s">
        <v>543</v>
      </c>
      <c r="L1070" s="276">
        <v>22</v>
      </c>
      <c r="M1070" s="94" cm="1">
        <f t="array" ref="M1070">IFERROR(INDEX(M_DepotPrice!$C$10:$C$52,MATCH(1,(M_DepotPrice!$A$10:$A$52=I1070)*(M_DepotPrice!$H$10:$H$52=IFERROR(INDEX(M_Depot!$A$7:$A$24,MATCH(F1070,M_Depot!$B$7:$B$24,0)),""))*(M_DepotPrice!$G$10:$G$52="Special"),0)),INDEX(M_DepotPrice!$C$10:$C$52,MATCH(1,(M_DepotPrice!$A$10:$A$52=I1070)*(M_DepotPrice!$G$10:$G$52="Default"),0)))</f>
        <v>3559</v>
      </c>
      <c r="N1070" s="95">
        <f t="shared" si="33"/>
        <v>92391.64</v>
      </c>
      <c r="O1070" s="82" t="str">
        <f t="shared" si="32"/>
        <v>MOS100842|KD001|CK6-986</v>
      </c>
    </row>
    <row r="1071" spans="1:15" ht="15" customHeight="1" x14ac:dyDescent="0.3">
      <c r="A1071" s="60" t="s">
        <v>1750</v>
      </c>
      <c r="B1071" s="60" t="s">
        <v>579</v>
      </c>
      <c r="C1071" s="62">
        <v>46179</v>
      </c>
      <c r="D1071" s="63" t="s">
        <v>350</v>
      </c>
      <c r="E1071" s="66" t="str">
        <f>IFERROR(INDEX(M_User!$A$12:$J$67,MATCH(D1071,M_User!$D$12:$D$67,0),3),"UNMAPPED")</f>
        <v>Samson Felix Ngowi</v>
      </c>
      <c r="F1071" s="65" t="str">
        <f>IFERROR(INDEX(M_User!$A$12:$J$67,MATCH(D1071,M_User!$D$12:$D$67,0),5),"UNMAPPED")</f>
        <v>MOS</v>
      </c>
      <c r="G1071" s="63" t="s">
        <v>840</v>
      </c>
      <c r="H1071" s="69" t="s">
        <v>841</v>
      </c>
      <c r="I1071" s="63" t="s">
        <v>217</v>
      </c>
      <c r="J1071" s="66" t="str">
        <f>IFERROR(INDEX(M_SKU!$A$18:$J$57,MATCH(I1071,M_SKU!$B$18:$B$57,0),1),"UNKNOWN SKU")</f>
        <v>KNMW 1500ml</v>
      </c>
      <c r="K1071" s="63" t="s">
        <v>551</v>
      </c>
      <c r="L1071" s="276">
        <v>32</v>
      </c>
      <c r="M1071" s="91" cm="1">
        <f t="array" ref="M1071">IFERROR(INDEX(M_DepotPrice!$C$10:$C$52,MATCH(1,(M_DepotPrice!$A$10:$A$52=I1071)*(M_DepotPrice!$H$10:$H$52=IFERROR(INDEX(M_Depot!$A$7:$A$24,MATCH(F1071,M_Depot!$B$7:$B$24,0)),""))*(M_DepotPrice!$G$10:$G$52="Special"),0)),INDEX(M_DepotPrice!$C$10:$C$52,MATCH(1,(M_DepotPrice!$A$10:$A$52=I1071)*(M_DepotPrice!$G$10:$G$52="Default"),0)))</f>
        <v>3983</v>
      </c>
      <c r="N1071" s="67">
        <f t="shared" si="33"/>
        <v>150398.07999999999</v>
      </c>
      <c r="O1071" s="66" t="str">
        <f t="shared" si="32"/>
        <v>MOS100842|KD003|CK4-842</v>
      </c>
    </row>
    <row r="1072" spans="1:15" ht="15" customHeight="1" x14ac:dyDescent="0.3">
      <c r="A1072" s="70" t="s">
        <v>1751</v>
      </c>
      <c r="B1072" s="70" t="s">
        <v>589</v>
      </c>
      <c r="C1072" s="72">
        <v>46179</v>
      </c>
      <c r="D1072" s="73" t="s">
        <v>350</v>
      </c>
      <c r="E1072" s="76" t="str">
        <f>IFERROR(INDEX(M_User!$A$12:$J$67,MATCH(D1072,M_User!$D$12:$D$67,0),3),"UNMAPPED")</f>
        <v>Samson Felix Ngowi</v>
      </c>
      <c r="F1072" s="75" t="str">
        <f>IFERROR(INDEX(M_User!$A$12:$J$67,MATCH(D1072,M_User!$D$12:$D$67,0),5),"UNMAPPED")</f>
        <v>MOS</v>
      </c>
      <c r="G1072" s="73" t="s">
        <v>840</v>
      </c>
      <c r="H1072" s="92" t="s">
        <v>841</v>
      </c>
      <c r="I1072" s="73" t="s">
        <v>225</v>
      </c>
      <c r="J1072" s="76" t="str">
        <f>IFERROR(INDEX(M_SKU!$A$18:$J$57,MATCH(I1072,M_SKU!$B$18:$B$57,0),1),"UNKNOWN SKU")</f>
        <v>Kilimanjaro Drinking Water 18900 ML</v>
      </c>
      <c r="K1072" s="73" t="s">
        <v>567</v>
      </c>
      <c r="L1072" s="276">
        <v>3</v>
      </c>
      <c r="M1072" s="94" cm="1">
        <f t="array" ref="M1072">IFERROR(INDEX(M_DepotPrice!$C$10:$C$52,MATCH(1,(M_DepotPrice!$A$10:$A$52=I1072)*(M_DepotPrice!$H$10:$H$52=IFERROR(INDEX(M_Depot!$A$7:$A$24,MATCH(F1072,M_Depot!$B$7:$B$24,0)),""))*(M_DepotPrice!$G$10:$G$52="Special"),0)),INDEX(M_DepotPrice!$C$10:$C$52,MATCH(1,(M_DepotPrice!$A$10:$A$52=I1072)*(M_DepotPrice!$G$10:$G$52="Default"),0)))</f>
        <v>5932</v>
      </c>
      <c r="N1072" s="95">
        <f t="shared" si="33"/>
        <v>20999.279999999999</v>
      </c>
      <c r="O1072" s="82" t="str">
        <f t="shared" si="32"/>
        <v>MOS100842|KD006|CK7-915</v>
      </c>
    </row>
    <row r="1073" spans="1:15" ht="15" customHeight="1" x14ac:dyDescent="0.3">
      <c r="A1073" s="60" t="s">
        <v>1752</v>
      </c>
      <c r="B1073" s="60" t="s">
        <v>579</v>
      </c>
      <c r="C1073" s="62">
        <v>46179</v>
      </c>
      <c r="D1073" s="63" t="s">
        <v>350</v>
      </c>
      <c r="E1073" s="66" t="str">
        <f>IFERROR(INDEX(M_User!$A$12:$J$67,MATCH(D1073,M_User!$D$12:$D$67,0),3),"UNMAPPED")</f>
        <v>Samson Felix Ngowi</v>
      </c>
      <c r="F1073" s="65" t="str">
        <f>IFERROR(INDEX(M_User!$A$12:$J$67,MATCH(D1073,M_User!$D$12:$D$67,0),5),"UNMAPPED")</f>
        <v>MOS</v>
      </c>
      <c r="G1073" s="63" t="s">
        <v>840</v>
      </c>
      <c r="H1073" s="69" t="s">
        <v>841</v>
      </c>
      <c r="I1073" s="63" t="s">
        <v>229</v>
      </c>
      <c r="J1073" s="66" t="str">
        <f>IFERROR(INDEX(M_SKU!$A$18:$J$57,MATCH(I1073,M_SKU!$B$18:$B$57,0),1),"UNKNOWN SKU")</f>
        <v>Coke Pet 500ML ( x12)</v>
      </c>
      <c r="K1073" s="63" t="s">
        <v>520</v>
      </c>
      <c r="L1073" s="276">
        <v>4</v>
      </c>
      <c r="M1073" s="91" cm="1">
        <f t="array" ref="M1073">IFERROR(INDEX(M_DepotPrice!$C$10:$C$52,MATCH(1,(M_DepotPrice!$A$10:$A$52=I1073)*(M_DepotPrice!$H$10:$H$52=IFERROR(INDEX(M_Depot!$A$7:$A$24,MATCH(F1073,M_Depot!$B$7:$B$24,0)),""))*(M_DepotPrice!$G$10:$G$52="Special"),0)),INDEX(M_DepotPrice!$C$10:$C$52,MATCH(1,(M_DepotPrice!$A$10:$A$52=I1073)*(M_DepotPrice!$G$10:$G$52="Default"),0)))</f>
        <v>8898</v>
      </c>
      <c r="N1073" s="67">
        <f t="shared" si="33"/>
        <v>41998.559999999998</v>
      </c>
      <c r="O1073" s="66" t="str">
        <f t="shared" si="32"/>
        <v>MOS100842|PH001|CK6-33411</v>
      </c>
    </row>
    <row r="1074" spans="1:15" ht="15" customHeight="1" x14ac:dyDescent="0.3">
      <c r="A1074" s="70" t="s">
        <v>1753</v>
      </c>
      <c r="B1074" s="70" t="s">
        <v>579</v>
      </c>
      <c r="C1074" s="72">
        <v>46179</v>
      </c>
      <c r="D1074" s="73" t="s">
        <v>350</v>
      </c>
      <c r="E1074" s="76" t="str">
        <f>IFERROR(INDEX(M_User!$A$12:$J$67,MATCH(D1074,M_User!$D$12:$D$67,0),3),"UNMAPPED")</f>
        <v>Samson Felix Ngowi</v>
      </c>
      <c r="F1074" s="75" t="str">
        <f>IFERROR(INDEX(M_User!$A$12:$J$67,MATCH(D1074,M_User!$D$12:$D$67,0),5),"UNMAPPED")</f>
        <v>MOS</v>
      </c>
      <c r="G1074" s="73" t="s">
        <v>840</v>
      </c>
      <c r="H1074" s="92" t="s">
        <v>841</v>
      </c>
      <c r="I1074" s="73" t="s">
        <v>232</v>
      </c>
      <c r="J1074" s="76" t="str">
        <f>IFERROR(INDEX(M_SKU!$A$18:$J$57,MATCH(I1074,M_SKU!$B$18:$B$57,0),1),"UNKNOWN SKU")</f>
        <v>Sprite Pet 500ML (x 12)</v>
      </c>
      <c r="K1074" s="73" t="s">
        <v>522</v>
      </c>
      <c r="L1074" s="276">
        <v>2</v>
      </c>
      <c r="M1074" s="94" cm="1">
        <f t="array" ref="M1074">IFERROR(INDEX(M_DepotPrice!$C$10:$C$52,MATCH(1,(M_DepotPrice!$A$10:$A$52=I1074)*(M_DepotPrice!$H$10:$H$52=IFERROR(INDEX(M_Depot!$A$7:$A$24,MATCH(F1074,M_Depot!$B$7:$B$24,0)),""))*(M_DepotPrice!$G$10:$G$52="Special"),0)),INDEX(M_DepotPrice!$C$10:$C$52,MATCH(1,(M_DepotPrice!$A$10:$A$52=I1074)*(M_DepotPrice!$G$10:$G$52="Default"),0)))</f>
        <v>8898</v>
      </c>
      <c r="N1074" s="95">
        <f t="shared" si="33"/>
        <v>20999.279999999999</v>
      </c>
      <c r="O1074" s="82" t="str">
        <f t="shared" si="32"/>
        <v>MOS100842|PH002|CK6-33362</v>
      </c>
    </row>
    <row r="1075" spans="1:15" ht="15" customHeight="1" x14ac:dyDescent="0.3">
      <c r="A1075" s="60" t="s">
        <v>1754</v>
      </c>
      <c r="B1075" s="60" t="s">
        <v>579</v>
      </c>
      <c r="C1075" s="62">
        <v>46179</v>
      </c>
      <c r="D1075" s="63" t="s">
        <v>350</v>
      </c>
      <c r="E1075" s="66" t="str">
        <f>IFERROR(INDEX(M_User!$A$12:$J$67,MATCH(D1075,M_User!$D$12:$D$67,0),3),"UNMAPPED")</f>
        <v>Samson Felix Ngowi</v>
      </c>
      <c r="F1075" s="65" t="str">
        <f>IFERROR(INDEX(M_User!$A$12:$J$67,MATCH(D1075,M_User!$D$12:$D$67,0),5),"UNMAPPED")</f>
        <v>MOS</v>
      </c>
      <c r="G1075" s="63" t="s">
        <v>840</v>
      </c>
      <c r="H1075" s="69" t="s">
        <v>841</v>
      </c>
      <c r="I1075" s="63" t="s">
        <v>234</v>
      </c>
      <c r="J1075" s="66" t="str">
        <f>IFERROR(INDEX(M_SKU!$A$18:$J$57,MATCH(I1075,M_SKU!$B$18:$B$57,0),1),"UNKNOWN SKU")</f>
        <v>Fanta Orange Pet 500ML ( x 12)</v>
      </c>
      <c r="K1075" s="63" t="s">
        <v>523</v>
      </c>
      <c r="L1075" s="276">
        <v>4</v>
      </c>
      <c r="M1075" s="91" cm="1">
        <f t="array" ref="M1075">IFERROR(INDEX(M_DepotPrice!$C$10:$C$52,MATCH(1,(M_DepotPrice!$A$10:$A$52=I1075)*(M_DepotPrice!$H$10:$H$52=IFERROR(INDEX(M_Depot!$A$7:$A$24,MATCH(F1075,M_Depot!$B$7:$B$24,0)),""))*(M_DepotPrice!$G$10:$G$52="Special"),0)),INDEX(M_DepotPrice!$C$10:$C$52,MATCH(1,(M_DepotPrice!$A$10:$A$52=I1075)*(M_DepotPrice!$G$10:$G$52="Default"),0)))</f>
        <v>8898</v>
      </c>
      <c r="N1075" s="67">
        <f t="shared" si="33"/>
        <v>41998.559999999998</v>
      </c>
      <c r="O1075" s="66" t="str">
        <f t="shared" si="32"/>
        <v>MOS100842|PH003|CK6-33405</v>
      </c>
    </row>
    <row r="1076" spans="1:15" ht="15" customHeight="1" x14ac:dyDescent="0.3">
      <c r="A1076" s="70" t="s">
        <v>1755</v>
      </c>
      <c r="B1076" s="70" t="s">
        <v>579</v>
      </c>
      <c r="C1076" s="72">
        <v>46179</v>
      </c>
      <c r="D1076" s="73" t="s">
        <v>350</v>
      </c>
      <c r="E1076" s="76" t="str">
        <f>IFERROR(INDEX(M_User!$A$12:$J$67,MATCH(D1076,M_User!$D$12:$D$67,0),3),"UNMAPPED")</f>
        <v>Samson Felix Ngowi</v>
      </c>
      <c r="F1076" s="75" t="str">
        <f>IFERROR(INDEX(M_User!$A$12:$J$67,MATCH(D1076,M_User!$D$12:$D$67,0),5),"UNMAPPED")</f>
        <v>MOS</v>
      </c>
      <c r="G1076" s="73" t="s">
        <v>840</v>
      </c>
      <c r="H1076" s="92" t="s">
        <v>841</v>
      </c>
      <c r="I1076" s="73" t="s">
        <v>242</v>
      </c>
      <c r="J1076" s="76" t="str">
        <f>IFERROR(INDEX(M_SKU!$A$18:$J$57,MATCH(I1076,M_SKU!$B$18:$B$57,0),1),"UNKNOWN SKU")</f>
        <v>Stoney Tangawizi Pet 500 ml ( x12)</v>
      </c>
      <c r="K1076" s="73" t="s">
        <v>525</v>
      </c>
      <c r="L1076" s="276">
        <v>1</v>
      </c>
      <c r="M1076" s="94" cm="1">
        <f t="array" ref="M1076">IFERROR(INDEX(M_DepotPrice!$C$10:$C$52,MATCH(1,(M_DepotPrice!$A$10:$A$52=I1076)*(M_DepotPrice!$H$10:$H$52=IFERROR(INDEX(M_Depot!$A$7:$A$24,MATCH(F1076,M_Depot!$B$7:$B$24,0)),""))*(M_DepotPrice!$G$10:$G$52="Special"),0)),INDEX(M_DepotPrice!$C$10:$C$52,MATCH(1,(M_DepotPrice!$A$10:$A$52=I1076)*(M_DepotPrice!$G$10:$G$52="Default"),0)))</f>
        <v>8898</v>
      </c>
      <c r="N1076" s="95">
        <f t="shared" si="33"/>
        <v>10499.64</v>
      </c>
      <c r="O1076" s="82" t="str">
        <f t="shared" si="32"/>
        <v>MOS100842|PH007|CK6-33375</v>
      </c>
    </row>
    <row r="1077" spans="1:15" ht="15" customHeight="1" x14ac:dyDescent="0.3">
      <c r="A1077" s="60" t="s">
        <v>1756</v>
      </c>
      <c r="B1077" s="60" t="s">
        <v>579</v>
      </c>
      <c r="C1077" s="62">
        <v>46179</v>
      </c>
      <c r="D1077" s="63" t="s">
        <v>350</v>
      </c>
      <c r="E1077" s="66" t="str">
        <f>IFERROR(INDEX(M_User!$A$12:$J$67,MATCH(D1077,M_User!$D$12:$D$67,0),3),"UNMAPPED")</f>
        <v>Samson Felix Ngowi</v>
      </c>
      <c r="F1077" s="65" t="str">
        <f>IFERROR(INDEX(M_User!$A$12:$J$67,MATCH(D1077,M_User!$D$12:$D$67,0),5),"UNMAPPED")</f>
        <v>MOS</v>
      </c>
      <c r="G1077" s="63" t="s">
        <v>840</v>
      </c>
      <c r="H1077" s="69" t="s">
        <v>841</v>
      </c>
      <c r="I1077" s="63" t="s">
        <v>244</v>
      </c>
      <c r="J1077" s="66" t="str">
        <f>IFERROR(INDEX(M_SKU!$A$18:$J$57,MATCH(I1077,M_SKU!$B$18:$B$57,0),1),"UNKNOWN SKU")</f>
        <v>Sparletta Pinenut Pet 500 ml ( x12)</v>
      </c>
      <c r="K1077" s="63" t="s">
        <v>526</v>
      </c>
      <c r="L1077" s="276">
        <v>1</v>
      </c>
      <c r="M1077" s="91" cm="1">
        <f t="array" ref="M1077">IFERROR(INDEX(M_DepotPrice!$C$10:$C$52,MATCH(1,(M_DepotPrice!$A$10:$A$52=I1077)*(M_DepotPrice!$H$10:$H$52=IFERROR(INDEX(M_Depot!$A$7:$A$24,MATCH(F1077,M_Depot!$B$7:$B$24,0)),""))*(M_DepotPrice!$G$10:$G$52="Special"),0)),INDEX(M_DepotPrice!$C$10:$C$52,MATCH(1,(M_DepotPrice!$A$10:$A$52=I1077)*(M_DepotPrice!$G$10:$G$52="Default"),0)))</f>
        <v>8898</v>
      </c>
      <c r="N1077" s="67">
        <f t="shared" si="33"/>
        <v>10499.64</v>
      </c>
      <c r="O1077" s="66" t="str">
        <f t="shared" si="32"/>
        <v>MOS100842|PH008|CK5-33370</v>
      </c>
    </row>
    <row r="1078" spans="1:15" ht="15" customHeight="1" x14ac:dyDescent="0.3">
      <c r="A1078" s="70" t="s">
        <v>1757</v>
      </c>
      <c r="B1078" s="70" t="s">
        <v>579</v>
      </c>
      <c r="C1078" s="72">
        <v>46179</v>
      </c>
      <c r="D1078" s="73" t="s">
        <v>350</v>
      </c>
      <c r="E1078" s="76" t="str">
        <f>IFERROR(INDEX(M_User!$A$12:$J$67,MATCH(D1078,M_User!$D$12:$D$67,0),3),"UNMAPPED")</f>
        <v>Samson Felix Ngowi</v>
      </c>
      <c r="F1078" s="75" t="str">
        <f>IFERROR(INDEX(M_User!$A$12:$J$67,MATCH(D1078,M_User!$D$12:$D$67,0),5),"UNMAPPED")</f>
        <v>MOS</v>
      </c>
      <c r="G1078" s="73" t="s">
        <v>840</v>
      </c>
      <c r="H1078" s="92" t="s">
        <v>841</v>
      </c>
      <c r="I1078" s="73" t="s">
        <v>261</v>
      </c>
      <c r="J1078" s="76" t="str">
        <f>IFERROR(INDEX(M_SKU!$A$18:$J$57,MATCH(I1078,M_SKU!$B$18:$B$57,0),1),"UNKNOWN SKU")</f>
        <v>Sparletta Pine Apple Pet 300ML (x 12)</v>
      </c>
      <c r="K1078" s="73" t="s">
        <v>547</v>
      </c>
      <c r="L1078" s="276">
        <v>2</v>
      </c>
      <c r="M1078" s="94" cm="1">
        <f t="array" ref="M1078">IFERROR(INDEX(M_DepotPrice!$C$10:$C$52,MATCH(1,(M_DepotPrice!$A$10:$A$52=I1078)*(M_DepotPrice!$H$10:$H$52=IFERROR(INDEX(M_Depot!$A$7:$A$24,MATCH(F1078,M_Depot!$B$7:$B$24,0)),""))*(M_DepotPrice!$G$10:$G$52="Special"),0)),INDEX(M_DepotPrice!$C$10:$C$52,MATCH(1,(M_DepotPrice!$A$10:$A$52=I1078)*(M_DepotPrice!$G$10:$G$52="Default"),0)))</f>
        <v>5085</v>
      </c>
      <c r="N1078" s="95">
        <f t="shared" si="33"/>
        <v>12000.599999999999</v>
      </c>
      <c r="O1078" s="82" t="str">
        <f t="shared" si="32"/>
        <v>MOS100842|PO015|CK5-33366</v>
      </c>
    </row>
    <row r="1079" spans="1:15" ht="15" customHeight="1" x14ac:dyDescent="0.3">
      <c r="A1079" s="60" t="s">
        <v>1758</v>
      </c>
      <c r="B1079" s="60" t="s">
        <v>579</v>
      </c>
      <c r="C1079" s="62">
        <v>46179</v>
      </c>
      <c r="D1079" s="63" t="s">
        <v>350</v>
      </c>
      <c r="E1079" s="66" t="str">
        <f>IFERROR(INDEX(M_User!$A$12:$J$67,MATCH(D1079,M_User!$D$12:$D$67,0),3),"UNMAPPED")</f>
        <v>Samson Felix Ngowi</v>
      </c>
      <c r="F1079" s="65" t="str">
        <f>IFERROR(INDEX(M_User!$A$12:$J$67,MATCH(D1079,M_User!$D$12:$D$67,0),5),"UNMAPPED")</f>
        <v>MOS</v>
      </c>
      <c r="G1079" s="63" t="s">
        <v>904</v>
      </c>
      <c r="H1079" s="69" t="s">
        <v>905</v>
      </c>
      <c r="I1079" s="63" t="s">
        <v>170</v>
      </c>
      <c r="J1079" s="66" t="str">
        <f>IFERROR(INDEX(M_SKU!$A$18:$J$57,MATCH(I1079,M_SKU!$B$18:$B$57,0),1),"UNKNOWN SKU")</f>
        <v>Coke RGB 350ml</v>
      </c>
      <c r="K1079" s="63" t="s">
        <v>530</v>
      </c>
      <c r="L1079" s="276">
        <v>5.1436302418668696</v>
      </c>
      <c r="M1079" s="91" cm="1">
        <f t="array" ref="M1079">IFERROR(INDEX(M_DepotPrice!$C$10:$C$52,MATCH(1,(M_DepotPrice!$A$10:$A$52=I1079)*(M_DepotPrice!$H$10:$H$52=IFERROR(INDEX(M_Depot!$A$7:$A$24,MATCH(F1079,M_Depot!$B$7:$B$24,0)),""))*(M_DepotPrice!$G$10:$G$52="Special"),0)),INDEX(M_DepotPrice!$C$10:$C$52,MATCH(1,(M_DepotPrice!$A$10:$A$52=I1079)*(M_DepotPrice!$G$10:$G$52="Default"),0)))</f>
        <v>11780</v>
      </c>
      <c r="N1079" s="67">
        <f t="shared" si="33"/>
        <v>71498.517814046238</v>
      </c>
      <c r="O1079" s="66" t="str">
        <f t="shared" si="32"/>
        <v>MOS100842|FG001|CK3-33409</v>
      </c>
    </row>
    <row r="1080" spans="1:15" ht="15" customHeight="1" x14ac:dyDescent="0.3">
      <c r="A1080" s="70" t="s">
        <v>1759</v>
      </c>
      <c r="B1080" s="70" t="s">
        <v>589</v>
      </c>
      <c r="C1080" s="72">
        <v>46179</v>
      </c>
      <c r="D1080" s="73" t="s">
        <v>350</v>
      </c>
      <c r="E1080" s="76" t="str">
        <f>IFERROR(INDEX(M_User!$A$12:$J$67,MATCH(D1080,M_User!$D$12:$D$67,0),3),"UNMAPPED")</f>
        <v>Samson Felix Ngowi</v>
      </c>
      <c r="F1080" s="75" t="str">
        <f>IFERROR(INDEX(M_User!$A$12:$J$67,MATCH(D1080,M_User!$D$12:$D$67,0),5),"UNMAPPED")</f>
        <v>MOS</v>
      </c>
      <c r="G1080" s="73" t="s">
        <v>904</v>
      </c>
      <c r="H1080" s="92" t="s">
        <v>905</v>
      </c>
      <c r="I1080" s="73" t="s">
        <v>170</v>
      </c>
      <c r="J1080" s="76" t="str">
        <f>IFERROR(INDEX(M_SKU!$A$18:$J$57,MATCH(I1080,M_SKU!$B$18:$B$57,0),1),"UNKNOWN SKU")</f>
        <v>Coke RGB 350ml</v>
      </c>
      <c r="K1080" s="73" t="s">
        <v>585</v>
      </c>
      <c r="L1080" s="276">
        <v>3.0794000000000001</v>
      </c>
      <c r="M1080" s="94" cm="1">
        <f t="array" ref="M1080">IFERROR(INDEX(M_DepotPrice!$C$10:$C$52,MATCH(1,(M_DepotPrice!$A$10:$A$52=I1080)*(M_DepotPrice!$H$10:$H$52=IFERROR(INDEX(M_Depot!$A$7:$A$24,MATCH(F1080,M_Depot!$B$7:$B$24,0)),""))*(M_DepotPrice!$G$10:$G$52="Special"),0)),INDEX(M_DepotPrice!$C$10:$C$52,MATCH(1,(M_DepotPrice!$A$10:$A$52=I1080)*(M_DepotPrice!$G$10:$G$52="Default"),0)))</f>
        <v>11780</v>
      </c>
      <c r="N1080" s="95">
        <f t="shared" si="33"/>
        <v>42804.891759999999</v>
      </c>
      <c r="O1080" s="82" t="str">
        <f t="shared" si="32"/>
        <v>MOS100842|FG001|CK3-33410</v>
      </c>
    </row>
    <row r="1081" spans="1:15" ht="15" customHeight="1" x14ac:dyDescent="0.3">
      <c r="A1081" s="60" t="s">
        <v>1760</v>
      </c>
      <c r="B1081" s="60" t="s">
        <v>589</v>
      </c>
      <c r="C1081" s="62">
        <v>46179</v>
      </c>
      <c r="D1081" s="63" t="s">
        <v>350</v>
      </c>
      <c r="E1081" s="66" t="str">
        <f>IFERROR(INDEX(M_User!$A$12:$J$67,MATCH(D1081,M_User!$D$12:$D$67,0),3),"UNMAPPED")</f>
        <v>Samson Felix Ngowi</v>
      </c>
      <c r="F1081" s="65" t="str">
        <f>IFERROR(INDEX(M_User!$A$12:$J$67,MATCH(D1081,M_User!$D$12:$D$67,0),5),"UNMAPPED")</f>
        <v>MOS</v>
      </c>
      <c r="G1081" s="63" t="s">
        <v>904</v>
      </c>
      <c r="H1081" s="69" t="s">
        <v>905</v>
      </c>
      <c r="I1081" s="63" t="s">
        <v>178</v>
      </c>
      <c r="J1081" s="66" t="str">
        <f>IFERROR(INDEX(M_SKU!$A$18:$J$57,MATCH(I1081,M_SKU!$B$18:$B$57,0),1),"UNKNOWN SKU")</f>
        <v>Fanta Orange RGB 350ml</v>
      </c>
      <c r="K1081" s="63" t="s">
        <v>590</v>
      </c>
      <c r="L1081" s="276">
        <v>0.5222</v>
      </c>
      <c r="M1081" s="91" cm="1">
        <f t="array" ref="M1081">IFERROR(INDEX(M_DepotPrice!$C$10:$C$52,MATCH(1,(M_DepotPrice!$A$10:$A$52=I1081)*(M_DepotPrice!$H$10:$H$52=IFERROR(INDEX(M_Depot!$A$7:$A$24,MATCH(F1081,M_Depot!$B$7:$B$24,0)),""))*(M_DepotPrice!$G$10:$G$52="Special"),0)),INDEX(M_DepotPrice!$C$10:$C$52,MATCH(1,(M_DepotPrice!$A$10:$A$52=I1081)*(M_DepotPrice!$G$10:$G$52="Default"),0)))</f>
        <v>11780</v>
      </c>
      <c r="N1081" s="67">
        <f t="shared" si="33"/>
        <v>7258.7888799999992</v>
      </c>
      <c r="O1081" s="66" t="str">
        <f t="shared" si="32"/>
        <v>MOS100842|FG002|CK3-33406</v>
      </c>
    </row>
    <row r="1082" spans="1:15" ht="15" customHeight="1" x14ac:dyDescent="0.3">
      <c r="A1082" s="70" t="s">
        <v>1761</v>
      </c>
      <c r="B1082" s="70" t="s">
        <v>579</v>
      </c>
      <c r="C1082" s="72">
        <v>46179</v>
      </c>
      <c r="D1082" s="73" t="s">
        <v>350</v>
      </c>
      <c r="E1082" s="76" t="str">
        <f>IFERROR(INDEX(M_User!$A$12:$J$67,MATCH(D1082,M_User!$D$12:$D$67,0),3),"UNMAPPED")</f>
        <v>Samson Felix Ngowi</v>
      </c>
      <c r="F1082" s="75" t="str">
        <f>IFERROR(INDEX(M_User!$A$12:$J$67,MATCH(D1082,M_User!$D$12:$D$67,0),5),"UNMAPPED")</f>
        <v>MOS</v>
      </c>
      <c r="G1082" s="73" t="s">
        <v>904</v>
      </c>
      <c r="H1082" s="92" t="s">
        <v>905</v>
      </c>
      <c r="I1082" s="73" t="s">
        <v>181</v>
      </c>
      <c r="J1082" s="76" t="str">
        <f>IFERROR(INDEX(M_SKU!$A$18:$J$57,MATCH(I1082,M_SKU!$B$18:$B$57,0),1),"UNKNOWN SKU")</f>
        <v>Fanta Passion RGB 350ml</v>
      </c>
      <c r="K1082" s="73" t="s">
        <v>550</v>
      </c>
      <c r="L1082" s="276">
        <v>2.2448000000000001</v>
      </c>
      <c r="M1082" s="94" cm="1">
        <f t="array" ref="M1082">IFERROR(INDEX(M_DepotPrice!$C$10:$C$52,MATCH(1,(M_DepotPrice!$A$10:$A$52=I1082)*(M_DepotPrice!$H$10:$H$52=IFERROR(INDEX(M_Depot!$A$7:$A$24,MATCH(F1082,M_Depot!$B$7:$B$24,0)),""))*(M_DepotPrice!$G$10:$G$52="Special"),0)),INDEX(M_DepotPrice!$C$10:$C$52,MATCH(1,(M_DepotPrice!$A$10:$A$52=I1082)*(M_DepotPrice!$G$10:$G$52="Default"),0)))</f>
        <v>11780</v>
      </c>
      <c r="N1082" s="95">
        <f t="shared" si="33"/>
        <v>31203.617920000001</v>
      </c>
      <c r="O1082" s="82" t="str">
        <f t="shared" si="32"/>
        <v>MOS100842|FG003|CK3-33356</v>
      </c>
    </row>
    <row r="1083" spans="1:15" ht="15" customHeight="1" x14ac:dyDescent="0.3">
      <c r="A1083" s="60" t="s">
        <v>1762</v>
      </c>
      <c r="B1083" s="60" t="s">
        <v>579</v>
      </c>
      <c r="C1083" s="62">
        <v>46179</v>
      </c>
      <c r="D1083" s="63" t="s">
        <v>350</v>
      </c>
      <c r="E1083" s="66" t="str">
        <f>IFERROR(INDEX(M_User!$A$12:$J$67,MATCH(D1083,M_User!$D$12:$D$67,0),3),"UNMAPPED")</f>
        <v>Samson Felix Ngowi</v>
      </c>
      <c r="F1083" s="65" t="str">
        <f>IFERROR(INDEX(M_User!$A$12:$J$67,MATCH(D1083,M_User!$D$12:$D$67,0),5),"UNMAPPED")</f>
        <v>MOS</v>
      </c>
      <c r="G1083" s="63" t="s">
        <v>904</v>
      </c>
      <c r="H1083" s="69" t="s">
        <v>905</v>
      </c>
      <c r="I1083" s="63" t="s">
        <v>185</v>
      </c>
      <c r="J1083" s="66" t="str">
        <f>IFERROR(INDEX(M_SKU!$A$18:$J$57,MATCH(I1083,M_SKU!$B$18:$B$57,0),1),"UNKNOWN SKU")</f>
        <v>Fanta Fruit Blast RGB 350 ml</v>
      </c>
      <c r="K1083" s="63" t="s">
        <v>534</v>
      </c>
      <c r="L1083" s="276">
        <v>0.52490000000000003</v>
      </c>
      <c r="M1083" s="91" cm="1">
        <f t="array" ref="M1083">IFERROR(INDEX(M_DepotPrice!$C$10:$C$52,MATCH(1,(M_DepotPrice!$A$10:$A$52=I1083)*(M_DepotPrice!$H$10:$H$52=IFERROR(INDEX(M_Depot!$A$7:$A$24,MATCH(F1083,M_Depot!$B$7:$B$24,0)),""))*(M_DepotPrice!$G$10:$G$52="Special"),0)),INDEX(M_DepotPrice!$C$10:$C$52,MATCH(1,(M_DepotPrice!$A$10:$A$52=I1083)*(M_DepotPrice!$G$10:$G$52="Default"),0)))</f>
        <v>11780</v>
      </c>
      <c r="N1083" s="67">
        <f t="shared" si="33"/>
        <v>7296.3199599999998</v>
      </c>
      <c r="O1083" s="66" t="str">
        <f t="shared" si="32"/>
        <v>MOS100842|FG005|CK3-33402</v>
      </c>
    </row>
    <row r="1084" spans="1:15" ht="15" customHeight="1" x14ac:dyDescent="0.3">
      <c r="A1084" s="70" t="s">
        <v>1763</v>
      </c>
      <c r="B1084" s="70" t="s">
        <v>589</v>
      </c>
      <c r="C1084" s="72">
        <v>46179</v>
      </c>
      <c r="D1084" s="73" t="s">
        <v>350</v>
      </c>
      <c r="E1084" s="76" t="str">
        <f>IFERROR(INDEX(M_User!$A$12:$J$67,MATCH(D1084,M_User!$D$12:$D$67,0),3),"UNMAPPED")</f>
        <v>Samson Felix Ngowi</v>
      </c>
      <c r="F1084" s="75" t="str">
        <f>IFERROR(INDEX(M_User!$A$12:$J$67,MATCH(D1084,M_User!$D$12:$D$67,0),5),"UNMAPPED")</f>
        <v>MOS</v>
      </c>
      <c r="G1084" s="73" t="s">
        <v>904</v>
      </c>
      <c r="H1084" s="92" t="s">
        <v>905</v>
      </c>
      <c r="I1084" s="73" t="s">
        <v>185</v>
      </c>
      <c r="J1084" s="76" t="str">
        <f>IFERROR(INDEX(M_SKU!$A$18:$J$57,MATCH(I1084,M_SKU!$B$18:$B$57,0),1),"UNKNOWN SKU")</f>
        <v>Fanta Fruit Blast RGB 350 ml</v>
      </c>
      <c r="K1084" s="73" t="s">
        <v>534</v>
      </c>
      <c r="L1084" s="276">
        <v>0.22650000000000001</v>
      </c>
      <c r="M1084" s="94" cm="1">
        <f t="array" ref="M1084">IFERROR(INDEX(M_DepotPrice!$C$10:$C$52,MATCH(1,(M_DepotPrice!$A$10:$A$52=I1084)*(M_DepotPrice!$H$10:$H$52=IFERROR(INDEX(M_Depot!$A$7:$A$24,MATCH(F1084,M_Depot!$B$7:$B$24,0)),""))*(M_DepotPrice!$G$10:$G$52="Special"),0)),INDEX(M_DepotPrice!$C$10:$C$52,MATCH(1,(M_DepotPrice!$A$10:$A$52=I1084)*(M_DepotPrice!$G$10:$G$52="Default"),0)))</f>
        <v>11780</v>
      </c>
      <c r="N1084" s="95">
        <f t="shared" si="33"/>
        <v>3148.4405999999999</v>
      </c>
      <c r="O1084" s="82" t="str">
        <f t="shared" si="32"/>
        <v>MOS100842|FG005|CK3-33402</v>
      </c>
    </row>
    <row r="1085" spans="1:15" ht="15" customHeight="1" x14ac:dyDescent="0.3">
      <c r="A1085" s="60" t="s">
        <v>1764</v>
      </c>
      <c r="B1085" s="60" t="s">
        <v>579</v>
      </c>
      <c r="C1085" s="62">
        <v>46179</v>
      </c>
      <c r="D1085" s="63" t="s">
        <v>350</v>
      </c>
      <c r="E1085" s="66" t="str">
        <f>IFERROR(INDEX(M_User!$A$12:$J$67,MATCH(D1085,M_User!$D$12:$D$67,0),3),"UNMAPPED")</f>
        <v>Samson Felix Ngowi</v>
      </c>
      <c r="F1085" s="65" t="str">
        <f>IFERROR(INDEX(M_User!$A$12:$J$67,MATCH(D1085,M_User!$D$12:$D$67,0),5),"UNMAPPED")</f>
        <v>MOS</v>
      </c>
      <c r="G1085" s="63" t="s">
        <v>904</v>
      </c>
      <c r="H1085" s="69" t="s">
        <v>905</v>
      </c>
      <c r="I1085" s="63" t="s">
        <v>187</v>
      </c>
      <c r="J1085" s="66" t="str">
        <f>IFERROR(INDEX(M_SKU!$A$18:$J$57,MATCH(I1085,M_SKU!$B$18:$B$57,0),1),"UNKNOWN SKU")</f>
        <v>Sprite 350ml</v>
      </c>
      <c r="K1085" s="63" t="s">
        <v>535</v>
      </c>
      <c r="L1085" s="276">
        <v>1.9674</v>
      </c>
      <c r="M1085" s="91" cm="1">
        <f t="array" ref="M1085">IFERROR(INDEX(M_DepotPrice!$C$10:$C$52,MATCH(1,(M_DepotPrice!$A$10:$A$52=I1085)*(M_DepotPrice!$H$10:$H$52=IFERROR(INDEX(M_Depot!$A$7:$A$24,MATCH(F1085,M_Depot!$B$7:$B$24,0)),""))*(M_DepotPrice!$G$10:$G$52="Special"),0)),INDEX(M_DepotPrice!$C$10:$C$52,MATCH(1,(M_DepotPrice!$A$10:$A$52=I1085)*(M_DepotPrice!$G$10:$G$52="Default"),0)))</f>
        <v>11780</v>
      </c>
      <c r="N1085" s="67">
        <f t="shared" si="33"/>
        <v>27347.646960000002</v>
      </c>
      <c r="O1085" s="66" t="str">
        <f t="shared" si="32"/>
        <v>MOS100842|FG006|CK3-33414</v>
      </c>
    </row>
    <row r="1086" spans="1:15" ht="15" customHeight="1" x14ac:dyDescent="0.3">
      <c r="A1086" s="70" t="s">
        <v>1765</v>
      </c>
      <c r="B1086" s="70" t="s">
        <v>579</v>
      </c>
      <c r="C1086" s="72">
        <v>46179</v>
      </c>
      <c r="D1086" s="73" t="s">
        <v>350</v>
      </c>
      <c r="E1086" s="76" t="str">
        <f>IFERROR(INDEX(M_User!$A$12:$J$67,MATCH(D1086,M_User!$D$12:$D$67,0),3),"UNMAPPED")</f>
        <v>Samson Felix Ngowi</v>
      </c>
      <c r="F1086" s="75" t="str">
        <f>IFERROR(INDEX(M_User!$A$12:$J$67,MATCH(D1086,M_User!$D$12:$D$67,0),5),"UNMAPPED")</f>
        <v>MOS</v>
      </c>
      <c r="G1086" s="73" t="s">
        <v>904</v>
      </c>
      <c r="H1086" s="92" t="s">
        <v>905</v>
      </c>
      <c r="I1086" s="73" t="s">
        <v>190</v>
      </c>
      <c r="J1086" s="76" t="str">
        <f>IFERROR(INDEX(M_SKU!$A$18:$J$57,MATCH(I1086,M_SKU!$B$18:$B$57,0),1),"UNKNOWN SKU")</f>
        <v>Stoney Tangawizi RGB 350ml</v>
      </c>
      <c r="K1086" s="73" t="s">
        <v>536</v>
      </c>
      <c r="L1086" s="276">
        <v>1.1714</v>
      </c>
      <c r="M1086" s="94" cm="1">
        <f t="array" ref="M1086">IFERROR(INDEX(M_DepotPrice!$C$10:$C$52,MATCH(1,(M_DepotPrice!$A$10:$A$52=I1086)*(M_DepotPrice!$H$10:$H$52=IFERROR(INDEX(M_Depot!$A$7:$A$24,MATCH(F1086,M_Depot!$B$7:$B$24,0)),""))*(M_DepotPrice!$G$10:$G$52="Special"),0)),INDEX(M_DepotPrice!$C$10:$C$52,MATCH(1,(M_DepotPrice!$A$10:$A$52=I1086)*(M_DepotPrice!$G$10:$G$52="Default"),0)))</f>
        <v>11780</v>
      </c>
      <c r="N1086" s="95">
        <f t="shared" si="33"/>
        <v>16282.92856</v>
      </c>
      <c r="O1086" s="82" t="str">
        <f t="shared" si="32"/>
        <v>MOS100842|FG007|CK3-33404</v>
      </c>
    </row>
    <row r="1087" spans="1:15" ht="15" customHeight="1" x14ac:dyDescent="0.3">
      <c r="A1087" s="60" t="s">
        <v>1766</v>
      </c>
      <c r="B1087" s="60" t="s">
        <v>589</v>
      </c>
      <c r="C1087" s="62">
        <v>46179</v>
      </c>
      <c r="D1087" s="63" t="s">
        <v>350</v>
      </c>
      <c r="E1087" s="66" t="str">
        <f>IFERROR(INDEX(M_User!$A$12:$J$67,MATCH(D1087,M_User!$D$12:$D$67,0),3),"UNMAPPED")</f>
        <v>Samson Felix Ngowi</v>
      </c>
      <c r="F1087" s="65" t="str">
        <f>IFERROR(INDEX(M_User!$A$12:$J$67,MATCH(D1087,M_User!$D$12:$D$67,0),5),"UNMAPPED")</f>
        <v>MOS</v>
      </c>
      <c r="G1087" s="63" t="s">
        <v>904</v>
      </c>
      <c r="H1087" s="69" t="s">
        <v>905</v>
      </c>
      <c r="I1087" s="63" t="s">
        <v>190</v>
      </c>
      <c r="J1087" s="66" t="str">
        <f>IFERROR(INDEX(M_SKU!$A$18:$J$57,MATCH(I1087,M_SKU!$B$18:$B$57,0),1),"UNKNOWN SKU")</f>
        <v>Stoney Tangawizi RGB 350ml</v>
      </c>
      <c r="K1087" s="63" t="s">
        <v>536</v>
      </c>
      <c r="L1087" s="276">
        <v>0.25990000000000002</v>
      </c>
      <c r="M1087" s="91" cm="1">
        <f t="array" ref="M1087">IFERROR(INDEX(M_DepotPrice!$C$10:$C$52,MATCH(1,(M_DepotPrice!$A$10:$A$52=I1087)*(M_DepotPrice!$H$10:$H$52=IFERROR(INDEX(M_Depot!$A$7:$A$24,MATCH(F1087,M_Depot!$B$7:$B$24,0)),""))*(M_DepotPrice!$G$10:$G$52="Special"),0)),INDEX(M_DepotPrice!$C$10:$C$52,MATCH(1,(M_DepotPrice!$A$10:$A$52=I1087)*(M_DepotPrice!$G$10:$G$52="Default"),0)))</f>
        <v>11780</v>
      </c>
      <c r="N1087" s="67">
        <f t="shared" si="33"/>
        <v>3612.71396</v>
      </c>
      <c r="O1087" s="66" t="str">
        <f t="shared" si="32"/>
        <v>MOS100842|FG007|CK3-33404</v>
      </c>
    </row>
    <row r="1088" spans="1:15" ht="15" customHeight="1" x14ac:dyDescent="0.3">
      <c r="A1088" s="70" t="s">
        <v>1767</v>
      </c>
      <c r="B1088" s="70" t="s">
        <v>589</v>
      </c>
      <c r="C1088" s="72">
        <v>46179</v>
      </c>
      <c r="D1088" s="73" t="s">
        <v>350</v>
      </c>
      <c r="E1088" s="76" t="str">
        <f>IFERROR(INDEX(M_User!$A$12:$J$67,MATCH(D1088,M_User!$D$12:$D$67,0),3),"UNMAPPED")</f>
        <v>Samson Felix Ngowi</v>
      </c>
      <c r="F1088" s="75" t="str">
        <f>IFERROR(INDEX(M_User!$A$12:$J$67,MATCH(D1088,M_User!$D$12:$D$67,0),5),"UNMAPPED")</f>
        <v>MOS</v>
      </c>
      <c r="G1088" s="73" t="s">
        <v>904</v>
      </c>
      <c r="H1088" s="92" t="s">
        <v>905</v>
      </c>
      <c r="I1088" s="73" t="s">
        <v>193</v>
      </c>
      <c r="J1088" s="76" t="str">
        <f>IFERROR(INDEX(M_SKU!$A$18:$J$57,MATCH(I1088,M_SKU!$B$18:$B$57,0),1),"UNKNOWN SKU")</f>
        <v>Sparletta Pinenut RGB 350ml</v>
      </c>
      <c r="K1088" s="73" t="s">
        <v>591</v>
      </c>
      <c r="L1088" s="276">
        <v>0.1825</v>
      </c>
      <c r="M1088" s="94" cm="1">
        <f t="array" ref="M1088">IFERROR(INDEX(M_DepotPrice!$C$10:$C$52,MATCH(1,(M_DepotPrice!$A$10:$A$52=I1088)*(M_DepotPrice!$H$10:$H$52=IFERROR(INDEX(M_Depot!$A$7:$A$24,MATCH(F1088,M_Depot!$B$7:$B$24,0)),""))*(M_DepotPrice!$G$10:$G$52="Special"),0)),INDEX(M_DepotPrice!$C$10:$C$52,MATCH(1,(M_DepotPrice!$A$10:$A$52=I1088)*(M_DepotPrice!$G$10:$G$52="Default"),0)))</f>
        <v>11780</v>
      </c>
      <c r="N1088" s="95">
        <f t="shared" si="33"/>
        <v>2536.8229999999999</v>
      </c>
      <c r="O1088" s="82" t="str">
        <f t="shared" si="32"/>
        <v>MOS100842|FG008|CK3-33261</v>
      </c>
    </row>
    <row r="1089" spans="1:15" ht="15" customHeight="1" x14ac:dyDescent="0.3">
      <c r="A1089" s="60" t="s">
        <v>1768</v>
      </c>
      <c r="B1089" s="60" t="s">
        <v>579</v>
      </c>
      <c r="C1089" s="62">
        <v>46179</v>
      </c>
      <c r="D1089" s="63" t="s">
        <v>350</v>
      </c>
      <c r="E1089" s="66" t="str">
        <f>IFERROR(INDEX(M_User!$A$12:$J$67,MATCH(D1089,M_User!$D$12:$D$67,0),3),"UNMAPPED")</f>
        <v>Samson Felix Ngowi</v>
      </c>
      <c r="F1089" s="65" t="str">
        <f>IFERROR(INDEX(M_User!$A$12:$J$67,MATCH(D1089,M_User!$D$12:$D$67,0),5),"UNMAPPED")</f>
        <v>MOS</v>
      </c>
      <c r="G1089" s="63" t="s">
        <v>904</v>
      </c>
      <c r="H1089" s="69" t="s">
        <v>905</v>
      </c>
      <c r="I1089" s="63" t="s">
        <v>193</v>
      </c>
      <c r="J1089" s="66" t="str">
        <f>IFERROR(INDEX(M_SKU!$A$18:$J$57,MATCH(I1089,M_SKU!$B$18:$B$57,0),1),"UNKNOWN SKU")</f>
        <v>Sparletta Pinenut RGB 350ml</v>
      </c>
      <c r="K1089" s="63" t="s">
        <v>580</v>
      </c>
      <c r="L1089" s="276">
        <v>0.98880000000000001</v>
      </c>
      <c r="M1089" s="91" cm="1">
        <f t="array" ref="M1089">IFERROR(INDEX(M_DepotPrice!$C$10:$C$52,MATCH(1,(M_DepotPrice!$A$10:$A$52=I1089)*(M_DepotPrice!$H$10:$H$52=IFERROR(INDEX(M_Depot!$A$7:$A$24,MATCH(F1089,M_Depot!$B$7:$B$24,0)),""))*(M_DepotPrice!$G$10:$G$52="Special"),0)),INDEX(M_DepotPrice!$C$10:$C$52,MATCH(1,(M_DepotPrice!$A$10:$A$52=I1089)*(M_DepotPrice!$G$10:$G$52="Default"),0)))</f>
        <v>11780</v>
      </c>
      <c r="N1089" s="67">
        <f t="shared" si="33"/>
        <v>13744.71552</v>
      </c>
      <c r="O1089" s="66" t="str">
        <f t="shared" si="32"/>
        <v>MOS100842|FG008|CK3-33367</v>
      </c>
    </row>
    <row r="1090" spans="1:15" ht="15" customHeight="1" x14ac:dyDescent="0.3">
      <c r="A1090" s="70" t="s">
        <v>1769</v>
      </c>
      <c r="B1090" s="70" t="s">
        <v>589</v>
      </c>
      <c r="C1090" s="72">
        <v>46179</v>
      </c>
      <c r="D1090" s="73" t="s">
        <v>350</v>
      </c>
      <c r="E1090" s="76" t="str">
        <f>IFERROR(INDEX(M_User!$A$12:$J$67,MATCH(D1090,M_User!$D$12:$D$67,0),3),"UNMAPPED")</f>
        <v>Samson Felix Ngowi</v>
      </c>
      <c r="F1090" s="75" t="str">
        <f>IFERROR(INDEX(M_User!$A$12:$J$67,MATCH(D1090,M_User!$D$12:$D$67,0),5),"UNMAPPED")</f>
        <v>MOS</v>
      </c>
      <c r="G1090" s="73" t="s">
        <v>904</v>
      </c>
      <c r="H1090" s="92" t="s">
        <v>905</v>
      </c>
      <c r="I1090" s="73" t="s">
        <v>199</v>
      </c>
      <c r="J1090" s="76" t="str">
        <f>IFERROR(INDEX(M_SKU!$A$18:$J$57,MATCH(I1090,M_SKU!$B$18:$B$57,0),1),"UNKNOWN SKU")</f>
        <v>Krest Club Soda RGB 300ml</v>
      </c>
      <c r="K1090" s="73" t="s">
        <v>592</v>
      </c>
      <c r="L1090" s="276">
        <v>0.3236</v>
      </c>
      <c r="M1090" s="94" cm="1">
        <f t="array" ref="M1090">IFERROR(INDEX(M_DepotPrice!$C$10:$C$52,MATCH(1,(M_DepotPrice!$A$10:$A$52=I1090)*(M_DepotPrice!$H$10:$H$52=IFERROR(INDEX(M_Depot!$A$7:$A$24,MATCH(F1090,M_Depot!$B$7:$B$24,0)),""))*(M_DepotPrice!$G$10:$G$52="Special"),0)),INDEX(M_DepotPrice!$C$10:$C$52,MATCH(1,(M_DepotPrice!$A$10:$A$52=I1090)*(M_DepotPrice!$G$10:$G$52="Default"),0)))</f>
        <v>11780</v>
      </c>
      <c r="N1090" s="95">
        <f t="shared" si="33"/>
        <v>4498.1694399999997</v>
      </c>
      <c r="O1090" s="82" t="str">
        <f t="shared" si="32"/>
        <v>MOS100842|FG010|CK3-33070</v>
      </c>
    </row>
    <row r="1091" spans="1:15" ht="15" customHeight="1" x14ac:dyDescent="0.3">
      <c r="A1091" s="60" t="s">
        <v>1770</v>
      </c>
      <c r="B1091" s="60" t="s">
        <v>579</v>
      </c>
      <c r="C1091" s="62">
        <v>46179</v>
      </c>
      <c r="D1091" s="63" t="s">
        <v>350</v>
      </c>
      <c r="E1091" s="66" t="str">
        <f>IFERROR(INDEX(M_User!$A$12:$J$67,MATCH(D1091,M_User!$D$12:$D$67,0),3),"UNMAPPED")</f>
        <v>Samson Felix Ngowi</v>
      </c>
      <c r="F1091" s="65" t="str">
        <f>IFERROR(INDEX(M_User!$A$12:$J$67,MATCH(D1091,M_User!$D$12:$D$67,0),5),"UNMAPPED")</f>
        <v>MOS</v>
      </c>
      <c r="G1091" s="63" t="s">
        <v>904</v>
      </c>
      <c r="H1091" s="69" t="s">
        <v>905</v>
      </c>
      <c r="I1091" s="63" t="s">
        <v>199</v>
      </c>
      <c r="J1091" s="66" t="str">
        <f>IFERROR(INDEX(M_SKU!$A$18:$J$57,MATCH(I1091,M_SKU!$B$18:$B$57,0),1),"UNKNOWN SKU")</f>
        <v>Krest Club Soda RGB 300ml</v>
      </c>
      <c r="K1091" s="63" t="s">
        <v>539</v>
      </c>
      <c r="L1091" s="276">
        <v>0.31640000000000001</v>
      </c>
      <c r="M1091" s="91" cm="1">
        <f t="array" ref="M1091">IFERROR(INDEX(M_DepotPrice!$C$10:$C$52,MATCH(1,(M_DepotPrice!$A$10:$A$52=I1091)*(M_DepotPrice!$H$10:$H$52=IFERROR(INDEX(M_Depot!$A$7:$A$24,MATCH(F1091,M_Depot!$B$7:$B$24,0)),""))*(M_DepotPrice!$G$10:$G$52="Special"),0)),INDEX(M_DepotPrice!$C$10:$C$52,MATCH(1,(M_DepotPrice!$A$10:$A$52=I1091)*(M_DepotPrice!$G$10:$G$52="Default"),0)))</f>
        <v>11780</v>
      </c>
      <c r="N1091" s="67">
        <f t="shared" si="33"/>
        <v>4398.0865599999997</v>
      </c>
      <c r="O1091" s="66" t="str">
        <f t="shared" si="32"/>
        <v>MOS100842|FG010|CK3-33301</v>
      </c>
    </row>
    <row r="1092" spans="1:15" ht="15" customHeight="1" x14ac:dyDescent="0.3">
      <c r="A1092" s="70" t="s">
        <v>1771</v>
      </c>
      <c r="B1092" s="70" t="s">
        <v>589</v>
      </c>
      <c r="C1092" s="72">
        <v>46179</v>
      </c>
      <c r="D1092" s="73" t="s">
        <v>350</v>
      </c>
      <c r="E1092" s="76" t="str">
        <f>IFERROR(INDEX(M_User!$A$12:$J$67,MATCH(D1092,M_User!$D$12:$D$67,0),3),"UNMAPPED")</f>
        <v>Samson Felix Ngowi</v>
      </c>
      <c r="F1092" s="75" t="str">
        <f>IFERROR(INDEX(M_User!$A$12:$J$67,MATCH(D1092,M_User!$D$12:$D$67,0),5),"UNMAPPED")</f>
        <v>MOS</v>
      </c>
      <c r="G1092" s="73" t="s">
        <v>904</v>
      </c>
      <c r="H1092" s="92" t="s">
        <v>905</v>
      </c>
      <c r="I1092" s="73" t="s">
        <v>201</v>
      </c>
      <c r="J1092" s="76" t="str">
        <f>IFERROR(INDEX(M_SKU!$A$18:$J$57,MATCH(I1092,M_SKU!$B$18:$B$57,0),1),"UNKNOWN SKU")</f>
        <v>Krest Tonic Water RGB 300ml</v>
      </c>
      <c r="K1092" s="73" t="s">
        <v>540</v>
      </c>
      <c r="L1092" s="276">
        <v>0.154422470383552</v>
      </c>
      <c r="M1092" s="94" cm="1">
        <f t="array" ref="M1092">IFERROR(INDEX(M_DepotPrice!$C$10:$C$52,MATCH(1,(M_DepotPrice!$A$10:$A$52=I1092)*(M_DepotPrice!$H$10:$H$52=IFERROR(INDEX(M_Depot!$A$7:$A$24,MATCH(F1092,M_Depot!$B$7:$B$24,0)),""))*(M_DepotPrice!$G$10:$G$52="Special"),0)),INDEX(M_DepotPrice!$C$10:$C$52,MATCH(1,(M_DepotPrice!$A$10:$A$52=I1092)*(M_DepotPrice!$G$10:$G$52="Default"),0)))</f>
        <v>11780</v>
      </c>
      <c r="N1092" s="95">
        <f t="shared" si="33"/>
        <v>2146.5341073195264</v>
      </c>
      <c r="O1092" s="82" t="str">
        <f t="shared" si="32"/>
        <v>MOS100842|FG011|CK3-33347</v>
      </c>
    </row>
    <row r="1093" spans="1:15" ht="15" customHeight="1" x14ac:dyDescent="0.3">
      <c r="A1093" s="60" t="s">
        <v>1772</v>
      </c>
      <c r="B1093" s="60" t="s">
        <v>589</v>
      </c>
      <c r="C1093" s="62">
        <v>46179</v>
      </c>
      <c r="D1093" s="63" t="s">
        <v>350</v>
      </c>
      <c r="E1093" s="66" t="str">
        <f>IFERROR(INDEX(M_User!$A$12:$J$67,MATCH(D1093,M_User!$D$12:$D$67,0),3),"UNMAPPED")</f>
        <v>Samson Felix Ngowi</v>
      </c>
      <c r="F1093" s="65" t="str">
        <f>IFERROR(INDEX(M_User!$A$12:$J$67,MATCH(D1093,M_User!$D$12:$D$67,0),5),"UNMAPPED")</f>
        <v>MOS</v>
      </c>
      <c r="G1093" s="63" t="s">
        <v>904</v>
      </c>
      <c r="H1093" s="69" t="s">
        <v>905</v>
      </c>
      <c r="I1093" s="63" t="s">
        <v>203</v>
      </c>
      <c r="J1093" s="66" t="str">
        <f>IFERROR(INDEX(M_SKU!$A$18:$J$57,MATCH(I1093,M_SKU!$B$18:$B$57,0),1),"UNKNOWN SKU")</f>
        <v>Krest Ginger Ale RGB 300ml</v>
      </c>
      <c r="K1093" s="63" t="s">
        <v>541</v>
      </c>
      <c r="L1093" s="276">
        <v>0.24360000000000001</v>
      </c>
      <c r="M1093" s="91" cm="1">
        <f t="array" ref="M1093">IFERROR(INDEX(M_DepotPrice!$C$10:$C$52,MATCH(1,(M_DepotPrice!$A$10:$A$52=I1093)*(M_DepotPrice!$H$10:$H$52=IFERROR(INDEX(M_Depot!$A$7:$A$24,MATCH(F1093,M_Depot!$B$7:$B$24,0)),""))*(M_DepotPrice!$G$10:$G$52="Special"),0)),INDEX(M_DepotPrice!$C$10:$C$52,MATCH(1,(M_DepotPrice!$A$10:$A$52=I1093)*(M_DepotPrice!$G$10:$G$52="Default"),0)))</f>
        <v>11780</v>
      </c>
      <c r="N1093" s="67">
        <f t="shared" si="33"/>
        <v>3386.13744</v>
      </c>
      <c r="O1093" s="66" t="str">
        <f t="shared" si="32"/>
        <v>MOS100842|FG012|CK3-33126</v>
      </c>
    </row>
    <row r="1094" spans="1:15" ht="15" customHeight="1" x14ac:dyDescent="0.3">
      <c r="A1094" s="70" t="s">
        <v>1773</v>
      </c>
      <c r="B1094" s="70" t="s">
        <v>579</v>
      </c>
      <c r="C1094" s="72">
        <v>46179</v>
      </c>
      <c r="D1094" s="73" t="s">
        <v>350</v>
      </c>
      <c r="E1094" s="76" t="str">
        <f>IFERROR(INDEX(M_User!$A$12:$J$67,MATCH(D1094,M_User!$D$12:$D$67,0),3),"UNMAPPED")</f>
        <v>Samson Felix Ngowi</v>
      </c>
      <c r="F1094" s="75" t="str">
        <f>IFERROR(INDEX(M_User!$A$12:$J$67,MATCH(D1094,M_User!$D$12:$D$67,0),5),"UNMAPPED")</f>
        <v>MOS</v>
      </c>
      <c r="G1094" s="73" t="s">
        <v>904</v>
      </c>
      <c r="H1094" s="92" t="s">
        <v>905</v>
      </c>
      <c r="I1094" s="73" t="s">
        <v>203</v>
      </c>
      <c r="J1094" s="76" t="str">
        <f>IFERROR(INDEX(M_SKU!$A$18:$J$57,MATCH(I1094,M_SKU!$B$18:$B$57,0),1),"UNKNOWN SKU")</f>
        <v>Krest Ginger Ale RGB 300ml</v>
      </c>
      <c r="K1094" s="73" t="s">
        <v>541</v>
      </c>
      <c r="L1094" s="276">
        <v>0.89225893790711297</v>
      </c>
      <c r="M1094" s="94" cm="1">
        <f t="array" ref="M1094">IFERROR(INDEX(M_DepotPrice!$C$10:$C$52,MATCH(1,(M_DepotPrice!$A$10:$A$52=I1094)*(M_DepotPrice!$H$10:$H$52=IFERROR(INDEX(M_Depot!$A$7:$A$24,MATCH(F1094,M_Depot!$B$7:$B$24,0)),""))*(M_DepotPrice!$G$10:$G$52="Special"),0)),INDEX(M_DepotPrice!$C$10:$C$52,MATCH(1,(M_DepotPrice!$A$10:$A$52=I1094)*(M_DepotPrice!$G$10:$G$52="Default"),0)))</f>
        <v>11780</v>
      </c>
      <c r="N1094" s="95">
        <f t="shared" si="33"/>
        <v>12402.756140484033</v>
      </c>
      <c r="O1094" s="82" t="str">
        <f t="shared" si="32"/>
        <v>MOS100842|FG012|CK3-33126</v>
      </c>
    </row>
    <row r="1095" spans="1:15" ht="15" customHeight="1" x14ac:dyDescent="0.3">
      <c r="A1095" s="60" t="s">
        <v>1774</v>
      </c>
      <c r="B1095" s="60" t="s">
        <v>579</v>
      </c>
      <c r="C1095" s="62">
        <v>46179</v>
      </c>
      <c r="D1095" s="63" t="s">
        <v>350</v>
      </c>
      <c r="E1095" s="66" t="str">
        <f>IFERROR(INDEX(M_User!$A$12:$J$67,MATCH(D1095,M_User!$D$12:$D$67,0),3),"UNMAPPED")</f>
        <v>Samson Felix Ngowi</v>
      </c>
      <c r="F1095" s="65" t="str">
        <f>IFERROR(INDEX(M_User!$A$12:$J$67,MATCH(D1095,M_User!$D$12:$D$67,0),5),"UNMAPPED")</f>
        <v>MOS</v>
      </c>
      <c r="G1095" s="63" t="s">
        <v>904</v>
      </c>
      <c r="H1095" s="69" t="s">
        <v>905</v>
      </c>
      <c r="I1095" s="63" t="s">
        <v>209</v>
      </c>
      <c r="J1095" s="66" t="str">
        <f>IFERROR(INDEX(M_SKU!$A$18:$J$57,MATCH(I1095,M_SKU!$B$18:$B$57,0),1),"UNKNOWN SKU")</f>
        <v>Sparletta Red Apple RGB 350ml</v>
      </c>
      <c r="K1095" s="63" t="s">
        <v>542</v>
      </c>
      <c r="L1095" s="276">
        <v>0.36220000000000002</v>
      </c>
      <c r="M1095" s="91" cm="1">
        <f t="array" ref="M1095">IFERROR(INDEX(M_DepotPrice!$C$10:$C$52,MATCH(1,(M_DepotPrice!$A$10:$A$52=I1095)*(M_DepotPrice!$H$10:$H$52=IFERROR(INDEX(M_Depot!$A$7:$A$24,MATCH(F1095,M_Depot!$B$7:$B$24,0)),""))*(M_DepotPrice!$G$10:$G$52="Special"),0)),INDEX(M_DepotPrice!$C$10:$C$52,MATCH(1,(M_DepotPrice!$A$10:$A$52=I1095)*(M_DepotPrice!$G$10:$G$52="Default"),0)))</f>
        <v>11780</v>
      </c>
      <c r="N1095" s="67">
        <f t="shared" si="33"/>
        <v>5034.7248799999998</v>
      </c>
      <c r="O1095" s="66" t="str">
        <f t="shared" si="32"/>
        <v>MOS100842|FG024|CK3-32758</v>
      </c>
    </row>
    <row r="1096" spans="1:15" ht="15" customHeight="1" x14ac:dyDescent="0.3">
      <c r="A1096" s="70" t="s">
        <v>1775</v>
      </c>
      <c r="B1096" s="70" t="s">
        <v>589</v>
      </c>
      <c r="C1096" s="72">
        <v>46179</v>
      </c>
      <c r="D1096" s="73" t="s">
        <v>350</v>
      </c>
      <c r="E1096" s="76" t="str">
        <f>IFERROR(INDEX(M_User!$A$12:$J$67,MATCH(D1096,M_User!$D$12:$D$67,0),3),"UNMAPPED")</f>
        <v>Samson Felix Ngowi</v>
      </c>
      <c r="F1096" s="75" t="str">
        <f>IFERROR(INDEX(M_User!$A$12:$J$67,MATCH(D1096,M_User!$D$12:$D$67,0),5),"UNMAPPED")</f>
        <v>MOS</v>
      </c>
      <c r="G1096" s="73" t="s">
        <v>904</v>
      </c>
      <c r="H1096" s="92" t="s">
        <v>905</v>
      </c>
      <c r="I1096" s="73" t="s">
        <v>211</v>
      </c>
      <c r="J1096" s="76" t="str">
        <f>IFERROR(INDEX(M_SKU!$A$18:$J$57,MATCH(I1096,M_SKU!$B$18:$B$57,0),1),"UNKNOWN SKU")</f>
        <v>KNMW 500ml</v>
      </c>
      <c r="K1096" s="73" t="s">
        <v>593</v>
      </c>
      <c r="L1096" s="276">
        <v>13</v>
      </c>
      <c r="M1096" s="94" cm="1">
        <f t="array" ref="M1096">IFERROR(INDEX(M_DepotPrice!$C$10:$C$52,MATCH(1,(M_DepotPrice!$A$10:$A$52=I1096)*(M_DepotPrice!$H$10:$H$52=IFERROR(INDEX(M_Depot!$A$7:$A$24,MATCH(F1096,M_Depot!$B$7:$B$24,0)),""))*(M_DepotPrice!$G$10:$G$52="Special"),0)),INDEX(M_DepotPrice!$C$10:$C$52,MATCH(1,(M_DepotPrice!$A$10:$A$52=I1096)*(M_DepotPrice!$G$10:$G$52="Default"),0)))</f>
        <v>3559</v>
      </c>
      <c r="N1096" s="95">
        <f t="shared" si="33"/>
        <v>54595.06</v>
      </c>
      <c r="O1096" s="82" t="str">
        <f t="shared" si="32"/>
        <v>MOS100842|KD001|CK6-984</v>
      </c>
    </row>
    <row r="1097" spans="1:15" ht="15" customHeight="1" x14ac:dyDescent="0.3">
      <c r="A1097" s="60" t="s">
        <v>1776</v>
      </c>
      <c r="B1097" s="60" t="s">
        <v>589</v>
      </c>
      <c r="C1097" s="62">
        <v>46179</v>
      </c>
      <c r="D1097" s="63" t="s">
        <v>350</v>
      </c>
      <c r="E1097" s="66" t="str">
        <f>IFERROR(INDEX(M_User!$A$12:$J$67,MATCH(D1097,M_User!$D$12:$D$67,0),3),"UNMAPPED")</f>
        <v>Samson Felix Ngowi</v>
      </c>
      <c r="F1097" s="65" t="str">
        <f>IFERROR(INDEX(M_User!$A$12:$J$67,MATCH(D1097,M_User!$D$12:$D$67,0),5),"UNMAPPED")</f>
        <v>MOS</v>
      </c>
      <c r="G1097" s="63" t="s">
        <v>904</v>
      </c>
      <c r="H1097" s="69" t="s">
        <v>905</v>
      </c>
      <c r="I1097" s="63" t="s">
        <v>225</v>
      </c>
      <c r="J1097" s="66" t="str">
        <f>IFERROR(INDEX(M_SKU!$A$18:$J$57,MATCH(I1097,M_SKU!$B$18:$B$57,0),1),"UNKNOWN SKU")</f>
        <v>Kilimanjaro Drinking Water 18900 ML</v>
      </c>
      <c r="K1097" s="63" t="s">
        <v>567</v>
      </c>
      <c r="L1097" s="276">
        <v>2</v>
      </c>
      <c r="M1097" s="91" cm="1">
        <f t="array" ref="M1097">IFERROR(INDEX(M_DepotPrice!$C$10:$C$52,MATCH(1,(M_DepotPrice!$A$10:$A$52=I1097)*(M_DepotPrice!$H$10:$H$52=IFERROR(INDEX(M_Depot!$A$7:$A$24,MATCH(F1097,M_Depot!$B$7:$B$24,0)),""))*(M_DepotPrice!$G$10:$G$52="Special"),0)),INDEX(M_DepotPrice!$C$10:$C$52,MATCH(1,(M_DepotPrice!$A$10:$A$52=I1097)*(M_DepotPrice!$G$10:$G$52="Default"),0)))</f>
        <v>5932</v>
      </c>
      <c r="N1097" s="67">
        <f t="shared" si="33"/>
        <v>13999.519999999999</v>
      </c>
      <c r="O1097" s="66" t="str">
        <f t="shared" ref="O1097:O1164" si="34">D1097 &amp; "|" &amp; I1097 &amp; "|" &amp; K1097</f>
        <v>MOS100842|KD006|CK7-915</v>
      </c>
    </row>
    <row r="1098" spans="1:15" ht="15" customHeight="1" x14ac:dyDescent="0.3">
      <c r="A1098" s="70" t="s">
        <v>1777</v>
      </c>
      <c r="B1098" s="70" t="s">
        <v>579</v>
      </c>
      <c r="C1098" s="72">
        <v>46179</v>
      </c>
      <c r="D1098" s="73" t="s">
        <v>350</v>
      </c>
      <c r="E1098" s="76" t="str">
        <f>IFERROR(INDEX(M_User!$A$12:$J$67,MATCH(D1098,M_User!$D$12:$D$67,0),3),"UNMAPPED")</f>
        <v>Samson Felix Ngowi</v>
      </c>
      <c r="F1098" s="75" t="str">
        <f>IFERROR(INDEX(M_User!$A$12:$J$67,MATCH(D1098,M_User!$D$12:$D$67,0),5),"UNMAPPED")</f>
        <v>MOS</v>
      </c>
      <c r="G1098" s="73" t="s">
        <v>904</v>
      </c>
      <c r="H1098" s="92" t="s">
        <v>905</v>
      </c>
      <c r="I1098" s="73" t="s">
        <v>229</v>
      </c>
      <c r="J1098" s="76" t="str">
        <f>IFERROR(INDEX(M_SKU!$A$18:$J$57,MATCH(I1098,M_SKU!$B$18:$B$57,0),1),"UNKNOWN SKU")</f>
        <v>Coke Pet 500ML ( x12)</v>
      </c>
      <c r="K1098" s="73" t="s">
        <v>520</v>
      </c>
      <c r="L1098" s="276">
        <v>8</v>
      </c>
      <c r="M1098" s="94" cm="1">
        <f t="array" ref="M1098">IFERROR(INDEX(M_DepotPrice!$C$10:$C$52,MATCH(1,(M_DepotPrice!$A$10:$A$52=I1098)*(M_DepotPrice!$H$10:$H$52=IFERROR(INDEX(M_Depot!$A$7:$A$24,MATCH(F1098,M_Depot!$B$7:$B$24,0)),""))*(M_DepotPrice!$G$10:$G$52="Special"),0)),INDEX(M_DepotPrice!$C$10:$C$52,MATCH(1,(M_DepotPrice!$A$10:$A$52=I1098)*(M_DepotPrice!$G$10:$G$52="Default"),0)))</f>
        <v>8898</v>
      </c>
      <c r="N1098" s="95">
        <f t="shared" ref="N1098:N1161" si="35">(L1098*M1098)*1.18</f>
        <v>83997.119999999995</v>
      </c>
      <c r="O1098" s="82" t="str">
        <f t="shared" si="34"/>
        <v>MOS100842|PH001|CK6-33411</v>
      </c>
    </row>
    <row r="1099" spans="1:15" ht="15" customHeight="1" x14ac:dyDescent="0.3">
      <c r="A1099" s="60" t="s">
        <v>1778</v>
      </c>
      <c r="B1099" s="60" t="s">
        <v>579</v>
      </c>
      <c r="C1099" s="62">
        <v>46179</v>
      </c>
      <c r="D1099" s="63" t="s">
        <v>350</v>
      </c>
      <c r="E1099" s="66" t="str">
        <f>IFERROR(INDEX(M_User!$A$12:$J$67,MATCH(D1099,M_User!$D$12:$D$67,0),3),"UNMAPPED")</f>
        <v>Samson Felix Ngowi</v>
      </c>
      <c r="F1099" s="65" t="str">
        <f>IFERROR(INDEX(M_User!$A$12:$J$67,MATCH(D1099,M_User!$D$12:$D$67,0),5),"UNMAPPED")</f>
        <v>MOS</v>
      </c>
      <c r="G1099" s="63" t="s">
        <v>904</v>
      </c>
      <c r="H1099" s="69" t="s">
        <v>905</v>
      </c>
      <c r="I1099" s="63" t="s">
        <v>234</v>
      </c>
      <c r="J1099" s="66" t="str">
        <f>IFERROR(INDEX(M_SKU!$A$18:$J$57,MATCH(I1099,M_SKU!$B$18:$B$57,0),1),"UNKNOWN SKU")</f>
        <v>Fanta Orange Pet 500ML ( x 12)</v>
      </c>
      <c r="K1099" s="63" t="s">
        <v>523</v>
      </c>
      <c r="L1099" s="276">
        <v>4</v>
      </c>
      <c r="M1099" s="91" cm="1">
        <f t="array" ref="M1099">IFERROR(INDEX(M_DepotPrice!$C$10:$C$52,MATCH(1,(M_DepotPrice!$A$10:$A$52=I1099)*(M_DepotPrice!$H$10:$H$52=IFERROR(INDEX(M_Depot!$A$7:$A$24,MATCH(F1099,M_Depot!$B$7:$B$24,0)),""))*(M_DepotPrice!$G$10:$G$52="Special"),0)),INDEX(M_DepotPrice!$C$10:$C$52,MATCH(1,(M_DepotPrice!$A$10:$A$52=I1099)*(M_DepotPrice!$G$10:$G$52="Default"),0)))</f>
        <v>8898</v>
      </c>
      <c r="N1099" s="67">
        <f t="shared" si="35"/>
        <v>41998.559999999998</v>
      </c>
      <c r="O1099" s="66" t="str">
        <f t="shared" si="34"/>
        <v>MOS100842|PH003|CK6-33405</v>
      </c>
    </row>
    <row r="1100" spans="1:15" ht="15" customHeight="1" x14ac:dyDescent="0.3">
      <c r="A1100" s="70" t="s">
        <v>1779</v>
      </c>
      <c r="B1100" s="70" t="s">
        <v>579</v>
      </c>
      <c r="C1100" s="72">
        <v>46179</v>
      </c>
      <c r="D1100" s="73" t="s">
        <v>350</v>
      </c>
      <c r="E1100" s="76" t="str">
        <f>IFERROR(INDEX(M_User!$A$12:$J$67,MATCH(D1100,M_User!$D$12:$D$67,0),3),"UNMAPPED")</f>
        <v>Samson Felix Ngowi</v>
      </c>
      <c r="F1100" s="75" t="str">
        <f>IFERROR(INDEX(M_User!$A$12:$J$67,MATCH(D1100,M_User!$D$12:$D$67,0),5),"UNMAPPED")</f>
        <v>MOS</v>
      </c>
      <c r="G1100" s="73" t="s">
        <v>904</v>
      </c>
      <c r="H1100" s="92" t="s">
        <v>905</v>
      </c>
      <c r="I1100" s="73" t="s">
        <v>242</v>
      </c>
      <c r="J1100" s="76" t="str">
        <f>IFERROR(INDEX(M_SKU!$A$18:$J$57,MATCH(I1100,M_SKU!$B$18:$B$57,0),1),"UNKNOWN SKU")</f>
        <v>Stoney Tangawizi Pet 500 ml ( x12)</v>
      </c>
      <c r="K1100" s="73" t="s">
        <v>525</v>
      </c>
      <c r="L1100" s="276">
        <v>1</v>
      </c>
      <c r="M1100" s="94" cm="1">
        <f t="array" ref="M1100">IFERROR(INDEX(M_DepotPrice!$C$10:$C$52,MATCH(1,(M_DepotPrice!$A$10:$A$52=I1100)*(M_DepotPrice!$H$10:$H$52=IFERROR(INDEX(M_Depot!$A$7:$A$24,MATCH(F1100,M_Depot!$B$7:$B$24,0)),""))*(M_DepotPrice!$G$10:$G$52="Special"),0)),INDEX(M_DepotPrice!$C$10:$C$52,MATCH(1,(M_DepotPrice!$A$10:$A$52=I1100)*(M_DepotPrice!$G$10:$G$52="Default"),0)))</f>
        <v>8898</v>
      </c>
      <c r="N1100" s="95">
        <f t="shared" si="35"/>
        <v>10499.64</v>
      </c>
      <c r="O1100" s="82" t="str">
        <f t="shared" si="34"/>
        <v>MOS100842|PH007|CK6-33375</v>
      </c>
    </row>
    <row r="1101" spans="1:15" ht="15" customHeight="1" x14ac:dyDescent="0.3">
      <c r="A1101" s="60" t="s">
        <v>1780</v>
      </c>
      <c r="B1101" s="60" t="s">
        <v>579</v>
      </c>
      <c r="C1101" s="62">
        <v>46179</v>
      </c>
      <c r="D1101" s="63" t="s">
        <v>350</v>
      </c>
      <c r="E1101" s="66" t="str">
        <f>IFERROR(INDEX(M_User!$A$12:$J$67,MATCH(D1101,M_User!$D$12:$D$67,0),3),"UNMAPPED")</f>
        <v>Samson Felix Ngowi</v>
      </c>
      <c r="F1101" s="65" t="str">
        <f>IFERROR(INDEX(M_User!$A$12:$J$67,MATCH(D1101,M_User!$D$12:$D$67,0),5),"UNMAPPED")</f>
        <v>MOS</v>
      </c>
      <c r="G1101" s="63" t="s">
        <v>904</v>
      </c>
      <c r="H1101" s="69" t="s">
        <v>905</v>
      </c>
      <c r="I1101" s="63" t="s">
        <v>244</v>
      </c>
      <c r="J1101" s="66" t="str">
        <f>IFERROR(INDEX(M_SKU!$A$18:$J$57,MATCH(I1101,M_SKU!$B$18:$B$57,0),1),"UNKNOWN SKU")</f>
        <v>Sparletta Pinenut Pet 500 ml ( x12)</v>
      </c>
      <c r="K1101" s="63" t="s">
        <v>526</v>
      </c>
      <c r="L1101" s="276">
        <v>1</v>
      </c>
      <c r="M1101" s="91" cm="1">
        <f t="array" ref="M1101">IFERROR(INDEX(M_DepotPrice!$C$10:$C$52,MATCH(1,(M_DepotPrice!$A$10:$A$52=I1101)*(M_DepotPrice!$H$10:$H$52=IFERROR(INDEX(M_Depot!$A$7:$A$24,MATCH(F1101,M_Depot!$B$7:$B$24,0)),""))*(M_DepotPrice!$G$10:$G$52="Special"),0)),INDEX(M_DepotPrice!$C$10:$C$52,MATCH(1,(M_DepotPrice!$A$10:$A$52=I1101)*(M_DepotPrice!$G$10:$G$52="Default"),0)))</f>
        <v>8898</v>
      </c>
      <c r="N1101" s="67">
        <f t="shared" si="35"/>
        <v>10499.64</v>
      </c>
      <c r="O1101" s="66" t="str">
        <f t="shared" si="34"/>
        <v>MOS100842|PH008|CK5-33370</v>
      </c>
    </row>
    <row r="1102" spans="1:15" ht="15" customHeight="1" x14ac:dyDescent="0.3">
      <c r="A1102" s="70" t="s">
        <v>1781</v>
      </c>
      <c r="B1102" s="70" t="s">
        <v>579</v>
      </c>
      <c r="C1102" s="72">
        <v>46179</v>
      </c>
      <c r="D1102" s="73" t="s">
        <v>350</v>
      </c>
      <c r="E1102" s="76" t="str">
        <f>IFERROR(INDEX(M_User!$A$12:$J$67,MATCH(D1102,M_User!$D$12:$D$67,0),3),"UNMAPPED")</f>
        <v>Samson Felix Ngowi</v>
      </c>
      <c r="F1102" s="75" t="str">
        <f>IFERROR(INDEX(M_User!$A$12:$J$67,MATCH(D1102,M_User!$D$12:$D$67,0),5),"UNMAPPED")</f>
        <v>MOS</v>
      </c>
      <c r="G1102" s="73" t="s">
        <v>904</v>
      </c>
      <c r="H1102" s="92" t="s">
        <v>905</v>
      </c>
      <c r="I1102" s="73" t="s">
        <v>261</v>
      </c>
      <c r="J1102" s="76" t="str">
        <f>IFERROR(INDEX(M_SKU!$A$18:$J$57,MATCH(I1102,M_SKU!$B$18:$B$57,0),1),"UNKNOWN SKU")</f>
        <v>Sparletta Pine Apple Pet 300ML (x 12)</v>
      </c>
      <c r="K1102" s="73" t="s">
        <v>547</v>
      </c>
      <c r="L1102" s="276">
        <v>2</v>
      </c>
      <c r="M1102" s="94" cm="1">
        <f t="array" ref="M1102">IFERROR(INDEX(M_DepotPrice!$C$10:$C$52,MATCH(1,(M_DepotPrice!$A$10:$A$52=I1102)*(M_DepotPrice!$H$10:$H$52=IFERROR(INDEX(M_Depot!$A$7:$A$24,MATCH(F1102,M_Depot!$B$7:$B$24,0)),""))*(M_DepotPrice!$G$10:$G$52="Special"),0)),INDEX(M_DepotPrice!$C$10:$C$52,MATCH(1,(M_DepotPrice!$A$10:$A$52=I1102)*(M_DepotPrice!$G$10:$G$52="Default"),0)))</f>
        <v>5085</v>
      </c>
      <c r="N1102" s="95">
        <f t="shared" si="35"/>
        <v>12000.599999999999</v>
      </c>
      <c r="O1102" s="82" t="str">
        <f t="shared" si="34"/>
        <v>MOS100842|PO015|CK5-33366</v>
      </c>
    </row>
    <row r="1103" spans="1:15" ht="15" customHeight="1" x14ac:dyDescent="0.3">
      <c r="A1103" s="60" t="s">
        <v>1782</v>
      </c>
      <c r="B1103" s="60" t="s">
        <v>579</v>
      </c>
      <c r="C1103" s="62">
        <v>46179</v>
      </c>
      <c r="D1103" s="63" t="s">
        <v>350</v>
      </c>
      <c r="E1103" s="66" t="str">
        <f>IFERROR(INDEX(M_User!$A$12:$J$67,MATCH(D1103,M_User!$D$12:$D$67,0),3),"UNMAPPED")</f>
        <v>Samson Felix Ngowi</v>
      </c>
      <c r="F1103" s="65" t="str">
        <f>IFERROR(INDEX(M_User!$A$12:$J$67,MATCH(D1103,M_User!$D$12:$D$67,0),5),"UNMAPPED")</f>
        <v>MOS</v>
      </c>
      <c r="G1103" s="63" t="s">
        <v>797</v>
      </c>
      <c r="H1103" s="69" t="s">
        <v>798</v>
      </c>
      <c r="I1103" s="63" t="s">
        <v>170</v>
      </c>
      <c r="J1103" s="66" t="str">
        <f>IFERROR(INDEX(M_SKU!$A$18:$J$57,MATCH(I1103,M_SKU!$B$18:$B$57,0),1),"UNKNOWN SKU")</f>
        <v>Coke RGB 350ml</v>
      </c>
      <c r="K1103" s="63" t="s">
        <v>530</v>
      </c>
      <c r="L1103" s="276">
        <v>6.2549999999999999</v>
      </c>
      <c r="M1103" s="91" cm="1">
        <f t="array" ref="M1103">IFERROR(INDEX(M_DepotPrice!$C$10:$C$52,MATCH(1,(M_DepotPrice!$A$10:$A$52=I1103)*(M_DepotPrice!$H$10:$H$52=IFERROR(INDEX(M_Depot!$A$7:$A$24,MATCH(F1103,M_Depot!$B$7:$B$24,0)),""))*(M_DepotPrice!$G$10:$G$52="Special"),0)),INDEX(M_DepotPrice!$C$10:$C$52,MATCH(1,(M_DepotPrice!$A$10:$A$52=I1103)*(M_DepotPrice!$G$10:$G$52="Default"),0)))</f>
        <v>11780</v>
      </c>
      <c r="N1103" s="67">
        <f t="shared" si="35"/>
        <v>86947.001999999993</v>
      </c>
      <c r="O1103" s="66" t="str">
        <f t="shared" si="34"/>
        <v>MOS100842|FG001|CK3-33409</v>
      </c>
    </row>
    <row r="1104" spans="1:15" ht="15" customHeight="1" x14ac:dyDescent="0.3">
      <c r="A1104" s="70" t="s">
        <v>1783</v>
      </c>
      <c r="B1104" s="70" t="s">
        <v>579</v>
      </c>
      <c r="C1104" s="72">
        <v>46179</v>
      </c>
      <c r="D1104" s="73" t="s">
        <v>350</v>
      </c>
      <c r="E1104" s="76" t="str">
        <f>IFERROR(INDEX(M_User!$A$12:$J$67,MATCH(D1104,M_User!$D$12:$D$67,0),3),"UNMAPPED")</f>
        <v>Samson Felix Ngowi</v>
      </c>
      <c r="F1104" s="75" t="str">
        <f>IFERROR(INDEX(M_User!$A$12:$J$67,MATCH(D1104,M_User!$D$12:$D$67,0),5),"UNMAPPED")</f>
        <v>MOS</v>
      </c>
      <c r="G1104" s="73" t="s">
        <v>797</v>
      </c>
      <c r="H1104" s="92" t="s">
        <v>798</v>
      </c>
      <c r="I1104" s="73" t="s">
        <v>178</v>
      </c>
      <c r="J1104" s="76" t="str">
        <f>IFERROR(INDEX(M_SKU!$A$18:$J$57,MATCH(I1104,M_SKU!$B$18:$B$57,0),1),"UNKNOWN SKU")</f>
        <v>Fanta Orange RGB 350ml</v>
      </c>
      <c r="K1104" s="73" t="s">
        <v>531</v>
      </c>
      <c r="L1104" s="276">
        <v>11.380599999999999</v>
      </c>
      <c r="M1104" s="94" cm="1">
        <f t="array" ref="M1104">IFERROR(INDEX(M_DepotPrice!$C$10:$C$52,MATCH(1,(M_DepotPrice!$A$10:$A$52=I1104)*(M_DepotPrice!$H$10:$H$52=IFERROR(INDEX(M_Depot!$A$7:$A$24,MATCH(F1104,M_Depot!$B$7:$B$24,0)),""))*(M_DepotPrice!$G$10:$G$52="Special"),0)),INDEX(M_DepotPrice!$C$10:$C$52,MATCH(1,(M_DepotPrice!$A$10:$A$52=I1104)*(M_DepotPrice!$G$10:$G$52="Default"),0)))</f>
        <v>11780</v>
      </c>
      <c r="N1104" s="95">
        <f t="shared" si="35"/>
        <v>158194.89223999999</v>
      </c>
      <c r="O1104" s="82" t="str">
        <f t="shared" si="34"/>
        <v>MOS100842|FG002|CK3-33407</v>
      </c>
    </row>
    <row r="1105" spans="1:15" ht="15" customHeight="1" x14ac:dyDescent="0.3">
      <c r="A1105" s="60" t="s">
        <v>1784</v>
      </c>
      <c r="B1105" s="60" t="s">
        <v>589</v>
      </c>
      <c r="C1105" s="62">
        <v>46179</v>
      </c>
      <c r="D1105" s="63" t="s">
        <v>350</v>
      </c>
      <c r="E1105" s="66" t="str">
        <f>IFERROR(INDEX(M_User!$A$12:$J$67,MATCH(D1105,M_User!$D$12:$D$67,0),3),"UNMAPPED")</f>
        <v>Samson Felix Ngowi</v>
      </c>
      <c r="F1105" s="65" t="str">
        <f>IFERROR(INDEX(M_User!$A$12:$J$67,MATCH(D1105,M_User!$D$12:$D$67,0),5),"UNMAPPED")</f>
        <v>MOS</v>
      </c>
      <c r="G1105" s="63" t="s">
        <v>797</v>
      </c>
      <c r="H1105" s="69" t="s">
        <v>798</v>
      </c>
      <c r="I1105" s="63" t="s">
        <v>181</v>
      </c>
      <c r="J1105" s="66" t="str">
        <f>IFERROR(INDEX(M_SKU!$A$18:$J$57,MATCH(I1105,M_SKU!$B$18:$B$57,0),1),"UNKNOWN SKU")</f>
        <v>Fanta Passion RGB 350ml</v>
      </c>
      <c r="K1105" s="63" t="s">
        <v>532</v>
      </c>
      <c r="L1105" s="276">
        <v>0.72319999999999995</v>
      </c>
      <c r="M1105" s="91" cm="1">
        <f t="array" ref="M1105">IFERROR(INDEX(M_DepotPrice!$C$10:$C$52,MATCH(1,(M_DepotPrice!$A$10:$A$52=I1105)*(M_DepotPrice!$H$10:$H$52=IFERROR(INDEX(M_Depot!$A$7:$A$24,MATCH(F1105,M_Depot!$B$7:$B$24,0)),""))*(M_DepotPrice!$G$10:$G$52="Special"),0)),INDEX(M_DepotPrice!$C$10:$C$52,MATCH(1,(M_DepotPrice!$A$10:$A$52=I1105)*(M_DepotPrice!$G$10:$G$52="Default"),0)))</f>
        <v>11780</v>
      </c>
      <c r="N1105" s="67">
        <f t="shared" si="35"/>
        <v>10052.76928</v>
      </c>
      <c r="O1105" s="66" t="str">
        <f t="shared" si="34"/>
        <v>MOS100842|FG003|CK3-33387</v>
      </c>
    </row>
    <row r="1106" spans="1:15" ht="15" customHeight="1" x14ac:dyDescent="0.3">
      <c r="A1106" s="70" t="s">
        <v>1785</v>
      </c>
      <c r="B1106" s="70" t="s">
        <v>579</v>
      </c>
      <c r="C1106" s="72">
        <v>46179</v>
      </c>
      <c r="D1106" s="73" t="s">
        <v>350</v>
      </c>
      <c r="E1106" s="76" t="str">
        <f>IFERROR(INDEX(M_User!$A$12:$J$67,MATCH(D1106,M_User!$D$12:$D$67,0),3),"UNMAPPED")</f>
        <v>Samson Felix Ngowi</v>
      </c>
      <c r="F1106" s="75" t="str">
        <f>IFERROR(INDEX(M_User!$A$12:$J$67,MATCH(D1106,M_User!$D$12:$D$67,0),5),"UNMAPPED")</f>
        <v>MOS</v>
      </c>
      <c r="G1106" s="73" t="s">
        <v>797</v>
      </c>
      <c r="H1106" s="92" t="s">
        <v>798</v>
      </c>
      <c r="I1106" s="73" t="s">
        <v>183</v>
      </c>
      <c r="J1106" s="76" t="str">
        <f>IFERROR(INDEX(M_SKU!$A$18:$J$57,MATCH(I1106,M_SKU!$B$18:$B$57,0),1),"UNKNOWN SKU")</f>
        <v>Fanta Pineapple RGB 350ml</v>
      </c>
      <c r="K1106" s="73" t="s">
        <v>533</v>
      </c>
      <c r="L1106" s="276">
        <v>4.6179201303918802</v>
      </c>
      <c r="M1106" s="94" cm="1">
        <f t="array" ref="M1106">IFERROR(INDEX(M_DepotPrice!$C$10:$C$52,MATCH(1,(M_DepotPrice!$A$10:$A$52=I1106)*(M_DepotPrice!$H$10:$H$52=IFERROR(INDEX(M_Depot!$A$7:$A$24,MATCH(F1106,M_Depot!$B$7:$B$24,0)),""))*(M_DepotPrice!$G$10:$G$52="Special"),0)),INDEX(M_DepotPrice!$C$10:$C$52,MATCH(1,(M_DepotPrice!$A$10:$A$52=I1106)*(M_DepotPrice!$G$10:$G$52="Default"),0)))</f>
        <v>11780</v>
      </c>
      <c r="N1106" s="95">
        <f t="shared" si="35"/>
        <v>64190.936980499282</v>
      </c>
      <c r="O1106" s="82" t="str">
        <f t="shared" si="34"/>
        <v>MOS100842|FG004|CK3-33385</v>
      </c>
    </row>
    <row r="1107" spans="1:15" ht="15" customHeight="1" x14ac:dyDescent="0.3">
      <c r="A1107" s="60" t="s">
        <v>1786</v>
      </c>
      <c r="B1107" s="60" t="s">
        <v>589</v>
      </c>
      <c r="C1107" s="62">
        <v>46179</v>
      </c>
      <c r="D1107" s="63" t="s">
        <v>350</v>
      </c>
      <c r="E1107" s="66" t="str">
        <f>IFERROR(INDEX(M_User!$A$12:$J$67,MATCH(D1107,M_User!$D$12:$D$67,0),3),"UNMAPPED")</f>
        <v>Samson Felix Ngowi</v>
      </c>
      <c r="F1107" s="65" t="str">
        <f>IFERROR(INDEX(M_User!$A$12:$J$67,MATCH(D1107,M_User!$D$12:$D$67,0),5),"UNMAPPED")</f>
        <v>MOS</v>
      </c>
      <c r="G1107" s="63" t="s">
        <v>797</v>
      </c>
      <c r="H1107" s="69" t="s">
        <v>798</v>
      </c>
      <c r="I1107" s="63" t="s">
        <v>183</v>
      </c>
      <c r="J1107" s="66" t="str">
        <f>IFERROR(INDEX(M_SKU!$A$18:$J$57,MATCH(I1107,M_SKU!$B$18:$B$57,0),1),"UNKNOWN SKU")</f>
        <v>Fanta Pineapple RGB 350ml</v>
      </c>
      <c r="K1107" s="63" t="s">
        <v>533</v>
      </c>
      <c r="L1107" s="276">
        <v>0.80953300381528803</v>
      </c>
      <c r="M1107" s="91" cm="1">
        <f t="array" ref="M1107">IFERROR(INDEX(M_DepotPrice!$C$10:$C$52,MATCH(1,(M_DepotPrice!$A$10:$A$52=I1107)*(M_DepotPrice!$H$10:$H$52=IFERROR(INDEX(M_Depot!$A$7:$A$24,MATCH(F1107,M_Depot!$B$7:$B$24,0)),""))*(M_DepotPrice!$G$10:$G$52="Special"),0)),INDEX(M_DepotPrice!$C$10:$C$52,MATCH(1,(M_DepotPrice!$A$10:$A$52=I1107)*(M_DepotPrice!$G$10:$G$52="Default"),0)))</f>
        <v>11780</v>
      </c>
      <c r="N1107" s="67">
        <f t="shared" si="35"/>
        <v>11252.832566234028</v>
      </c>
      <c r="O1107" s="66" t="str">
        <f t="shared" si="34"/>
        <v>MOS100842|FG004|CK3-33385</v>
      </c>
    </row>
    <row r="1108" spans="1:15" ht="15" customHeight="1" x14ac:dyDescent="0.3">
      <c r="A1108" s="70" t="s">
        <v>1787</v>
      </c>
      <c r="B1108" s="70" t="s">
        <v>579</v>
      </c>
      <c r="C1108" s="72">
        <v>46179</v>
      </c>
      <c r="D1108" s="73" t="s">
        <v>350</v>
      </c>
      <c r="E1108" s="76" t="str">
        <f>IFERROR(INDEX(M_User!$A$12:$J$67,MATCH(D1108,M_User!$D$12:$D$67,0),3),"UNMAPPED")</f>
        <v>Samson Felix Ngowi</v>
      </c>
      <c r="F1108" s="75" t="str">
        <f>IFERROR(INDEX(M_User!$A$12:$J$67,MATCH(D1108,M_User!$D$12:$D$67,0),5),"UNMAPPED")</f>
        <v>MOS</v>
      </c>
      <c r="G1108" s="73" t="s">
        <v>797</v>
      </c>
      <c r="H1108" s="92" t="s">
        <v>798</v>
      </c>
      <c r="I1108" s="73" t="s">
        <v>185</v>
      </c>
      <c r="J1108" s="76" t="str">
        <f>IFERROR(INDEX(M_SKU!$A$18:$J$57,MATCH(I1108,M_SKU!$B$18:$B$57,0),1),"UNKNOWN SKU")</f>
        <v>Fanta Fruit Blast RGB 350 ml</v>
      </c>
      <c r="K1108" s="73" t="s">
        <v>534</v>
      </c>
      <c r="L1108" s="276">
        <v>0.71419999999999995</v>
      </c>
      <c r="M1108" s="94" cm="1">
        <f t="array" ref="M1108">IFERROR(INDEX(M_DepotPrice!$C$10:$C$52,MATCH(1,(M_DepotPrice!$A$10:$A$52=I1108)*(M_DepotPrice!$H$10:$H$52=IFERROR(INDEX(M_Depot!$A$7:$A$24,MATCH(F1108,M_Depot!$B$7:$B$24,0)),""))*(M_DepotPrice!$G$10:$G$52="Special"),0)),INDEX(M_DepotPrice!$C$10:$C$52,MATCH(1,(M_DepotPrice!$A$10:$A$52=I1108)*(M_DepotPrice!$G$10:$G$52="Default"),0)))</f>
        <v>11780</v>
      </c>
      <c r="N1108" s="95">
        <f t="shared" si="35"/>
        <v>9927.6656800000001</v>
      </c>
      <c r="O1108" s="82" t="str">
        <f t="shared" si="34"/>
        <v>MOS100842|FG005|CK3-33402</v>
      </c>
    </row>
    <row r="1109" spans="1:15" ht="15" customHeight="1" x14ac:dyDescent="0.3">
      <c r="A1109" s="60" t="s">
        <v>1788</v>
      </c>
      <c r="B1109" s="60" t="s">
        <v>589</v>
      </c>
      <c r="C1109" s="62">
        <v>46179</v>
      </c>
      <c r="D1109" s="63" t="s">
        <v>350</v>
      </c>
      <c r="E1109" s="66" t="str">
        <f>IFERROR(INDEX(M_User!$A$12:$J$67,MATCH(D1109,M_User!$D$12:$D$67,0),3),"UNMAPPED")</f>
        <v>Samson Felix Ngowi</v>
      </c>
      <c r="F1109" s="65" t="str">
        <f>IFERROR(INDEX(M_User!$A$12:$J$67,MATCH(D1109,M_User!$D$12:$D$67,0),5),"UNMAPPED")</f>
        <v>MOS</v>
      </c>
      <c r="G1109" s="63" t="s">
        <v>797</v>
      </c>
      <c r="H1109" s="69" t="s">
        <v>798</v>
      </c>
      <c r="I1109" s="63" t="s">
        <v>190</v>
      </c>
      <c r="J1109" s="66" t="str">
        <f>IFERROR(INDEX(M_SKU!$A$18:$J$57,MATCH(I1109,M_SKU!$B$18:$B$57,0),1),"UNKNOWN SKU")</f>
        <v>Stoney Tangawizi RGB 350ml</v>
      </c>
      <c r="K1109" s="63" t="s">
        <v>536</v>
      </c>
      <c r="L1109" s="276">
        <v>0.1898</v>
      </c>
      <c r="M1109" s="91" cm="1">
        <f t="array" ref="M1109">IFERROR(INDEX(M_DepotPrice!$C$10:$C$52,MATCH(1,(M_DepotPrice!$A$10:$A$52=I1109)*(M_DepotPrice!$H$10:$H$52=IFERROR(INDEX(M_Depot!$A$7:$A$24,MATCH(F1109,M_Depot!$B$7:$B$24,0)),""))*(M_DepotPrice!$G$10:$G$52="Special"),0)),INDEX(M_DepotPrice!$C$10:$C$52,MATCH(1,(M_DepotPrice!$A$10:$A$52=I1109)*(M_DepotPrice!$G$10:$G$52="Default"),0)))</f>
        <v>11780</v>
      </c>
      <c r="N1109" s="67">
        <f t="shared" si="35"/>
        <v>2638.29592</v>
      </c>
      <c r="O1109" s="66" t="str">
        <f t="shared" si="34"/>
        <v>MOS100842|FG007|CK3-33404</v>
      </c>
    </row>
    <row r="1110" spans="1:15" ht="15" customHeight="1" x14ac:dyDescent="0.3">
      <c r="A1110" s="70" t="s">
        <v>1789</v>
      </c>
      <c r="B1110" s="70" t="s">
        <v>589</v>
      </c>
      <c r="C1110" s="72">
        <v>46179</v>
      </c>
      <c r="D1110" s="73" t="s">
        <v>350</v>
      </c>
      <c r="E1110" s="76" t="str">
        <f>IFERROR(INDEX(M_User!$A$12:$J$67,MATCH(D1110,M_User!$D$12:$D$67,0),3),"UNMAPPED")</f>
        <v>Samson Felix Ngowi</v>
      </c>
      <c r="F1110" s="75" t="str">
        <f>IFERROR(INDEX(M_User!$A$12:$J$67,MATCH(D1110,M_User!$D$12:$D$67,0),5),"UNMAPPED")</f>
        <v>MOS</v>
      </c>
      <c r="G1110" s="73" t="s">
        <v>797</v>
      </c>
      <c r="H1110" s="92" t="s">
        <v>798</v>
      </c>
      <c r="I1110" s="73" t="s">
        <v>193</v>
      </c>
      <c r="J1110" s="76" t="str">
        <f>IFERROR(INDEX(M_SKU!$A$18:$J$57,MATCH(I1110,M_SKU!$B$18:$B$57,0),1),"UNKNOWN SKU")</f>
        <v>Sparletta Pinenut RGB 350ml</v>
      </c>
      <c r="K1110" s="73" t="s">
        <v>591</v>
      </c>
      <c r="L1110" s="276">
        <v>0.189</v>
      </c>
      <c r="M1110" s="94" cm="1">
        <f t="array" ref="M1110">IFERROR(INDEX(M_DepotPrice!$C$10:$C$52,MATCH(1,(M_DepotPrice!$A$10:$A$52=I1110)*(M_DepotPrice!$H$10:$H$52=IFERROR(INDEX(M_Depot!$A$7:$A$24,MATCH(F1110,M_Depot!$B$7:$B$24,0)),""))*(M_DepotPrice!$G$10:$G$52="Special"),0)),INDEX(M_DepotPrice!$C$10:$C$52,MATCH(1,(M_DepotPrice!$A$10:$A$52=I1110)*(M_DepotPrice!$G$10:$G$52="Default"),0)))</f>
        <v>11780</v>
      </c>
      <c r="N1110" s="95">
        <f t="shared" si="35"/>
        <v>2627.1756</v>
      </c>
      <c r="O1110" s="82" t="str">
        <f t="shared" si="34"/>
        <v>MOS100842|FG008|CK3-33261</v>
      </c>
    </row>
    <row r="1111" spans="1:15" ht="15" customHeight="1" x14ac:dyDescent="0.3">
      <c r="A1111" s="60" t="s">
        <v>1790</v>
      </c>
      <c r="B1111" s="60" t="s">
        <v>579</v>
      </c>
      <c r="C1111" s="62">
        <v>46179</v>
      </c>
      <c r="D1111" s="63" t="s">
        <v>350</v>
      </c>
      <c r="E1111" s="66" t="str">
        <f>IFERROR(INDEX(M_User!$A$12:$J$67,MATCH(D1111,M_User!$D$12:$D$67,0),3),"UNMAPPED")</f>
        <v>Samson Felix Ngowi</v>
      </c>
      <c r="F1111" s="65" t="str">
        <f>IFERROR(INDEX(M_User!$A$12:$J$67,MATCH(D1111,M_User!$D$12:$D$67,0),5),"UNMAPPED")</f>
        <v>MOS</v>
      </c>
      <c r="G1111" s="63" t="s">
        <v>797</v>
      </c>
      <c r="H1111" s="69" t="s">
        <v>798</v>
      </c>
      <c r="I1111" s="63" t="s">
        <v>193</v>
      </c>
      <c r="J1111" s="66" t="str">
        <f>IFERROR(INDEX(M_SKU!$A$18:$J$57,MATCH(I1111,M_SKU!$B$18:$B$57,0),1),"UNKNOWN SKU")</f>
        <v>Sparletta Pinenut RGB 350ml</v>
      </c>
      <c r="K1111" s="63" t="s">
        <v>580</v>
      </c>
      <c r="L1111" s="276">
        <v>0.91971549106113903</v>
      </c>
      <c r="M1111" s="91" cm="1">
        <f t="array" ref="M1111">IFERROR(INDEX(M_DepotPrice!$C$10:$C$52,MATCH(1,(M_DepotPrice!$A$10:$A$52=I1111)*(M_DepotPrice!$H$10:$H$52=IFERROR(INDEX(M_Depot!$A$7:$A$24,MATCH(F1111,M_Depot!$B$7:$B$24,0)),""))*(M_DepotPrice!$G$10:$G$52="Special"),0)),INDEX(M_DepotPrice!$C$10:$C$52,MATCH(1,(M_DepotPrice!$A$10:$A$52=I1111)*(M_DepotPrice!$G$10:$G$52="Default"),0)))</f>
        <v>11780</v>
      </c>
      <c r="N1111" s="67">
        <f t="shared" si="35"/>
        <v>12784.413211946256</v>
      </c>
      <c r="O1111" s="66" t="str">
        <f t="shared" si="34"/>
        <v>MOS100842|FG008|CK3-33367</v>
      </c>
    </row>
    <row r="1112" spans="1:15" ht="15" customHeight="1" x14ac:dyDescent="0.3">
      <c r="A1112" s="70" t="s">
        <v>1791</v>
      </c>
      <c r="B1112" s="70" t="s">
        <v>589</v>
      </c>
      <c r="C1112" s="72">
        <v>46179</v>
      </c>
      <c r="D1112" s="73" t="s">
        <v>350</v>
      </c>
      <c r="E1112" s="76" t="str">
        <f>IFERROR(INDEX(M_User!$A$12:$J$67,MATCH(D1112,M_User!$D$12:$D$67,0),3),"UNMAPPED")</f>
        <v>Samson Felix Ngowi</v>
      </c>
      <c r="F1112" s="75" t="str">
        <f>IFERROR(INDEX(M_User!$A$12:$J$67,MATCH(D1112,M_User!$D$12:$D$67,0),5),"UNMAPPED")</f>
        <v>MOS</v>
      </c>
      <c r="G1112" s="73" t="s">
        <v>797</v>
      </c>
      <c r="H1112" s="92" t="s">
        <v>798</v>
      </c>
      <c r="I1112" s="73" t="s">
        <v>196</v>
      </c>
      <c r="J1112" s="76" t="str">
        <f>IFERROR(INDEX(M_SKU!$A$18:$J$57,MATCH(I1112,M_SKU!$B$18:$B$57,0),1),"UNKNOWN SKU")</f>
        <v>Krest Bitter Lemon RGB 300ml</v>
      </c>
      <c r="K1112" s="73" t="s">
        <v>538</v>
      </c>
      <c r="L1112" s="276">
        <v>0.336350823522577</v>
      </c>
      <c r="M1112" s="94" cm="1">
        <f t="array" ref="M1112">IFERROR(INDEX(M_DepotPrice!$C$10:$C$52,MATCH(1,(M_DepotPrice!$A$10:$A$52=I1112)*(M_DepotPrice!$H$10:$H$52=IFERROR(INDEX(M_Depot!$A$7:$A$24,MATCH(F1112,M_Depot!$B$7:$B$24,0)),""))*(M_DepotPrice!$G$10:$G$52="Special"),0)),INDEX(M_DepotPrice!$C$10:$C$52,MATCH(1,(M_DepotPrice!$A$10:$A$52=I1112)*(M_DepotPrice!$G$10:$G$52="Default"),0)))</f>
        <v>11780</v>
      </c>
      <c r="N1112" s="95">
        <f t="shared" si="35"/>
        <v>4675.4109872932295</v>
      </c>
      <c r="O1112" s="82" t="str">
        <f t="shared" si="34"/>
        <v>MOS100842|FG009|CK3-33348</v>
      </c>
    </row>
    <row r="1113" spans="1:15" ht="15" customHeight="1" x14ac:dyDescent="0.3">
      <c r="A1113" s="60" t="s">
        <v>1792</v>
      </c>
      <c r="B1113" s="60" t="s">
        <v>589</v>
      </c>
      <c r="C1113" s="62">
        <v>46179</v>
      </c>
      <c r="D1113" s="63" t="s">
        <v>350</v>
      </c>
      <c r="E1113" s="66" t="str">
        <f>IFERROR(INDEX(M_User!$A$12:$J$67,MATCH(D1113,M_User!$D$12:$D$67,0),3),"UNMAPPED")</f>
        <v>Samson Felix Ngowi</v>
      </c>
      <c r="F1113" s="65" t="str">
        <f>IFERROR(INDEX(M_User!$A$12:$J$67,MATCH(D1113,M_User!$D$12:$D$67,0),5),"UNMAPPED")</f>
        <v>MOS</v>
      </c>
      <c r="G1113" s="63" t="s">
        <v>797</v>
      </c>
      <c r="H1113" s="69" t="s">
        <v>798</v>
      </c>
      <c r="I1113" s="63" t="s">
        <v>199</v>
      </c>
      <c r="J1113" s="66" t="str">
        <f>IFERROR(INDEX(M_SKU!$A$18:$J$57,MATCH(I1113,M_SKU!$B$18:$B$57,0),1),"UNKNOWN SKU")</f>
        <v>Krest Club Soda RGB 300ml</v>
      </c>
      <c r="K1113" s="63" t="s">
        <v>592</v>
      </c>
      <c r="L1113" s="276">
        <v>0.202749015224854</v>
      </c>
      <c r="M1113" s="91" cm="1">
        <f t="array" ref="M1113">IFERROR(INDEX(M_DepotPrice!$C$10:$C$52,MATCH(1,(M_DepotPrice!$A$10:$A$52=I1113)*(M_DepotPrice!$H$10:$H$52=IFERROR(INDEX(M_Depot!$A$7:$A$24,MATCH(F1113,M_Depot!$B$7:$B$24,0)),""))*(M_DepotPrice!$G$10:$G$52="Special"),0)),INDEX(M_DepotPrice!$C$10:$C$52,MATCH(1,(M_DepotPrice!$A$10:$A$52=I1113)*(M_DepotPrice!$G$10:$G$52="Default"),0)))</f>
        <v>11780</v>
      </c>
      <c r="N1113" s="67">
        <f t="shared" si="35"/>
        <v>2818.2924112315604</v>
      </c>
      <c r="O1113" s="66" t="str">
        <f t="shared" si="34"/>
        <v>MOS100842|FG010|CK3-33070</v>
      </c>
    </row>
    <row r="1114" spans="1:15" ht="15" customHeight="1" x14ac:dyDescent="0.3">
      <c r="A1114" s="70" t="s">
        <v>1793</v>
      </c>
      <c r="B1114" s="70" t="s">
        <v>579</v>
      </c>
      <c r="C1114" s="72">
        <v>46179</v>
      </c>
      <c r="D1114" s="73" t="s">
        <v>350</v>
      </c>
      <c r="E1114" s="76" t="str">
        <f>IFERROR(INDEX(M_User!$A$12:$J$67,MATCH(D1114,M_User!$D$12:$D$67,0),3),"UNMAPPED")</f>
        <v>Samson Felix Ngowi</v>
      </c>
      <c r="F1114" s="75" t="str">
        <f>IFERROR(INDEX(M_User!$A$12:$J$67,MATCH(D1114,M_User!$D$12:$D$67,0),5),"UNMAPPED")</f>
        <v>MOS</v>
      </c>
      <c r="G1114" s="73" t="s">
        <v>797</v>
      </c>
      <c r="H1114" s="92" t="s">
        <v>798</v>
      </c>
      <c r="I1114" s="73" t="s">
        <v>199</v>
      </c>
      <c r="J1114" s="76" t="str">
        <f>IFERROR(INDEX(M_SKU!$A$18:$J$57,MATCH(I1114,M_SKU!$B$18:$B$57,0),1),"UNKNOWN SKU")</f>
        <v>Krest Club Soda RGB 300ml</v>
      </c>
      <c r="K1114" s="73" t="s">
        <v>539</v>
      </c>
      <c r="L1114" s="276">
        <v>0.50460000000000005</v>
      </c>
      <c r="M1114" s="94" cm="1">
        <f t="array" ref="M1114">IFERROR(INDEX(M_DepotPrice!$C$10:$C$52,MATCH(1,(M_DepotPrice!$A$10:$A$52=I1114)*(M_DepotPrice!$H$10:$H$52=IFERROR(INDEX(M_Depot!$A$7:$A$24,MATCH(F1114,M_Depot!$B$7:$B$24,0)),""))*(M_DepotPrice!$G$10:$G$52="Special"),0)),INDEX(M_DepotPrice!$C$10:$C$52,MATCH(1,(M_DepotPrice!$A$10:$A$52=I1114)*(M_DepotPrice!$G$10:$G$52="Default"),0)))</f>
        <v>11780</v>
      </c>
      <c r="N1114" s="95">
        <f t="shared" si="35"/>
        <v>7014.1418400000011</v>
      </c>
      <c r="O1114" s="82" t="str">
        <f t="shared" si="34"/>
        <v>MOS100842|FG010|CK3-33301</v>
      </c>
    </row>
    <row r="1115" spans="1:15" ht="15" customHeight="1" x14ac:dyDescent="0.3">
      <c r="A1115" s="60" t="s">
        <v>1794</v>
      </c>
      <c r="B1115" s="60" t="s">
        <v>589</v>
      </c>
      <c r="C1115" s="62">
        <v>46179</v>
      </c>
      <c r="D1115" s="63" t="s">
        <v>350</v>
      </c>
      <c r="E1115" s="66" t="str">
        <f>IFERROR(INDEX(M_User!$A$12:$J$67,MATCH(D1115,M_User!$D$12:$D$67,0),3),"UNMAPPED")</f>
        <v>Samson Felix Ngowi</v>
      </c>
      <c r="F1115" s="65" t="str">
        <f>IFERROR(INDEX(M_User!$A$12:$J$67,MATCH(D1115,M_User!$D$12:$D$67,0),5),"UNMAPPED")</f>
        <v>MOS</v>
      </c>
      <c r="G1115" s="63" t="s">
        <v>797</v>
      </c>
      <c r="H1115" s="69" t="s">
        <v>798</v>
      </c>
      <c r="I1115" s="63" t="s">
        <v>201</v>
      </c>
      <c r="J1115" s="66" t="str">
        <f>IFERROR(INDEX(M_SKU!$A$18:$J$57,MATCH(I1115,M_SKU!$B$18:$B$57,0),1),"UNKNOWN SKU")</f>
        <v>Krest Tonic Water RGB 300ml</v>
      </c>
      <c r="K1115" s="63" t="s">
        <v>540</v>
      </c>
      <c r="L1115" s="276">
        <v>0.3483</v>
      </c>
      <c r="M1115" s="91" cm="1">
        <f t="array" ref="M1115">IFERROR(INDEX(M_DepotPrice!$C$10:$C$52,MATCH(1,(M_DepotPrice!$A$10:$A$52=I1115)*(M_DepotPrice!$H$10:$H$52=IFERROR(INDEX(M_Depot!$A$7:$A$24,MATCH(F1115,M_Depot!$B$7:$B$24,0)),""))*(M_DepotPrice!$G$10:$G$52="Special"),0)),INDEX(M_DepotPrice!$C$10:$C$52,MATCH(1,(M_DepotPrice!$A$10:$A$52=I1115)*(M_DepotPrice!$G$10:$G$52="Default"),0)))</f>
        <v>11780</v>
      </c>
      <c r="N1115" s="67">
        <f t="shared" si="35"/>
        <v>4841.5093200000001</v>
      </c>
      <c r="O1115" s="66" t="str">
        <f t="shared" si="34"/>
        <v>MOS100842|FG011|CK3-33347</v>
      </c>
    </row>
    <row r="1116" spans="1:15" ht="15" customHeight="1" x14ac:dyDescent="0.3">
      <c r="A1116" s="70" t="s">
        <v>1795</v>
      </c>
      <c r="B1116" s="70" t="s">
        <v>589</v>
      </c>
      <c r="C1116" s="72">
        <v>46179</v>
      </c>
      <c r="D1116" s="73" t="s">
        <v>350</v>
      </c>
      <c r="E1116" s="76" t="str">
        <f>IFERROR(INDEX(M_User!$A$12:$J$67,MATCH(D1116,M_User!$D$12:$D$67,0),3),"UNMAPPED")</f>
        <v>Samson Felix Ngowi</v>
      </c>
      <c r="F1116" s="75" t="str">
        <f>IFERROR(INDEX(M_User!$A$12:$J$67,MATCH(D1116,M_User!$D$12:$D$67,0),5),"UNMAPPED")</f>
        <v>MOS</v>
      </c>
      <c r="G1116" s="73" t="s">
        <v>797</v>
      </c>
      <c r="H1116" s="92" t="s">
        <v>798</v>
      </c>
      <c r="I1116" s="73" t="s">
        <v>203</v>
      </c>
      <c r="J1116" s="76" t="str">
        <f>IFERROR(INDEX(M_SKU!$A$18:$J$57,MATCH(I1116,M_SKU!$B$18:$B$57,0),1),"UNKNOWN SKU")</f>
        <v>Krest Ginger Ale RGB 300ml</v>
      </c>
      <c r="K1116" s="73" t="s">
        <v>541</v>
      </c>
      <c r="L1116" s="276">
        <v>0.301291678515827</v>
      </c>
      <c r="M1116" s="94" cm="1">
        <f t="array" ref="M1116">IFERROR(INDEX(M_DepotPrice!$C$10:$C$52,MATCH(1,(M_DepotPrice!$A$10:$A$52=I1116)*(M_DepotPrice!$H$10:$H$52=IFERROR(INDEX(M_Depot!$A$7:$A$24,MATCH(F1116,M_Depot!$B$7:$B$24,0)),""))*(M_DepotPrice!$G$10:$G$52="Special"),0)),INDEX(M_DepotPrice!$C$10:$C$52,MATCH(1,(M_DepotPrice!$A$10:$A$52=I1116)*(M_DepotPrice!$G$10:$G$52="Default"),0)))</f>
        <v>11780</v>
      </c>
      <c r="N1116" s="95">
        <f t="shared" si="35"/>
        <v>4188.0748480414013</v>
      </c>
      <c r="O1116" s="82" t="str">
        <f t="shared" si="34"/>
        <v>MOS100842|FG012|CK3-33126</v>
      </c>
    </row>
    <row r="1117" spans="1:15" ht="15" customHeight="1" x14ac:dyDescent="0.3">
      <c r="A1117" s="60" t="s">
        <v>1796</v>
      </c>
      <c r="B1117" s="60" t="s">
        <v>589</v>
      </c>
      <c r="C1117" s="62">
        <v>46179</v>
      </c>
      <c r="D1117" s="63" t="s">
        <v>350</v>
      </c>
      <c r="E1117" s="66" t="str">
        <f>IFERROR(INDEX(M_User!$A$12:$J$67,MATCH(D1117,M_User!$D$12:$D$67,0),3),"UNMAPPED")</f>
        <v>Samson Felix Ngowi</v>
      </c>
      <c r="F1117" s="65" t="str">
        <f>IFERROR(INDEX(M_User!$A$12:$J$67,MATCH(D1117,M_User!$D$12:$D$67,0),5),"UNMAPPED")</f>
        <v>MOS</v>
      </c>
      <c r="G1117" s="63" t="s">
        <v>797</v>
      </c>
      <c r="H1117" s="69" t="s">
        <v>798</v>
      </c>
      <c r="I1117" s="63" t="s">
        <v>211</v>
      </c>
      <c r="J1117" s="66" t="str">
        <f>IFERROR(INDEX(M_SKU!$A$18:$J$57,MATCH(I1117,M_SKU!$B$18:$B$57,0),1),"UNKNOWN SKU")</f>
        <v>KNMW 500ml</v>
      </c>
      <c r="K1117" s="63" t="s">
        <v>593</v>
      </c>
      <c r="L1117" s="276">
        <v>15</v>
      </c>
      <c r="M1117" s="91" cm="1">
        <f t="array" ref="M1117">IFERROR(INDEX(M_DepotPrice!$C$10:$C$52,MATCH(1,(M_DepotPrice!$A$10:$A$52=I1117)*(M_DepotPrice!$H$10:$H$52=IFERROR(INDEX(M_Depot!$A$7:$A$24,MATCH(F1117,M_Depot!$B$7:$B$24,0)),""))*(M_DepotPrice!$G$10:$G$52="Special"),0)),INDEX(M_DepotPrice!$C$10:$C$52,MATCH(1,(M_DepotPrice!$A$10:$A$52=I1117)*(M_DepotPrice!$G$10:$G$52="Default"),0)))</f>
        <v>3559</v>
      </c>
      <c r="N1117" s="67">
        <f t="shared" si="35"/>
        <v>62994.299999999996</v>
      </c>
      <c r="O1117" s="66" t="str">
        <f t="shared" si="34"/>
        <v>MOS100842|KD001|CK6-984</v>
      </c>
    </row>
    <row r="1118" spans="1:15" ht="15" customHeight="1" x14ac:dyDescent="0.3">
      <c r="A1118" s="70" t="s">
        <v>1797</v>
      </c>
      <c r="B1118" s="70" t="s">
        <v>579</v>
      </c>
      <c r="C1118" s="72">
        <v>46179</v>
      </c>
      <c r="D1118" s="73" t="s">
        <v>350</v>
      </c>
      <c r="E1118" s="76" t="str">
        <f>IFERROR(INDEX(M_User!$A$12:$J$67,MATCH(D1118,M_User!$D$12:$D$67,0),3),"UNMAPPED")</f>
        <v>Samson Felix Ngowi</v>
      </c>
      <c r="F1118" s="75" t="str">
        <f>IFERROR(INDEX(M_User!$A$12:$J$67,MATCH(D1118,M_User!$D$12:$D$67,0),5),"UNMAPPED")</f>
        <v>MOS</v>
      </c>
      <c r="G1118" s="73" t="s">
        <v>797</v>
      </c>
      <c r="H1118" s="92" t="s">
        <v>798</v>
      </c>
      <c r="I1118" s="73" t="s">
        <v>217</v>
      </c>
      <c r="J1118" s="76" t="str">
        <f>IFERROR(INDEX(M_SKU!$A$18:$J$57,MATCH(I1118,M_SKU!$B$18:$B$57,0),1),"UNKNOWN SKU")</f>
        <v>KNMW 1500ml</v>
      </c>
      <c r="K1118" s="73" t="s">
        <v>551</v>
      </c>
      <c r="L1118" s="276">
        <v>37</v>
      </c>
      <c r="M1118" s="94" cm="1">
        <f t="array" ref="M1118">IFERROR(INDEX(M_DepotPrice!$C$10:$C$52,MATCH(1,(M_DepotPrice!$A$10:$A$52=I1118)*(M_DepotPrice!$H$10:$H$52=IFERROR(INDEX(M_Depot!$A$7:$A$24,MATCH(F1118,M_Depot!$B$7:$B$24,0)),""))*(M_DepotPrice!$G$10:$G$52="Special"),0)),INDEX(M_DepotPrice!$C$10:$C$52,MATCH(1,(M_DepotPrice!$A$10:$A$52=I1118)*(M_DepotPrice!$G$10:$G$52="Default"),0)))</f>
        <v>3983</v>
      </c>
      <c r="N1118" s="95">
        <f t="shared" si="35"/>
        <v>173897.78</v>
      </c>
      <c r="O1118" s="82" t="str">
        <f t="shared" si="34"/>
        <v>MOS100842|KD003|CK4-842</v>
      </c>
    </row>
    <row r="1119" spans="1:15" ht="15" customHeight="1" x14ac:dyDescent="0.3">
      <c r="A1119" s="60" t="s">
        <v>1798</v>
      </c>
      <c r="B1119" s="60" t="s">
        <v>579</v>
      </c>
      <c r="C1119" s="62">
        <v>46179</v>
      </c>
      <c r="D1119" s="63" t="s">
        <v>350</v>
      </c>
      <c r="E1119" s="66" t="str">
        <f>IFERROR(INDEX(M_User!$A$12:$J$67,MATCH(D1119,M_User!$D$12:$D$67,0),3),"UNMAPPED")</f>
        <v>Samson Felix Ngowi</v>
      </c>
      <c r="F1119" s="65" t="str">
        <f>IFERROR(INDEX(M_User!$A$12:$J$67,MATCH(D1119,M_User!$D$12:$D$67,0),5),"UNMAPPED")</f>
        <v>MOS</v>
      </c>
      <c r="G1119" s="63" t="s">
        <v>797</v>
      </c>
      <c r="H1119" s="69" t="s">
        <v>798</v>
      </c>
      <c r="I1119" s="63" t="s">
        <v>229</v>
      </c>
      <c r="J1119" s="66" t="str">
        <f>IFERROR(INDEX(M_SKU!$A$18:$J$57,MATCH(I1119,M_SKU!$B$18:$B$57,0),1),"UNKNOWN SKU")</f>
        <v>Coke Pet 500ML ( x12)</v>
      </c>
      <c r="K1119" s="63" t="s">
        <v>520</v>
      </c>
      <c r="L1119" s="276">
        <v>4</v>
      </c>
      <c r="M1119" s="91" cm="1">
        <f t="array" ref="M1119">IFERROR(INDEX(M_DepotPrice!$C$10:$C$52,MATCH(1,(M_DepotPrice!$A$10:$A$52=I1119)*(M_DepotPrice!$H$10:$H$52=IFERROR(INDEX(M_Depot!$A$7:$A$24,MATCH(F1119,M_Depot!$B$7:$B$24,0)),""))*(M_DepotPrice!$G$10:$G$52="Special"),0)),INDEX(M_DepotPrice!$C$10:$C$52,MATCH(1,(M_DepotPrice!$A$10:$A$52=I1119)*(M_DepotPrice!$G$10:$G$52="Default"),0)))</f>
        <v>8898</v>
      </c>
      <c r="N1119" s="67">
        <f t="shared" si="35"/>
        <v>41998.559999999998</v>
      </c>
      <c r="O1119" s="66" t="str">
        <f t="shared" si="34"/>
        <v>MOS100842|PH001|CK6-33411</v>
      </c>
    </row>
    <row r="1120" spans="1:15" ht="15" customHeight="1" x14ac:dyDescent="0.3">
      <c r="A1120" s="70" t="s">
        <v>1799</v>
      </c>
      <c r="B1120" s="70" t="s">
        <v>579</v>
      </c>
      <c r="C1120" s="72">
        <v>46179</v>
      </c>
      <c r="D1120" s="73" t="s">
        <v>350</v>
      </c>
      <c r="E1120" s="76" t="str">
        <f>IFERROR(INDEX(M_User!$A$12:$J$67,MATCH(D1120,M_User!$D$12:$D$67,0),3),"UNMAPPED")</f>
        <v>Samson Felix Ngowi</v>
      </c>
      <c r="F1120" s="75" t="str">
        <f>IFERROR(INDEX(M_User!$A$12:$J$67,MATCH(D1120,M_User!$D$12:$D$67,0),5),"UNMAPPED")</f>
        <v>MOS</v>
      </c>
      <c r="G1120" s="73" t="s">
        <v>797</v>
      </c>
      <c r="H1120" s="92" t="s">
        <v>798</v>
      </c>
      <c r="I1120" s="73" t="s">
        <v>232</v>
      </c>
      <c r="J1120" s="76" t="str">
        <f>IFERROR(INDEX(M_SKU!$A$18:$J$57,MATCH(I1120,M_SKU!$B$18:$B$57,0),1),"UNKNOWN SKU")</f>
        <v>Sprite Pet 500ML (x 12)</v>
      </c>
      <c r="K1120" s="73" t="s">
        <v>522</v>
      </c>
      <c r="L1120" s="276">
        <v>2</v>
      </c>
      <c r="M1120" s="94" cm="1">
        <f t="array" ref="M1120">IFERROR(INDEX(M_DepotPrice!$C$10:$C$52,MATCH(1,(M_DepotPrice!$A$10:$A$52=I1120)*(M_DepotPrice!$H$10:$H$52=IFERROR(INDEX(M_Depot!$A$7:$A$24,MATCH(F1120,M_Depot!$B$7:$B$24,0)),""))*(M_DepotPrice!$G$10:$G$52="Special"),0)),INDEX(M_DepotPrice!$C$10:$C$52,MATCH(1,(M_DepotPrice!$A$10:$A$52=I1120)*(M_DepotPrice!$G$10:$G$52="Default"),0)))</f>
        <v>8898</v>
      </c>
      <c r="N1120" s="95">
        <f t="shared" si="35"/>
        <v>20999.279999999999</v>
      </c>
      <c r="O1120" s="82" t="str">
        <f t="shared" si="34"/>
        <v>MOS100842|PH002|CK6-33362</v>
      </c>
    </row>
    <row r="1121" spans="1:15" ht="15" customHeight="1" x14ac:dyDescent="0.3">
      <c r="A1121" s="60" t="s">
        <v>1800</v>
      </c>
      <c r="B1121" s="60" t="s">
        <v>579</v>
      </c>
      <c r="C1121" s="62">
        <v>46179</v>
      </c>
      <c r="D1121" s="63" t="s">
        <v>350</v>
      </c>
      <c r="E1121" s="66" t="str">
        <f>IFERROR(INDEX(M_User!$A$12:$J$67,MATCH(D1121,M_User!$D$12:$D$67,0),3),"UNMAPPED")</f>
        <v>Samson Felix Ngowi</v>
      </c>
      <c r="F1121" s="65" t="str">
        <f>IFERROR(INDEX(M_User!$A$12:$J$67,MATCH(D1121,M_User!$D$12:$D$67,0),5),"UNMAPPED")</f>
        <v>MOS</v>
      </c>
      <c r="G1121" s="63" t="s">
        <v>797</v>
      </c>
      <c r="H1121" s="69" t="s">
        <v>798</v>
      </c>
      <c r="I1121" s="63" t="s">
        <v>234</v>
      </c>
      <c r="J1121" s="66" t="str">
        <f>IFERROR(INDEX(M_SKU!$A$18:$J$57,MATCH(I1121,M_SKU!$B$18:$B$57,0),1),"UNKNOWN SKU")</f>
        <v>Fanta Orange Pet 500ML ( x 12)</v>
      </c>
      <c r="K1121" s="63" t="s">
        <v>523</v>
      </c>
      <c r="L1121" s="276">
        <v>3</v>
      </c>
      <c r="M1121" s="91" cm="1">
        <f t="array" ref="M1121">IFERROR(INDEX(M_DepotPrice!$C$10:$C$52,MATCH(1,(M_DepotPrice!$A$10:$A$52=I1121)*(M_DepotPrice!$H$10:$H$52=IFERROR(INDEX(M_Depot!$A$7:$A$24,MATCH(F1121,M_Depot!$B$7:$B$24,0)),""))*(M_DepotPrice!$G$10:$G$52="Special"),0)),INDEX(M_DepotPrice!$C$10:$C$52,MATCH(1,(M_DepotPrice!$A$10:$A$52=I1121)*(M_DepotPrice!$G$10:$G$52="Default"),0)))</f>
        <v>8898</v>
      </c>
      <c r="N1121" s="67">
        <f t="shared" si="35"/>
        <v>31498.92</v>
      </c>
      <c r="O1121" s="66" t="str">
        <f t="shared" si="34"/>
        <v>MOS100842|PH003|CK6-33405</v>
      </c>
    </row>
    <row r="1122" spans="1:15" ht="15" customHeight="1" x14ac:dyDescent="0.3">
      <c r="A1122" s="70" t="s">
        <v>1801</v>
      </c>
      <c r="B1122" s="70" t="s">
        <v>579</v>
      </c>
      <c r="C1122" s="72">
        <v>46179</v>
      </c>
      <c r="D1122" s="73" t="s">
        <v>350</v>
      </c>
      <c r="E1122" s="76" t="str">
        <f>IFERROR(INDEX(M_User!$A$12:$J$67,MATCH(D1122,M_User!$D$12:$D$67,0),3),"UNMAPPED")</f>
        <v>Samson Felix Ngowi</v>
      </c>
      <c r="F1122" s="75" t="str">
        <f>IFERROR(INDEX(M_User!$A$12:$J$67,MATCH(D1122,M_User!$D$12:$D$67,0),5),"UNMAPPED")</f>
        <v>MOS</v>
      </c>
      <c r="G1122" s="73" t="s">
        <v>797</v>
      </c>
      <c r="H1122" s="92" t="s">
        <v>798</v>
      </c>
      <c r="I1122" s="73" t="s">
        <v>236</v>
      </c>
      <c r="J1122" s="76" t="str">
        <f>IFERROR(INDEX(M_SKU!$A$18:$J$57,MATCH(I1122,M_SKU!$B$18:$B$57,0),1),"UNKNOWN SKU")</f>
        <v>Fanta Passion Pet 500ML ( x12)</v>
      </c>
      <c r="K1122" s="73" t="s">
        <v>524</v>
      </c>
      <c r="L1122" s="276">
        <v>2</v>
      </c>
      <c r="M1122" s="94" cm="1">
        <f t="array" ref="M1122">IFERROR(INDEX(M_DepotPrice!$C$10:$C$52,MATCH(1,(M_DepotPrice!$A$10:$A$52=I1122)*(M_DepotPrice!$H$10:$H$52=IFERROR(INDEX(M_Depot!$A$7:$A$24,MATCH(F1122,M_Depot!$B$7:$B$24,0)),""))*(M_DepotPrice!$G$10:$G$52="Special"),0)),INDEX(M_DepotPrice!$C$10:$C$52,MATCH(1,(M_DepotPrice!$A$10:$A$52=I1122)*(M_DepotPrice!$G$10:$G$52="Default"),0)))</f>
        <v>8898</v>
      </c>
      <c r="N1122" s="95">
        <f t="shared" si="35"/>
        <v>20999.279999999999</v>
      </c>
      <c r="O1122" s="82" t="str">
        <f t="shared" si="34"/>
        <v>MOS100842|PH004|CK5-33334</v>
      </c>
    </row>
    <row r="1123" spans="1:15" ht="15" customHeight="1" x14ac:dyDescent="0.3">
      <c r="A1123" s="60" t="s">
        <v>1802</v>
      </c>
      <c r="B1123" s="60" t="s">
        <v>579</v>
      </c>
      <c r="C1123" s="62">
        <v>46179</v>
      </c>
      <c r="D1123" s="63" t="s">
        <v>350</v>
      </c>
      <c r="E1123" s="66" t="str">
        <f>IFERROR(INDEX(M_User!$A$12:$J$67,MATCH(D1123,M_User!$D$12:$D$67,0),3),"UNMAPPED")</f>
        <v>Samson Felix Ngowi</v>
      </c>
      <c r="F1123" s="65" t="str">
        <f>IFERROR(INDEX(M_User!$A$12:$J$67,MATCH(D1123,M_User!$D$12:$D$67,0),5),"UNMAPPED")</f>
        <v>MOS</v>
      </c>
      <c r="G1123" s="63" t="s">
        <v>797</v>
      </c>
      <c r="H1123" s="69" t="s">
        <v>798</v>
      </c>
      <c r="I1123" s="63" t="s">
        <v>244</v>
      </c>
      <c r="J1123" s="66" t="str">
        <f>IFERROR(INDEX(M_SKU!$A$18:$J$57,MATCH(I1123,M_SKU!$B$18:$B$57,0),1),"UNKNOWN SKU")</f>
        <v>Sparletta Pinenut Pet 500 ml ( x12)</v>
      </c>
      <c r="K1123" s="63" t="s">
        <v>526</v>
      </c>
      <c r="L1123" s="276">
        <v>1</v>
      </c>
      <c r="M1123" s="91" cm="1">
        <f t="array" ref="M1123">IFERROR(INDEX(M_DepotPrice!$C$10:$C$52,MATCH(1,(M_DepotPrice!$A$10:$A$52=I1123)*(M_DepotPrice!$H$10:$H$52=IFERROR(INDEX(M_Depot!$A$7:$A$24,MATCH(F1123,M_Depot!$B$7:$B$24,0)),""))*(M_DepotPrice!$G$10:$G$52="Special"),0)),INDEX(M_DepotPrice!$C$10:$C$52,MATCH(1,(M_DepotPrice!$A$10:$A$52=I1123)*(M_DepotPrice!$G$10:$G$52="Default"),0)))</f>
        <v>8898</v>
      </c>
      <c r="N1123" s="67">
        <f t="shared" si="35"/>
        <v>10499.64</v>
      </c>
      <c r="O1123" s="66" t="str">
        <f t="shared" si="34"/>
        <v>MOS100842|PH008|CK5-33370</v>
      </c>
    </row>
    <row r="1124" spans="1:15" ht="15" customHeight="1" x14ac:dyDescent="0.3">
      <c r="A1124" s="70" t="s">
        <v>1803</v>
      </c>
      <c r="B1124" s="70" t="s">
        <v>579</v>
      </c>
      <c r="C1124" s="72">
        <v>46179</v>
      </c>
      <c r="D1124" s="73" t="s">
        <v>350</v>
      </c>
      <c r="E1124" s="76" t="str">
        <f>IFERROR(INDEX(M_User!$A$12:$J$67,MATCH(D1124,M_User!$D$12:$D$67,0),3),"UNMAPPED")</f>
        <v>Samson Felix Ngowi</v>
      </c>
      <c r="F1124" s="75" t="str">
        <f>IFERROR(INDEX(M_User!$A$12:$J$67,MATCH(D1124,M_User!$D$12:$D$67,0),5),"UNMAPPED")</f>
        <v>MOS</v>
      </c>
      <c r="G1124" s="73" t="s">
        <v>812</v>
      </c>
      <c r="H1124" s="92" t="s">
        <v>813</v>
      </c>
      <c r="I1124" s="73" t="s">
        <v>170</v>
      </c>
      <c r="J1124" s="76" t="str">
        <f>IFERROR(INDEX(M_SKU!$A$18:$J$57,MATCH(I1124,M_SKU!$B$18:$B$57,0),1),"UNKNOWN SKU")</f>
        <v>Coke RGB 350ml</v>
      </c>
      <c r="K1124" s="73" t="s">
        <v>530</v>
      </c>
      <c r="L1124" s="276">
        <v>11.976699999999999</v>
      </c>
      <c r="M1124" s="94" cm="1">
        <f t="array" ref="M1124">IFERROR(INDEX(M_DepotPrice!$C$10:$C$52,MATCH(1,(M_DepotPrice!$A$10:$A$52=I1124)*(M_DepotPrice!$H$10:$H$52=IFERROR(INDEX(M_Depot!$A$7:$A$24,MATCH(F1124,M_Depot!$B$7:$B$24,0)),""))*(M_DepotPrice!$G$10:$G$52="Special"),0)),INDEX(M_DepotPrice!$C$10:$C$52,MATCH(1,(M_DepotPrice!$A$10:$A$52=I1124)*(M_DepotPrice!$G$10:$G$52="Default"),0)))</f>
        <v>11780</v>
      </c>
      <c r="N1124" s="95">
        <f t="shared" si="35"/>
        <v>166480.92067999998</v>
      </c>
      <c r="O1124" s="82" t="str">
        <f t="shared" si="34"/>
        <v>MOS100842|FG001|CK3-33409</v>
      </c>
    </row>
    <row r="1125" spans="1:15" ht="15" customHeight="1" x14ac:dyDescent="0.3">
      <c r="A1125" s="60" t="s">
        <v>1804</v>
      </c>
      <c r="B1125" s="60" t="s">
        <v>589</v>
      </c>
      <c r="C1125" s="62">
        <v>46179</v>
      </c>
      <c r="D1125" s="63" t="s">
        <v>350</v>
      </c>
      <c r="E1125" s="66" t="str">
        <f>IFERROR(INDEX(M_User!$A$12:$J$67,MATCH(D1125,M_User!$D$12:$D$67,0),3),"UNMAPPED")</f>
        <v>Samson Felix Ngowi</v>
      </c>
      <c r="F1125" s="65" t="str">
        <f>IFERROR(INDEX(M_User!$A$12:$J$67,MATCH(D1125,M_User!$D$12:$D$67,0),5),"UNMAPPED")</f>
        <v>MOS</v>
      </c>
      <c r="G1125" s="63" t="s">
        <v>812</v>
      </c>
      <c r="H1125" s="69" t="s">
        <v>813</v>
      </c>
      <c r="I1125" s="63" t="s">
        <v>178</v>
      </c>
      <c r="J1125" s="66" t="str">
        <f>IFERROR(INDEX(M_SKU!$A$18:$J$57,MATCH(I1125,M_SKU!$B$18:$B$57,0),1),"UNKNOWN SKU")</f>
        <v>Fanta Orange RGB 350ml</v>
      </c>
      <c r="K1125" s="63" t="s">
        <v>590</v>
      </c>
      <c r="L1125" s="276">
        <v>0.47249925488216898</v>
      </c>
      <c r="M1125" s="91" cm="1">
        <f t="array" ref="M1125">IFERROR(INDEX(M_DepotPrice!$C$10:$C$52,MATCH(1,(M_DepotPrice!$A$10:$A$52=I1125)*(M_DepotPrice!$H$10:$H$52=IFERROR(INDEX(M_Depot!$A$7:$A$24,MATCH(F1125,M_Depot!$B$7:$B$24,0)),""))*(M_DepotPrice!$G$10:$G$52="Special"),0)),INDEX(M_DepotPrice!$C$10:$C$52,MATCH(1,(M_DepotPrice!$A$10:$A$52=I1125)*(M_DepotPrice!$G$10:$G$52="Default"),0)))</f>
        <v>11780</v>
      </c>
      <c r="N1125" s="67">
        <f t="shared" si="35"/>
        <v>6567.9286425641012</v>
      </c>
      <c r="O1125" s="66" t="str">
        <f t="shared" si="34"/>
        <v>MOS100842|FG002|CK3-33406</v>
      </c>
    </row>
    <row r="1126" spans="1:15" ht="15" customHeight="1" x14ac:dyDescent="0.3">
      <c r="A1126" s="70" t="s">
        <v>1805</v>
      </c>
      <c r="B1126" s="70" t="s">
        <v>579</v>
      </c>
      <c r="C1126" s="72">
        <v>46179</v>
      </c>
      <c r="D1126" s="73" t="s">
        <v>350</v>
      </c>
      <c r="E1126" s="76" t="str">
        <f>IFERROR(INDEX(M_User!$A$12:$J$67,MATCH(D1126,M_User!$D$12:$D$67,0),3),"UNMAPPED")</f>
        <v>Samson Felix Ngowi</v>
      </c>
      <c r="F1126" s="75" t="str">
        <f>IFERROR(INDEX(M_User!$A$12:$J$67,MATCH(D1126,M_User!$D$12:$D$67,0),5),"UNMAPPED")</f>
        <v>MOS</v>
      </c>
      <c r="G1126" s="73" t="s">
        <v>812</v>
      </c>
      <c r="H1126" s="92" t="s">
        <v>813</v>
      </c>
      <c r="I1126" s="73" t="s">
        <v>181</v>
      </c>
      <c r="J1126" s="76" t="str">
        <f>IFERROR(INDEX(M_SKU!$A$18:$J$57,MATCH(I1126,M_SKU!$B$18:$B$57,0),1),"UNKNOWN SKU")</f>
        <v>Fanta Passion RGB 350ml</v>
      </c>
      <c r="K1126" s="73" t="s">
        <v>550</v>
      </c>
      <c r="L1126" s="276">
        <v>2.1488</v>
      </c>
      <c r="M1126" s="94" cm="1">
        <f t="array" ref="M1126">IFERROR(INDEX(M_DepotPrice!$C$10:$C$52,MATCH(1,(M_DepotPrice!$A$10:$A$52=I1126)*(M_DepotPrice!$H$10:$H$52=IFERROR(INDEX(M_Depot!$A$7:$A$24,MATCH(F1126,M_Depot!$B$7:$B$24,0)),""))*(M_DepotPrice!$G$10:$G$52="Special"),0)),INDEX(M_DepotPrice!$C$10:$C$52,MATCH(1,(M_DepotPrice!$A$10:$A$52=I1126)*(M_DepotPrice!$G$10:$G$52="Default"),0)))</f>
        <v>11780</v>
      </c>
      <c r="N1126" s="95">
        <f t="shared" si="35"/>
        <v>29869.179520000002</v>
      </c>
      <c r="O1126" s="82" t="str">
        <f t="shared" si="34"/>
        <v>MOS100842|FG003|CK3-33356</v>
      </c>
    </row>
    <row r="1127" spans="1:15" ht="15" customHeight="1" x14ac:dyDescent="0.3">
      <c r="A1127" s="60" t="s">
        <v>1806</v>
      </c>
      <c r="B1127" s="60" t="s">
        <v>589</v>
      </c>
      <c r="C1127" s="62">
        <v>46179</v>
      </c>
      <c r="D1127" s="63" t="s">
        <v>350</v>
      </c>
      <c r="E1127" s="66" t="str">
        <f>IFERROR(INDEX(M_User!$A$12:$J$67,MATCH(D1127,M_User!$D$12:$D$67,0),3),"UNMAPPED")</f>
        <v>Samson Felix Ngowi</v>
      </c>
      <c r="F1127" s="65" t="str">
        <f>IFERROR(INDEX(M_User!$A$12:$J$67,MATCH(D1127,M_User!$D$12:$D$67,0),5),"UNMAPPED")</f>
        <v>MOS</v>
      </c>
      <c r="G1127" s="63" t="s">
        <v>812</v>
      </c>
      <c r="H1127" s="69" t="s">
        <v>813</v>
      </c>
      <c r="I1127" s="63" t="s">
        <v>181</v>
      </c>
      <c r="J1127" s="66" t="str">
        <f>IFERROR(INDEX(M_SKU!$A$18:$J$57,MATCH(I1127,M_SKU!$B$18:$B$57,0),1),"UNKNOWN SKU")</f>
        <v>Fanta Passion RGB 350ml</v>
      </c>
      <c r="K1127" s="63" t="s">
        <v>532</v>
      </c>
      <c r="L1127" s="276">
        <v>0.59640000000000004</v>
      </c>
      <c r="M1127" s="91" cm="1">
        <f t="array" ref="M1127">IFERROR(INDEX(M_DepotPrice!$C$10:$C$52,MATCH(1,(M_DepotPrice!$A$10:$A$52=I1127)*(M_DepotPrice!$H$10:$H$52=IFERROR(INDEX(M_Depot!$A$7:$A$24,MATCH(F1127,M_Depot!$B$7:$B$24,0)),""))*(M_DepotPrice!$G$10:$G$52="Special"),0)),INDEX(M_DepotPrice!$C$10:$C$52,MATCH(1,(M_DepotPrice!$A$10:$A$52=I1127)*(M_DepotPrice!$G$10:$G$52="Default"),0)))</f>
        <v>11780</v>
      </c>
      <c r="N1127" s="67">
        <f t="shared" si="35"/>
        <v>8290.1985600000007</v>
      </c>
      <c r="O1127" s="66" t="str">
        <f t="shared" si="34"/>
        <v>MOS100842|FG003|CK3-33387</v>
      </c>
    </row>
    <row r="1128" spans="1:15" ht="15" customHeight="1" x14ac:dyDescent="0.3">
      <c r="A1128" s="70" t="s">
        <v>1807</v>
      </c>
      <c r="B1128" s="70" t="s">
        <v>579</v>
      </c>
      <c r="C1128" s="72">
        <v>46179</v>
      </c>
      <c r="D1128" s="73" t="s">
        <v>350</v>
      </c>
      <c r="E1128" s="76" t="str">
        <f>IFERROR(INDEX(M_User!$A$12:$J$67,MATCH(D1128,M_User!$D$12:$D$67,0),3),"UNMAPPED")</f>
        <v>Samson Felix Ngowi</v>
      </c>
      <c r="F1128" s="75" t="str">
        <f>IFERROR(INDEX(M_User!$A$12:$J$67,MATCH(D1128,M_User!$D$12:$D$67,0),5),"UNMAPPED")</f>
        <v>MOS</v>
      </c>
      <c r="G1128" s="73" t="s">
        <v>812</v>
      </c>
      <c r="H1128" s="92" t="s">
        <v>813</v>
      </c>
      <c r="I1128" s="73" t="s">
        <v>183</v>
      </c>
      <c r="J1128" s="76" t="str">
        <f>IFERROR(INDEX(M_SKU!$A$18:$J$57,MATCH(I1128,M_SKU!$B$18:$B$57,0),1),"UNKNOWN SKU")</f>
        <v>Fanta Pineapple RGB 350ml</v>
      </c>
      <c r="K1128" s="73" t="s">
        <v>533</v>
      </c>
      <c r="L1128" s="276">
        <v>1.8261000000000001</v>
      </c>
      <c r="M1128" s="94" cm="1">
        <f t="array" ref="M1128">IFERROR(INDEX(M_DepotPrice!$C$10:$C$52,MATCH(1,(M_DepotPrice!$A$10:$A$52=I1128)*(M_DepotPrice!$H$10:$H$52=IFERROR(INDEX(M_Depot!$A$7:$A$24,MATCH(F1128,M_Depot!$B$7:$B$24,0)),""))*(M_DepotPrice!$G$10:$G$52="Special"),0)),INDEX(M_DepotPrice!$C$10:$C$52,MATCH(1,(M_DepotPrice!$A$10:$A$52=I1128)*(M_DepotPrice!$G$10:$G$52="Default"),0)))</f>
        <v>11780</v>
      </c>
      <c r="N1128" s="95">
        <f t="shared" si="35"/>
        <v>25383.52044</v>
      </c>
      <c r="O1128" s="82" t="str">
        <f t="shared" si="34"/>
        <v>MOS100842|FG004|CK3-33385</v>
      </c>
    </row>
    <row r="1129" spans="1:15" ht="15" customHeight="1" x14ac:dyDescent="0.3">
      <c r="A1129" s="60" t="s">
        <v>1808</v>
      </c>
      <c r="B1129" s="60" t="s">
        <v>589</v>
      </c>
      <c r="C1129" s="62">
        <v>46179</v>
      </c>
      <c r="D1129" s="63" t="s">
        <v>350</v>
      </c>
      <c r="E1129" s="66" t="str">
        <f>IFERROR(INDEX(M_User!$A$12:$J$67,MATCH(D1129,M_User!$D$12:$D$67,0),3),"UNMAPPED")</f>
        <v>Samson Felix Ngowi</v>
      </c>
      <c r="F1129" s="65" t="str">
        <f>IFERROR(INDEX(M_User!$A$12:$J$67,MATCH(D1129,M_User!$D$12:$D$67,0),5),"UNMAPPED")</f>
        <v>MOS</v>
      </c>
      <c r="G1129" s="63" t="s">
        <v>812</v>
      </c>
      <c r="H1129" s="69" t="s">
        <v>813</v>
      </c>
      <c r="I1129" s="63" t="s">
        <v>183</v>
      </c>
      <c r="J1129" s="66" t="str">
        <f>IFERROR(INDEX(M_SKU!$A$18:$J$57,MATCH(I1129,M_SKU!$B$18:$B$57,0),1),"UNKNOWN SKU")</f>
        <v>Fanta Pineapple RGB 350ml</v>
      </c>
      <c r="K1129" s="63" t="s">
        <v>533</v>
      </c>
      <c r="L1129" s="276">
        <v>0.91339999999999999</v>
      </c>
      <c r="M1129" s="91" cm="1">
        <f t="array" ref="M1129">IFERROR(INDEX(M_DepotPrice!$C$10:$C$52,MATCH(1,(M_DepotPrice!$A$10:$A$52=I1129)*(M_DepotPrice!$H$10:$H$52=IFERROR(INDEX(M_Depot!$A$7:$A$24,MATCH(F1129,M_Depot!$B$7:$B$24,0)),""))*(M_DepotPrice!$G$10:$G$52="Special"),0)),INDEX(M_DepotPrice!$C$10:$C$52,MATCH(1,(M_DepotPrice!$A$10:$A$52=I1129)*(M_DepotPrice!$G$10:$G$52="Default"),0)))</f>
        <v>11780</v>
      </c>
      <c r="N1129" s="67">
        <f t="shared" si="35"/>
        <v>12696.62536</v>
      </c>
      <c r="O1129" s="66" t="str">
        <f t="shared" si="34"/>
        <v>MOS100842|FG004|CK3-33385</v>
      </c>
    </row>
    <row r="1130" spans="1:15" ht="15" customHeight="1" x14ac:dyDescent="0.3">
      <c r="A1130" s="70" t="s">
        <v>1809</v>
      </c>
      <c r="B1130" s="70" t="s">
        <v>579</v>
      </c>
      <c r="C1130" s="72">
        <v>46179</v>
      </c>
      <c r="D1130" s="73" t="s">
        <v>350</v>
      </c>
      <c r="E1130" s="76" t="str">
        <f>IFERROR(INDEX(M_User!$A$12:$J$67,MATCH(D1130,M_User!$D$12:$D$67,0),3),"UNMAPPED")</f>
        <v>Samson Felix Ngowi</v>
      </c>
      <c r="F1130" s="75" t="str">
        <f>IFERROR(INDEX(M_User!$A$12:$J$67,MATCH(D1130,M_User!$D$12:$D$67,0),5),"UNMAPPED")</f>
        <v>MOS</v>
      </c>
      <c r="G1130" s="73" t="s">
        <v>812</v>
      </c>
      <c r="H1130" s="92" t="s">
        <v>813</v>
      </c>
      <c r="I1130" s="73" t="s">
        <v>185</v>
      </c>
      <c r="J1130" s="76" t="str">
        <f>IFERROR(INDEX(M_SKU!$A$18:$J$57,MATCH(I1130,M_SKU!$B$18:$B$57,0),1),"UNKNOWN SKU")</f>
        <v>Fanta Fruit Blast RGB 350 ml</v>
      </c>
      <c r="K1130" s="73" t="s">
        <v>534</v>
      </c>
      <c r="L1130" s="276">
        <v>0.91135562012071902</v>
      </c>
      <c r="M1130" s="94" cm="1">
        <f t="array" ref="M1130">IFERROR(INDEX(M_DepotPrice!$C$10:$C$52,MATCH(1,(M_DepotPrice!$A$10:$A$52=I1130)*(M_DepotPrice!$H$10:$H$52=IFERROR(INDEX(M_Depot!$A$7:$A$24,MATCH(F1130,M_Depot!$B$7:$B$24,0)),""))*(M_DepotPrice!$G$10:$G$52="Special"),0)),INDEX(M_DepotPrice!$C$10:$C$52,MATCH(1,(M_DepotPrice!$A$10:$A$52=I1130)*(M_DepotPrice!$G$10:$G$52="Default"),0)))</f>
        <v>11780</v>
      </c>
      <c r="N1130" s="95">
        <f t="shared" si="35"/>
        <v>12668.207661926042</v>
      </c>
      <c r="O1130" s="82" t="str">
        <f t="shared" si="34"/>
        <v>MOS100842|FG005|CK3-33402</v>
      </c>
    </row>
    <row r="1131" spans="1:15" ht="15" customHeight="1" x14ac:dyDescent="0.3">
      <c r="A1131" s="60" t="s">
        <v>1810</v>
      </c>
      <c r="B1131" s="60" t="s">
        <v>589</v>
      </c>
      <c r="C1131" s="62">
        <v>46179</v>
      </c>
      <c r="D1131" s="63" t="s">
        <v>350</v>
      </c>
      <c r="E1131" s="66" t="str">
        <f>IFERROR(INDEX(M_User!$A$12:$J$67,MATCH(D1131,M_User!$D$12:$D$67,0),3),"UNMAPPED")</f>
        <v>Samson Felix Ngowi</v>
      </c>
      <c r="F1131" s="65" t="str">
        <f>IFERROR(INDEX(M_User!$A$12:$J$67,MATCH(D1131,M_User!$D$12:$D$67,0),5),"UNMAPPED")</f>
        <v>MOS</v>
      </c>
      <c r="G1131" s="63" t="s">
        <v>812</v>
      </c>
      <c r="H1131" s="69" t="s">
        <v>813</v>
      </c>
      <c r="I1131" s="63" t="s">
        <v>185</v>
      </c>
      <c r="J1131" s="66" t="str">
        <f>IFERROR(INDEX(M_SKU!$A$18:$J$57,MATCH(I1131,M_SKU!$B$18:$B$57,0),1),"UNKNOWN SKU")</f>
        <v>Fanta Fruit Blast RGB 350 ml</v>
      </c>
      <c r="K1131" s="63" t="s">
        <v>534</v>
      </c>
      <c r="L1131" s="276">
        <v>0.40203040867036399</v>
      </c>
      <c r="M1131" s="91" cm="1">
        <f t="array" ref="M1131">IFERROR(INDEX(M_DepotPrice!$C$10:$C$52,MATCH(1,(M_DepotPrice!$A$10:$A$52=I1131)*(M_DepotPrice!$H$10:$H$52=IFERROR(INDEX(M_Depot!$A$7:$A$24,MATCH(F1131,M_Depot!$B$7:$B$24,0)),""))*(M_DepotPrice!$G$10:$G$52="Special"),0)),INDEX(M_DepotPrice!$C$10:$C$52,MATCH(1,(M_DepotPrice!$A$10:$A$52=I1131)*(M_DepotPrice!$G$10:$G$52="Default"),0)))</f>
        <v>11780</v>
      </c>
      <c r="N1131" s="67">
        <f t="shared" si="35"/>
        <v>5588.3834926815271</v>
      </c>
      <c r="O1131" s="66" t="str">
        <f t="shared" si="34"/>
        <v>MOS100842|FG005|CK3-33402</v>
      </c>
    </row>
    <row r="1132" spans="1:15" ht="15" customHeight="1" x14ac:dyDescent="0.3">
      <c r="A1132" s="70" t="s">
        <v>1811</v>
      </c>
      <c r="B1132" s="70" t="s">
        <v>579</v>
      </c>
      <c r="C1132" s="72">
        <v>46179</v>
      </c>
      <c r="D1132" s="73" t="s">
        <v>350</v>
      </c>
      <c r="E1132" s="76" t="str">
        <f>IFERROR(INDEX(M_User!$A$12:$J$67,MATCH(D1132,M_User!$D$12:$D$67,0),3),"UNMAPPED")</f>
        <v>Samson Felix Ngowi</v>
      </c>
      <c r="F1132" s="75" t="str">
        <f>IFERROR(INDEX(M_User!$A$12:$J$67,MATCH(D1132,M_User!$D$12:$D$67,0),5),"UNMAPPED")</f>
        <v>MOS</v>
      </c>
      <c r="G1132" s="73" t="s">
        <v>812</v>
      </c>
      <c r="H1132" s="92" t="s">
        <v>813</v>
      </c>
      <c r="I1132" s="73" t="s">
        <v>187</v>
      </c>
      <c r="J1132" s="76" t="str">
        <f>IFERROR(INDEX(M_SKU!$A$18:$J$57,MATCH(I1132,M_SKU!$B$18:$B$57,0),1),"UNKNOWN SKU")</f>
        <v>Sprite 350ml</v>
      </c>
      <c r="K1132" s="73" t="s">
        <v>535</v>
      </c>
      <c r="L1132" s="276">
        <v>2.0607000000000002</v>
      </c>
      <c r="M1132" s="94" cm="1">
        <f t="array" ref="M1132">IFERROR(INDEX(M_DepotPrice!$C$10:$C$52,MATCH(1,(M_DepotPrice!$A$10:$A$52=I1132)*(M_DepotPrice!$H$10:$H$52=IFERROR(INDEX(M_Depot!$A$7:$A$24,MATCH(F1132,M_Depot!$B$7:$B$24,0)),""))*(M_DepotPrice!$G$10:$G$52="Special"),0)),INDEX(M_DepotPrice!$C$10:$C$52,MATCH(1,(M_DepotPrice!$A$10:$A$52=I1132)*(M_DepotPrice!$G$10:$G$52="Default"),0)))</f>
        <v>11780</v>
      </c>
      <c r="N1132" s="95">
        <f t="shared" si="35"/>
        <v>28644.55428</v>
      </c>
      <c r="O1132" s="82" t="str">
        <f t="shared" si="34"/>
        <v>MOS100842|FG006|CK3-33414</v>
      </c>
    </row>
    <row r="1133" spans="1:15" ht="15" customHeight="1" x14ac:dyDescent="0.3">
      <c r="A1133" s="60" t="s">
        <v>1812</v>
      </c>
      <c r="B1133" s="60" t="s">
        <v>589</v>
      </c>
      <c r="C1133" s="62">
        <v>46179</v>
      </c>
      <c r="D1133" s="63" t="s">
        <v>350</v>
      </c>
      <c r="E1133" s="66" t="str">
        <f>IFERROR(INDEX(M_User!$A$12:$J$67,MATCH(D1133,M_User!$D$12:$D$67,0),3),"UNMAPPED")</f>
        <v>Samson Felix Ngowi</v>
      </c>
      <c r="F1133" s="65" t="str">
        <f>IFERROR(INDEX(M_User!$A$12:$J$67,MATCH(D1133,M_User!$D$12:$D$67,0),5),"UNMAPPED")</f>
        <v>MOS</v>
      </c>
      <c r="G1133" s="63" t="s">
        <v>812</v>
      </c>
      <c r="H1133" s="69" t="s">
        <v>813</v>
      </c>
      <c r="I1133" s="63" t="s">
        <v>187</v>
      </c>
      <c r="J1133" s="66" t="str">
        <f>IFERROR(INDEX(M_SKU!$A$18:$J$57,MATCH(I1133,M_SKU!$B$18:$B$57,0),1),"UNKNOWN SKU")</f>
        <v>Sprite 350ml</v>
      </c>
      <c r="K1133" s="63" t="s">
        <v>535</v>
      </c>
      <c r="L1133" s="276">
        <v>1.2546999999999999</v>
      </c>
      <c r="M1133" s="91" cm="1">
        <f t="array" ref="M1133">IFERROR(INDEX(M_DepotPrice!$C$10:$C$52,MATCH(1,(M_DepotPrice!$A$10:$A$52=I1133)*(M_DepotPrice!$H$10:$H$52=IFERROR(INDEX(M_Depot!$A$7:$A$24,MATCH(F1133,M_Depot!$B$7:$B$24,0)),""))*(M_DepotPrice!$G$10:$G$52="Special"),0)),INDEX(M_DepotPrice!$C$10:$C$52,MATCH(1,(M_DepotPrice!$A$10:$A$52=I1133)*(M_DepotPrice!$G$10:$G$52="Default"),0)))</f>
        <v>11780</v>
      </c>
      <c r="N1133" s="67">
        <f t="shared" si="35"/>
        <v>17440.831879999998</v>
      </c>
      <c r="O1133" s="66" t="str">
        <f t="shared" si="34"/>
        <v>MOS100842|FG006|CK3-33414</v>
      </c>
    </row>
    <row r="1134" spans="1:15" ht="15" customHeight="1" x14ac:dyDescent="0.3">
      <c r="A1134" s="70" t="s">
        <v>1813</v>
      </c>
      <c r="B1134" s="70" t="s">
        <v>579</v>
      </c>
      <c r="C1134" s="72">
        <v>46179</v>
      </c>
      <c r="D1134" s="73" t="s">
        <v>350</v>
      </c>
      <c r="E1134" s="76" t="str">
        <f>IFERROR(INDEX(M_User!$A$12:$J$67,MATCH(D1134,M_User!$D$12:$D$67,0),3),"UNMAPPED")</f>
        <v>Samson Felix Ngowi</v>
      </c>
      <c r="F1134" s="75" t="str">
        <f>IFERROR(INDEX(M_User!$A$12:$J$67,MATCH(D1134,M_User!$D$12:$D$67,0),5),"UNMAPPED")</f>
        <v>MOS</v>
      </c>
      <c r="G1134" s="73" t="s">
        <v>812</v>
      </c>
      <c r="H1134" s="92" t="s">
        <v>813</v>
      </c>
      <c r="I1134" s="73" t="s">
        <v>190</v>
      </c>
      <c r="J1134" s="76" t="str">
        <f>IFERROR(INDEX(M_SKU!$A$18:$J$57,MATCH(I1134,M_SKU!$B$18:$B$57,0),1),"UNKNOWN SKU")</f>
        <v>Stoney Tangawizi RGB 350ml</v>
      </c>
      <c r="K1134" s="73" t="s">
        <v>536</v>
      </c>
      <c r="L1134" s="276">
        <v>1.1835472790536801</v>
      </c>
      <c r="M1134" s="94" cm="1">
        <f t="array" ref="M1134">IFERROR(INDEX(M_DepotPrice!$C$10:$C$52,MATCH(1,(M_DepotPrice!$A$10:$A$52=I1134)*(M_DepotPrice!$H$10:$H$52=IFERROR(INDEX(M_Depot!$A$7:$A$24,MATCH(F1134,M_Depot!$B$7:$B$24,0)),""))*(M_DepotPrice!$G$10:$G$52="Special"),0)),INDEX(M_DepotPrice!$C$10:$C$52,MATCH(1,(M_DepotPrice!$A$10:$A$52=I1134)*(M_DepotPrice!$G$10:$G$52="Default"),0)))</f>
        <v>11780</v>
      </c>
      <c r="N1134" s="95">
        <f t="shared" si="35"/>
        <v>16451.780597757774</v>
      </c>
      <c r="O1134" s="82" t="str">
        <f t="shared" si="34"/>
        <v>MOS100842|FG007|CK3-33404</v>
      </c>
    </row>
    <row r="1135" spans="1:15" ht="15" customHeight="1" x14ac:dyDescent="0.3">
      <c r="A1135" s="60" t="s">
        <v>1814</v>
      </c>
      <c r="B1135" s="60" t="s">
        <v>589</v>
      </c>
      <c r="C1135" s="62">
        <v>46179</v>
      </c>
      <c r="D1135" s="63" t="s">
        <v>350</v>
      </c>
      <c r="E1135" s="66" t="str">
        <f>IFERROR(INDEX(M_User!$A$12:$J$67,MATCH(D1135,M_User!$D$12:$D$67,0),3),"UNMAPPED")</f>
        <v>Samson Felix Ngowi</v>
      </c>
      <c r="F1135" s="65" t="str">
        <f>IFERROR(INDEX(M_User!$A$12:$J$67,MATCH(D1135,M_User!$D$12:$D$67,0),5),"UNMAPPED")</f>
        <v>MOS</v>
      </c>
      <c r="G1135" s="63" t="s">
        <v>812</v>
      </c>
      <c r="H1135" s="69" t="s">
        <v>813</v>
      </c>
      <c r="I1135" s="63" t="s">
        <v>190</v>
      </c>
      <c r="J1135" s="66" t="str">
        <f>IFERROR(INDEX(M_SKU!$A$18:$J$57,MATCH(I1135,M_SKU!$B$18:$B$57,0),1),"UNKNOWN SKU")</f>
        <v>Stoney Tangawizi RGB 350ml</v>
      </c>
      <c r="K1135" s="63" t="s">
        <v>536</v>
      </c>
      <c r="L1135" s="276">
        <v>0.2268</v>
      </c>
      <c r="M1135" s="91" cm="1">
        <f t="array" ref="M1135">IFERROR(INDEX(M_DepotPrice!$C$10:$C$52,MATCH(1,(M_DepotPrice!$A$10:$A$52=I1135)*(M_DepotPrice!$H$10:$H$52=IFERROR(INDEX(M_Depot!$A$7:$A$24,MATCH(F1135,M_Depot!$B$7:$B$24,0)),""))*(M_DepotPrice!$G$10:$G$52="Special"),0)),INDEX(M_DepotPrice!$C$10:$C$52,MATCH(1,(M_DepotPrice!$A$10:$A$52=I1135)*(M_DepotPrice!$G$10:$G$52="Default"),0)))</f>
        <v>11780</v>
      </c>
      <c r="N1135" s="67">
        <f t="shared" si="35"/>
        <v>3152.6107200000001</v>
      </c>
      <c r="O1135" s="66" t="str">
        <f t="shared" si="34"/>
        <v>MOS100842|FG007|CK3-33404</v>
      </c>
    </row>
    <row r="1136" spans="1:15" ht="15" customHeight="1" x14ac:dyDescent="0.3">
      <c r="A1136" s="70" t="s">
        <v>1815</v>
      </c>
      <c r="B1136" s="70" t="s">
        <v>589</v>
      </c>
      <c r="C1136" s="72">
        <v>46179</v>
      </c>
      <c r="D1136" s="73" t="s">
        <v>350</v>
      </c>
      <c r="E1136" s="76" t="str">
        <f>IFERROR(INDEX(M_User!$A$12:$J$67,MATCH(D1136,M_User!$D$12:$D$67,0),3),"UNMAPPED")</f>
        <v>Samson Felix Ngowi</v>
      </c>
      <c r="F1136" s="75" t="str">
        <f>IFERROR(INDEX(M_User!$A$12:$J$67,MATCH(D1136,M_User!$D$12:$D$67,0),5),"UNMAPPED")</f>
        <v>MOS</v>
      </c>
      <c r="G1136" s="73" t="s">
        <v>812</v>
      </c>
      <c r="H1136" s="92" t="s">
        <v>813</v>
      </c>
      <c r="I1136" s="73" t="s">
        <v>193</v>
      </c>
      <c r="J1136" s="76" t="str">
        <f>IFERROR(INDEX(M_SKU!$A$18:$J$57,MATCH(I1136,M_SKU!$B$18:$B$57,0),1),"UNKNOWN SKU")</f>
        <v>Sparletta Pinenut RGB 350ml</v>
      </c>
      <c r="K1136" s="73" t="s">
        <v>591</v>
      </c>
      <c r="L1136" s="276">
        <v>0.2208</v>
      </c>
      <c r="M1136" s="94" cm="1">
        <f t="array" ref="M1136">IFERROR(INDEX(M_DepotPrice!$C$10:$C$52,MATCH(1,(M_DepotPrice!$A$10:$A$52=I1136)*(M_DepotPrice!$H$10:$H$52=IFERROR(INDEX(M_Depot!$A$7:$A$24,MATCH(F1136,M_Depot!$B$7:$B$24,0)),""))*(M_DepotPrice!$G$10:$G$52="Special"),0)),INDEX(M_DepotPrice!$C$10:$C$52,MATCH(1,(M_DepotPrice!$A$10:$A$52=I1136)*(M_DepotPrice!$G$10:$G$52="Default"),0)))</f>
        <v>11780</v>
      </c>
      <c r="N1136" s="95">
        <f t="shared" si="35"/>
        <v>3069.2083199999997</v>
      </c>
      <c r="O1136" s="82" t="str">
        <f t="shared" si="34"/>
        <v>MOS100842|FG008|CK3-33261</v>
      </c>
    </row>
    <row r="1137" spans="1:15" ht="15" customHeight="1" x14ac:dyDescent="0.3">
      <c r="A1137" s="60" t="s">
        <v>1816</v>
      </c>
      <c r="B1137" s="60" t="s">
        <v>579</v>
      </c>
      <c r="C1137" s="62">
        <v>46179</v>
      </c>
      <c r="D1137" s="63" t="s">
        <v>350</v>
      </c>
      <c r="E1137" s="66" t="str">
        <f>IFERROR(INDEX(M_User!$A$12:$J$67,MATCH(D1137,M_User!$D$12:$D$67,0),3),"UNMAPPED")</f>
        <v>Samson Felix Ngowi</v>
      </c>
      <c r="F1137" s="65" t="str">
        <f>IFERROR(INDEX(M_User!$A$12:$J$67,MATCH(D1137,M_User!$D$12:$D$67,0),5),"UNMAPPED")</f>
        <v>MOS</v>
      </c>
      <c r="G1137" s="63" t="s">
        <v>812</v>
      </c>
      <c r="H1137" s="69" t="s">
        <v>813</v>
      </c>
      <c r="I1137" s="63" t="s">
        <v>196</v>
      </c>
      <c r="J1137" s="66" t="str">
        <f>IFERROR(INDEX(M_SKU!$A$18:$J$57,MATCH(I1137,M_SKU!$B$18:$B$57,0),1),"UNKNOWN SKU")</f>
        <v>Krest Bitter Lemon RGB 300ml</v>
      </c>
      <c r="K1137" s="63" t="s">
        <v>538</v>
      </c>
      <c r="L1137" s="276">
        <v>0.77049999999999996</v>
      </c>
      <c r="M1137" s="91" cm="1">
        <f t="array" ref="M1137">IFERROR(INDEX(M_DepotPrice!$C$10:$C$52,MATCH(1,(M_DepotPrice!$A$10:$A$52=I1137)*(M_DepotPrice!$H$10:$H$52=IFERROR(INDEX(M_Depot!$A$7:$A$24,MATCH(F1137,M_Depot!$B$7:$B$24,0)),""))*(M_DepotPrice!$G$10:$G$52="Special"),0)),INDEX(M_DepotPrice!$C$10:$C$52,MATCH(1,(M_DepotPrice!$A$10:$A$52=I1137)*(M_DepotPrice!$G$10:$G$52="Default"),0)))</f>
        <v>11780</v>
      </c>
      <c r="N1137" s="67">
        <f t="shared" si="35"/>
        <v>10710.258199999998</v>
      </c>
      <c r="O1137" s="66" t="str">
        <f t="shared" si="34"/>
        <v>MOS100842|FG009|CK3-33348</v>
      </c>
    </row>
    <row r="1138" spans="1:15" ht="15" customHeight="1" x14ac:dyDescent="0.3">
      <c r="A1138" s="70" t="s">
        <v>1817</v>
      </c>
      <c r="B1138" s="70" t="s">
        <v>579</v>
      </c>
      <c r="C1138" s="72">
        <v>46179</v>
      </c>
      <c r="D1138" s="73" t="s">
        <v>350</v>
      </c>
      <c r="E1138" s="76" t="str">
        <f>IFERROR(INDEX(M_User!$A$12:$J$67,MATCH(D1138,M_User!$D$12:$D$67,0),3),"UNMAPPED")</f>
        <v>Samson Felix Ngowi</v>
      </c>
      <c r="F1138" s="75" t="str">
        <f>IFERROR(INDEX(M_User!$A$12:$J$67,MATCH(D1138,M_User!$D$12:$D$67,0),5),"UNMAPPED")</f>
        <v>MOS</v>
      </c>
      <c r="G1138" s="73" t="s">
        <v>812</v>
      </c>
      <c r="H1138" s="92" t="s">
        <v>813</v>
      </c>
      <c r="I1138" s="73" t="s">
        <v>199</v>
      </c>
      <c r="J1138" s="76" t="str">
        <f>IFERROR(INDEX(M_SKU!$A$18:$J$57,MATCH(I1138,M_SKU!$B$18:$B$57,0),1),"UNKNOWN SKU")</f>
        <v>Krest Club Soda RGB 300ml</v>
      </c>
      <c r="K1138" s="73" t="s">
        <v>539</v>
      </c>
      <c r="L1138" s="276">
        <v>0.56004866697250899</v>
      </c>
      <c r="M1138" s="94" cm="1">
        <f t="array" ref="M1138">IFERROR(INDEX(M_DepotPrice!$C$10:$C$52,MATCH(1,(M_DepotPrice!$A$10:$A$52=I1138)*(M_DepotPrice!$H$10:$H$52=IFERROR(INDEX(M_Depot!$A$7:$A$24,MATCH(F1138,M_Depot!$B$7:$B$24,0)),""))*(M_DepotPrice!$G$10:$G$52="Special"),0)),INDEX(M_DepotPrice!$C$10:$C$52,MATCH(1,(M_DepotPrice!$A$10:$A$52=I1138)*(M_DepotPrice!$G$10:$G$52="Default"),0)))</f>
        <v>11780</v>
      </c>
      <c r="N1138" s="95">
        <f t="shared" si="35"/>
        <v>7784.9004903846644</v>
      </c>
      <c r="O1138" s="82" t="str">
        <f t="shared" si="34"/>
        <v>MOS100842|FG010|CK3-33301</v>
      </c>
    </row>
    <row r="1139" spans="1:15" ht="15" customHeight="1" x14ac:dyDescent="0.3">
      <c r="A1139" s="60" t="s">
        <v>1818</v>
      </c>
      <c r="B1139" s="60" t="s">
        <v>579</v>
      </c>
      <c r="C1139" s="62">
        <v>46179</v>
      </c>
      <c r="D1139" s="63" t="s">
        <v>350</v>
      </c>
      <c r="E1139" s="66" t="str">
        <f>IFERROR(INDEX(M_User!$A$12:$J$67,MATCH(D1139,M_User!$D$12:$D$67,0),3),"UNMAPPED")</f>
        <v>Samson Felix Ngowi</v>
      </c>
      <c r="F1139" s="65" t="str">
        <f>IFERROR(INDEX(M_User!$A$12:$J$67,MATCH(D1139,M_User!$D$12:$D$67,0),5),"UNMAPPED")</f>
        <v>MOS</v>
      </c>
      <c r="G1139" s="63" t="s">
        <v>812</v>
      </c>
      <c r="H1139" s="69" t="s">
        <v>813</v>
      </c>
      <c r="I1139" s="63" t="s">
        <v>201</v>
      </c>
      <c r="J1139" s="66" t="str">
        <f>IFERROR(INDEX(M_SKU!$A$18:$J$57,MATCH(I1139,M_SKU!$B$18:$B$57,0),1),"UNKNOWN SKU")</f>
        <v>Krest Tonic Water RGB 300ml</v>
      </c>
      <c r="K1139" s="63" t="s">
        <v>540</v>
      </c>
      <c r="L1139" s="276">
        <v>1.1084000000000001</v>
      </c>
      <c r="M1139" s="91" cm="1">
        <f t="array" ref="M1139">IFERROR(INDEX(M_DepotPrice!$C$10:$C$52,MATCH(1,(M_DepotPrice!$A$10:$A$52=I1139)*(M_DepotPrice!$H$10:$H$52=IFERROR(INDEX(M_Depot!$A$7:$A$24,MATCH(F1139,M_Depot!$B$7:$B$24,0)),""))*(M_DepotPrice!$G$10:$G$52="Special"),0)),INDEX(M_DepotPrice!$C$10:$C$52,MATCH(1,(M_DepotPrice!$A$10:$A$52=I1139)*(M_DepotPrice!$G$10:$G$52="Default"),0)))</f>
        <v>11780</v>
      </c>
      <c r="N1139" s="67">
        <f t="shared" si="35"/>
        <v>15407.203360000001</v>
      </c>
      <c r="O1139" s="66" t="str">
        <f t="shared" si="34"/>
        <v>MOS100842|FG011|CK3-33347</v>
      </c>
    </row>
    <row r="1140" spans="1:15" ht="15" customHeight="1" x14ac:dyDescent="0.3">
      <c r="A1140" s="70" t="s">
        <v>1819</v>
      </c>
      <c r="B1140" s="70" t="s">
        <v>589</v>
      </c>
      <c r="C1140" s="72">
        <v>46179</v>
      </c>
      <c r="D1140" s="73" t="s">
        <v>350</v>
      </c>
      <c r="E1140" s="76" t="str">
        <f>IFERROR(INDEX(M_User!$A$12:$J$67,MATCH(D1140,M_User!$D$12:$D$67,0),3),"UNMAPPED")</f>
        <v>Samson Felix Ngowi</v>
      </c>
      <c r="F1140" s="75" t="str">
        <f>IFERROR(INDEX(M_User!$A$12:$J$67,MATCH(D1140,M_User!$D$12:$D$67,0),5),"UNMAPPED")</f>
        <v>MOS</v>
      </c>
      <c r="G1140" s="73" t="s">
        <v>812</v>
      </c>
      <c r="H1140" s="92" t="s">
        <v>813</v>
      </c>
      <c r="I1140" s="73" t="s">
        <v>203</v>
      </c>
      <c r="J1140" s="76" t="str">
        <f>IFERROR(INDEX(M_SKU!$A$18:$J$57,MATCH(I1140,M_SKU!$B$18:$B$57,0),1),"UNKNOWN SKU")</f>
        <v>Krest Ginger Ale RGB 300ml</v>
      </c>
      <c r="K1140" s="73" t="s">
        <v>541</v>
      </c>
      <c r="L1140" s="276">
        <v>0.13819999999999999</v>
      </c>
      <c r="M1140" s="94" cm="1">
        <f t="array" ref="M1140">IFERROR(INDEX(M_DepotPrice!$C$10:$C$52,MATCH(1,(M_DepotPrice!$A$10:$A$52=I1140)*(M_DepotPrice!$H$10:$H$52=IFERROR(INDEX(M_Depot!$A$7:$A$24,MATCH(F1140,M_Depot!$B$7:$B$24,0)),""))*(M_DepotPrice!$G$10:$G$52="Special"),0)),INDEX(M_DepotPrice!$C$10:$C$52,MATCH(1,(M_DepotPrice!$A$10:$A$52=I1140)*(M_DepotPrice!$G$10:$G$52="Default"),0)))</f>
        <v>11780</v>
      </c>
      <c r="N1140" s="95">
        <f t="shared" si="35"/>
        <v>1921.0352799999998</v>
      </c>
      <c r="O1140" s="82" t="str">
        <f t="shared" si="34"/>
        <v>MOS100842|FG012|CK3-33126</v>
      </c>
    </row>
    <row r="1141" spans="1:15" ht="15" customHeight="1" x14ac:dyDescent="0.3">
      <c r="A1141" s="60" t="s">
        <v>1820</v>
      </c>
      <c r="B1141" s="60" t="s">
        <v>579</v>
      </c>
      <c r="C1141" s="62">
        <v>46179</v>
      </c>
      <c r="D1141" s="63" t="s">
        <v>350</v>
      </c>
      <c r="E1141" s="66" t="str">
        <f>IFERROR(INDEX(M_User!$A$12:$J$67,MATCH(D1141,M_User!$D$12:$D$67,0),3),"UNMAPPED")</f>
        <v>Samson Felix Ngowi</v>
      </c>
      <c r="F1141" s="65" t="str">
        <f>IFERROR(INDEX(M_User!$A$12:$J$67,MATCH(D1141,M_User!$D$12:$D$67,0),5),"UNMAPPED")</f>
        <v>MOS</v>
      </c>
      <c r="G1141" s="63" t="s">
        <v>812</v>
      </c>
      <c r="H1141" s="69" t="s">
        <v>813</v>
      </c>
      <c r="I1141" s="63" t="s">
        <v>209</v>
      </c>
      <c r="J1141" s="66" t="str">
        <f>IFERROR(INDEX(M_SKU!$A$18:$J$57,MATCH(I1141,M_SKU!$B$18:$B$57,0),1),"UNKNOWN SKU")</f>
        <v>Sparletta Red Apple RGB 350ml</v>
      </c>
      <c r="K1141" s="63" t="s">
        <v>542</v>
      </c>
      <c r="L1141" s="276">
        <v>0.55518057190582204</v>
      </c>
      <c r="M1141" s="91" cm="1">
        <f t="array" ref="M1141">IFERROR(INDEX(M_DepotPrice!$C$10:$C$52,MATCH(1,(M_DepotPrice!$A$10:$A$52=I1141)*(M_DepotPrice!$H$10:$H$52=IFERROR(INDEX(M_Depot!$A$7:$A$24,MATCH(F1141,M_Depot!$B$7:$B$24,0)),""))*(M_DepotPrice!$G$10:$G$52="Special"),0)),INDEX(M_DepotPrice!$C$10:$C$52,MATCH(1,(M_DepotPrice!$A$10:$A$52=I1141)*(M_DepotPrice!$G$10:$G$52="Default"),0)))</f>
        <v>11780</v>
      </c>
      <c r="N1141" s="67">
        <f t="shared" si="35"/>
        <v>7717.2320217196884</v>
      </c>
      <c r="O1141" s="66" t="str">
        <f t="shared" si="34"/>
        <v>MOS100842|FG024|CK3-32758</v>
      </c>
    </row>
    <row r="1142" spans="1:15" ht="15" customHeight="1" x14ac:dyDescent="0.3">
      <c r="A1142" s="70" t="s">
        <v>1821</v>
      </c>
      <c r="B1142" s="70" t="s">
        <v>589</v>
      </c>
      <c r="C1142" s="72">
        <v>46179</v>
      </c>
      <c r="D1142" s="73" t="s">
        <v>350</v>
      </c>
      <c r="E1142" s="76" t="str">
        <f>IFERROR(INDEX(M_User!$A$12:$J$67,MATCH(D1142,M_User!$D$12:$D$67,0),3),"UNMAPPED")</f>
        <v>Samson Felix Ngowi</v>
      </c>
      <c r="F1142" s="75" t="str">
        <f>IFERROR(INDEX(M_User!$A$12:$J$67,MATCH(D1142,M_User!$D$12:$D$67,0),5),"UNMAPPED")</f>
        <v>MOS</v>
      </c>
      <c r="G1142" s="73" t="s">
        <v>812</v>
      </c>
      <c r="H1142" s="92" t="s">
        <v>813</v>
      </c>
      <c r="I1142" s="73" t="s">
        <v>211</v>
      </c>
      <c r="J1142" s="76" t="str">
        <f>IFERROR(INDEX(M_SKU!$A$18:$J$57,MATCH(I1142,M_SKU!$B$18:$B$57,0),1),"UNKNOWN SKU")</f>
        <v>KNMW 500ml</v>
      </c>
      <c r="K1142" s="73" t="s">
        <v>593</v>
      </c>
      <c r="L1142" s="276">
        <v>10</v>
      </c>
      <c r="M1142" s="94" cm="1">
        <f t="array" ref="M1142">IFERROR(INDEX(M_DepotPrice!$C$10:$C$52,MATCH(1,(M_DepotPrice!$A$10:$A$52=I1142)*(M_DepotPrice!$H$10:$H$52=IFERROR(INDEX(M_Depot!$A$7:$A$24,MATCH(F1142,M_Depot!$B$7:$B$24,0)),""))*(M_DepotPrice!$G$10:$G$52="Special"),0)),INDEX(M_DepotPrice!$C$10:$C$52,MATCH(1,(M_DepotPrice!$A$10:$A$52=I1142)*(M_DepotPrice!$G$10:$G$52="Default"),0)))</f>
        <v>3559</v>
      </c>
      <c r="N1142" s="95">
        <f t="shared" si="35"/>
        <v>41996.2</v>
      </c>
      <c r="O1142" s="82" t="str">
        <f t="shared" si="34"/>
        <v>MOS100842|KD001|CK6-984</v>
      </c>
    </row>
    <row r="1143" spans="1:15" ht="15" customHeight="1" x14ac:dyDescent="0.3">
      <c r="A1143" s="60" t="s">
        <v>1822</v>
      </c>
      <c r="B1143" s="60" t="s">
        <v>579</v>
      </c>
      <c r="C1143" s="62">
        <v>46179</v>
      </c>
      <c r="D1143" s="63" t="s">
        <v>350</v>
      </c>
      <c r="E1143" s="66" t="str">
        <f>IFERROR(INDEX(M_User!$A$12:$J$67,MATCH(D1143,M_User!$D$12:$D$67,0),3),"UNMAPPED")</f>
        <v>Samson Felix Ngowi</v>
      </c>
      <c r="F1143" s="65" t="str">
        <f>IFERROR(INDEX(M_User!$A$12:$J$67,MATCH(D1143,M_User!$D$12:$D$67,0),5),"UNMAPPED")</f>
        <v>MOS</v>
      </c>
      <c r="G1143" s="63" t="s">
        <v>812</v>
      </c>
      <c r="H1143" s="69" t="s">
        <v>813</v>
      </c>
      <c r="I1143" s="63" t="s">
        <v>211</v>
      </c>
      <c r="J1143" s="66" t="str">
        <f>IFERROR(INDEX(M_SKU!$A$18:$J$57,MATCH(I1143,M_SKU!$B$18:$B$57,0),1),"UNKNOWN SKU")</f>
        <v>KNMW 500ml</v>
      </c>
      <c r="K1143" s="63" t="s">
        <v>543</v>
      </c>
      <c r="L1143" s="276">
        <v>19</v>
      </c>
      <c r="M1143" s="91" cm="1">
        <f t="array" ref="M1143">IFERROR(INDEX(M_DepotPrice!$C$10:$C$52,MATCH(1,(M_DepotPrice!$A$10:$A$52=I1143)*(M_DepotPrice!$H$10:$H$52=IFERROR(INDEX(M_Depot!$A$7:$A$24,MATCH(F1143,M_Depot!$B$7:$B$24,0)),""))*(M_DepotPrice!$G$10:$G$52="Special"),0)),INDEX(M_DepotPrice!$C$10:$C$52,MATCH(1,(M_DepotPrice!$A$10:$A$52=I1143)*(M_DepotPrice!$G$10:$G$52="Default"),0)))</f>
        <v>3559</v>
      </c>
      <c r="N1143" s="67">
        <f t="shared" si="35"/>
        <v>79792.78</v>
      </c>
      <c r="O1143" s="66" t="str">
        <f t="shared" si="34"/>
        <v>MOS100842|KD001|CK6-986</v>
      </c>
    </row>
    <row r="1144" spans="1:15" ht="15" customHeight="1" x14ac:dyDescent="0.3">
      <c r="A1144" s="70" t="s">
        <v>1823</v>
      </c>
      <c r="B1144" s="70" t="s">
        <v>589</v>
      </c>
      <c r="C1144" s="72">
        <v>46179</v>
      </c>
      <c r="D1144" s="73" t="s">
        <v>350</v>
      </c>
      <c r="E1144" s="76" t="str">
        <f>IFERROR(INDEX(M_User!$A$12:$J$67,MATCH(D1144,M_User!$D$12:$D$67,0),3),"UNMAPPED")</f>
        <v>Samson Felix Ngowi</v>
      </c>
      <c r="F1144" s="75" t="str">
        <f>IFERROR(INDEX(M_User!$A$12:$J$67,MATCH(D1144,M_User!$D$12:$D$67,0),5),"UNMAPPED")</f>
        <v>MOS</v>
      </c>
      <c r="G1144" s="73" t="s">
        <v>812</v>
      </c>
      <c r="H1144" s="92" t="s">
        <v>813</v>
      </c>
      <c r="I1144" s="73" t="s">
        <v>225</v>
      </c>
      <c r="J1144" s="76" t="str">
        <f>IFERROR(INDEX(M_SKU!$A$18:$J$57,MATCH(I1144,M_SKU!$B$18:$B$57,0),1),"UNKNOWN SKU")</f>
        <v>Kilimanjaro Drinking Water 18900 ML</v>
      </c>
      <c r="K1144" s="73" t="s">
        <v>567</v>
      </c>
      <c r="L1144" s="276">
        <v>1</v>
      </c>
      <c r="M1144" s="94" cm="1">
        <f t="array" ref="M1144">IFERROR(INDEX(M_DepotPrice!$C$10:$C$52,MATCH(1,(M_DepotPrice!$A$10:$A$52=I1144)*(M_DepotPrice!$H$10:$H$52=IFERROR(INDEX(M_Depot!$A$7:$A$24,MATCH(F1144,M_Depot!$B$7:$B$24,0)),""))*(M_DepotPrice!$G$10:$G$52="Special"),0)),INDEX(M_DepotPrice!$C$10:$C$52,MATCH(1,(M_DepotPrice!$A$10:$A$52=I1144)*(M_DepotPrice!$G$10:$G$52="Default"),0)))</f>
        <v>5932</v>
      </c>
      <c r="N1144" s="95">
        <f t="shared" si="35"/>
        <v>6999.7599999999993</v>
      </c>
      <c r="O1144" s="82" t="str">
        <f t="shared" si="34"/>
        <v>MOS100842|KD006|CK7-915</v>
      </c>
    </row>
    <row r="1145" spans="1:15" ht="15" customHeight="1" x14ac:dyDescent="0.3">
      <c r="A1145" s="60" t="s">
        <v>1824</v>
      </c>
      <c r="B1145" s="60" t="s">
        <v>579</v>
      </c>
      <c r="C1145" s="62">
        <v>46179</v>
      </c>
      <c r="D1145" s="63" t="s">
        <v>350</v>
      </c>
      <c r="E1145" s="66" t="str">
        <f>IFERROR(INDEX(M_User!$A$12:$J$67,MATCH(D1145,M_User!$D$12:$D$67,0),3),"UNMAPPED")</f>
        <v>Samson Felix Ngowi</v>
      </c>
      <c r="F1145" s="65" t="str">
        <f>IFERROR(INDEX(M_User!$A$12:$J$67,MATCH(D1145,M_User!$D$12:$D$67,0),5),"UNMAPPED")</f>
        <v>MOS</v>
      </c>
      <c r="G1145" s="63" t="s">
        <v>812</v>
      </c>
      <c r="H1145" s="69" t="s">
        <v>813</v>
      </c>
      <c r="I1145" s="63" t="s">
        <v>229</v>
      </c>
      <c r="J1145" s="66" t="str">
        <f>IFERROR(INDEX(M_SKU!$A$18:$J$57,MATCH(I1145,M_SKU!$B$18:$B$57,0),1),"UNKNOWN SKU")</f>
        <v>Coke Pet 500ML ( x12)</v>
      </c>
      <c r="K1145" s="63" t="s">
        <v>520</v>
      </c>
      <c r="L1145" s="276">
        <v>3</v>
      </c>
      <c r="M1145" s="91" cm="1">
        <f t="array" ref="M1145">IFERROR(INDEX(M_DepotPrice!$C$10:$C$52,MATCH(1,(M_DepotPrice!$A$10:$A$52=I1145)*(M_DepotPrice!$H$10:$H$52=IFERROR(INDEX(M_Depot!$A$7:$A$24,MATCH(F1145,M_Depot!$B$7:$B$24,0)),""))*(M_DepotPrice!$G$10:$G$52="Special"),0)),INDEX(M_DepotPrice!$C$10:$C$52,MATCH(1,(M_DepotPrice!$A$10:$A$52=I1145)*(M_DepotPrice!$G$10:$G$52="Default"),0)))</f>
        <v>8898</v>
      </c>
      <c r="N1145" s="67">
        <f t="shared" si="35"/>
        <v>31498.92</v>
      </c>
      <c r="O1145" s="66" t="str">
        <f t="shared" si="34"/>
        <v>MOS100842|PH001|CK6-33411</v>
      </c>
    </row>
    <row r="1146" spans="1:15" ht="15" customHeight="1" x14ac:dyDescent="0.3">
      <c r="A1146" s="70" t="s">
        <v>1825</v>
      </c>
      <c r="B1146" s="70" t="s">
        <v>579</v>
      </c>
      <c r="C1146" s="72">
        <v>46179</v>
      </c>
      <c r="D1146" s="73" t="s">
        <v>350</v>
      </c>
      <c r="E1146" s="76" t="str">
        <f>IFERROR(INDEX(M_User!$A$12:$J$67,MATCH(D1146,M_User!$D$12:$D$67,0),3),"UNMAPPED")</f>
        <v>Samson Felix Ngowi</v>
      </c>
      <c r="F1146" s="75" t="str">
        <f>IFERROR(INDEX(M_User!$A$12:$J$67,MATCH(D1146,M_User!$D$12:$D$67,0),5),"UNMAPPED")</f>
        <v>MOS</v>
      </c>
      <c r="G1146" s="73" t="s">
        <v>812</v>
      </c>
      <c r="H1146" s="92" t="s">
        <v>813</v>
      </c>
      <c r="I1146" s="73" t="s">
        <v>232</v>
      </c>
      <c r="J1146" s="76" t="str">
        <f>IFERROR(INDEX(M_SKU!$A$18:$J$57,MATCH(I1146,M_SKU!$B$18:$B$57,0),1),"UNKNOWN SKU")</f>
        <v>Sprite Pet 500ML (x 12)</v>
      </c>
      <c r="K1146" s="73" t="s">
        <v>522</v>
      </c>
      <c r="L1146" s="276">
        <v>3</v>
      </c>
      <c r="M1146" s="94" cm="1">
        <f t="array" ref="M1146">IFERROR(INDEX(M_DepotPrice!$C$10:$C$52,MATCH(1,(M_DepotPrice!$A$10:$A$52=I1146)*(M_DepotPrice!$H$10:$H$52=IFERROR(INDEX(M_Depot!$A$7:$A$24,MATCH(F1146,M_Depot!$B$7:$B$24,0)),""))*(M_DepotPrice!$G$10:$G$52="Special"),0)),INDEX(M_DepotPrice!$C$10:$C$52,MATCH(1,(M_DepotPrice!$A$10:$A$52=I1146)*(M_DepotPrice!$G$10:$G$52="Default"),0)))</f>
        <v>8898</v>
      </c>
      <c r="N1146" s="95">
        <f t="shared" si="35"/>
        <v>31498.92</v>
      </c>
      <c r="O1146" s="82" t="str">
        <f t="shared" si="34"/>
        <v>MOS100842|PH002|CK6-33362</v>
      </c>
    </row>
    <row r="1147" spans="1:15" ht="15" customHeight="1" x14ac:dyDescent="0.3">
      <c r="A1147" s="60" t="s">
        <v>1826</v>
      </c>
      <c r="B1147" s="60" t="s">
        <v>579</v>
      </c>
      <c r="C1147" s="62">
        <v>46179</v>
      </c>
      <c r="D1147" s="63" t="s">
        <v>350</v>
      </c>
      <c r="E1147" s="66" t="str">
        <f>IFERROR(INDEX(M_User!$A$12:$J$67,MATCH(D1147,M_User!$D$12:$D$67,0),3),"UNMAPPED")</f>
        <v>Samson Felix Ngowi</v>
      </c>
      <c r="F1147" s="65" t="str">
        <f>IFERROR(INDEX(M_User!$A$12:$J$67,MATCH(D1147,M_User!$D$12:$D$67,0),5),"UNMAPPED")</f>
        <v>MOS</v>
      </c>
      <c r="G1147" s="63" t="s">
        <v>812</v>
      </c>
      <c r="H1147" s="69" t="s">
        <v>813</v>
      </c>
      <c r="I1147" s="63" t="s">
        <v>234</v>
      </c>
      <c r="J1147" s="66" t="str">
        <f>IFERROR(INDEX(M_SKU!$A$18:$J$57,MATCH(I1147,M_SKU!$B$18:$B$57,0),1),"UNKNOWN SKU")</f>
        <v>Fanta Orange Pet 500ML ( x 12)</v>
      </c>
      <c r="K1147" s="63" t="s">
        <v>523</v>
      </c>
      <c r="L1147" s="276">
        <v>5</v>
      </c>
      <c r="M1147" s="91" cm="1">
        <f t="array" ref="M1147">IFERROR(INDEX(M_DepotPrice!$C$10:$C$52,MATCH(1,(M_DepotPrice!$A$10:$A$52=I1147)*(M_DepotPrice!$H$10:$H$52=IFERROR(INDEX(M_Depot!$A$7:$A$24,MATCH(F1147,M_Depot!$B$7:$B$24,0)),""))*(M_DepotPrice!$G$10:$G$52="Special"),0)),INDEX(M_DepotPrice!$C$10:$C$52,MATCH(1,(M_DepotPrice!$A$10:$A$52=I1147)*(M_DepotPrice!$G$10:$G$52="Default"),0)))</f>
        <v>8898</v>
      </c>
      <c r="N1147" s="67">
        <f t="shared" si="35"/>
        <v>52498.2</v>
      </c>
      <c r="O1147" s="66" t="str">
        <f t="shared" si="34"/>
        <v>MOS100842|PH003|CK6-33405</v>
      </c>
    </row>
    <row r="1148" spans="1:15" ht="15" customHeight="1" x14ac:dyDescent="0.3">
      <c r="A1148" s="70" t="s">
        <v>1827</v>
      </c>
      <c r="B1148" s="70" t="s">
        <v>579</v>
      </c>
      <c r="C1148" s="72">
        <v>46179</v>
      </c>
      <c r="D1148" s="73" t="s">
        <v>350</v>
      </c>
      <c r="E1148" s="76" t="str">
        <f>IFERROR(INDEX(M_User!$A$12:$J$67,MATCH(D1148,M_User!$D$12:$D$67,0),3),"UNMAPPED")</f>
        <v>Samson Felix Ngowi</v>
      </c>
      <c r="F1148" s="75" t="str">
        <f>IFERROR(INDEX(M_User!$A$12:$J$67,MATCH(D1148,M_User!$D$12:$D$67,0),5),"UNMAPPED")</f>
        <v>MOS</v>
      </c>
      <c r="G1148" s="73" t="s">
        <v>812</v>
      </c>
      <c r="H1148" s="92" t="s">
        <v>813</v>
      </c>
      <c r="I1148" s="73" t="s">
        <v>236</v>
      </c>
      <c r="J1148" s="76" t="str">
        <f>IFERROR(INDEX(M_SKU!$A$18:$J$57,MATCH(I1148,M_SKU!$B$18:$B$57,0),1),"UNKNOWN SKU")</f>
        <v>Fanta Passion Pet 500ML ( x12)</v>
      </c>
      <c r="K1148" s="73" t="s">
        <v>524</v>
      </c>
      <c r="L1148" s="276">
        <v>4</v>
      </c>
      <c r="M1148" s="94" cm="1">
        <f t="array" ref="M1148">IFERROR(INDEX(M_DepotPrice!$C$10:$C$52,MATCH(1,(M_DepotPrice!$A$10:$A$52=I1148)*(M_DepotPrice!$H$10:$H$52=IFERROR(INDEX(M_Depot!$A$7:$A$24,MATCH(F1148,M_Depot!$B$7:$B$24,0)),""))*(M_DepotPrice!$G$10:$G$52="Special"),0)),INDEX(M_DepotPrice!$C$10:$C$52,MATCH(1,(M_DepotPrice!$A$10:$A$52=I1148)*(M_DepotPrice!$G$10:$G$52="Default"),0)))</f>
        <v>8898</v>
      </c>
      <c r="N1148" s="95">
        <f t="shared" si="35"/>
        <v>41998.559999999998</v>
      </c>
      <c r="O1148" s="82" t="str">
        <f t="shared" si="34"/>
        <v>MOS100842|PH004|CK5-33334</v>
      </c>
    </row>
    <row r="1149" spans="1:15" ht="15" customHeight="1" x14ac:dyDescent="0.3">
      <c r="A1149" s="60" t="s">
        <v>1828</v>
      </c>
      <c r="B1149" s="60" t="s">
        <v>579</v>
      </c>
      <c r="C1149" s="62">
        <v>46179</v>
      </c>
      <c r="D1149" s="63" t="s">
        <v>350</v>
      </c>
      <c r="E1149" s="66" t="str">
        <f>IFERROR(INDEX(M_User!$A$12:$J$67,MATCH(D1149,M_User!$D$12:$D$67,0),3),"UNMAPPED")</f>
        <v>Samson Felix Ngowi</v>
      </c>
      <c r="F1149" s="65" t="str">
        <f>IFERROR(INDEX(M_User!$A$12:$J$67,MATCH(D1149,M_User!$D$12:$D$67,0),5),"UNMAPPED")</f>
        <v>MOS</v>
      </c>
      <c r="G1149" s="63" t="s">
        <v>812</v>
      </c>
      <c r="H1149" s="69" t="s">
        <v>813</v>
      </c>
      <c r="I1149" s="63" t="s">
        <v>242</v>
      </c>
      <c r="J1149" s="66" t="str">
        <f>IFERROR(INDEX(M_SKU!$A$18:$J$57,MATCH(I1149,M_SKU!$B$18:$B$57,0),1),"UNKNOWN SKU")</f>
        <v>Stoney Tangawizi Pet 500 ml ( x12)</v>
      </c>
      <c r="K1149" s="63" t="s">
        <v>525</v>
      </c>
      <c r="L1149" s="276">
        <v>2</v>
      </c>
      <c r="M1149" s="91" cm="1">
        <f t="array" ref="M1149">IFERROR(INDEX(M_DepotPrice!$C$10:$C$52,MATCH(1,(M_DepotPrice!$A$10:$A$52=I1149)*(M_DepotPrice!$H$10:$H$52=IFERROR(INDEX(M_Depot!$A$7:$A$24,MATCH(F1149,M_Depot!$B$7:$B$24,0)),""))*(M_DepotPrice!$G$10:$G$52="Special"),0)),INDEX(M_DepotPrice!$C$10:$C$52,MATCH(1,(M_DepotPrice!$A$10:$A$52=I1149)*(M_DepotPrice!$G$10:$G$52="Default"),0)))</f>
        <v>8898</v>
      </c>
      <c r="N1149" s="67">
        <f t="shared" si="35"/>
        <v>20999.279999999999</v>
      </c>
      <c r="O1149" s="66" t="str">
        <f t="shared" si="34"/>
        <v>MOS100842|PH007|CK6-33375</v>
      </c>
    </row>
    <row r="1150" spans="1:15" ht="15" customHeight="1" x14ac:dyDescent="0.3">
      <c r="A1150" s="70" t="s">
        <v>1829</v>
      </c>
      <c r="B1150" s="70" t="s">
        <v>579</v>
      </c>
      <c r="C1150" s="72">
        <v>46179</v>
      </c>
      <c r="D1150" s="73" t="s">
        <v>350</v>
      </c>
      <c r="E1150" s="76" t="str">
        <f>IFERROR(INDEX(M_User!$A$12:$J$67,MATCH(D1150,M_User!$D$12:$D$67,0),3),"UNMAPPED")</f>
        <v>Samson Felix Ngowi</v>
      </c>
      <c r="F1150" s="75" t="str">
        <f>IFERROR(INDEX(M_User!$A$12:$J$67,MATCH(D1150,M_User!$D$12:$D$67,0),5),"UNMAPPED")</f>
        <v>MOS</v>
      </c>
      <c r="G1150" s="73" t="s">
        <v>812</v>
      </c>
      <c r="H1150" s="92" t="s">
        <v>813</v>
      </c>
      <c r="I1150" s="73" t="s">
        <v>244</v>
      </c>
      <c r="J1150" s="76" t="str">
        <f>IFERROR(INDEX(M_SKU!$A$18:$J$57,MATCH(I1150,M_SKU!$B$18:$B$57,0),1),"UNKNOWN SKU")</f>
        <v>Sparletta Pinenut Pet 500 ml ( x12)</v>
      </c>
      <c r="K1150" s="73" t="s">
        <v>526</v>
      </c>
      <c r="L1150" s="276">
        <v>1</v>
      </c>
      <c r="M1150" s="94" cm="1">
        <f t="array" ref="M1150">IFERROR(INDEX(M_DepotPrice!$C$10:$C$52,MATCH(1,(M_DepotPrice!$A$10:$A$52=I1150)*(M_DepotPrice!$H$10:$H$52=IFERROR(INDEX(M_Depot!$A$7:$A$24,MATCH(F1150,M_Depot!$B$7:$B$24,0)),""))*(M_DepotPrice!$G$10:$G$52="Special"),0)),INDEX(M_DepotPrice!$C$10:$C$52,MATCH(1,(M_DepotPrice!$A$10:$A$52=I1150)*(M_DepotPrice!$G$10:$G$52="Default"),0)))</f>
        <v>8898</v>
      </c>
      <c r="N1150" s="95">
        <f t="shared" si="35"/>
        <v>10499.64</v>
      </c>
      <c r="O1150" s="82" t="str">
        <f t="shared" si="34"/>
        <v>MOS100842|PH008|CK5-33370</v>
      </c>
    </row>
    <row r="1151" spans="1:15" ht="15" customHeight="1" x14ac:dyDescent="0.3">
      <c r="A1151" s="60" t="s">
        <v>1830</v>
      </c>
      <c r="B1151" s="60" t="s">
        <v>619</v>
      </c>
      <c r="C1151" s="62">
        <v>46180</v>
      </c>
      <c r="D1151" s="63" t="s">
        <v>314</v>
      </c>
      <c r="E1151" s="66" t="str">
        <f>IFERROR(INDEX(M_User!$A$12:$J$67,MATCH(D1151,M_User!$D$12:$D$67,0),3),"UNMAPPED")</f>
        <v>Omary O. Seif</v>
      </c>
      <c r="F1151" s="65" t="str">
        <f>IFERROR(INDEX(M_User!$A$12:$J$67,MATCH(D1151,M_User!$D$12:$D$67,0),5),"UNMAPPED")</f>
        <v>DAR</v>
      </c>
      <c r="G1151" s="63" t="s">
        <v>1831</v>
      </c>
      <c r="H1151" s="69" t="s">
        <v>1832</v>
      </c>
      <c r="I1151" s="63" t="s">
        <v>227</v>
      </c>
      <c r="J1151" s="66" t="str">
        <f>IFERROR(INDEX(M_SKU!$A$18:$J$57,MATCH(I1151,M_SKU!$B$18:$B$57,0),1),"UNKNOWN SKU")</f>
        <v>KNMW 1000ml(6 Pack)</v>
      </c>
      <c r="K1151" s="63" t="s">
        <v>625</v>
      </c>
      <c r="L1151" s="276">
        <v>76</v>
      </c>
      <c r="M1151" s="91" cm="1">
        <f t="array" ref="M1151">IFERROR(INDEX(M_DepotPrice!$C$10:$C$52,MATCH(1,(M_DepotPrice!$A$10:$A$52=I1151)*(M_DepotPrice!$H$10:$H$52=IFERROR(INDEX(M_Depot!$A$7:$A$24,MATCH(F1151,M_Depot!$B$7:$B$24,0)),""))*(M_DepotPrice!$G$10:$G$52="Special"),0)),INDEX(M_DepotPrice!$C$10:$C$52,MATCH(1,(M_DepotPrice!$A$10:$A$52=I1151)*(M_DepotPrice!$G$10:$G$52="Default"),0)))</f>
        <v>2119</v>
      </c>
      <c r="N1151" s="67">
        <f t="shared" si="35"/>
        <v>190031.91999999998</v>
      </c>
      <c r="O1151" s="66" t="str">
        <f t="shared" si="34"/>
        <v>DSM300140|KD007|CK4-833</v>
      </c>
    </row>
    <row r="1152" spans="1:15" ht="15" customHeight="1" x14ac:dyDescent="0.3">
      <c r="A1152" s="70" t="s">
        <v>1833</v>
      </c>
      <c r="B1152" s="70" t="s">
        <v>619</v>
      </c>
      <c r="C1152" s="72">
        <v>46180</v>
      </c>
      <c r="D1152" s="73" t="s">
        <v>314</v>
      </c>
      <c r="E1152" s="76" t="str">
        <f>IFERROR(INDEX(M_User!$A$12:$J$67,MATCH(D1152,M_User!$D$12:$D$67,0),3),"UNMAPPED")</f>
        <v>Omary O. Seif</v>
      </c>
      <c r="F1152" s="75" t="str">
        <f>IFERROR(INDEX(M_User!$A$12:$J$67,MATCH(D1152,M_User!$D$12:$D$67,0),5),"UNMAPPED")</f>
        <v>DAR</v>
      </c>
      <c r="G1152" s="73" t="s">
        <v>1834</v>
      </c>
      <c r="H1152" s="92" t="s">
        <v>1835</v>
      </c>
      <c r="I1152" s="73" t="s">
        <v>222</v>
      </c>
      <c r="J1152" s="76" t="str">
        <f>IFERROR(INDEX(M_SKU!$A$18:$J$57,MATCH(I1152,M_SKU!$B$18:$B$57,0),1),"UNKNOWN SKU")</f>
        <v>Kilimanjaro Drinking Water 12000 ML</v>
      </c>
      <c r="K1152" s="73" t="s">
        <v>607</v>
      </c>
      <c r="L1152" s="276">
        <v>10</v>
      </c>
      <c r="M1152" s="94" cm="1">
        <f t="array" ref="M1152">IFERROR(INDEX(M_DepotPrice!$C$10:$C$52,MATCH(1,(M_DepotPrice!$A$10:$A$52=I1152)*(M_DepotPrice!$H$10:$H$52=IFERROR(INDEX(M_Depot!$A$7:$A$24,MATCH(F1152,M_Depot!$B$7:$B$24,0)),""))*(M_DepotPrice!$G$10:$G$52="Special"),0)),INDEX(M_DepotPrice!$C$10:$C$52,MATCH(1,(M_DepotPrice!$A$10:$A$52=I1152)*(M_DepotPrice!$G$10:$G$52="Default"),0)))</f>
        <v>3559</v>
      </c>
      <c r="N1152" s="95">
        <f t="shared" si="35"/>
        <v>41996.2</v>
      </c>
      <c r="O1152" s="82" t="str">
        <f t="shared" si="34"/>
        <v>DSM300140|KD005|CK7-909</v>
      </c>
    </row>
    <row r="1153" spans="1:15" ht="15" customHeight="1" x14ac:dyDescent="0.3">
      <c r="A1153" s="60" t="s">
        <v>1836</v>
      </c>
      <c r="B1153" s="60" t="s">
        <v>619</v>
      </c>
      <c r="C1153" s="62">
        <v>46180</v>
      </c>
      <c r="D1153" s="63" t="s">
        <v>314</v>
      </c>
      <c r="E1153" s="66" t="str">
        <f>IFERROR(INDEX(M_User!$A$12:$J$67,MATCH(D1153,M_User!$D$12:$D$67,0),3),"UNMAPPED")</f>
        <v>Omary O. Seif</v>
      </c>
      <c r="F1153" s="65" t="str">
        <f>IFERROR(INDEX(M_User!$A$12:$J$67,MATCH(D1153,M_User!$D$12:$D$67,0),5),"UNMAPPED")</f>
        <v>DAR</v>
      </c>
      <c r="G1153" s="63" t="s">
        <v>753</v>
      </c>
      <c r="H1153" s="69" t="s">
        <v>754</v>
      </c>
      <c r="I1153" s="63" t="s">
        <v>211</v>
      </c>
      <c r="J1153" s="66" t="str">
        <f>IFERROR(INDEX(M_SKU!$A$18:$J$57,MATCH(I1153,M_SKU!$B$18:$B$57,0),1),"UNKNOWN SKU")</f>
        <v>KNMW 500ml</v>
      </c>
      <c r="K1153" s="63" t="s">
        <v>622</v>
      </c>
      <c r="L1153" s="276">
        <v>41</v>
      </c>
      <c r="M1153" s="91" cm="1">
        <f t="array" ref="M1153">IFERROR(INDEX(M_DepotPrice!$C$10:$C$52,MATCH(1,(M_DepotPrice!$A$10:$A$52=I1153)*(M_DepotPrice!$H$10:$H$52=IFERROR(INDEX(M_Depot!$A$7:$A$24,MATCH(F1153,M_Depot!$B$7:$B$24,0)),""))*(M_DepotPrice!$G$10:$G$52="Special"),0)),INDEX(M_DepotPrice!$C$10:$C$52,MATCH(1,(M_DepotPrice!$A$10:$A$52=I1153)*(M_DepotPrice!$G$10:$G$52="Default"),0)))</f>
        <v>3559</v>
      </c>
      <c r="N1153" s="67">
        <f t="shared" si="35"/>
        <v>172184.41999999998</v>
      </c>
      <c r="O1153" s="66" t="str">
        <f t="shared" si="34"/>
        <v>DSM300140|KD001|CK6-979</v>
      </c>
    </row>
    <row r="1154" spans="1:15" ht="15" customHeight="1" x14ac:dyDescent="0.3">
      <c r="A1154" s="70" t="s">
        <v>1837</v>
      </c>
      <c r="B1154" s="70" t="s">
        <v>619</v>
      </c>
      <c r="C1154" s="72">
        <v>46181</v>
      </c>
      <c r="D1154" s="73" t="s">
        <v>314</v>
      </c>
      <c r="E1154" s="76" t="str">
        <f>IFERROR(INDEX(M_User!$A$12:$J$67,MATCH(D1154,M_User!$D$12:$D$67,0),3),"UNMAPPED")</f>
        <v>Omary O. Seif</v>
      </c>
      <c r="F1154" s="75" t="str">
        <f>IFERROR(INDEX(M_User!$A$12:$J$67,MATCH(D1154,M_User!$D$12:$D$67,0),5),"UNMAPPED")</f>
        <v>DAR</v>
      </c>
      <c r="G1154" s="73" t="s">
        <v>1831</v>
      </c>
      <c r="H1154" s="92" t="s">
        <v>1832</v>
      </c>
      <c r="I1154" s="73" t="s">
        <v>222</v>
      </c>
      <c r="J1154" s="76" t="str">
        <f>IFERROR(INDEX(M_SKU!$A$18:$J$57,MATCH(I1154,M_SKU!$B$18:$B$57,0),1),"UNKNOWN SKU")</f>
        <v>Kilimanjaro Drinking Water 12000 ML</v>
      </c>
      <c r="K1154" s="73" t="s">
        <v>607</v>
      </c>
      <c r="L1154" s="276">
        <v>10</v>
      </c>
      <c r="M1154" s="94" cm="1">
        <f t="array" ref="M1154">IFERROR(INDEX(M_DepotPrice!$C$10:$C$52,MATCH(1,(M_DepotPrice!$A$10:$A$52=I1154)*(M_DepotPrice!$H$10:$H$52=IFERROR(INDEX(M_Depot!$A$7:$A$24,MATCH(F1154,M_Depot!$B$7:$B$24,0)),""))*(M_DepotPrice!$G$10:$G$52="Special"),0)),INDEX(M_DepotPrice!$C$10:$C$52,MATCH(1,(M_DepotPrice!$A$10:$A$52=I1154)*(M_DepotPrice!$G$10:$G$52="Default"),0)))</f>
        <v>3559</v>
      </c>
      <c r="N1154" s="95">
        <f t="shared" si="35"/>
        <v>41996.2</v>
      </c>
      <c r="O1154" s="82" t="str">
        <f t="shared" si="34"/>
        <v>DSM300140|KD005|CK7-909</v>
      </c>
    </row>
    <row r="1155" spans="1:15" ht="15" customHeight="1" x14ac:dyDescent="0.3">
      <c r="A1155" s="60" t="s">
        <v>1838</v>
      </c>
      <c r="B1155" s="60" t="s">
        <v>619</v>
      </c>
      <c r="C1155" s="62">
        <v>46181</v>
      </c>
      <c r="D1155" s="63" t="s">
        <v>314</v>
      </c>
      <c r="E1155" s="66" t="str">
        <f>IFERROR(INDEX(M_User!$A$12:$J$67,MATCH(D1155,M_User!$D$12:$D$67,0),3),"UNMAPPED")</f>
        <v>Omary O. Seif</v>
      </c>
      <c r="F1155" s="65" t="str">
        <f>IFERROR(INDEX(M_User!$A$12:$J$67,MATCH(D1155,M_User!$D$12:$D$67,0),5),"UNMAPPED")</f>
        <v>DAR</v>
      </c>
      <c r="G1155" s="63" t="s">
        <v>750</v>
      </c>
      <c r="H1155" s="69" t="s">
        <v>751</v>
      </c>
      <c r="I1155" s="63" t="s">
        <v>211</v>
      </c>
      <c r="J1155" s="66" t="str">
        <f>IFERROR(INDEX(M_SKU!$A$18:$J$57,MATCH(I1155,M_SKU!$B$18:$B$57,0),1),"UNKNOWN SKU")</f>
        <v>KNMW 500ml</v>
      </c>
      <c r="K1155" s="63" t="s">
        <v>622</v>
      </c>
      <c r="L1155" s="276">
        <v>45</v>
      </c>
      <c r="M1155" s="91" cm="1">
        <f t="array" ref="M1155">IFERROR(INDEX(M_DepotPrice!$C$10:$C$52,MATCH(1,(M_DepotPrice!$A$10:$A$52=I1155)*(M_DepotPrice!$H$10:$H$52=IFERROR(INDEX(M_Depot!$A$7:$A$24,MATCH(F1155,M_Depot!$B$7:$B$24,0)),""))*(M_DepotPrice!$G$10:$G$52="Special"),0)),INDEX(M_DepotPrice!$C$10:$C$52,MATCH(1,(M_DepotPrice!$A$10:$A$52=I1155)*(M_DepotPrice!$G$10:$G$52="Default"),0)))</f>
        <v>3559</v>
      </c>
      <c r="N1155" s="67">
        <f t="shared" si="35"/>
        <v>188982.9</v>
      </c>
      <c r="O1155" s="66" t="str">
        <f t="shared" si="34"/>
        <v>DSM300140|KD001|CK6-979</v>
      </c>
    </row>
    <row r="1156" spans="1:15" ht="15" customHeight="1" x14ac:dyDescent="0.3">
      <c r="A1156" s="70" t="s">
        <v>1839</v>
      </c>
      <c r="B1156" s="70" t="s">
        <v>619</v>
      </c>
      <c r="C1156" s="72">
        <v>46181</v>
      </c>
      <c r="D1156" s="73" t="s">
        <v>314</v>
      </c>
      <c r="E1156" s="76" t="str">
        <f>IFERROR(INDEX(M_User!$A$12:$J$67,MATCH(D1156,M_User!$D$12:$D$67,0),3),"UNMAPPED")</f>
        <v>Omary O. Seif</v>
      </c>
      <c r="F1156" s="75" t="str">
        <f>IFERROR(INDEX(M_User!$A$12:$J$67,MATCH(D1156,M_User!$D$12:$D$67,0),5),"UNMAPPED")</f>
        <v>DAR</v>
      </c>
      <c r="G1156" s="73" t="s">
        <v>1834</v>
      </c>
      <c r="H1156" s="92" t="s">
        <v>1835</v>
      </c>
      <c r="I1156" s="73" t="s">
        <v>225</v>
      </c>
      <c r="J1156" s="76" t="str">
        <f>IFERROR(INDEX(M_SKU!$A$18:$J$57,MATCH(I1156,M_SKU!$B$18:$B$57,0),1),"UNKNOWN SKU")</f>
        <v>Kilimanjaro Drinking Water 18900 ML</v>
      </c>
      <c r="K1156" s="73" t="s">
        <v>624</v>
      </c>
      <c r="L1156" s="276">
        <v>9</v>
      </c>
      <c r="M1156" s="94" cm="1">
        <f t="array" ref="M1156">IFERROR(INDEX(M_DepotPrice!$C$10:$C$52,MATCH(1,(M_DepotPrice!$A$10:$A$52=I1156)*(M_DepotPrice!$H$10:$H$52=IFERROR(INDEX(M_Depot!$A$7:$A$24,MATCH(F1156,M_Depot!$B$7:$B$24,0)),""))*(M_DepotPrice!$G$10:$G$52="Special"),0)),INDEX(M_DepotPrice!$C$10:$C$52,MATCH(1,(M_DepotPrice!$A$10:$A$52=I1156)*(M_DepotPrice!$G$10:$G$52="Default"),0)))</f>
        <v>5932</v>
      </c>
      <c r="N1156" s="95">
        <f t="shared" si="35"/>
        <v>62997.84</v>
      </c>
      <c r="O1156" s="82" t="str">
        <f t="shared" si="34"/>
        <v>DSM300140|KD006|CK7-911</v>
      </c>
    </row>
    <row r="1157" spans="1:15" ht="15" customHeight="1" x14ac:dyDescent="0.3">
      <c r="A1157" s="60" t="s">
        <v>1840</v>
      </c>
      <c r="B1157" s="60" t="s">
        <v>619</v>
      </c>
      <c r="C1157" s="62">
        <v>46182</v>
      </c>
      <c r="D1157" s="63" t="s">
        <v>314</v>
      </c>
      <c r="E1157" s="66" t="str">
        <f>IFERROR(INDEX(M_User!$A$12:$J$67,MATCH(D1157,M_User!$D$12:$D$67,0),3),"UNMAPPED")</f>
        <v>Omary O. Seif</v>
      </c>
      <c r="F1157" s="65" t="str">
        <f>IFERROR(INDEX(M_User!$A$12:$J$67,MATCH(D1157,M_User!$D$12:$D$67,0),5),"UNMAPPED")</f>
        <v>DAR</v>
      </c>
      <c r="G1157" s="63" t="s">
        <v>1841</v>
      </c>
      <c r="H1157" s="69" t="s">
        <v>1842</v>
      </c>
      <c r="I1157" s="63" t="s">
        <v>217</v>
      </c>
      <c r="J1157" s="66" t="str">
        <f>IFERROR(INDEX(M_SKU!$A$18:$J$57,MATCH(I1157,M_SKU!$B$18:$B$57,0),1),"UNKNOWN SKU")</f>
        <v>KNMW 1500ml</v>
      </c>
      <c r="K1157" s="63" t="s">
        <v>623</v>
      </c>
      <c r="L1157" s="276">
        <v>26</v>
      </c>
      <c r="M1157" s="91" cm="1">
        <f t="array" ref="M1157">IFERROR(INDEX(M_DepotPrice!$C$10:$C$52,MATCH(1,(M_DepotPrice!$A$10:$A$52=I1157)*(M_DepotPrice!$H$10:$H$52=IFERROR(INDEX(M_Depot!$A$7:$A$24,MATCH(F1157,M_Depot!$B$7:$B$24,0)),""))*(M_DepotPrice!$G$10:$G$52="Special"),0)),INDEX(M_DepotPrice!$C$10:$C$52,MATCH(1,(M_DepotPrice!$A$10:$A$52=I1157)*(M_DepotPrice!$G$10:$G$52="Default"),0)))</f>
        <v>3559</v>
      </c>
      <c r="N1157" s="67">
        <f t="shared" si="35"/>
        <v>109190.12</v>
      </c>
      <c r="O1157" s="66" t="str">
        <f t="shared" si="34"/>
        <v>DSM300140|KD003|CK4-823</v>
      </c>
    </row>
    <row r="1158" spans="1:15" ht="15" customHeight="1" x14ac:dyDescent="0.3">
      <c r="A1158" s="70" t="s">
        <v>1843</v>
      </c>
      <c r="B1158" s="70" t="s">
        <v>619</v>
      </c>
      <c r="C1158" s="72">
        <v>46182</v>
      </c>
      <c r="D1158" s="73" t="s">
        <v>314</v>
      </c>
      <c r="E1158" s="76" t="str">
        <f>IFERROR(INDEX(M_User!$A$12:$J$67,MATCH(D1158,M_User!$D$12:$D$67,0),3),"UNMAPPED")</f>
        <v>Omary O. Seif</v>
      </c>
      <c r="F1158" s="75" t="str">
        <f>IFERROR(INDEX(M_User!$A$12:$J$67,MATCH(D1158,M_User!$D$12:$D$67,0),5),"UNMAPPED")</f>
        <v>DAR</v>
      </c>
      <c r="G1158" s="73" t="s">
        <v>1841</v>
      </c>
      <c r="H1158" s="92" t="s">
        <v>1842</v>
      </c>
      <c r="I1158" s="73" t="s">
        <v>225</v>
      </c>
      <c r="J1158" s="76" t="str">
        <f>IFERROR(INDEX(M_SKU!$A$18:$J$57,MATCH(I1158,M_SKU!$B$18:$B$57,0),1),"UNKNOWN SKU")</f>
        <v>Kilimanjaro Drinking Water 18900 ML</v>
      </c>
      <c r="K1158" s="73" t="s">
        <v>624</v>
      </c>
      <c r="L1158" s="276">
        <v>5</v>
      </c>
      <c r="M1158" s="94" cm="1">
        <f t="array" ref="M1158">IFERROR(INDEX(M_DepotPrice!$C$10:$C$52,MATCH(1,(M_DepotPrice!$A$10:$A$52=I1158)*(M_DepotPrice!$H$10:$H$52=IFERROR(INDEX(M_Depot!$A$7:$A$24,MATCH(F1158,M_Depot!$B$7:$B$24,0)),""))*(M_DepotPrice!$G$10:$G$52="Special"),0)),INDEX(M_DepotPrice!$C$10:$C$52,MATCH(1,(M_DepotPrice!$A$10:$A$52=I1158)*(M_DepotPrice!$G$10:$G$52="Default"),0)))</f>
        <v>5932</v>
      </c>
      <c r="N1158" s="95">
        <f t="shared" si="35"/>
        <v>34998.799999999996</v>
      </c>
      <c r="O1158" s="82" t="str">
        <f t="shared" si="34"/>
        <v>DSM300140|KD006|CK7-911</v>
      </c>
    </row>
    <row r="1159" spans="1:15" ht="15" customHeight="1" x14ac:dyDescent="0.3">
      <c r="A1159" s="60" t="s">
        <v>1844</v>
      </c>
      <c r="B1159" s="60" t="s">
        <v>619</v>
      </c>
      <c r="C1159" s="62">
        <v>46182</v>
      </c>
      <c r="D1159" s="63" t="s">
        <v>314</v>
      </c>
      <c r="E1159" s="66" t="str">
        <f>IFERROR(INDEX(M_User!$A$12:$J$67,MATCH(D1159,M_User!$D$12:$D$67,0),3),"UNMAPPED")</f>
        <v>Omary O. Seif</v>
      </c>
      <c r="F1159" s="65" t="str">
        <f>IFERROR(INDEX(M_User!$A$12:$J$67,MATCH(D1159,M_User!$D$12:$D$67,0),5),"UNMAPPED")</f>
        <v>DAR</v>
      </c>
      <c r="G1159" s="63" t="s">
        <v>747</v>
      </c>
      <c r="H1159" s="69" t="s">
        <v>748</v>
      </c>
      <c r="I1159" s="63" t="s">
        <v>211</v>
      </c>
      <c r="J1159" s="66" t="str">
        <f>IFERROR(INDEX(M_SKU!$A$18:$J$57,MATCH(I1159,M_SKU!$B$18:$B$57,0),1),"UNKNOWN SKU")</f>
        <v>KNMW 500ml</v>
      </c>
      <c r="K1159" s="63" t="s">
        <v>622</v>
      </c>
      <c r="L1159" s="276">
        <v>40</v>
      </c>
      <c r="M1159" s="91" cm="1">
        <f t="array" ref="M1159">IFERROR(INDEX(M_DepotPrice!$C$10:$C$52,MATCH(1,(M_DepotPrice!$A$10:$A$52=I1159)*(M_DepotPrice!$H$10:$H$52=IFERROR(INDEX(M_Depot!$A$7:$A$24,MATCH(F1159,M_Depot!$B$7:$B$24,0)),""))*(M_DepotPrice!$G$10:$G$52="Special"),0)),INDEX(M_DepotPrice!$C$10:$C$52,MATCH(1,(M_DepotPrice!$A$10:$A$52=I1159)*(M_DepotPrice!$G$10:$G$52="Default"),0)))</f>
        <v>3559</v>
      </c>
      <c r="N1159" s="67">
        <f t="shared" si="35"/>
        <v>167984.8</v>
      </c>
      <c r="O1159" s="66" t="str">
        <f t="shared" si="34"/>
        <v>DSM300140|KD001|CK6-979</v>
      </c>
    </row>
    <row r="1160" spans="1:15" ht="15" customHeight="1" x14ac:dyDescent="0.3">
      <c r="A1160" s="70" t="s">
        <v>1845</v>
      </c>
      <c r="B1160" s="70" t="s">
        <v>619</v>
      </c>
      <c r="C1160" s="72">
        <v>46182</v>
      </c>
      <c r="D1160" s="73" t="s">
        <v>314</v>
      </c>
      <c r="E1160" s="76" t="str">
        <f>IFERROR(INDEX(M_User!$A$12:$J$67,MATCH(D1160,M_User!$D$12:$D$67,0),3),"UNMAPPED")</f>
        <v>Omary O. Seif</v>
      </c>
      <c r="F1160" s="75" t="str">
        <f>IFERROR(INDEX(M_User!$A$12:$J$67,MATCH(D1160,M_User!$D$12:$D$67,0),5),"UNMAPPED")</f>
        <v>DAR</v>
      </c>
      <c r="G1160" s="73" t="s">
        <v>747</v>
      </c>
      <c r="H1160" s="92" t="s">
        <v>748</v>
      </c>
      <c r="I1160" s="73" t="s">
        <v>227</v>
      </c>
      <c r="J1160" s="76" t="str">
        <f>IFERROR(INDEX(M_SKU!$A$18:$J$57,MATCH(I1160,M_SKU!$B$18:$B$57,0),1),"UNKNOWN SKU")</f>
        <v>KNMW 1000ml(6 Pack)</v>
      </c>
      <c r="K1160" s="73" t="s">
        <v>625</v>
      </c>
      <c r="L1160" s="276">
        <v>72</v>
      </c>
      <c r="M1160" s="94" cm="1">
        <f t="array" ref="M1160">IFERROR(INDEX(M_DepotPrice!$C$10:$C$52,MATCH(1,(M_DepotPrice!$A$10:$A$52=I1160)*(M_DepotPrice!$H$10:$H$52=IFERROR(INDEX(M_Depot!$A$7:$A$24,MATCH(F1160,M_Depot!$B$7:$B$24,0)),""))*(M_DepotPrice!$G$10:$G$52="Special"),0)),INDEX(M_DepotPrice!$C$10:$C$52,MATCH(1,(M_DepotPrice!$A$10:$A$52=I1160)*(M_DepotPrice!$G$10:$G$52="Default"),0)))</f>
        <v>2119</v>
      </c>
      <c r="N1160" s="95">
        <f t="shared" si="35"/>
        <v>180030.24</v>
      </c>
      <c r="O1160" s="82" t="str">
        <f t="shared" si="34"/>
        <v>DSM300140|KD007|CK4-833</v>
      </c>
    </row>
    <row r="1161" spans="1:15" ht="15" customHeight="1" x14ac:dyDescent="0.3">
      <c r="A1161" s="60" t="s">
        <v>1846</v>
      </c>
      <c r="B1161" s="60" t="s">
        <v>619</v>
      </c>
      <c r="C1161" s="62">
        <v>46182</v>
      </c>
      <c r="D1161" s="63" t="s">
        <v>314</v>
      </c>
      <c r="E1161" s="66" t="str">
        <f>IFERROR(INDEX(M_User!$A$12:$J$67,MATCH(D1161,M_User!$D$12:$D$67,0),3),"UNMAPPED")</f>
        <v>Omary O. Seif</v>
      </c>
      <c r="F1161" s="65" t="str">
        <f>IFERROR(INDEX(M_User!$A$12:$J$67,MATCH(D1161,M_User!$D$12:$D$67,0),5),"UNMAPPED")</f>
        <v>DAR</v>
      </c>
      <c r="G1161" s="63" t="s">
        <v>750</v>
      </c>
      <c r="H1161" s="69" t="s">
        <v>751</v>
      </c>
      <c r="I1161" s="63" t="s">
        <v>227</v>
      </c>
      <c r="J1161" s="66" t="str">
        <f>IFERROR(INDEX(M_SKU!$A$18:$J$57,MATCH(I1161,M_SKU!$B$18:$B$57,0),1),"UNKNOWN SKU")</f>
        <v>KNMW 1000ml(6 Pack)</v>
      </c>
      <c r="K1161" s="63" t="s">
        <v>625</v>
      </c>
      <c r="L1161" s="276">
        <v>59</v>
      </c>
      <c r="M1161" s="91" cm="1">
        <f t="array" ref="M1161">IFERROR(INDEX(M_DepotPrice!$C$10:$C$52,MATCH(1,(M_DepotPrice!$A$10:$A$52=I1161)*(M_DepotPrice!$H$10:$H$52=IFERROR(INDEX(M_Depot!$A$7:$A$24,MATCH(F1161,M_Depot!$B$7:$B$24,0)),""))*(M_DepotPrice!$G$10:$G$52="Special"),0)),INDEX(M_DepotPrice!$C$10:$C$52,MATCH(1,(M_DepotPrice!$A$10:$A$52=I1161)*(M_DepotPrice!$G$10:$G$52="Default"),0)))</f>
        <v>2119</v>
      </c>
      <c r="N1161" s="67">
        <f t="shared" si="35"/>
        <v>147524.78</v>
      </c>
      <c r="O1161" s="66" t="str">
        <f t="shared" si="34"/>
        <v>DSM300140|KD007|CK4-833</v>
      </c>
    </row>
    <row r="1162" spans="1:15" ht="15" customHeight="1" x14ac:dyDescent="0.3">
      <c r="A1162" s="70" t="s">
        <v>1847</v>
      </c>
      <c r="B1162" s="70" t="s">
        <v>619</v>
      </c>
      <c r="C1162" s="72">
        <v>46182</v>
      </c>
      <c r="D1162" s="73" t="s">
        <v>314</v>
      </c>
      <c r="E1162" s="76" t="str">
        <f>IFERROR(INDEX(M_User!$A$12:$J$67,MATCH(D1162,M_User!$D$12:$D$67,0),3),"UNMAPPED")</f>
        <v>Omary O. Seif</v>
      </c>
      <c r="F1162" s="75" t="str">
        <f>IFERROR(INDEX(M_User!$A$12:$J$67,MATCH(D1162,M_User!$D$12:$D$67,0),5),"UNMAPPED")</f>
        <v>DAR</v>
      </c>
      <c r="G1162" s="73" t="s">
        <v>1834</v>
      </c>
      <c r="H1162" s="92" t="s">
        <v>1835</v>
      </c>
      <c r="I1162" s="73" t="s">
        <v>211</v>
      </c>
      <c r="J1162" s="76" t="str">
        <f>IFERROR(INDEX(M_SKU!$A$18:$J$57,MATCH(I1162,M_SKU!$B$18:$B$57,0),1),"UNKNOWN SKU")</f>
        <v>KNMW 500ml</v>
      </c>
      <c r="K1162" s="73" t="s">
        <v>622</v>
      </c>
      <c r="L1162" s="276">
        <v>56</v>
      </c>
      <c r="M1162" s="94" cm="1">
        <f t="array" ref="M1162">IFERROR(INDEX(M_DepotPrice!$C$10:$C$52,MATCH(1,(M_DepotPrice!$A$10:$A$52=I1162)*(M_DepotPrice!$H$10:$H$52=IFERROR(INDEX(M_Depot!$A$7:$A$24,MATCH(F1162,M_Depot!$B$7:$B$24,0)),""))*(M_DepotPrice!$G$10:$G$52="Special"),0)),INDEX(M_DepotPrice!$C$10:$C$52,MATCH(1,(M_DepotPrice!$A$10:$A$52=I1162)*(M_DepotPrice!$G$10:$G$52="Default"),0)))</f>
        <v>3559</v>
      </c>
      <c r="N1162" s="95">
        <f t="shared" ref="N1162:N1164" si="36">(L1162*M1162)*1.18</f>
        <v>235178.72</v>
      </c>
      <c r="O1162" s="82" t="str">
        <f t="shared" si="34"/>
        <v>DSM300140|KD001|CK6-979</v>
      </c>
    </row>
    <row r="1163" spans="1:15" ht="15" customHeight="1" x14ac:dyDescent="0.3">
      <c r="A1163" s="60" t="s">
        <v>1848</v>
      </c>
      <c r="B1163" s="60" t="s">
        <v>619</v>
      </c>
      <c r="C1163" s="62">
        <v>46183</v>
      </c>
      <c r="D1163" s="63" t="s">
        <v>314</v>
      </c>
      <c r="E1163" s="66" t="str">
        <f>IFERROR(INDEX(M_User!$A$12:$J$67,MATCH(D1163,M_User!$D$12:$D$67,0),3),"UNMAPPED")</f>
        <v>Omary O. Seif</v>
      </c>
      <c r="F1163" s="65" t="str">
        <f>IFERROR(INDEX(M_User!$A$12:$J$67,MATCH(D1163,M_User!$D$12:$D$67,0),5),"UNMAPPED")</f>
        <v>DAR</v>
      </c>
      <c r="G1163" s="63" t="s">
        <v>1841</v>
      </c>
      <c r="H1163" s="69" t="s">
        <v>1842</v>
      </c>
      <c r="I1163" s="63" t="s">
        <v>227</v>
      </c>
      <c r="J1163" s="66" t="str">
        <f>IFERROR(INDEX(M_SKU!$A$18:$J$57,MATCH(I1163,M_SKU!$B$18:$B$57,0),1),"UNKNOWN SKU")</f>
        <v>KNMW 1000ml(6 Pack)</v>
      </c>
      <c r="K1163" s="63" t="s">
        <v>625</v>
      </c>
      <c r="L1163" s="276">
        <v>64</v>
      </c>
      <c r="M1163" s="91" cm="1">
        <f t="array" ref="M1163">IFERROR(INDEX(M_DepotPrice!$C$10:$C$52,MATCH(1,(M_DepotPrice!$A$10:$A$52=I1163)*(M_DepotPrice!$H$10:$H$52=IFERROR(INDEX(M_Depot!$A$7:$A$24,MATCH(F1163,M_Depot!$B$7:$B$24,0)),""))*(M_DepotPrice!$G$10:$G$52="Special"),0)),INDEX(M_DepotPrice!$C$10:$C$52,MATCH(1,(M_DepotPrice!$A$10:$A$52=I1163)*(M_DepotPrice!$G$10:$G$52="Default"),0)))</f>
        <v>2119</v>
      </c>
      <c r="N1163" s="67">
        <f t="shared" si="36"/>
        <v>160026.88</v>
      </c>
      <c r="O1163" s="66" t="str">
        <f t="shared" si="34"/>
        <v>DSM300140|KD007|CK4-833</v>
      </c>
    </row>
    <row r="1164" spans="1:15" ht="15" customHeight="1" x14ac:dyDescent="0.3">
      <c r="A1164" s="70" t="s">
        <v>1849</v>
      </c>
      <c r="B1164" s="70" t="s">
        <v>619</v>
      </c>
      <c r="C1164" s="72">
        <v>46183</v>
      </c>
      <c r="D1164" s="73" t="s">
        <v>314</v>
      </c>
      <c r="E1164" s="76" t="str">
        <f>IFERROR(INDEX(M_User!$A$12:$J$67,MATCH(D1164,M_User!$D$12:$D$67,0),3),"UNMAPPED")</f>
        <v>Omary O. Seif</v>
      </c>
      <c r="F1164" s="75" t="str">
        <f>IFERROR(INDEX(M_User!$A$12:$J$67,MATCH(D1164,M_User!$D$12:$D$67,0),5),"UNMAPPED")</f>
        <v>DAR</v>
      </c>
      <c r="G1164" s="73" t="s">
        <v>753</v>
      </c>
      <c r="H1164" s="92" t="s">
        <v>754</v>
      </c>
      <c r="I1164" s="73" t="s">
        <v>217</v>
      </c>
      <c r="J1164" s="76" t="str">
        <f>IFERROR(INDEX(M_SKU!$A$18:$J$57,MATCH(I1164,M_SKU!$B$18:$B$57,0),1),"UNKNOWN SKU")</f>
        <v>KNMW 1500ml</v>
      </c>
      <c r="K1164" s="73" t="s">
        <v>623</v>
      </c>
      <c r="L1164" s="276">
        <v>19</v>
      </c>
      <c r="M1164" s="94" cm="1">
        <f t="array" ref="M1164">IFERROR(INDEX(M_DepotPrice!$C$10:$C$52,MATCH(1,(M_DepotPrice!$A$10:$A$52=I1164)*(M_DepotPrice!$H$10:$H$52=IFERROR(INDEX(M_Depot!$A$7:$A$24,MATCH(F1164,M_Depot!$B$7:$B$24,0)),""))*(M_DepotPrice!$G$10:$G$52="Special"),0)),INDEX(M_DepotPrice!$C$10:$C$52,MATCH(1,(M_DepotPrice!$A$10:$A$52=I1164)*(M_DepotPrice!$G$10:$G$52="Default"),0)))</f>
        <v>3559</v>
      </c>
      <c r="N1164" s="95">
        <f t="shared" si="36"/>
        <v>79792.78</v>
      </c>
      <c r="O1164" s="82" t="str">
        <f t="shared" si="34"/>
        <v>DSM300140|KD003|CK4-823</v>
      </c>
    </row>
    <row r="1167" spans="1:15" ht="15" customHeight="1" x14ac:dyDescent="0.3">
      <c r="A1167" s="83" t="s">
        <v>626</v>
      </c>
    </row>
    <row r="1168" spans="1:15" ht="15" customHeight="1" x14ac:dyDescent="0.3">
      <c r="A1168" s="14" t="s">
        <v>1850</v>
      </c>
      <c r="B1168" s="15">
        <f>COUNTA(A9:A1164)</f>
        <v>1156</v>
      </c>
    </row>
    <row r="1169" spans="1:2" ht="15" customHeight="1" x14ac:dyDescent="0.3">
      <c r="A1169" s="84" t="s">
        <v>1851</v>
      </c>
      <c r="B1169" s="15">
        <f>SUMPRODUCT(1/COUNTIF(D9:D1164,D9:D1164))</f>
        <v>17.000000000000078</v>
      </c>
    </row>
    <row r="1170" spans="1:2" ht="15" customHeight="1" x14ac:dyDescent="0.3">
      <c r="A1170" s="84" t="s">
        <v>1852</v>
      </c>
      <c r="B1170" s="15">
        <f>SUMPRODUCT(1/COUNTIF(G9:G1164,G9:G1164))</f>
        <v>19.999999999999883</v>
      </c>
    </row>
    <row r="1171" spans="1:2" ht="15" customHeight="1" x14ac:dyDescent="0.3">
      <c r="A1171" s="84" t="s">
        <v>1853</v>
      </c>
      <c r="B1171" s="86">
        <f>SUM(L9:L1164)</f>
        <v>6616.9404776639567</v>
      </c>
    </row>
    <row r="1172" spans="1:2" ht="15" customHeight="1" x14ac:dyDescent="0.3">
      <c r="A1172" s="14" t="s">
        <v>1854</v>
      </c>
      <c r="B1172" s="35">
        <f>SUM(N9:N1164)</f>
        <v>55971816.535720266</v>
      </c>
    </row>
    <row r="1174" spans="1:2" ht="15" customHeight="1" x14ac:dyDescent="0.3">
      <c r="A1174" s="15" t="s">
        <v>1855</v>
      </c>
    </row>
    <row r="1175" spans="1:2" ht="15" customHeight="1" x14ac:dyDescent="0.3">
      <c r="A1175" s="84" t="s">
        <v>1856</v>
      </c>
      <c r="B1175" s="1" t="s">
        <v>1857</v>
      </c>
    </row>
    <row r="1176" spans="1:2" ht="15" customHeight="1" x14ac:dyDescent="0.3">
      <c r="A1176" s="84" t="s">
        <v>1858</v>
      </c>
      <c r="B1176" s="1" t="s">
        <v>1859</v>
      </c>
    </row>
    <row r="1177" spans="1:2" ht="15" customHeight="1" x14ac:dyDescent="0.3">
      <c r="A1177" s="84" t="s">
        <v>1860</v>
      </c>
      <c r="B1177" s="1" t="s">
        <v>1861</v>
      </c>
    </row>
    <row r="1178" spans="1:2" ht="15" customHeight="1" x14ac:dyDescent="0.3">
      <c r="A1178" s="84" t="s">
        <v>1862</v>
      </c>
      <c r="B1178" s="1" t="s">
        <v>1863</v>
      </c>
    </row>
    <row r="1179" spans="1:2" ht="15" customHeight="1" x14ac:dyDescent="0.3">
      <c r="A1179" s="84" t="s">
        <v>1864</v>
      </c>
      <c r="B1179" s="1" t="s">
        <v>1865</v>
      </c>
    </row>
    <row r="1180" spans="1:2" ht="15" customHeight="1" x14ac:dyDescent="0.3">
      <c r="A1180" s="84" t="s">
        <v>1866</v>
      </c>
      <c r="B1180" s="1" t="s">
        <v>1867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50"/>
  <sheetViews>
    <sheetView showGridLines="0" zoomScaleNormal="100" workbookViewId="0"/>
  </sheetViews>
  <sheetFormatPr defaultColWidth="8.6640625" defaultRowHeight="14.4" x14ac:dyDescent="0.3"/>
  <cols>
    <col min="1" max="1" width="14.6640625" bestFit="1" customWidth="1"/>
    <col min="2" max="2" width="28" customWidth="1"/>
    <col min="3" max="3" width="12" customWidth="1"/>
    <col min="4" max="4" width="24" customWidth="1"/>
    <col min="5" max="5" width="10.88671875" bestFit="1" customWidth="1"/>
    <col min="6" max="6" width="9.21875" bestFit="1" customWidth="1"/>
    <col min="7" max="7" width="32" customWidth="1"/>
    <col min="8" max="12" width="12" customWidth="1"/>
    <col min="13" max="13" width="17.6640625" bestFit="1" customWidth="1"/>
  </cols>
  <sheetData>
    <row r="1" spans="1:13" ht="19.5" customHeight="1" x14ac:dyDescent="0.4">
      <c r="A1" s="13" t="s">
        <v>1868</v>
      </c>
    </row>
    <row r="2" spans="1:13" ht="15" customHeight="1" x14ac:dyDescent="0.3">
      <c r="A2" s="1" t="s">
        <v>1869</v>
      </c>
    </row>
    <row r="3" spans="1:13" ht="15" customHeight="1" x14ac:dyDescent="0.3">
      <c r="A3" s="96" t="s">
        <v>1870</v>
      </c>
    </row>
    <row r="4" spans="1:13" ht="15" customHeight="1" x14ac:dyDescent="0.3">
      <c r="A4" s="1" t="s">
        <v>1871</v>
      </c>
    </row>
    <row r="5" spans="1:13" ht="15" customHeight="1" x14ac:dyDescent="0.3">
      <c r="A5" s="1" t="s">
        <v>1872</v>
      </c>
    </row>
    <row r="7" spans="1:13" ht="15" customHeight="1" x14ac:dyDescent="0.3">
      <c r="A7" s="15" t="s">
        <v>494</v>
      </c>
      <c r="B7" s="48" t="s">
        <v>495</v>
      </c>
      <c r="D7" s="50" t="s">
        <v>497</v>
      </c>
      <c r="F7" s="49" t="s">
        <v>1873</v>
      </c>
      <c r="H7" s="51" t="s">
        <v>498</v>
      </c>
      <c r="J7" s="53" t="s">
        <v>500</v>
      </c>
    </row>
    <row r="9" spans="1:13" ht="36" customHeight="1" x14ac:dyDescent="0.3">
      <c r="A9" s="54" t="s">
        <v>1874</v>
      </c>
      <c r="B9" s="59" t="s">
        <v>518</v>
      </c>
      <c r="C9" s="54" t="s">
        <v>647</v>
      </c>
      <c r="D9" s="56" t="s">
        <v>648</v>
      </c>
      <c r="E9" s="56" t="s">
        <v>1875</v>
      </c>
      <c r="F9" s="54" t="s">
        <v>509</v>
      </c>
      <c r="G9" s="56" t="s">
        <v>277</v>
      </c>
      <c r="H9" s="54" t="s">
        <v>510</v>
      </c>
      <c r="I9" s="55" t="s">
        <v>1876</v>
      </c>
      <c r="J9" s="55" t="s">
        <v>1877</v>
      </c>
      <c r="K9" s="55" t="s">
        <v>1878</v>
      </c>
      <c r="L9" s="57" t="s">
        <v>1879</v>
      </c>
      <c r="M9" s="57" t="s">
        <v>1880</v>
      </c>
    </row>
    <row r="10" spans="1:13" ht="15" customHeight="1" x14ac:dyDescent="0.3">
      <c r="A10" s="60" t="s">
        <v>1881</v>
      </c>
      <c r="B10" s="97" t="s">
        <v>1882</v>
      </c>
      <c r="C10" s="63" t="s">
        <v>320</v>
      </c>
      <c r="D10" s="66" t="str">
        <f>IFERROR(INDEX(M_User!$A$12:$J$67,MATCH(C10,M_User!$D$12:$D$67,0),3),"UNMAPPED")</f>
        <v>Doglas E. Shirima</v>
      </c>
      <c r="E10" s="65" t="str">
        <f>IFERROR(INDEX(M_User!$A$12:$J$67,MATCH(C10,M_User!$D$12:$D$67,0),5),"UNMAPPED")</f>
        <v>ARS</v>
      </c>
      <c r="F10" s="63" t="s">
        <v>170</v>
      </c>
      <c r="G10" s="66" t="str">
        <f>IFERROR(INDEX(M_SKU!$A$18:$J$57,MATCH(F10,M_SKU!$B$18:$B$57,0),1),"UNKNOWN SKU")</f>
        <v>Coke RGB 350ml</v>
      </c>
      <c r="H10" s="63" t="s">
        <v>596</v>
      </c>
      <c r="I10" s="98">
        <f>SUMIF(T_Load!$U$9:$U$439,B10,T_Load!$O$9:$O$439)</f>
        <v>15</v>
      </c>
      <c r="J10" s="98">
        <f>SUMIF(T_Sales!$O$9:$O$1164,B10,T_Sales!$L$9:$L$1164)</f>
        <v>12.43254961791385</v>
      </c>
      <c r="K10" s="99">
        <f t="shared" ref="K10:K73" si="0">I10-J10</f>
        <v>2.5674503820861503</v>
      </c>
      <c r="L10" s="62">
        <v>46179</v>
      </c>
      <c r="M10" s="68" t="s">
        <v>1883</v>
      </c>
    </row>
    <row r="11" spans="1:13" ht="15" customHeight="1" x14ac:dyDescent="0.3">
      <c r="A11" s="70" t="s">
        <v>1884</v>
      </c>
      <c r="B11" s="100" t="s">
        <v>1885</v>
      </c>
      <c r="C11" s="101" t="s">
        <v>320</v>
      </c>
      <c r="D11" s="76" t="str">
        <f>IFERROR(INDEX(M_User!$A$12:$J$67,MATCH(C11,M_User!$D$12:$D$67,0),3),"UNMAPPED")</f>
        <v>Doglas E. Shirima</v>
      </c>
      <c r="E11" s="75" t="str">
        <f>IFERROR(INDEX(M_User!$A$12:$J$67,MATCH(C11,M_User!$D$12:$D$67,0),5),"UNMAPPED")</f>
        <v>ARS</v>
      </c>
      <c r="F11" s="101" t="s">
        <v>178</v>
      </c>
      <c r="G11" s="76" t="str">
        <f>IFERROR(INDEX(M_SKU!$A$18:$J$57,MATCH(F11,M_SKU!$B$18:$B$57,0),1),"UNKNOWN SKU")</f>
        <v>Fanta Orange RGB 350ml</v>
      </c>
      <c r="H11" s="101" t="s">
        <v>597</v>
      </c>
      <c r="I11" s="102">
        <f>SUMIF(T_Load!$U$9:$U$439,B11,T_Load!$O$9:$O$439)</f>
        <v>5</v>
      </c>
      <c r="J11" s="102">
        <f>SUMIF(T_Sales!$O$9:$O$1164,B11,T_Sales!$L$9:$L$1164)</f>
        <v>3.9835374293718395</v>
      </c>
      <c r="K11" s="103">
        <f t="shared" si="0"/>
        <v>1.0164625706281605</v>
      </c>
      <c r="L11" s="80">
        <v>46179</v>
      </c>
      <c r="M11" s="78" t="s">
        <v>1883</v>
      </c>
    </row>
    <row r="12" spans="1:13" ht="15" customHeight="1" x14ac:dyDescent="0.3">
      <c r="A12" s="60" t="s">
        <v>1886</v>
      </c>
      <c r="B12" s="97" t="s">
        <v>1887</v>
      </c>
      <c r="C12" s="63" t="s">
        <v>320</v>
      </c>
      <c r="D12" s="66" t="str">
        <f>IFERROR(INDEX(M_User!$A$12:$J$67,MATCH(C12,M_User!$D$12:$D$67,0),3),"UNMAPPED")</f>
        <v>Doglas E. Shirima</v>
      </c>
      <c r="E12" s="65" t="str">
        <f>IFERROR(INDEX(M_User!$A$12:$J$67,MATCH(C12,M_User!$D$12:$D$67,0),5),"UNMAPPED")</f>
        <v>ARS</v>
      </c>
      <c r="F12" s="63" t="s">
        <v>181</v>
      </c>
      <c r="G12" s="66" t="str">
        <f>IFERROR(INDEX(M_SKU!$A$18:$J$57,MATCH(F12,M_SKU!$B$18:$B$57,0),1),"UNKNOWN SKU")</f>
        <v>Fanta Passion RGB 350ml</v>
      </c>
      <c r="H12" s="63" t="s">
        <v>598</v>
      </c>
      <c r="I12" s="98">
        <f>SUMIF(T_Load!$U$9:$U$439,B12,T_Load!$O$9:$O$439)</f>
        <v>2</v>
      </c>
      <c r="J12" s="98">
        <f>SUMIF(T_Sales!$O$9:$O$1164,B12,T_Sales!$L$9:$L$1164)</f>
        <v>1.518930819353298</v>
      </c>
      <c r="K12" s="99">
        <f t="shared" si="0"/>
        <v>0.48106918064670201</v>
      </c>
      <c r="L12" s="62">
        <v>46179</v>
      </c>
      <c r="M12" s="68" t="s">
        <v>1883</v>
      </c>
    </row>
    <row r="13" spans="1:13" ht="15" customHeight="1" x14ac:dyDescent="0.3">
      <c r="A13" s="70" t="s">
        <v>1888</v>
      </c>
      <c r="B13" s="100" t="s">
        <v>1889</v>
      </c>
      <c r="C13" s="101" t="s">
        <v>320</v>
      </c>
      <c r="D13" s="76" t="str">
        <f>IFERROR(INDEX(M_User!$A$12:$J$67,MATCH(C13,M_User!$D$12:$D$67,0),3),"UNMAPPED")</f>
        <v>Doglas E. Shirima</v>
      </c>
      <c r="E13" s="75" t="str">
        <f>IFERROR(INDEX(M_User!$A$12:$J$67,MATCH(C13,M_User!$D$12:$D$67,0),5),"UNMAPPED")</f>
        <v>ARS</v>
      </c>
      <c r="F13" s="101" t="s">
        <v>183</v>
      </c>
      <c r="G13" s="76" t="str">
        <f>IFERROR(INDEX(M_SKU!$A$18:$J$57,MATCH(F13,M_SKU!$B$18:$B$57,0),1),"UNKNOWN SKU")</f>
        <v>Fanta Pineapple RGB 350ml</v>
      </c>
      <c r="H13" s="101" t="s">
        <v>599</v>
      </c>
      <c r="I13" s="102">
        <f>SUMIF(T_Load!$U$9:$U$439,B13,T_Load!$O$9:$O$439)</f>
        <v>2</v>
      </c>
      <c r="J13" s="102">
        <f>SUMIF(T_Sales!$O$9:$O$1164,B13,T_Sales!$L$9:$L$1164)</f>
        <v>1.422435650564843</v>
      </c>
      <c r="K13" s="103">
        <f t="shared" si="0"/>
        <v>0.577564349435157</v>
      </c>
      <c r="L13" s="80">
        <v>46179</v>
      </c>
      <c r="M13" s="78" t="s">
        <v>1883</v>
      </c>
    </row>
    <row r="14" spans="1:13" ht="15" customHeight="1" x14ac:dyDescent="0.3">
      <c r="A14" s="60" t="s">
        <v>1890</v>
      </c>
      <c r="B14" s="97" t="s">
        <v>1891</v>
      </c>
      <c r="C14" s="63" t="s">
        <v>320</v>
      </c>
      <c r="D14" s="66" t="str">
        <f>IFERROR(INDEX(M_User!$A$12:$J$67,MATCH(C14,M_User!$D$12:$D$67,0),3),"UNMAPPED")</f>
        <v>Doglas E. Shirima</v>
      </c>
      <c r="E14" s="65" t="str">
        <f>IFERROR(INDEX(M_User!$A$12:$J$67,MATCH(C14,M_User!$D$12:$D$67,0),5),"UNMAPPED")</f>
        <v>ARS</v>
      </c>
      <c r="F14" s="63" t="s">
        <v>187</v>
      </c>
      <c r="G14" s="66" t="str">
        <f>IFERROR(INDEX(M_SKU!$A$18:$J$57,MATCH(F14,M_SKU!$B$18:$B$57,0),1),"UNKNOWN SKU")</f>
        <v>Sprite 350ml</v>
      </c>
      <c r="H14" s="63" t="s">
        <v>600</v>
      </c>
      <c r="I14" s="98">
        <f>SUMIF(T_Load!$U$9:$U$439,B14,T_Load!$O$9:$O$439)</f>
        <v>2</v>
      </c>
      <c r="J14" s="98">
        <f>SUMIF(T_Sales!$O$9:$O$1164,B14,T_Sales!$L$9:$L$1164)</f>
        <v>1.5417000000000001</v>
      </c>
      <c r="K14" s="99">
        <f t="shared" si="0"/>
        <v>0.45829999999999993</v>
      </c>
      <c r="L14" s="62">
        <v>46179</v>
      </c>
      <c r="M14" s="68" t="s">
        <v>1883</v>
      </c>
    </row>
    <row r="15" spans="1:13" ht="15" customHeight="1" x14ac:dyDescent="0.3">
      <c r="A15" s="70" t="s">
        <v>1892</v>
      </c>
      <c r="B15" s="100" t="s">
        <v>1893</v>
      </c>
      <c r="C15" s="101" t="s">
        <v>320</v>
      </c>
      <c r="D15" s="76" t="str">
        <f>IFERROR(INDEX(M_User!$A$12:$J$67,MATCH(C15,M_User!$D$12:$D$67,0),3),"UNMAPPED")</f>
        <v>Doglas E. Shirima</v>
      </c>
      <c r="E15" s="75" t="str">
        <f>IFERROR(INDEX(M_User!$A$12:$J$67,MATCH(C15,M_User!$D$12:$D$67,0),5),"UNMAPPED")</f>
        <v>ARS</v>
      </c>
      <c r="F15" s="101" t="s">
        <v>196</v>
      </c>
      <c r="G15" s="76" t="str">
        <f>IFERROR(INDEX(M_SKU!$A$18:$J$57,MATCH(F15,M_SKU!$B$18:$B$57,0),1),"UNKNOWN SKU")</f>
        <v>Krest Bitter Lemon RGB 300ml</v>
      </c>
      <c r="H15" s="101" t="s">
        <v>538</v>
      </c>
      <c r="I15" s="102">
        <f>SUMIF(T_Load!$U$9:$U$439,B15,T_Load!$O$9:$O$439)</f>
        <v>3</v>
      </c>
      <c r="J15" s="102">
        <f>SUMIF(T_Sales!$O$9:$O$1164,B15,T_Sales!$L$9:$L$1164)</f>
        <v>2.4120723883078998</v>
      </c>
      <c r="K15" s="103">
        <f t="shared" si="0"/>
        <v>0.58792761169210017</v>
      </c>
      <c r="L15" s="80">
        <v>46179</v>
      </c>
      <c r="M15" s="78" t="s">
        <v>1883</v>
      </c>
    </row>
    <row r="16" spans="1:13" ht="15" customHeight="1" x14ac:dyDescent="0.3">
      <c r="A16" s="60" t="s">
        <v>1894</v>
      </c>
      <c r="B16" s="97" t="s">
        <v>1895</v>
      </c>
      <c r="C16" s="63" t="s">
        <v>320</v>
      </c>
      <c r="D16" s="66" t="str">
        <f>IFERROR(INDEX(M_User!$A$12:$J$67,MATCH(C16,M_User!$D$12:$D$67,0),3),"UNMAPPED")</f>
        <v>Doglas E. Shirima</v>
      </c>
      <c r="E16" s="65" t="str">
        <f>IFERROR(INDEX(M_User!$A$12:$J$67,MATCH(C16,M_User!$D$12:$D$67,0),5),"UNMAPPED")</f>
        <v>ARS</v>
      </c>
      <c r="F16" s="63" t="s">
        <v>199</v>
      </c>
      <c r="G16" s="66" t="str">
        <f>IFERROR(INDEX(M_SKU!$A$18:$J$57,MATCH(F16,M_SKU!$B$18:$B$57,0),1),"UNKNOWN SKU")</f>
        <v>Krest Club Soda RGB 300ml</v>
      </c>
      <c r="H16" s="63" t="s">
        <v>539</v>
      </c>
      <c r="I16" s="98">
        <f>SUMIF(T_Load!$U$9:$U$439,B16,T_Load!$O$9:$O$439)</f>
        <v>3</v>
      </c>
      <c r="J16" s="98">
        <f>SUMIF(T_Sales!$O$9:$O$1164,B16,T_Sales!$L$9:$L$1164)</f>
        <v>2.2570301223105833</v>
      </c>
      <c r="K16" s="99">
        <f t="shared" si="0"/>
        <v>0.74296987768941669</v>
      </c>
      <c r="L16" s="62">
        <v>46179</v>
      </c>
      <c r="M16" s="68" t="s">
        <v>1883</v>
      </c>
    </row>
    <row r="17" spans="1:13" ht="15" customHeight="1" x14ac:dyDescent="0.3">
      <c r="A17" s="70" t="s">
        <v>1896</v>
      </c>
      <c r="B17" s="100" t="s">
        <v>1897</v>
      </c>
      <c r="C17" s="101" t="s">
        <v>320</v>
      </c>
      <c r="D17" s="76" t="str">
        <f>IFERROR(INDEX(M_User!$A$12:$J$67,MATCH(C17,M_User!$D$12:$D$67,0),3),"UNMAPPED")</f>
        <v>Doglas E. Shirima</v>
      </c>
      <c r="E17" s="75" t="str">
        <f>IFERROR(INDEX(M_User!$A$12:$J$67,MATCH(C17,M_User!$D$12:$D$67,0),5),"UNMAPPED")</f>
        <v>ARS</v>
      </c>
      <c r="F17" s="101" t="s">
        <v>201</v>
      </c>
      <c r="G17" s="76" t="str">
        <f>IFERROR(INDEX(M_SKU!$A$18:$J$57,MATCH(F17,M_SKU!$B$18:$B$57,0),1),"UNKNOWN SKU")</f>
        <v>Krest Tonic Water RGB 300ml</v>
      </c>
      <c r="H17" s="101" t="s">
        <v>601</v>
      </c>
      <c r="I17" s="102">
        <f>SUMIF(T_Load!$U$9:$U$439,B17,T_Load!$O$9:$O$439)</f>
        <v>3</v>
      </c>
      <c r="J17" s="102">
        <f>SUMIF(T_Sales!$O$9:$O$1164,B17,T_Sales!$L$9:$L$1164)</f>
        <v>2.3133116744827342</v>
      </c>
      <c r="K17" s="103">
        <f t="shared" si="0"/>
        <v>0.68668832551726577</v>
      </c>
      <c r="L17" s="80">
        <v>46179</v>
      </c>
      <c r="M17" s="78" t="s">
        <v>1883</v>
      </c>
    </row>
    <row r="18" spans="1:13" ht="15" customHeight="1" x14ac:dyDescent="0.3">
      <c r="A18" s="60" t="s">
        <v>1898</v>
      </c>
      <c r="B18" s="97" t="s">
        <v>1899</v>
      </c>
      <c r="C18" s="63" t="s">
        <v>320</v>
      </c>
      <c r="D18" s="66" t="str">
        <f>IFERROR(INDEX(M_User!$A$12:$J$67,MATCH(C18,M_User!$D$12:$D$67,0),3),"UNMAPPED")</f>
        <v>Doglas E. Shirima</v>
      </c>
      <c r="E18" s="65" t="str">
        <f>IFERROR(INDEX(M_User!$A$12:$J$67,MATCH(C18,M_User!$D$12:$D$67,0),5),"UNMAPPED")</f>
        <v>ARS</v>
      </c>
      <c r="F18" s="63" t="s">
        <v>203</v>
      </c>
      <c r="G18" s="66" t="str">
        <f>IFERROR(INDEX(M_SKU!$A$18:$J$57,MATCH(F18,M_SKU!$B$18:$B$57,0),1),"UNKNOWN SKU")</f>
        <v>Krest Ginger Ale RGB 300ml</v>
      </c>
      <c r="H18" s="63" t="s">
        <v>541</v>
      </c>
      <c r="I18" s="98">
        <f>SUMIF(T_Load!$U$9:$U$439,B18,T_Load!$O$9:$O$439)</f>
        <v>1</v>
      </c>
      <c r="J18" s="98">
        <f>SUMIF(T_Sales!$O$9:$O$1164,B18,T_Sales!$L$9:$L$1164)</f>
        <v>0.75</v>
      </c>
      <c r="K18" s="99">
        <f t="shared" si="0"/>
        <v>0.25</v>
      </c>
      <c r="L18" s="62">
        <v>46179</v>
      </c>
      <c r="M18" s="68" t="s">
        <v>1883</v>
      </c>
    </row>
    <row r="19" spans="1:13" ht="15" customHeight="1" x14ac:dyDescent="0.3">
      <c r="A19" s="70" t="s">
        <v>1900</v>
      </c>
      <c r="B19" s="100" t="s">
        <v>1901</v>
      </c>
      <c r="C19" s="101" t="s">
        <v>320</v>
      </c>
      <c r="D19" s="76" t="str">
        <f>IFERROR(INDEX(M_User!$A$12:$J$67,MATCH(C19,M_User!$D$12:$D$67,0),3),"UNMAPPED")</f>
        <v>Doglas E. Shirima</v>
      </c>
      <c r="E19" s="75" t="str">
        <f>IFERROR(INDEX(M_User!$A$12:$J$67,MATCH(C19,M_User!$D$12:$D$67,0),5),"UNMAPPED")</f>
        <v>ARS</v>
      </c>
      <c r="F19" s="101" t="s">
        <v>211</v>
      </c>
      <c r="G19" s="76" t="str">
        <f>IFERROR(INDEX(M_SKU!$A$18:$J$57,MATCH(F19,M_SKU!$B$18:$B$57,0),1),"UNKNOWN SKU")</f>
        <v>KNMW 500ml</v>
      </c>
      <c r="H19" s="101" t="s">
        <v>602</v>
      </c>
      <c r="I19" s="102">
        <f>SUMIF(T_Load!$U$9:$U$439,B19,T_Load!$O$9:$O$439)</f>
        <v>200</v>
      </c>
      <c r="J19" s="102">
        <f>SUMIF(T_Sales!$O$9:$O$1164,B19,T_Sales!$L$9:$L$1164)</f>
        <v>154</v>
      </c>
      <c r="K19" s="103">
        <f t="shared" si="0"/>
        <v>46</v>
      </c>
      <c r="L19" s="80">
        <v>46179</v>
      </c>
      <c r="M19" s="78" t="s">
        <v>1883</v>
      </c>
    </row>
    <row r="20" spans="1:13" ht="15" customHeight="1" x14ac:dyDescent="0.3">
      <c r="A20" s="60" t="s">
        <v>1902</v>
      </c>
      <c r="B20" s="97" t="s">
        <v>1903</v>
      </c>
      <c r="C20" s="63" t="s">
        <v>320</v>
      </c>
      <c r="D20" s="66" t="str">
        <f>IFERROR(INDEX(M_User!$A$12:$J$67,MATCH(C20,M_User!$D$12:$D$67,0),3),"UNMAPPED")</f>
        <v>Doglas E. Shirima</v>
      </c>
      <c r="E20" s="65" t="str">
        <f>IFERROR(INDEX(M_User!$A$12:$J$67,MATCH(C20,M_User!$D$12:$D$67,0),5),"UNMAPPED")</f>
        <v>ARS</v>
      </c>
      <c r="F20" s="63" t="s">
        <v>211</v>
      </c>
      <c r="G20" s="66" t="str">
        <f>IFERROR(INDEX(M_SKU!$A$18:$J$57,MATCH(F20,M_SKU!$B$18:$B$57,0),1),"UNKNOWN SKU")</f>
        <v>KNMW 500ml</v>
      </c>
      <c r="H20" s="63" t="s">
        <v>603</v>
      </c>
      <c r="I20" s="98">
        <f>SUMIF(T_Load!$U$9:$U$439,B20,T_Load!$O$9:$O$439)</f>
        <v>139</v>
      </c>
      <c r="J20" s="98">
        <f>SUMIF(T_Sales!$O$9:$O$1164,B20,T_Sales!$L$9:$L$1164)</f>
        <v>100</v>
      </c>
      <c r="K20" s="99">
        <f t="shared" si="0"/>
        <v>39</v>
      </c>
      <c r="L20" s="62">
        <v>46179</v>
      </c>
      <c r="M20" s="68" t="s">
        <v>1883</v>
      </c>
    </row>
    <row r="21" spans="1:13" ht="15" customHeight="1" x14ac:dyDescent="0.3">
      <c r="A21" s="70" t="s">
        <v>1904</v>
      </c>
      <c r="B21" s="100" t="s">
        <v>1905</v>
      </c>
      <c r="C21" s="101" t="s">
        <v>320</v>
      </c>
      <c r="D21" s="76" t="str">
        <f>IFERROR(INDEX(M_User!$A$12:$J$67,MATCH(C21,M_User!$D$12:$D$67,0),3),"UNMAPPED")</f>
        <v>Doglas E. Shirima</v>
      </c>
      <c r="E21" s="75" t="str">
        <f>IFERROR(INDEX(M_User!$A$12:$J$67,MATCH(C21,M_User!$D$12:$D$67,0),5),"UNMAPPED")</f>
        <v>ARS</v>
      </c>
      <c r="F21" s="101" t="s">
        <v>211</v>
      </c>
      <c r="G21" s="76" t="str">
        <f>IFERROR(INDEX(M_SKU!$A$18:$J$57,MATCH(F21,M_SKU!$B$18:$B$57,0),1),"UNKNOWN SKU")</f>
        <v>KNMW 500ml</v>
      </c>
      <c r="H21" s="101" t="s">
        <v>604</v>
      </c>
      <c r="I21" s="102">
        <f>SUMIF(T_Load!$U$9:$U$439,B21,T_Load!$O$9:$O$439)</f>
        <v>1</v>
      </c>
      <c r="J21" s="102">
        <f>SUMIF(T_Sales!$O$9:$O$1164,B21,T_Sales!$L$9:$L$1164)</f>
        <v>1</v>
      </c>
      <c r="K21" s="103">
        <f t="shared" si="0"/>
        <v>0</v>
      </c>
      <c r="L21" s="80">
        <v>46179</v>
      </c>
      <c r="M21" s="78" t="s">
        <v>1883</v>
      </c>
    </row>
    <row r="22" spans="1:13" ht="15" customHeight="1" x14ac:dyDescent="0.3">
      <c r="A22" s="60" t="s">
        <v>1906</v>
      </c>
      <c r="B22" s="97" t="s">
        <v>1907</v>
      </c>
      <c r="C22" s="63" t="s">
        <v>320</v>
      </c>
      <c r="D22" s="66" t="str">
        <f>IFERROR(INDEX(M_User!$A$12:$J$67,MATCH(C22,M_User!$D$12:$D$67,0),3),"UNMAPPED")</f>
        <v>Doglas E. Shirima</v>
      </c>
      <c r="E22" s="65" t="str">
        <f>IFERROR(INDEX(M_User!$A$12:$J$67,MATCH(C22,M_User!$D$12:$D$67,0),5),"UNMAPPED")</f>
        <v>ARS</v>
      </c>
      <c r="F22" s="63" t="s">
        <v>217</v>
      </c>
      <c r="G22" s="66" t="str">
        <f>IFERROR(INDEX(M_SKU!$A$18:$J$57,MATCH(F22,M_SKU!$B$18:$B$57,0),1),"UNKNOWN SKU")</f>
        <v>KNMW 1500ml</v>
      </c>
      <c r="H22" s="63" t="s">
        <v>605</v>
      </c>
      <c r="I22" s="98">
        <f>SUMIF(T_Load!$U$9:$U$439,B22,T_Load!$O$9:$O$439)</f>
        <v>35</v>
      </c>
      <c r="J22" s="98">
        <f>SUMIF(T_Sales!$O$9:$O$1164,B22,T_Sales!$L$9:$L$1164)</f>
        <v>25</v>
      </c>
      <c r="K22" s="99">
        <f t="shared" si="0"/>
        <v>10</v>
      </c>
      <c r="L22" s="62">
        <v>46179</v>
      </c>
      <c r="M22" s="68" t="s">
        <v>1883</v>
      </c>
    </row>
    <row r="23" spans="1:13" ht="15" customHeight="1" x14ac:dyDescent="0.3">
      <c r="A23" s="70" t="s">
        <v>1908</v>
      </c>
      <c r="B23" s="100" t="s">
        <v>1909</v>
      </c>
      <c r="C23" s="101" t="s">
        <v>320</v>
      </c>
      <c r="D23" s="76" t="str">
        <f>IFERROR(INDEX(M_User!$A$12:$J$67,MATCH(C23,M_User!$D$12:$D$67,0),3),"UNMAPPED")</f>
        <v>Doglas E. Shirima</v>
      </c>
      <c r="E23" s="75" t="str">
        <f>IFERROR(INDEX(M_User!$A$12:$J$67,MATCH(C23,M_User!$D$12:$D$67,0),5),"UNMAPPED")</f>
        <v>ARS</v>
      </c>
      <c r="F23" s="101" t="s">
        <v>219</v>
      </c>
      <c r="G23" s="76" t="str">
        <f>IFERROR(INDEX(M_SKU!$A$18:$J$57,MATCH(F23,M_SKU!$B$18:$B$57,0),1),"UNKNOWN SKU")</f>
        <v>Kilimanjaro Drinking Water 6000 ML</v>
      </c>
      <c r="H23" s="101" t="s">
        <v>606</v>
      </c>
      <c r="I23" s="102">
        <f>SUMIF(T_Load!$U$9:$U$439,B23,T_Load!$O$9:$O$439)</f>
        <v>36</v>
      </c>
      <c r="J23" s="102">
        <f>SUMIF(T_Sales!$O$9:$O$1164,B23,T_Sales!$L$9:$L$1164)</f>
        <v>26</v>
      </c>
      <c r="K23" s="103">
        <f t="shared" si="0"/>
        <v>10</v>
      </c>
      <c r="L23" s="80">
        <v>46179</v>
      </c>
      <c r="M23" s="78" t="s">
        <v>1883</v>
      </c>
    </row>
    <row r="24" spans="1:13" ht="15" customHeight="1" x14ac:dyDescent="0.3">
      <c r="A24" s="60" t="s">
        <v>1910</v>
      </c>
      <c r="B24" s="97" t="s">
        <v>1911</v>
      </c>
      <c r="C24" s="63" t="s">
        <v>320</v>
      </c>
      <c r="D24" s="66" t="str">
        <f>IFERROR(INDEX(M_User!$A$12:$J$67,MATCH(C24,M_User!$D$12:$D$67,0),3),"UNMAPPED")</f>
        <v>Doglas E. Shirima</v>
      </c>
      <c r="E24" s="65" t="str">
        <f>IFERROR(INDEX(M_User!$A$12:$J$67,MATCH(C24,M_User!$D$12:$D$67,0),5),"UNMAPPED")</f>
        <v>ARS</v>
      </c>
      <c r="F24" s="63" t="s">
        <v>222</v>
      </c>
      <c r="G24" s="66" t="str">
        <f>IFERROR(INDEX(M_SKU!$A$18:$J$57,MATCH(F24,M_SKU!$B$18:$B$57,0),1),"UNKNOWN SKU")</f>
        <v>Kilimanjaro Drinking Water 12000 ML</v>
      </c>
      <c r="H24" s="63" t="s">
        <v>607</v>
      </c>
      <c r="I24" s="98">
        <f>SUMIF(T_Load!$U$9:$U$439,B24,T_Load!$O$9:$O$439)</f>
        <v>7</v>
      </c>
      <c r="J24" s="98">
        <f>SUMIF(T_Sales!$O$9:$O$1164,B24,T_Sales!$L$9:$L$1164)</f>
        <v>6</v>
      </c>
      <c r="K24" s="99">
        <f t="shared" si="0"/>
        <v>1</v>
      </c>
      <c r="L24" s="62">
        <v>46179</v>
      </c>
      <c r="M24" s="68" t="s">
        <v>1883</v>
      </c>
    </row>
    <row r="25" spans="1:13" ht="15" customHeight="1" x14ac:dyDescent="0.3">
      <c r="A25" s="70" t="s">
        <v>1912</v>
      </c>
      <c r="B25" s="100" t="s">
        <v>1913</v>
      </c>
      <c r="C25" s="101" t="s">
        <v>320</v>
      </c>
      <c r="D25" s="76" t="str">
        <f>IFERROR(INDEX(M_User!$A$12:$J$67,MATCH(C25,M_User!$D$12:$D$67,0),3),"UNMAPPED")</f>
        <v>Doglas E. Shirima</v>
      </c>
      <c r="E25" s="75" t="str">
        <f>IFERROR(INDEX(M_User!$A$12:$J$67,MATCH(C25,M_User!$D$12:$D$67,0),5),"UNMAPPED")</f>
        <v>ARS</v>
      </c>
      <c r="F25" s="101" t="s">
        <v>222</v>
      </c>
      <c r="G25" s="76" t="str">
        <f>IFERROR(INDEX(M_SKU!$A$18:$J$57,MATCH(F25,M_SKU!$B$18:$B$57,0),1),"UNKNOWN SKU")</f>
        <v>Kilimanjaro Drinking Water 12000 ML</v>
      </c>
      <c r="H25" s="101" t="s">
        <v>566</v>
      </c>
      <c r="I25" s="102">
        <f>SUMIF(T_Load!$U$9:$U$439,B25,T_Load!$O$9:$O$439)</f>
        <v>22</v>
      </c>
      <c r="J25" s="102">
        <f>SUMIF(T_Sales!$O$9:$O$1164,B25,T_Sales!$L$9:$L$1164)</f>
        <v>16</v>
      </c>
      <c r="K25" s="103">
        <f t="shared" si="0"/>
        <v>6</v>
      </c>
      <c r="L25" s="80">
        <v>46179</v>
      </c>
      <c r="M25" s="78" t="s">
        <v>1883</v>
      </c>
    </row>
    <row r="26" spans="1:13" ht="15" customHeight="1" x14ac:dyDescent="0.3">
      <c r="A26" s="60" t="s">
        <v>1914</v>
      </c>
      <c r="B26" s="97" t="s">
        <v>1915</v>
      </c>
      <c r="C26" s="63" t="s">
        <v>320</v>
      </c>
      <c r="D26" s="66" t="str">
        <f>IFERROR(INDEX(M_User!$A$12:$J$67,MATCH(C26,M_User!$D$12:$D$67,0),3),"UNMAPPED")</f>
        <v>Doglas E. Shirima</v>
      </c>
      <c r="E26" s="65" t="str">
        <f>IFERROR(INDEX(M_User!$A$12:$J$67,MATCH(C26,M_User!$D$12:$D$67,0),5),"UNMAPPED")</f>
        <v>ARS</v>
      </c>
      <c r="F26" s="63" t="s">
        <v>225</v>
      </c>
      <c r="G26" s="66" t="str">
        <f>IFERROR(INDEX(M_SKU!$A$18:$J$57,MATCH(F26,M_SKU!$B$18:$B$57,0),1),"UNKNOWN SKU")</f>
        <v>Kilimanjaro Drinking Water 18900 ML</v>
      </c>
      <c r="H26" s="63" t="s">
        <v>608</v>
      </c>
      <c r="I26" s="98">
        <f>SUMIF(T_Load!$U$9:$U$439,B26,T_Load!$O$9:$O$439)</f>
        <v>4</v>
      </c>
      <c r="J26" s="98">
        <f>SUMIF(T_Sales!$O$9:$O$1164,B26,T_Sales!$L$9:$L$1164)</f>
        <v>3</v>
      </c>
      <c r="K26" s="99">
        <f t="shared" si="0"/>
        <v>1</v>
      </c>
      <c r="L26" s="62">
        <v>46179</v>
      </c>
      <c r="M26" s="68" t="s">
        <v>1883</v>
      </c>
    </row>
    <row r="27" spans="1:13" ht="15" customHeight="1" x14ac:dyDescent="0.3">
      <c r="A27" s="70" t="s">
        <v>1916</v>
      </c>
      <c r="B27" s="100" t="s">
        <v>1917</v>
      </c>
      <c r="C27" s="101" t="s">
        <v>320</v>
      </c>
      <c r="D27" s="76" t="str">
        <f>IFERROR(INDEX(M_User!$A$12:$J$67,MATCH(C27,M_User!$D$12:$D$67,0),3),"UNMAPPED")</f>
        <v>Doglas E. Shirima</v>
      </c>
      <c r="E27" s="75" t="str">
        <f>IFERROR(INDEX(M_User!$A$12:$J$67,MATCH(C27,M_User!$D$12:$D$67,0),5),"UNMAPPED")</f>
        <v>ARS</v>
      </c>
      <c r="F27" s="101" t="s">
        <v>225</v>
      </c>
      <c r="G27" s="76" t="str">
        <f>IFERROR(INDEX(M_SKU!$A$18:$J$57,MATCH(F27,M_SKU!$B$18:$B$57,0),1),"UNKNOWN SKU")</f>
        <v>Kilimanjaro Drinking Water 18900 ML</v>
      </c>
      <c r="H27" s="101" t="s">
        <v>567</v>
      </c>
      <c r="I27" s="102">
        <f>SUMIF(T_Load!$U$9:$U$439,B27,T_Load!$O$9:$O$439)</f>
        <v>50</v>
      </c>
      <c r="J27" s="102">
        <f>SUMIF(T_Sales!$O$9:$O$1164,B27,T_Sales!$L$9:$L$1164)</f>
        <v>39</v>
      </c>
      <c r="K27" s="103">
        <f t="shared" si="0"/>
        <v>11</v>
      </c>
      <c r="L27" s="80">
        <v>46179</v>
      </c>
      <c r="M27" s="78" t="s">
        <v>1883</v>
      </c>
    </row>
    <row r="28" spans="1:13" ht="15" customHeight="1" x14ac:dyDescent="0.3">
      <c r="A28" s="60" t="s">
        <v>1918</v>
      </c>
      <c r="B28" s="97" t="s">
        <v>1919</v>
      </c>
      <c r="C28" s="63" t="s">
        <v>320</v>
      </c>
      <c r="D28" s="66" t="str">
        <f>IFERROR(INDEX(M_User!$A$12:$J$67,MATCH(C28,M_User!$D$12:$D$67,0),3),"UNMAPPED")</f>
        <v>Doglas E. Shirima</v>
      </c>
      <c r="E28" s="65" t="str">
        <f>IFERROR(INDEX(M_User!$A$12:$J$67,MATCH(C28,M_User!$D$12:$D$67,0),5),"UNMAPPED")</f>
        <v>ARS</v>
      </c>
      <c r="F28" s="63" t="s">
        <v>227</v>
      </c>
      <c r="G28" s="66" t="str">
        <f>IFERROR(INDEX(M_SKU!$A$18:$J$57,MATCH(F28,M_SKU!$B$18:$B$57,0),1),"UNKNOWN SKU")</f>
        <v>KNMW 1000ml(6 Pack)</v>
      </c>
      <c r="H28" s="63" t="s">
        <v>609</v>
      </c>
      <c r="I28" s="98">
        <f>SUMIF(T_Load!$U$9:$U$439,B28,T_Load!$O$9:$O$439)</f>
        <v>18</v>
      </c>
      <c r="J28" s="98">
        <f>SUMIF(T_Sales!$O$9:$O$1164,B28,T_Sales!$L$9:$L$1164)</f>
        <v>14</v>
      </c>
      <c r="K28" s="99">
        <f t="shared" si="0"/>
        <v>4</v>
      </c>
      <c r="L28" s="62">
        <v>46179</v>
      </c>
      <c r="M28" s="68" t="s">
        <v>1883</v>
      </c>
    </row>
    <row r="29" spans="1:13" ht="15" customHeight="1" x14ac:dyDescent="0.3">
      <c r="A29" s="70" t="s">
        <v>1920</v>
      </c>
      <c r="B29" s="100" t="s">
        <v>1921</v>
      </c>
      <c r="C29" s="101" t="s">
        <v>320</v>
      </c>
      <c r="D29" s="76" t="str">
        <f>IFERROR(INDEX(M_User!$A$12:$J$67,MATCH(C29,M_User!$D$12:$D$67,0),3),"UNMAPPED")</f>
        <v>Doglas E. Shirima</v>
      </c>
      <c r="E29" s="75" t="str">
        <f>IFERROR(INDEX(M_User!$A$12:$J$67,MATCH(C29,M_User!$D$12:$D$67,0),5),"UNMAPPED")</f>
        <v>ARS</v>
      </c>
      <c r="F29" s="101" t="s">
        <v>229</v>
      </c>
      <c r="G29" s="76" t="str">
        <f>IFERROR(INDEX(M_SKU!$A$18:$J$57,MATCH(F29,M_SKU!$B$18:$B$57,0),1),"UNKNOWN SKU")</f>
        <v>Coke Pet 500ML ( x12)</v>
      </c>
      <c r="H29" s="101" t="s">
        <v>610</v>
      </c>
      <c r="I29" s="102">
        <f>SUMIF(T_Load!$U$9:$U$439,B29,T_Load!$O$9:$O$439)</f>
        <v>42</v>
      </c>
      <c r="J29" s="102">
        <f>SUMIF(T_Sales!$O$9:$O$1164,B29,T_Sales!$L$9:$L$1164)</f>
        <v>35</v>
      </c>
      <c r="K29" s="103">
        <f t="shared" si="0"/>
        <v>7</v>
      </c>
      <c r="L29" s="80">
        <v>46179</v>
      </c>
      <c r="M29" s="78" t="s">
        <v>1883</v>
      </c>
    </row>
    <row r="30" spans="1:13" ht="15" customHeight="1" x14ac:dyDescent="0.3">
      <c r="A30" s="60" t="s">
        <v>1922</v>
      </c>
      <c r="B30" s="97" t="s">
        <v>1923</v>
      </c>
      <c r="C30" s="63" t="s">
        <v>320</v>
      </c>
      <c r="D30" s="66" t="str">
        <f>IFERROR(INDEX(M_User!$A$12:$J$67,MATCH(C30,M_User!$D$12:$D$67,0),3),"UNMAPPED")</f>
        <v>Doglas E. Shirima</v>
      </c>
      <c r="E30" s="65" t="str">
        <f>IFERROR(INDEX(M_User!$A$12:$J$67,MATCH(C30,M_User!$D$12:$D$67,0),5),"UNMAPPED")</f>
        <v>ARS</v>
      </c>
      <c r="F30" s="63" t="s">
        <v>232</v>
      </c>
      <c r="G30" s="66" t="str">
        <f>IFERROR(INDEX(M_SKU!$A$18:$J$57,MATCH(F30,M_SKU!$B$18:$B$57,0),1),"UNKNOWN SKU")</f>
        <v>Sprite Pet 500ML (x 12)</v>
      </c>
      <c r="H30" s="63" t="s">
        <v>522</v>
      </c>
      <c r="I30" s="98">
        <f>SUMIF(T_Load!$U$9:$U$439,B30,T_Load!$O$9:$O$439)</f>
        <v>12</v>
      </c>
      <c r="J30" s="98">
        <f>SUMIF(T_Sales!$O$9:$O$1164,B30,T_Sales!$L$9:$L$1164)</f>
        <v>9</v>
      </c>
      <c r="K30" s="99">
        <f t="shared" si="0"/>
        <v>3</v>
      </c>
      <c r="L30" s="62">
        <v>46179</v>
      </c>
      <c r="M30" s="68" t="s">
        <v>1883</v>
      </c>
    </row>
    <row r="31" spans="1:13" ht="15" customHeight="1" x14ac:dyDescent="0.3">
      <c r="A31" s="70" t="s">
        <v>1924</v>
      </c>
      <c r="B31" s="100" t="s">
        <v>1925</v>
      </c>
      <c r="C31" s="101" t="s">
        <v>320</v>
      </c>
      <c r="D31" s="76" t="str">
        <f>IFERROR(INDEX(M_User!$A$12:$J$67,MATCH(C31,M_User!$D$12:$D$67,0),3),"UNMAPPED")</f>
        <v>Doglas E. Shirima</v>
      </c>
      <c r="E31" s="75" t="str">
        <f>IFERROR(INDEX(M_User!$A$12:$J$67,MATCH(C31,M_User!$D$12:$D$67,0),5),"UNMAPPED")</f>
        <v>ARS</v>
      </c>
      <c r="F31" s="101" t="s">
        <v>234</v>
      </c>
      <c r="G31" s="76" t="str">
        <f>IFERROR(INDEX(M_SKU!$A$18:$J$57,MATCH(F31,M_SKU!$B$18:$B$57,0),1),"UNKNOWN SKU")</f>
        <v>Fanta Orange Pet 500ML ( x 12)</v>
      </c>
      <c r="H31" s="101" t="s">
        <v>611</v>
      </c>
      <c r="I31" s="102">
        <f>SUMIF(T_Load!$U$9:$U$439,B31,T_Load!$O$9:$O$439)</f>
        <v>6</v>
      </c>
      <c r="J31" s="102">
        <f>SUMIF(T_Sales!$O$9:$O$1164,B31,T_Sales!$L$9:$L$1164)</f>
        <v>5</v>
      </c>
      <c r="K31" s="103">
        <f t="shared" si="0"/>
        <v>1</v>
      </c>
      <c r="L31" s="80">
        <v>46179</v>
      </c>
      <c r="M31" s="78" t="s">
        <v>1883</v>
      </c>
    </row>
    <row r="32" spans="1:13" ht="15" customHeight="1" x14ac:dyDescent="0.3">
      <c r="A32" s="60" t="s">
        <v>1926</v>
      </c>
      <c r="B32" s="97" t="s">
        <v>1927</v>
      </c>
      <c r="C32" s="63" t="s">
        <v>320</v>
      </c>
      <c r="D32" s="66" t="str">
        <f>IFERROR(INDEX(M_User!$A$12:$J$67,MATCH(C32,M_User!$D$12:$D$67,0),3),"UNMAPPED")</f>
        <v>Doglas E. Shirima</v>
      </c>
      <c r="E32" s="65" t="str">
        <f>IFERROR(INDEX(M_User!$A$12:$J$67,MATCH(C32,M_User!$D$12:$D$67,0),5),"UNMAPPED")</f>
        <v>ARS</v>
      </c>
      <c r="F32" s="63" t="s">
        <v>236</v>
      </c>
      <c r="G32" s="66" t="str">
        <f>IFERROR(INDEX(M_SKU!$A$18:$J$57,MATCH(F32,M_SKU!$B$18:$B$57,0),1),"UNKNOWN SKU")</f>
        <v>Fanta Passion Pet 500ML ( x12)</v>
      </c>
      <c r="H32" s="63" t="s">
        <v>612</v>
      </c>
      <c r="I32" s="98">
        <f>SUMIF(T_Load!$U$9:$U$439,B32,T_Load!$O$9:$O$439)</f>
        <v>1</v>
      </c>
      <c r="J32" s="98">
        <f>SUMIF(T_Sales!$O$9:$O$1164,B32,T_Sales!$L$9:$L$1164)</f>
        <v>1</v>
      </c>
      <c r="K32" s="99">
        <f t="shared" si="0"/>
        <v>0</v>
      </c>
      <c r="L32" s="62">
        <v>46179</v>
      </c>
      <c r="M32" s="68" t="s">
        <v>1883</v>
      </c>
    </row>
    <row r="33" spans="1:13" ht="15" customHeight="1" x14ac:dyDescent="0.3">
      <c r="A33" s="70" t="s">
        <v>1928</v>
      </c>
      <c r="B33" s="100" t="s">
        <v>1929</v>
      </c>
      <c r="C33" s="101" t="s">
        <v>320</v>
      </c>
      <c r="D33" s="76" t="str">
        <f>IFERROR(INDEX(M_User!$A$12:$J$67,MATCH(C33,M_User!$D$12:$D$67,0),3),"UNMAPPED")</f>
        <v>Doglas E. Shirima</v>
      </c>
      <c r="E33" s="75" t="str">
        <f>IFERROR(INDEX(M_User!$A$12:$J$67,MATCH(C33,M_User!$D$12:$D$67,0),5),"UNMAPPED")</f>
        <v>ARS</v>
      </c>
      <c r="F33" s="101" t="s">
        <v>238</v>
      </c>
      <c r="G33" s="76" t="str">
        <f>IFERROR(INDEX(M_SKU!$A$18:$J$57,MATCH(F33,M_SKU!$B$18:$B$57,0),1),"UNKNOWN SKU")</f>
        <v>Fanta Pineapple Pet 500ml ( x12)</v>
      </c>
      <c r="H33" s="101" t="s">
        <v>613</v>
      </c>
      <c r="I33" s="102">
        <f>SUMIF(T_Load!$U$9:$U$439,B33,T_Load!$O$9:$O$439)</f>
        <v>5</v>
      </c>
      <c r="J33" s="102">
        <f>SUMIF(T_Sales!$O$9:$O$1164,B33,T_Sales!$L$9:$L$1164)</f>
        <v>4</v>
      </c>
      <c r="K33" s="103">
        <f t="shared" si="0"/>
        <v>1</v>
      </c>
      <c r="L33" s="80">
        <v>46179</v>
      </c>
      <c r="M33" s="78" t="s">
        <v>1883</v>
      </c>
    </row>
    <row r="34" spans="1:13" ht="15" customHeight="1" x14ac:dyDescent="0.3">
      <c r="A34" s="60" t="s">
        <v>1930</v>
      </c>
      <c r="B34" s="97" t="s">
        <v>1931</v>
      </c>
      <c r="C34" s="63" t="s">
        <v>320</v>
      </c>
      <c r="D34" s="66" t="str">
        <f>IFERROR(INDEX(M_User!$A$12:$J$67,MATCH(C34,M_User!$D$12:$D$67,0),3),"UNMAPPED")</f>
        <v>Doglas E. Shirima</v>
      </c>
      <c r="E34" s="65" t="str">
        <f>IFERROR(INDEX(M_User!$A$12:$J$67,MATCH(C34,M_User!$D$12:$D$67,0),5),"UNMAPPED")</f>
        <v>ARS</v>
      </c>
      <c r="F34" s="63" t="s">
        <v>240</v>
      </c>
      <c r="G34" s="66" t="str">
        <f>IFERROR(INDEX(M_SKU!$A$18:$J$57,MATCH(F34,M_SKU!$B$18:$B$57,0),1),"UNKNOWN SKU")</f>
        <v>Fanta Fruit Blast Pet 500ML (x12)</v>
      </c>
      <c r="H34" s="63" t="s">
        <v>552</v>
      </c>
      <c r="I34" s="98">
        <f>SUMIF(T_Load!$U$9:$U$439,B34,T_Load!$O$9:$O$439)</f>
        <v>1</v>
      </c>
      <c r="J34" s="98">
        <f>SUMIF(T_Sales!$O$9:$O$1164,B34,T_Sales!$L$9:$L$1164)</f>
        <v>1</v>
      </c>
      <c r="K34" s="99">
        <f t="shared" si="0"/>
        <v>0</v>
      </c>
      <c r="L34" s="62">
        <v>46179</v>
      </c>
      <c r="M34" s="68" t="s">
        <v>1883</v>
      </c>
    </row>
    <row r="35" spans="1:13" ht="15" customHeight="1" x14ac:dyDescent="0.3">
      <c r="A35" s="70" t="s">
        <v>1932</v>
      </c>
      <c r="B35" s="100" t="s">
        <v>1933</v>
      </c>
      <c r="C35" s="101" t="s">
        <v>320</v>
      </c>
      <c r="D35" s="76" t="str">
        <f>IFERROR(INDEX(M_User!$A$12:$J$67,MATCH(C35,M_User!$D$12:$D$67,0),3),"UNMAPPED")</f>
        <v>Doglas E. Shirima</v>
      </c>
      <c r="E35" s="75" t="str">
        <f>IFERROR(INDEX(M_User!$A$12:$J$67,MATCH(C35,M_User!$D$12:$D$67,0),5),"UNMAPPED")</f>
        <v>ARS</v>
      </c>
      <c r="F35" s="101" t="s">
        <v>242</v>
      </c>
      <c r="G35" s="76" t="str">
        <f>IFERROR(INDEX(M_SKU!$A$18:$J$57,MATCH(F35,M_SKU!$B$18:$B$57,0),1),"UNKNOWN SKU")</f>
        <v>Stoney Tangawizi Pet 500 ml ( x12)</v>
      </c>
      <c r="H35" s="101" t="s">
        <v>614</v>
      </c>
      <c r="I35" s="102">
        <f>SUMIF(T_Load!$U$9:$U$439,B35,T_Load!$O$9:$O$439)</f>
        <v>10</v>
      </c>
      <c r="J35" s="102">
        <f>SUMIF(T_Sales!$O$9:$O$1164,B35,T_Sales!$L$9:$L$1164)</f>
        <v>8</v>
      </c>
      <c r="K35" s="103">
        <f t="shared" si="0"/>
        <v>2</v>
      </c>
      <c r="L35" s="80">
        <v>46179</v>
      </c>
      <c r="M35" s="78" t="s">
        <v>1883</v>
      </c>
    </row>
    <row r="36" spans="1:13" ht="15" customHeight="1" x14ac:dyDescent="0.3">
      <c r="A36" s="60" t="s">
        <v>1934</v>
      </c>
      <c r="B36" s="97" t="s">
        <v>1935</v>
      </c>
      <c r="C36" s="63" t="s">
        <v>320</v>
      </c>
      <c r="D36" s="66" t="str">
        <f>IFERROR(INDEX(M_User!$A$12:$J$67,MATCH(C36,M_User!$D$12:$D$67,0),3),"UNMAPPED")</f>
        <v>Doglas E. Shirima</v>
      </c>
      <c r="E36" s="65" t="str">
        <f>IFERROR(INDEX(M_User!$A$12:$J$67,MATCH(C36,M_User!$D$12:$D$67,0),5),"UNMAPPED")</f>
        <v>ARS</v>
      </c>
      <c r="F36" s="63" t="s">
        <v>244</v>
      </c>
      <c r="G36" s="66" t="str">
        <f>IFERROR(INDEX(M_SKU!$A$18:$J$57,MATCH(F36,M_SKU!$B$18:$B$57,0),1),"UNKNOWN SKU")</f>
        <v>Sparletta Pinenut Pet 500 ml ( x12)</v>
      </c>
      <c r="H36" s="63" t="s">
        <v>615</v>
      </c>
      <c r="I36" s="98">
        <f>SUMIF(T_Load!$U$9:$U$439,B36,T_Load!$O$9:$O$439)</f>
        <v>3</v>
      </c>
      <c r="J36" s="98">
        <f>SUMIF(T_Sales!$O$9:$O$1164,B36,T_Sales!$L$9:$L$1164)</f>
        <v>2</v>
      </c>
      <c r="K36" s="99">
        <f t="shared" si="0"/>
        <v>1</v>
      </c>
      <c r="L36" s="62">
        <v>46179</v>
      </c>
      <c r="M36" s="68" t="s">
        <v>1883</v>
      </c>
    </row>
    <row r="37" spans="1:13" ht="15" customHeight="1" x14ac:dyDescent="0.3">
      <c r="A37" s="70" t="s">
        <v>1936</v>
      </c>
      <c r="B37" s="100" t="s">
        <v>1937</v>
      </c>
      <c r="C37" s="101" t="s">
        <v>320</v>
      </c>
      <c r="D37" s="76" t="str">
        <f>IFERROR(INDEX(M_User!$A$12:$J$67,MATCH(C37,M_User!$D$12:$D$67,0),3),"UNMAPPED")</f>
        <v>Doglas E. Shirima</v>
      </c>
      <c r="E37" s="75" t="str">
        <f>IFERROR(INDEX(M_User!$A$12:$J$67,MATCH(C37,M_User!$D$12:$D$67,0),5),"UNMAPPED")</f>
        <v>ARS</v>
      </c>
      <c r="F37" s="101" t="s">
        <v>248</v>
      </c>
      <c r="G37" s="76" t="str">
        <f>IFERROR(INDEX(M_SKU!$A$18:$J$57,MATCH(F37,M_SKU!$B$18:$B$57,0),1),"UNKNOWN SKU")</f>
        <v>Coke Pet 300ML(x 12)</v>
      </c>
      <c r="H37" s="101" t="s">
        <v>616</v>
      </c>
      <c r="I37" s="102">
        <f>SUMIF(T_Load!$U$9:$U$439,B37,T_Load!$O$9:$O$439)</f>
        <v>2</v>
      </c>
      <c r="J37" s="102">
        <f>SUMIF(T_Sales!$O$9:$O$1164,B37,T_Sales!$L$9:$L$1164)</f>
        <v>2</v>
      </c>
      <c r="K37" s="103">
        <f t="shared" si="0"/>
        <v>0</v>
      </c>
      <c r="L37" s="80">
        <v>46179</v>
      </c>
      <c r="M37" s="78" t="s">
        <v>1883</v>
      </c>
    </row>
    <row r="38" spans="1:13" ht="15" customHeight="1" x14ac:dyDescent="0.3">
      <c r="A38" s="60" t="s">
        <v>1938</v>
      </c>
      <c r="B38" s="97" t="s">
        <v>1939</v>
      </c>
      <c r="C38" s="63" t="s">
        <v>320</v>
      </c>
      <c r="D38" s="66" t="str">
        <f>IFERROR(INDEX(M_User!$A$12:$J$67,MATCH(C38,M_User!$D$12:$D$67,0),3),"UNMAPPED")</f>
        <v>Doglas E. Shirima</v>
      </c>
      <c r="E38" s="65" t="str">
        <f>IFERROR(INDEX(M_User!$A$12:$J$67,MATCH(C38,M_User!$D$12:$D$67,0),5),"UNMAPPED")</f>
        <v>ARS</v>
      </c>
      <c r="F38" s="63" t="s">
        <v>248</v>
      </c>
      <c r="G38" s="66" t="str">
        <f>IFERROR(INDEX(M_SKU!$A$18:$J$57,MATCH(F38,M_SKU!$B$18:$B$57,0),1),"UNKNOWN SKU")</f>
        <v>Coke Pet 300ML(x 12)</v>
      </c>
      <c r="H38" s="63" t="s">
        <v>617</v>
      </c>
      <c r="I38" s="98">
        <f>SUMIF(T_Load!$U$9:$U$439,B38,T_Load!$O$9:$O$439)</f>
        <v>11</v>
      </c>
      <c r="J38" s="98">
        <f>SUMIF(T_Sales!$O$9:$O$1164,B38,T_Sales!$L$9:$L$1164)</f>
        <v>9</v>
      </c>
      <c r="K38" s="99">
        <f t="shared" si="0"/>
        <v>2</v>
      </c>
      <c r="L38" s="62">
        <v>46179</v>
      </c>
      <c r="M38" s="68" t="s">
        <v>1883</v>
      </c>
    </row>
    <row r="39" spans="1:13" ht="15" customHeight="1" x14ac:dyDescent="0.3">
      <c r="A39" s="70" t="s">
        <v>1940</v>
      </c>
      <c r="B39" s="100" t="s">
        <v>1941</v>
      </c>
      <c r="C39" s="101" t="s">
        <v>320</v>
      </c>
      <c r="D39" s="76" t="str">
        <f>IFERROR(INDEX(M_User!$A$12:$J$67,MATCH(C39,M_User!$D$12:$D$67,0),3),"UNMAPPED")</f>
        <v>Doglas E. Shirima</v>
      </c>
      <c r="E39" s="75" t="str">
        <f>IFERROR(INDEX(M_User!$A$12:$J$67,MATCH(C39,M_User!$D$12:$D$67,0),5),"UNMAPPED")</f>
        <v>ARS</v>
      </c>
      <c r="F39" s="101" t="s">
        <v>254</v>
      </c>
      <c r="G39" s="76" t="str">
        <f>IFERROR(INDEX(M_SKU!$A$18:$J$57,MATCH(F39,M_SKU!$B$18:$B$57,0),1),"UNKNOWN SKU")</f>
        <v>Fanta Zero Pet 300ML (x 12)</v>
      </c>
      <c r="H39" s="101" t="s">
        <v>546</v>
      </c>
      <c r="I39" s="102">
        <f>SUMIF(T_Load!$U$9:$U$439,B39,T_Load!$O$9:$O$439)</f>
        <v>1</v>
      </c>
      <c r="J39" s="102">
        <f>SUMIF(T_Sales!$O$9:$O$1164,B39,T_Sales!$L$9:$L$1164)</f>
        <v>1</v>
      </c>
      <c r="K39" s="103">
        <f t="shared" si="0"/>
        <v>0</v>
      </c>
      <c r="L39" s="80">
        <v>46179</v>
      </c>
      <c r="M39" s="78" t="s">
        <v>1883</v>
      </c>
    </row>
    <row r="40" spans="1:13" ht="15" customHeight="1" x14ac:dyDescent="0.3">
      <c r="A40" s="60" t="s">
        <v>1942</v>
      </c>
      <c r="B40" s="97" t="s">
        <v>1943</v>
      </c>
      <c r="C40" s="63" t="s">
        <v>320</v>
      </c>
      <c r="D40" s="66" t="str">
        <f>IFERROR(INDEX(M_User!$A$12:$J$67,MATCH(C40,M_User!$D$12:$D$67,0),3),"UNMAPPED")</f>
        <v>Doglas E. Shirima</v>
      </c>
      <c r="E40" s="65" t="str">
        <f>IFERROR(INDEX(M_User!$A$12:$J$67,MATCH(C40,M_User!$D$12:$D$67,0),5),"UNMAPPED")</f>
        <v>ARS</v>
      </c>
      <c r="F40" s="63" t="s">
        <v>256</v>
      </c>
      <c r="G40" s="66" t="str">
        <f>IFERROR(INDEX(M_SKU!$A$18:$J$57,MATCH(F40,M_SKU!$B$18:$B$57,0),1),"UNKNOWN SKU")</f>
        <v>Sparletta Red Apple Pet 300ML(x 12)</v>
      </c>
      <c r="H40" s="63" t="s">
        <v>555</v>
      </c>
      <c r="I40" s="98">
        <f>SUMIF(T_Load!$U$9:$U$439,B40,T_Load!$O$9:$O$439)</f>
        <v>1</v>
      </c>
      <c r="J40" s="98">
        <f>SUMIF(T_Sales!$O$9:$O$1164,B40,T_Sales!$L$9:$L$1164)</f>
        <v>1</v>
      </c>
      <c r="K40" s="99">
        <f t="shared" si="0"/>
        <v>0</v>
      </c>
      <c r="L40" s="62">
        <v>46179</v>
      </c>
      <c r="M40" s="68" t="s">
        <v>1883</v>
      </c>
    </row>
    <row r="41" spans="1:13" ht="15" customHeight="1" x14ac:dyDescent="0.3">
      <c r="A41" s="70" t="s">
        <v>1944</v>
      </c>
      <c r="B41" s="100" t="s">
        <v>1945</v>
      </c>
      <c r="C41" s="101" t="s">
        <v>320</v>
      </c>
      <c r="D41" s="76" t="str">
        <f>IFERROR(INDEX(M_User!$A$12:$J$67,MATCH(C41,M_User!$D$12:$D$67,0),3),"UNMAPPED")</f>
        <v>Doglas E. Shirima</v>
      </c>
      <c r="E41" s="75" t="str">
        <f>IFERROR(INDEX(M_User!$A$12:$J$67,MATCH(C41,M_User!$D$12:$D$67,0),5),"UNMAPPED")</f>
        <v>ARS</v>
      </c>
      <c r="F41" s="101" t="s">
        <v>258</v>
      </c>
      <c r="G41" s="76" t="str">
        <f>IFERROR(INDEX(M_SKU!$A$18:$J$57,MATCH(F41,M_SKU!$B$18:$B$57,0),1),"UNKNOWN SKU")</f>
        <v>Novida Pineapple 300ML (x 12)</v>
      </c>
      <c r="H41" s="101" t="s">
        <v>618</v>
      </c>
      <c r="I41" s="102">
        <f>SUMIF(T_Load!$U$9:$U$439,B41,T_Load!$O$9:$O$439)</f>
        <v>1</v>
      </c>
      <c r="J41" s="102">
        <f>SUMIF(T_Sales!$O$9:$O$1164,B41,T_Sales!$L$9:$L$1164)</f>
        <v>1</v>
      </c>
      <c r="K41" s="103">
        <f t="shared" si="0"/>
        <v>0</v>
      </c>
      <c r="L41" s="80">
        <v>46179</v>
      </c>
      <c r="M41" s="78" t="s">
        <v>1883</v>
      </c>
    </row>
    <row r="42" spans="1:13" ht="15" customHeight="1" x14ac:dyDescent="0.3">
      <c r="A42" s="60" t="s">
        <v>1946</v>
      </c>
      <c r="B42" s="97" t="s">
        <v>1947</v>
      </c>
      <c r="C42" s="63" t="s">
        <v>320</v>
      </c>
      <c r="D42" s="66" t="str">
        <f>IFERROR(INDEX(M_User!$A$12:$J$67,MATCH(C42,M_User!$D$12:$D$67,0),3),"UNMAPPED")</f>
        <v>Doglas E. Shirima</v>
      </c>
      <c r="E42" s="65" t="str">
        <f>IFERROR(INDEX(M_User!$A$12:$J$67,MATCH(C42,M_User!$D$12:$D$67,0),5),"UNMAPPED")</f>
        <v>ARS</v>
      </c>
      <c r="F42" s="63" t="s">
        <v>261</v>
      </c>
      <c r="G42" s="66" t="str">
        <f>IFERROR(INDEX(M_SKU!$A$18:$J$57,MATCH(F42,M_SKU!$B$18:$B$57,0),1),"UNKNOWN SKU")</f>
        <v>Sparletta Pine Apple Pet 300ML (x 12)</v>
      </c>
      <c r="H42" s="63" t="s">
        <v>547</v>
      </c>
      <c r="I42" s="98">
        <f>SUMIF(T_Load!$U$9:$U$439,B42,T_Load!$O$9:$O$439)</f>
        <v>4</v>
      </c>
      <c r="J42" s="98">
        <f>SUMIF(T_Sales!$O$9:$O$1164,B42,T_Sales!$L$9:$L$1164)</f>
        <v>3</v>
      </c>
      <c r="K42" s="99">
        <f t="shared" si="0"/>
        <v>1</v>
      </c>
      <c r="L42" s="62">
        <v>46179</v>
      </c>
      <c r="M42" s="68" t="s">
        <v>1883</v>
      </c>
    </row>
    <row r="43" spans="1:13" ht="15" customHeight="1" x14ac:dyDescent="0.3">
      <c r="A43" s="70" t="s">
        <v>1948</v>
      </c>
      <c r="B43" s="100" t="s">
        <v>1949</v>
      </c>
      <c r="C43" s="101" t="s">
        <v>314</v>
      </c>
      <c r="D43" s="76" t="str">
        <f>IFERROR(INDEX(M_User!$A$12:$J$67,MATCH(C43,M_User!$D$12:$D$67,0),3),"UNMAPPED")</f>
        <v>Omary O. Seif</v>
      </c>
      <c r="E43" s="75" t="str">
        <f>IFERROR(INDEX(M_User!$A$12:$J$67,MATCH(C43,M_User!$D$12:$D$67,0),5),"UNMAPPED")</f>
        <v>DAR</v>
      </c>
      <c r="F43" s="101" t="s">
        <v>211</v>
      </c>
      <c r="G43" s="76" t="str">
        <f>IFERROR(INDEX(M_SKU!$A$18:$J$57,MATCH(F43,M_SKU!$B$18:$B$57,0),1),"UNKNOWN SKU")</f>
        <v>KNMW 500ml</v>
      </c>
      <c r="H43" s="101" t="s">
        <v>622</v>
      </c>
      <c r="I43" s="102">
        <f>SUMIF(T_Load!$U$9:$U$439,B43,T_Load!$O$9:$O$439)</f>
        <v>200</v>
      </c>
      <c r="J43" s="102">
        <f>SUMIF(T_Sales!$O$9:$O$1164,B43,T_Sales!$L$9:$L$1164)</f>
        <v>182</v>
      </c>
      <c r="K43" s="103">
        <f t="shared" si="0"/>
        <v>18</v>
      </c>
      <c r="L43" s="80">
        <v>46184</v>
      </c>
      <c r="M43" s="78" t="s">
        <v>1883</v>
      </c>
    </row>
    <row r="44" spans="1:13" ht="15" customHeight="1" x14ac:dyDescent="0.3">
      <c r="A44" s="60" t="s">
        <v>1950</v>
      </c>
      <c r="B44" s="97" t="s">
        <v>1951</v>
      </c>
      <c r="C44" s="63" t="s">
        <v>314</v>
      </c>
      <c r="D44" s="66" t="str">
        <f>IFERROR(INDEX(M_User!$A$12:$J$67,MATCH(C44,M_User!$D$12:$D$67,0),3),"UNMAPPED")</f>
        <v>Omary O. Seif</v>
      </c>
      <c r="E44" s="65" t="str">
        <f>IFERROR(INDEX(M_User!$A$12:$J$67,MATCH(C44,M_User!$D$12:$D$67,0),5),"UNMAPPED")</f>
        <v>DAR</v>
      </c>
      <c r="F44" s="63" t="s">
        <v>217</v>
      </c>
      <c r="G44" s="66" t="str">
        <f>IFERROR(INDEX(M_SKU!$A$18:$J$57,MATCH(F44,M_SKU!$B$18:$B$57,0),1),"UNKNOWN SKU")</f>
        <v>KNMW 1500ml</v>
      </c>
      <c r="H44" s="63" t="s">
        <v>623</v>
      </c>
      <c r="I44" s="98">
        <f>SUMIF(T_Load!$U$9:$U$439,B44,T_Load!$O$9:$O$439)</f>
        <v>50</v>
      </c>
      <c r="J44" s="98">
        <f>SUMIF(T_Sales!$O$9:$O$1164,B44,T_Sales!$L$9:$L$1164)</f>
        <v>45</v>
      </c>
      <c r="K44" s="99">
        <f t="shared" si="0"/>
        <v>5</v>
      </c>
      <c r="L44" s="62">
        <v>46184</v>
      </c>
      <c r="M44" s="68" t="s">
        <v>1883</v>
      </c>
    </row>
    <row r="45" spans="1:13" ht="15" customHeight="1" x14ac:dyDescent="0.3">
      <c r="A45" s="70" t="s">
        <v>1952</v>
      </c>
      <c r="B45" s="100" t="s">
        <v>1953</v>
      </c>
      <c r="C45" s="101" t="s">
        <v>314</v>
      </c>
      <c r="D45" s="76" t="str">
        <f>IFERROR(INDEX(M_User!$A$12:$J$67,MATCH(C45,M_User!$D$12:$D$67,0),3),"UNMAPPED")</f>
        <v>Omary O. Seif</v>
      </c>
      <c r="E45" s="75" t="str">
        <f>IFERROR(INDEX(M_User!$A$12:$J$67,MATCH(C45,M_User!$D$12:$D$67,0),5),"UNMAPPED")</f>
        <v>DAR</v>
      </c>
      <c r="F45" s="101" t="s">
        <v>222</v>
      </c>
      <c r="G45" s="76" t="str">
        <f>IFERROR(INDEX(M_SKU!$A$18:$J$57,MATCH(F45,M_SKU!$B$18:$B$57,0),1),"UNKNOWN SKU")</f>
        <v>Kilimanjaro Drinking Water 12000 ML</v>
      </c>
      <c r="H45" s="101" t="s">
        <v>607</v>
      </c>
      <c r="I45" s="102">
        <f>SUMIF(T_Load!$U$9:$U$439,B45,T_Load!$O$9:$O$439)</f>
        <v>30</v>
      </c>
      <c r="J45" s="102">
        <f>SUMIF(T_Sales!$O$9:$O$1164,B45,T_Sales!$L$9:$L$1164)</f>
        <v>27</v>
      </c>
      <c r="K45" s="103">
        <f t="shared" si="0"/>
        <v>3</v>
      </c>
      <c r="L45" s="80">
        <v>46184</v>
      </c>
      <c r="M45" s="78" t="s">
        <v>1883</v>
      </c>
    </row>
    <row r="46" spans="1:13" ht="15" customHeight="1" x14ac:dyDescent="0.3">
      <c r="A46" s="60" t="s">
        <v>1954</v>
      </c>
      <c r="B46" s="97" t="s">
        <v>1955</v>
      </c>
      <c r="C46" s="63" t="s">
        <v>314</v>
      </c>
      <c r="D46" s="66" t="str">
        <f>IFERROR(INDEX(M_User!$A$12:$J$67,MATCH(C46,M_User!$D$12:$D$67,0),3),"UNMAPPED")</f>
        <v>Omary O. Seif</v>
      </c>
      <c r="E46" s="65" t="str">
        <f>IFERROR(INDEX(M_User!$A$12:$J$67,MATCH(C46,M_User!$D$12:$D$67,0),5),"UNMAPPED")</f>
        <v>DAR</v>
      </c>
      <c r="F46" s="63" t="s">
        <v>225</v>
      </c>
      <c r="G46" s="66" t="str">
        <f>IFERROR(INDEX(M_SKU!$A$18:$J$57,MATCH(F46,M_SKU!$B$18:$B$57,0),1),"UNKNOWN SKU")</f>
        <v>Kilimanjaro Drinking Water 18900 ML</v>
      </c>
      <c r="H46" s="63" t="s">
        <v>624</v>
      </c>
      <c r="I46" s="98">
        <f>SUMIF(T_Load!$U$9:$U$439,B46,T_Load!$O$9:$O$439)</f>
        <v>30</v>
      </c>
      <c r="J46" s="98">
        <f>SUMIF(T_Sales!$O$9:$O$1164,B46,T_Sales!$L$9:$L$1164)</f>
        <v>24</v>
      </c>
      <c r="K46" s="99">
        <f t="shared" si="0"/>
        <v>6</v>
      </c>
      <c r="L46" s="62">
        <v>46184</v>
      </c>
      <c r="M46" s="68" t="s">
        <v>1883</v>
      </c>
    </row>
    <row r="47" spans="1:13" ht="15" customHeight="1" x14ac:dyDescent="0.3">
      <c r="A47" s="70" t="s">
        <v>1956</v>
      </c>
      <c r="B47" s="100" t="s">
        <v>1957</v>
      </c>
      <c r="C47" s="101" t="s">
        <v>314</v>
      </c>
      <c r="D47" s="76" t="str">
        <f>IFERROR(INDEX(M_User!$A$12:$J$67,MATCH(C47,M_User!$D$12:$D$67,0),3),"UNMAPPED")</f>
        <v>Omary O. Seif</v>
      </c>
      <c r="E47" s="75" t="str">
        <f>IFERROR(INDEX(M_User!$A$12:$J$67,MATCH(C47,M_User!$D$12:$D$67,0),5),"UNMAPPED")</f>
        <v>DAR</v>
      </c>
      <c r="F47" s="101" t="s">
        <v>227</v>
      </c>
      <c r="G47" s="76" t="str">
        <f>IFERROR(INDEX(M_SKU!$A$18:$J$57,MATCH(F47,M_SKU!$B$18:$B$57,0),1),"UNKNOWN SKU")</f>
        <v>KNMW 1000ml(6 Pack)</v>
      </c>
      <c r="H47" s="101" t="s">
        <v>625</v>
      </c>
      <c r="I47" s="102">
        <f>SUMIF(T_Load!$U$9:$U$439,B47,T_Load!$O$9:$O$439)</f>
        <v>300</v>
      </c>
      <c r="J47" s="102">
        <f>SUMIF(T_Sales!$O$9:$O$1164,B47,T_Sales!$L$9:$L$1164)</f>
        <v>271</v>
      </c>
      <c r="K47" s="103">
        <f t="shared" si="0"/>
        <v>29</v>
      </c>
      <c r="L47" s="80">
        <v>46184</v>
      </c>
      <c r="M47" s="78" t="s">
        <v>1883</v>
      </c>
    </row>
    <row r="48" spans="1:13" ht="15" customHeight="1" x14ac:dyDescent="0.3">
      <c r="A48" s="60" t="s">
        <v>1958</v>
      </c>
      <c r="B48" s="97" t="s">
        <v>1959</v>
      </c>
      <c r="C48" s="63" t="s">
        <v>395</v>
      </c>
      <c r="D48" s="66" t="str">
        <f>IFERROR(INDEX(M_User!$A$12:$J$67,MATCH(C48,M_User!$D$12:$D$67,0),3),"UNMAPPED")</f>
        <v>Meshack  Jeremiah</v>
      </c>
      <c r="E48" s="65" t="str">
        <f>IFERROR(INDEX(M_User!$A$12:$J$67,MATCH(C48,M_User!$D$12:$D$67,0),5),"UNMAPPED")</f>
        <v>MOS</v>
      </c>
      <c r="F48" s="63" t="s">
        <v>170</v>
      </c>
      <c r="G48" s="66" t="str">
        <f>IFERROR(INDEX(M_SKU!$A$18:$J$57,MATCH(F48,M_SKU!$B$18:$B$57,0),1),"UNKNOWN SKU")</f>
        <v>Coke RGB 350ml</v>
      </c>
      <c r="H48" s="63" t="s">
        <v>530</v>
      </c>
      <c r="I48" s="98">
        <f>SUMIF(T_Load!$U$9:$U$439,B48,T_Load!$O$9:$O$439)</f>
        <v>44</v>
      </c>
      <c r="J48" s="98">
        <f>SUMIF(T_Sales!$O$9:$O$1164,B48,T_Sales!$L$9:$L$1164)</f>
        <v>34.573958027552003</v>
      </c>
      <c r="K48" s="99">
        <f t="shared" si="0"/>
        <v>9.4260419724479974</v>
      </c>
      <c r="L48" s="62">
        <v>46179</v>
      </c>
      <c r="M48" s="68" t="s">
        <v>1883</v>
      </c>
    </row>
    <row r="49" spans="1:13" ht="15" customHeight="1" x14ac:dyDescent="0.3">
      <c r="A49" s="70" t="s">
        <v>1960</v>
      </c>
      <c r="B49" s="100" t="s">
        <v>1961</v>
      </c>
      <c r="C49" s="101" t="s">
        <v>395</v>
      </c>
      <c r="D49" s="76" t="str">
        <f>IFERROR(INDEX(M_User!$A$12:$J$67,MATCH(C49,M_User!$D$12:$D$67,0),3),"UNMAPPED")</f>
        <v>Meshack  Jeremiah</v>
      </c>
      <c r="E49" s="75" t="str">
        <f>IFERROR(INDEX(M_User!$A$12:$J$67,MATCH(C49,M_User!$D$12:$D$67,0),5),"UNMAPPED")</f>
        <v>MOS</v>
      </c>
      <c r="F49" s="101" t="s">
        <v>178</v>
      </c>
      <c r="G49" s="76" t="str">
        <f>IFERROR(INDEX(M_SKU!$A$18:$J$57,MATCH(F49,M_SKU!$B$18:$B$57,0),1),"UNKNOWN SKU")</f>
        <v>Fanta Orange RGB 350ml</v>
      </c>
      <c r="H49" s="101" t="s">
        <v>531</v>
      </c>
      <c r="I49" s="102">
        <f>SUMIF(T_Load!$U$9:$U$439,B49,T_Load!$O$9:$O$439)</f>
        <v>20</v>
      </c>
      <c r="J49" s="102">
        <f>SUMIF(T_Sales!$O$9:$O$1164,B49,T_Sales!$L$9:$L$1164)</f>
        <v>17.85865506835616</v>
      </c>
      <c r="K49" s="103">
        <f t="shared" si="0"/>
        <v>2.1413449316438395</v>
      </c>
      <c r="L49" s="80">
        <v>46179</v>
      </c>
      <c r="M49" s="78" t="s">
        <v>1883</v>
      </c>
    </row>
    <row r="50" spans="1:13" ht="15" customHeight="1" x14ac:dyDescent="0.3">
      <c r="A50" s="60" t="s">
        <v>1962</v>
      </c>
      <c r="B50" s="97" t="s">
        <v>1963</v>
      </c>
      <c r="C50" s="63" t="s">
        <v>395</v>
      </c>
      <c r="D50" s="66" t="str">
        <f>IFERROR(INDEX(M_User!$A$12:$J$67,MATCH(C50,M_User!$D$12:$D$67,0),3),"UNMAPPED")</f>
        <v>Meshack  Jeremiah</v>
      </c>
      <c r="E50" s="65" t="str">
        <f>IFERROR(INDEX(M_User!$A$12:$J$67,MATCH(C50,M_User!$D$12:$D$67,0),5),"UNMAPPED")</f>
        <v>MOS</v>
      </c>
      <c r="F50" s="63" t="s">
        <v>181</v>
      </c>
      <c r="G50" s="66" t="str">
        <f>IFERROR(INDEX(M_SKU!$A$18:$J$57,MATCH(F50,M_SKU!$B$18:$B$57,0),1),"UNKNOWN SKU")</f>
        <v>Fanta Passion RGB 350ml</v>
      </c>
      <c r="H50" s="63" t="s">
        <v>550</v>
      </c>
      <c r="I50" s="98">
        <f>SUMIF(T_Load!$U$9:$U$439,B50,T_Load!$O$9:$O$439)</f>
        <v>8</v>
      </c>
      <c r="J50" s="98">
        <f>SUMIF(T_Sales!$O$9:$O$1164,B50,T_Sales!$L$9:$L$1164)</f>
        <v>6.5930169508336904</v>
      </c>
      <c r="K50" s="99">
        <f t="shared" si="0"/>
        <v>1.4069830491663096</v>
      </c>
      <c r="L50" s="62">
        <v>46179</v>
      </c>
      <c r="M50" s="68" t="s">
        <v>1883</v>
      </c>
    </row>
    <row r="51" spans="1:13" ht="15" customHeight="1" x14ac:dyDescent="0.3">
      <c r="A51" s="70" t="s">
        <v>1964</v>
      </c>
      <c r="B51" s="100" t="s">
        <v>1965</v>
      </c>
      <c r="C51" s="101" t="s">
        <v>395</v>
      </c>
      <c r="D51" s="76" t="str">
        <f>IFERROR(INDEX(M_User!$A$12:$J$67,MATCH(C51,M_User!$D$12:$D$67,0),3),"UNMAPPED")</f>
        <v>Meshack  Jeremiah</v>
      </c>
      <c r="E51" s="75" t="str">
        <f>IFERROR(INDEX(M_User!$A$12:$J$67,MATCH(C51,M_User!$D$12:$D$67,0),5),"UNMAPPED")</f>
        <v>MOS</v>
      </c>
      <c r="F51" s="101" t="s">
        <v>183</v>
      </c>
      <c r="G51" s="76" t="str">
        <f>IFERROR(INDEX(M_SKU!$A$18:$J$57,MATCH(F51,M_SKU!$B$18:$B$57,0),1),"UNKNOWN SKU")</f>
        <v>Fanta Pineapple RGB 350ml</v>
      </c>
      <c r="H51" s="101" t="s">
        <v>533</v>
      </c>
      <c r="I51" s="102">
        <f>SUMIF(T_Load!$U$9:$U$439,B51,T_Load!$O$9:$O$439)</f>
        <v>8</v>
      </c>
      <c r="J51" s="102">
        <f>SUMIF(T_Sales!$O$9:$O$1164,B51,T_Sales!$L$9:$L$1164)</f>
        <v>6.2599561393969205</v>
      </c>
      <c r="K51" s="103">
        <f t="shared" si="0"/>
        <v>1.7400438606030795</v>
      </c>
      <c r="L51" s="80">
        <v>46179</v>
      </c>
      <c r="M51" s="78" t="s">
        <v>1883</v>
      </c>
    </row>
    <row r="52" spans="1:13" ht="15" customHeight="1" x14ac:dyDescent="0.3">
      <c r="A52" s="60" t="s">
        <v>1966</v>
      </c>
      <c r="B52" s="97" t="s">
        <v>1967</v>
      </c>
      <c r="C52" s="63" t="s">
        <v>395</v>
      </c>
      <c r="D52" s="66" t="str">
        <f>IFERROR(INDEX(M_User!$A$12:$J$67,MATCH(C52,M_User!$D$12:$D$67,0),3),"UNMAPPED")</f>
        <v>Meshack  Jeremiah</v>
      </c>
      <c r="E52" s="65" t="str">
        <f>IFERROR(INDEX(M_User!$A$12:$J$67,MATCH(C52,M_User!$D$12:$D$67,0),5),"UNMAPPED")</f>
        <v>MOS</v>
      </c>
      <c r="F52" s="63" t="s">
        <v>185</v>
      </c>
      <c r="G52" s="66" t="str">
        <f>IFERROR(INDEX(M_SKU!$A$18:$J$57,MATCH(F52,M_SKU!$B$18:$B$57,0),1),"UNKNOWN SKU")</f>
        <v>Fanta Fruit Blast RGB 350 ml</v>
      </c>
      <c r="H52" s="63" t="s">
        <v>534</v>
      </c>
      <c r="I52" s="98">
        <f>SUMIF(T_Load!$U$9:$U$439,B52,T_Load!$O$9:$O$439)</f>
        <v>4</v>
      </c>
      <c r="J52" s="98">
        <f>SUMIF(T_Sales!$O$9:$O$1164,B52,T_Sales!$L$9:$L$1164)</f>
        <v>3.1675431404763899</v>
      </c>
      <c r="K52" s="99">
        <f t="shared" si="0"/>
        <v>0.83245685952361015</v>
      </c>
      <c r="L52" s="62">
        <v>46179</v>
      </c>
      <c r="M52" s="68" t="s">
        <v>1883</v>
      </c>
    </row>
    <row r="53" spans="1:13" ht="15" customHeight="1" x14ac:dyDescent="0.3">
      <c r="A53" s="70" t="s">
        <v>1968</v>
      </c>
      <c r="B53" s="100" t="s">
        <v>1969</v>
      </c>
      <c r="C53" s="101" t="s">
        <v>395</v>
      </c>
      <c r="D53" s="76" t="str">
        <f>IFERROR(INDEX(M_User!$A$12:$J$67,MATCH(C53,M_User!$D$12:$D$67,0),3),"UNMAPPED")</f>
        <v>Meshack  Jeremiah</v>
      </c>
      <c r="E53" s="75" t="str">
        <f>IFERROR(INDEX(M_User!$A$12:$J$67,MATCH(C53,M_User!$D$12:$D$67,0),5),"UNMAPPED")</f>
        <v>MOS</v>
      </c>
      <c r="F53" s="101" t="s">
        <v>187</v>
      </c>
      <c r="G53" s="76" t="str">
        <f>IFERROR(INDEX(M_SKU!$A$18:$J$57,MATCH(F53,M_SKU!$B$18:$B$57,0),1),"UNKNOWN SKU")</f>
        <v>Sprite 350ml</v>
      </c>
      <c r="H53" s="101" t="s">
        <v>535</v>
      </c>
      <c r="I53" s="102">
        <f>SUMIF(T_Load!$U$9:$U$439,B53,T_Load!$O$9:$O$439)</f>
        <v>9</v>
      </c>
      <c r="J53" s="102">
        <f>SUMIF(T_Sales!$O$9:$O$1164,B53,T_Sales!$L$9:$L$1164)</f>
        <v>7.2930874536407808</v>
      </c>
      <c r="K53" s="103">
        <f t="shared" si="0"/>
        <v>1.7069125463592192</v>
      </c>
      <c r="L53" s="80">
        <v>46179</v>
      </c>
      <c r="M53" s="78" t="s">
        <v>1883</v>
      </c>
    </row>
    <row r="54" spans="1:13" ht="15" customHeight="1" x14ac:dyDescent="0.3">
      <c r="A54" s="60" t="s">
        <v>1970</v>
      </c>
      <c r="B54" s="97" t="s">
        <v>1971</v>
      </c>
      <c r="C54" s="63" t="s">
        <v>395</v>
      </c>
      <c r="D54" s="66" t="str">
        <f>IFERROR(INDEX(M_User!$A$12:$J$67,MATCH(C54,M_User!$D$12:$D$67,0),3),"UNMAPPED")</f>
        <v>Meshack  Jeremiah</v>
      </c>
      <c r="E54" s="65" t="str">
        <f>IFERROR(INDEX(M_User!$A$12:$J$67,MATCH(C54,M_User!$D$12:$D$67,0),5),"UNMAPPED")</f>
        <v>MOS</v>
      </c>
      <c r="F54" s="63" t="s">
        <v>190</v>
      </c>
      <c r="G54" s="66" t="str">
        <f>IFERROR(INDEX(M_SKU!$A$18:$J$57,MATCH(F54,M_SKU!$B$18:$B$57,0),1),"UNKNOWN SKU")</f>
        <v>Stoney Tangawizi RGB 350ml</v>
      </c>
      <c r="H54" s="63" t="s">
        <v>536</v>
      </c>
      <c r="I54" s="98">
        <f>SUMIF(T_Load!$U$9:$U$439,B54,T_Load!$O$9:$O$439)</f>
        <v>4</v>
      </c>
      <c r="J54" s="98">
        <f>SUMIF(T_Sales!$O$9:$O$1164,B54,T_Sales!$L$9:$L$1164)</f>
        <v>3.055929542394606</v>
      </c>
      <c r="K54" s="99">
        <f t="shared" si="0"/>
        <v>0.94407045760539399</v>
      </c>
      <c r="L54" s="62">
        <v>46179</v>
      </c>
      <c r="M54" s="68" t="s">
        <v>1883</v>
      </c>
    </row>
    <row r="55" spans="1:13" ht="15" customHeight="1" x14ac:dyDescent="0.3">
      <c r="A55" s="70" t="s">
        <v>1972</v>
      </c>
      <c r="B55" s="100" t="s">
        <v>1973</v>
      </c>
      <c r="C55" s="101" t="s">
        <v>395</v>
      </c>
      <c r="D55" s="76" t="str">
        <f>IFERROR(INDEX(M_User!$A$12:$J$67,MATCH(C55,M_User!$D$12:$D$67,0),3),"UNMAPPED")</f>
        <v>Meshack  Jeremiah</v>
      </c>
      <c r="E55" s="75" t="str">
        <f>IFERROR(INDEX(M_User!$A$12:$J$67,MATCH(C55,M_User!$D$12:$D$67,0),5),"UNMAPPED")</f>
        <v>MOS</v>
      </c>
      <c r="F55" s="101" t="s">
        <v>193</v>
      </c>
      <c r="G55" s="76" t="str">
        <f>IFERROR(INDEX(M_SKU!$A$18:$J$57,MATCH(F55,M_SKU!$B$18:$B$57,0),1),"UNKNOWN SKU")</f>
        <v>Sparletta Pinenut RGB 350ml</v>
      </c>
      <c r="H55" s="101" t="s">
        <v>537</v>
      </c>
      <c r="I55" s="102">
        <f>SUMIF(T_Load!$U$9:$U$439,B55,T_Load!$O$9:$O$439)</f>
        <v>4</v>
      </c>
      <c r="J55" s="102">
        <f>SUMIF(T_Sales!$O$9:$O$1164,B55,T_Sales!$L$9:$L$1164)</f>
        <v>3.297605787714105</v>
      </c>
      <c r="K55" s="103">
        <f t="shared" si="0"/>
        <v>0.70239421228589505</v>
      </c>
      <c r="L55" s="80">
        <v>46179</v>
      </c>
      <c r="M55" s="78" t="s">
        <v>1883</v>
      </c>
    </row>
    <row r="56" spans="1:13" ht="15" customHeight="1" x14ac:dyDescent="0.3">
      <c r="A56" s="60" t="s">
        <v>1974</v>
      </c>
      <c r="B56" s="97" t="s">
        <v>1975</v>
      </c>
      <c r="C56" s="63" t="s">
        <v>395</v>
      </c>
      <c r="D56" s="66" t="str">
        <f>IFERROR(INDEX(M_User!$A$12:$J$67,MATCH(C56,M_User!$D$12:$D$67,0),3),"UNMAPPED")</f>
        <v>Meshack  Jeremiah</v>
      </c>
      <c r="E56" s="65" t="str">
        <f>IFERROR(INDEX(M_User!$A$12:$J$67,MATCH(C56,M_User!$D$12:$D$67,0),5),"UNMAPPED")</f>
        <v>MOS</v>
      </c>
      <c r="F56" s="63" t="s">
        <v>196</v>
      </c>
      <c r="G56" s="66" t="str">
        <f>IFERROR(INDEX(M_SKU!$A$18:$J$57,MATCH(F56,M_SKU!$B$18:$B$57,0),1),"UNKNOWN SKU")</f>
        <v>Krest Bitter Lemon RGB 300ml</v>
      </c>
      <c r="H56" s="63" t="s">
        <v>538</v>
      </c>
      <c r="I56" s="98">
        <f>SUMIF(T_Load!$U$9:$U$439,B56,T_Load!$O$9:$O$439)</f>
        <v>2</v>
      </c>
      <c r="J56" s="98">
        <f>SUMIF(T_Sales!$O$9:$O$1164,B56,T_Sales!$L$9:$L$1164)</f>
        <v>1.7673697240951041</v>
      </c>
      <c r="K56" s="99">
        <f t="shared" si="0"/>
        <v>0.23263027590489593</v>
      </c>
      <c r="L56" s="62">
        <v>46179</v>
      </c>
      <c r="M56" s="68" t="s">
        <v>1883</v>
      </c>
    </row>
    <row r="57" spans="1:13" ht="15" customHeight="1" x14ac:dyDescent="0.3">
      <c r="A57" s="70" t="s">
        <v>1976</v>
      </c>
      <c r="B57" s="100" t="s">
        <v>1977</v>
      </c>
      <c r="C57" s="101" t="s">
        <v>395</v>
      </c>
      <c r="D57" s="76" t="str">
        <f>IFERROR(INDEX(M_User!$A$12:$J$67,MATCH(C57,M_User!$D$12:$D$67,0),3),"UNMAPPED")</f>
        <v>Meshack  Jeremiah</v>
      </c>
      <c r="E57" s="75" t="str">
        <f>IFERROR(INDEX(M_User!$A$12:$J$67,MATCH(C57,M_User!$D$12:$D$67,0),5),"UNMAPPED")</f>
        <v>MOS</v>
      </c>
      <c r="F57" s="101" t="s">
        <v>199</v>
      </c>
      <c r="G57" s="76" t="str">
        <f>IFERROR(INDEX(M_SKU!$A$18:$J$57,MATCH(F57,M_SKU!$B$18:$B$57,0),1),"UNKNOWN SKU")</f>
        <v>Krest Club Soda RGB 300ml</v>
      </c>
      <c r="H57" s="101" t="s">
        <v>539</v>
      </c>
      <c r="I57" s="102">
        <f>SUMIF(T_Load!$U$9:$U$439,B57,T_Load!$O$9:$O$439)</f>
        <v>2</v>
      </c>
      <c r="J57" s="102">
        <f>SUMIF(T_Sales!$O$9:$O$1164,B57,T_Sales!$L$9:$L$1164)</f>
        <v>1.7933622142775489</v>
      </c>
      <c r="K57" s="103">
        <f t="shared" si="0"/>
        <v>0.20663778572245106</v>
      </c>
      <c r="L57" s="80">
        <v>46179</v>
      </c>
      <c r="M57" s="78" t="s">
        <v>1883</v>
      </c>
    </row>
    <row r="58" spans="1:13" ht="15" customHeight="1" x14ac:dyDescent="0.3">
      <c r="A58" s="60" t="s">
        <v>1978</v>
      </c>
      <c r="B58" s="97" t="s">
        <v>1979</v>
      </c>
      <c r="C58" s="63" t="s">
        <v>395</v>
      </c>
      <c r="D58" s="66" t="str">
        <f>IFERROR(INDEX(M_User!$A$12:$J$67,MATCH(C58,M_User!$D$12:$D$67,0),3),"UNMAPPED")</f>
        <v>Meshack  Jeremiah</v>
      </c>
      <c r="E58" s="65" t="str">
        <f>IFERROR(INDEX(M_User!$A$12:$J$67,MATCH(C58,M_User!$D$12:$D$67,0),5),"UNMAPPED")</f>
        <v>MOS</v>
      </c>
      <c r="F58" s="63" t="s">
        <v>201</v>
      </c>
      <c r="G58" s="66" t="str">
        <f>IFERROR(INDEX(M_SKU!$A$18:$J$57,MATCH(F58,M_SKU!$B$18:$B$57,0),1),"UNKNOWN SKU")</f>
        <v>Krest Tonic Water RGB 300ml</v>
      </c>
      <c r="H58" s="63" t="s">
        <v>540</v>
      </c>
      <c r="I58" s="98">
        <f>SUMIF(T_Load!$U$9:$U$439,B58,T_Load!$O$9:$O$439)</f>
        <v>2</v>
      </c>
      <c r="J58" s="98">
        <f>SUMIF(T_Sales!$O$9:$O$1164,B58,T_Sales!$L$9:$L$1164)</f>
        <v>1.552600974091539</v>
      </c>
      <c r="K58" s="99">
        <f t="shared" si="0"/>
        <v>0.44739902590846103</v>
      </c>
      <c r="L58" s="62">
        <v>46179</v>
      </c>
      <c r="M58" s="68" t="s">
        <v>1883</v>
      </c>
    </row>
    <row r="59" spans="1:13" ht="15" customHeight="1" x14ac:dyDescent="0.3">
      <c r="A59" s="70" t="s">
        <v>1980</v>
      </c>
      <c r="B59" s="100" t="s">
        <v>1981</v>
      </c>
      <c r="C59" s="101" t="s">
        <v>395</v>
      </c>
      <c r="D59" s="76" t="str">
        <f>IFERROR(INDEX(M_User!$A$12:$J$67,MATCH(C59,M_User!$D$12:$D$67,0),3),"UNMAPPED")</f>
        <v>Meshack  Jeremiah</v>
      </c>
      <c r="E59" s="75" t="str">
        <f>IFERROR(INDEX(M_User!$A$12:$J$67,MATCH(C59,M_User!$D$12:$D$67,0),5),"UNMAPPED")</f>
        <v>MOS</v>
      </c>
      <c r="F59" s="101" t="s">
        <v>203</v>
      </c>
      <c r="G59" s="76" t="str">
        <f>IFERROR(INDEX(M_SKU!$A$18:$J$57,MATCH(F59,M_SKU!$B$18:$B$57,0),1),"UNKNOWN SKU")</f>
        <v>Krest Ginger Ale RGB 300ml</v>
      </c>
      <c r="H59" s="101" t="s">
        <v>541</v>
      </c>
      <c r="I59" s="102">
        <f>SUMIF(T_Load!$U$9:$U$439,B59,T_Load!$O$9:$O$439)</f>
        <v>1</v>
      </c>
      <c r="J59" s="102">
        <f>SUMIF(T_Sales!$O$9:$O$1164,B59,T_Sales!$L$9:$L$1164)</f>
        <v>0.76466614720473403</v>
      </c>
      <c r="K59" s="103">
        <f t="shared" si="0"/>
        <v>0.23533385279526597</v>
      </c>
      <c r="L59" s="80">
        <v>46179</v>
      </c>
      <c r="M59" s="78" t="s">
        <v>1883</v>
      </c>
    </row>
    <row r="60" spans="1:13" ht="15" customHeight="1" x14ac:dyDescent="0.3">
      <c r="A60" s="60" t="s">
        <v>1982</v>
      </c>
      <c r="B60" s="97" t="s">
        <v>1983</v>
      </c>
      <c r="C60" s="63" t="s">
        <v>395</v>
      </c>
      <c r="D60" s="66" t="str">
        <f>IFERROR(INDEX(M_User!$A$12:$J$67,MATCH(C60,M_User!$D$12:$D$67,0),3),"UNMAPPED")</f>
        <v>Meshack  Jeremiah</v>
      </c>
      <c r="E60" s="65" t="str">
        <f>IFERROR(INDEX(M_User!$A$12:$J$67,MATCH(C60,M_User!$D$12:$D$67,0),5),"UNMAPPED")</f>
        <v>MOS</v>
      </c>
      <c r="F60" s="63" t="s">
        <v>209</v>
      </c>
      <c r="G60" s="66" t="str">
        <f>IFERROR(INDEX(M_SKU!$A$18:$J$57,MATCH(F60,M_SKU!$B$18:$B$57,0),1),"UNKNOWN SKU")</f>
        <v>Sparletta Red Apple RGB 350ml</v>
      </c>
      <c r="H60" s="63" t="s">
        <v>542</v>
      </c>
      <c r="I60" s="98">
        <f>SUMIF(T_Load!$U$9:$U$439,B60,T_Load!$O$9:$O$439)</f>
        <v>2</v>
      </c>
      <c r="J60" s="98">
        <f>SUMIF(T_Sales!$O$9:$O$1164,B60,T_Sales!$L$9:$L$1164)</f>
        <v>1.6595222619764192</v>
      </c>
      <c r="K60" s="99">
        <f t="shared" si="0"/>
        <v>0.34047773802358083</v>
      </c>
      <c r="L60" s="62">
        <v>46179</v>
      </c>
      <c r="M60" s="68" t="s">
        <v>1883</v>
      </c>
    </row>
    <row r="61" spans="1:13" ht="15" customHeight="1" x14ac:dyDescent="0.3">
      <c r="A61" s="70" t="s">
        <v>1984</v>
      </c>
      <c r="B61" s="100" t="s">
        <v>1985</v>
      </c>
      <c r="C61" s="101" t="s">
        <v>395</v>
      </c>
      <c r="D61" s="76" t="str">
        <f>IFERROR(INDEX(M_User!$A$12:$J$67,MATCH(C61,M_User!$D$12:$D$67,0),3),"UNMAPPED")</f>
        <v>Meshack  Jeremiah</v>
      </c>
      <c r="E61" s="75" t="str">
        <f>IFERROR(INDEX(M_User!$A$12:$J$67,MATCH(C61,M_User!$D$12:$D$67,0),5),"UNMAPPED")</f>
        <v>MOS</v>
      </c>
      <c r="F61" s="101" t="s">
        <v>211</v>
      </c>
      <c r="G61" s="76" t="str">
        <f>IFERROR(INDEX(M_SKU!$A$18:$J$57,MATCH(F61,M_SKU!$B$18:$B$57,0),1),"UNKNOWN SKU")</f>
        <v>KNMW 500ml</v>
      </c>
      <c r="H61" s="101" t="s">
        <v>543</v>
      </c>
      <c r="I61" s="102">
        <f>SUMIF(T_Load!$U$9:$U$439,B61,T_Load!$O$9:$O$439)</f>
        <v>30</v>
      </c>
      <c r="J61" s="102">
        <f>SUMIF(T_Sales!$O$9:$O$1164,B61,T_Sales!$L$9:$L$1164)</f>
        <v>24</v>
      </c>
      <c r="K61" s="103">
        <f t="shared" si="0"/>
        <v>6</v>
      </c>
      <c r="L61" s="80">
        <v>46179</v>
      </c>
      <c r="M61" s="78" t="s">
        <v>1883</v>
      </c>
    </row>
    <row r="62" spans="1:13" ht="15" customHeight="1" x14ac:dyDescent="0.3">
      <c r="A62" s="60" t="s">
        <v>1986</v>
      </c>
      <c r="B62" s="97" t="s">
        <v>1987</v>
      </c>
      <c r="C62" s="63" t="s">
        <v>395</v>
      </c>
      <c r="D62" s="66" t="str">
        <f>IFERROR(INDEX(M_User!$A$12:$J$67,MATCH(C62,M_User!$D$12:$D$67,0),3),"UNMAPPED")</f>
        <v>Meshack  Jeremiah</v>
      </c>
      <c r="E62" s="65" t="str">
        <f>IFERROR(INDEX(M_User!$A$12:$J$67,MATCH(C62,M_User!$D$12:$D$67,0),5),"UNMAPPED")</f>
        <v>MOS</v>
      </c>
      <c r="F62" s="63" t="s">
        <v>217</v>
      </c>
      <c r="G62" s="66" t="str">
        <f>IFERROR(INDEX(M_SKU!$A$18:$J$57,MATCH(F62,M_SKU!$B$18:$B$57,0),1),"UNKNOWN SKU")</f>
        <v>KNMW 1500ml</v>
      </c>
      <c r="H62" s="63" t="s">
        <v>551</v>
      </c>
      <c r="I62" s="98">
        <f>SUMIF(T_Load!$U$9:$U$439,B62,T_Load!$O$9:$O$439)</f>
        <v>90</v>
      </c>
      <c r="J62" s="98">
        <f>SUMIF(T_Sales!$O$9:$O$1164,B62,T_Sales!$L$9:$L$1164)</f>
        <v>71</v>
      </c>
      <c r="K62" s="99">
        <f t="shared" si="0"/>
        <v>19</v>
      </c>
      <c r="L62" s="62">
        <v>46179</v>
      </c>
      <c r="M62" s="68" t="s">
        <v>1883</v>
      </c>
    </row>
    <row r="63" spans="1:13" ht="15" customHeight="1" x14ac:dyDescent="0.3">
      <c r="A63" s="70" t="s">
        <v>1988</v>
      </c>
      <c r="B63" s="100" t="s">
        <v>1989</v>
      </c>
      <c r="C63" s="101" t="s">
        <v>395</v>
      </c>
      <c r="D63" s="76" t="str">
        <f>IFERROR(INDEX(M_User!$A$12:$J$67,MATCH(C63,M_User!$D$12:$D$67,0),3),"UNMAPPED")</f>
        <v>Meshack  Jeremiah</v>
      </c>
      <c r="E63" s="75" t="str">
        <f>IFERROR(INDEX(M_User!$A$12:$J$67,MATCH(C63,M_User!$D$12:$D$67,0),5),"UNMAPPED")</f>
        <v>MOS</v>
      </c>
      <c r="F63" s="101" t="s">
        <v>229</v>
      </c>
      <c r="G63" s="76" t="str">
        <f>IFERROR(INDEX(M_SKU!$A$18:$J$57,MATCH(F63,M_SKU!$B$18:$B$57,0),1),"UNKNOWN SKU")</f>
        <v>Coke Pet 500ML ( x12)</v>
      </c>
      <c r="H63" s="101" t="s">
        <v>520</v>
      </c>
      <c r="I63" s="102">
        <f>SUMIF(T_Load!$U$9:$U$439,B63,T_Load!$O$9:$O$439)</f>
        <v>40</v>
      </c>
      <c r="J63" s="102">
        <f>SUMIF(T_Sales!$O$9:$O$1164,B63,T_Sales!$L$9:$L$1164)</f>
        <v>32</v>
      </c>
      <c r="K63" s="103">
        <f t="shared" si="0"/>
        <v>8</v>
      </c>
      <c r="L63" s="80">
        <v>46179</v>
      </c>
      <c r="M63" s="78" t="s">
        <v>1883</v>
      </c>
    </row>
    <row r="64" spans="1:13" ht="15" customHeight="1" x14ac:dyDescent="0.3">
      <c r="A64" s="60" t="s">
        <v>1990</v>
      </c>
      <c r="B64" s="97" t="s">
        <v>1991</v>
      </c>
      <c r="C64" s="63" t="s">
        <v>395</v>
      </c>
      <c r="D64" s="66" t="str">
        <f>IFERROR(INDEX(M_User!$A$12:$J$67,MATCH(C64,M_User!$D$12:$D$67,0),3),"UNMAPPED")</f>
        <v>Meshack  Jeremiah</v>
      </c>
      <c r="E64" s="65" t="str">
        <f>IFERROR(INDEX(M_User!$A$12:$J$67,MATCH(C64,M_User!$D$12:$D$67,0),5),"UNMAPPED")</f>
        <v>MOS</v>
      </c>
      <c r="F64" s="63" t="s">
        <v>232</v>
      </c>
      <c r="G64" s="66" t="str">
        <f>IFERROR(INDEX(M_SKU!$A$18:$J$57,MATCH(F64,M_SKU!$B$18:$B$57,0),1),"UNKNOWN SKU")</f>
        <v>Sprite Pet 500ML (x 12)</v>
      </c>
      <c r="H64" s="63" t="s">
        <v>522</v>
      </c>
      <c r="I64" s="98">
        <f>SUMIF(T_Load!$U$9:$U$439,B64,T_Load!$O$9:$O$439)</f>
        <v>8</v>
      </c>
      <c r="J64" s="98">
        <f>SUMIF(T_Sales!$O$9:$O$1164,B64,T_Sales!$L$9:$L$1164)</f>
        <v>7</v>
      </c>
      <c r="K64" s="99">
        <f t="shared" si="0"/>
        <v>1</v>
      </c>
      <c r="L64" s="62">
        <v>46179</v>
      </c>
      <c r="M64" s="68" t="s">
        <v>1883</v>
      </c>
    </row>
    <row r="65" spans="1:13" ht="15" customHeight="1" x14ac:dyDescent="0.3">
      <c r="A65" s="70" t="s">
        <v>1992</v>
      </c>
      <c r="B65" s="100" t="s">
        <v>1993</v>
      </c>
      <c r="C65" s="101" t="s">
        <v>395</v>
      </c>
      <c r="D65" s="76" t="str">
        <f>IFERROR(INDEX(M_User!$A$12:$J$67,MATCH(C65,M_User!$D$12:$D$67,0),3),"UNMAPPED")</f>
        <v>Meshack  Jeremiah</v>
      </c>
      <c r="E65" s="75" t="str">
        <f>IFERROR(INDEX(M_User!$A$12:$J$67,MATCH(C65,M_User!$D$12:$D$67,0),5),"UNMAPPED")</f>
        <v>MOS</v>
      </c>
      <c r="F65" s="101" t="s">
        <v>234</v>
      </c>
      <c r="G65" s="76" t="str">
        <f>IFERROR(INDEX(M_SKU!$A$18:$J$57,MATCH(F65,M_SKU!$B$18:$B$57,0),1),"UNKNOWN SKU")</f>
        <v>Fanta Orange Pet 500ML ( x 12)</v>
      </c>
      <c r="H65" s="101" t="s">
        <v>523</v>
      </c>
      <c r="I65" s="102">
        <f>SUMIF(T_Load!$U$9:$U$439,B65,T_Load!$O$9:$O$439)</f>
        <v>25</v>
      </c>
      <c r="J65" s="102">
        <f>SUMIF(T_Sales!$O$9:$O$1164,B65,T_Sales!$L$9:$L$1164)</f>
        <v>20</v>
      </c>
      <c r="K65" s="103">
        <f t="shared" si="0"/>
        <v>5</v>
      </c>
      <c r="L65" s="80">
        <v>46179</v>
      </c>
      <c r="M65" s="78" t="s">
        <v>1883</v>
      </c>
    </row>
    <row r="66" spans="1:13" ht="15" customHeight="1" x14ac:dyDescent="0.3">
      <c r="A66" s="60" t="s">
        <v>1994</v>
      </c>
      <c r="B66" s="97" t="s">
        <v>1995</v>
      </c>
      <c r="C66" s="63" t="s">
        <v>395</v>
      </c>
      <c r="D66" s="66" t="str">
        <f>IFERROR(INDEX(M_User!$A$12:$J$67,MATCH(C66,M_User!$D$12:$D$67,0),3),"UNMAPPED")</f>
        <v>Meshack  Jeremiah</v>
      </c>
      <c r="E66" s="65" t="str">
        <f>IFERROR(INDEX(M_User!$A$12:$J$67,MATCH(C66,M_User!$D$12:$D$67,0),5),"UNMAPPED")</f>
        <v>MOS</v>
      </c>
      <c r="F66" s="63" t="s">
        <v>236</v>
      </c>
      <c r="G66" s="66" t="str">
        <f>IFERROR(INDEX(M_SKU!$A$18:$J$57,MATCH(F66,M_SKU!$B$18:$B$57,0),1),"UNKNOWN SKU")</f>
        <v>Fanta Passion Pet 500ML ( x12)</v>
      </c>
      <c r="H66" s="63" t="s">
        <v>524</v>
      </c>
      <c r="I66" s="98">
        <f>SUMIF(T_Load!$U$9:$U$439,B66,T_Load!$O$9:$O$439)</f>
        <v>7</v>
      </c>
      <c r="J66" s="98">
        <f>SUMIF(T_Sales!$O$9:$O$1164,B66,T_Sales!$L$9:$L$1164)</f>
        <v>5</v>
      </c>
      <c r="K66" s="99">
        <f t="shared" si="0"/>
        <v>2</v>
      </c>
      <c r="L66" s="62">
        <v>46179</v>
      </c>
      <c r="M66" s="68" t="s">
        <v>1883</v>
      </c>
    </row>
    <row r="67" spans="1:13" ht="15" customHeight="1" x14ac:dyDescent="0.3">
      <c r="A67" s="70" t="s">
        <v>1996</v>
      </c>
      <c r="B67" s="100" t="s">
        <v>1997</v>
      </c>
      <c r="C67" s="101" t="s">
        <v>395</v>
      </c>
      <c r="D67" s="76" t="str">
        <f>IFERROR(INDEX(M_User!$A$12:$J$67,MATCH(C67,M_User!$D$12:$D$67,0),3),"UNMAPPED")</f>
        <v>Meshack  Jeremiah</v>
      </c>
      <c r="E67" s="75" t="str">
        <f>IFERROR(INDEX(M_User!$A$12:$J$67,MATCH(C67,M_User!$D$12:$D$67,0),5),"UNMAPPED")</f>
        <v>MOS</v>
      </c>
      <c r="F67" s="101" t="s">
        <v>242</v>
      </c>
      <c r="G67" s="76" t="str">
        <f>IFERROR(INDEX(M_SKU!$A$18:$J$57,MATCH(F67,M_SKU!$B$18:$B$57,0),1),"UNKNOWN SKU")</f>
        <v>Stoney Tangawizi Pet 500 ml ( x12)</v>
      </c>
      <c r="H67" s="101" t="s">
        <v>525</v>
      </c>
      <c r="I67" s="102">
        <f>SUMIF(T_Load!$U$9:$U$439,B67,T_Load!$O$9:$O$439)</f>
        <v>4</v>
      </c>
      <c r="J67" s="102">
        <f>SUMIF(T_Sales!$O$9:$O$1164,B67,T_Sales!$L$9:$L$1164)</f>
        <v>3</v>
      </c>
      <c r="K67" s="103">
        <f t="shared" si="0"/>
        <v>1</v>
      </c>
      <c r="L67" s="80">
        <v>46179</v>
      </c>
      <c r="M67" s="78" t="s">
        <v>1883</v>
      </c>
    </row>
    <row r="68" spans="1:13" ht="15" customHeight="1" x14ac:dyDescent="0.3">
      <c r="A68" s="60" t="s">
        <v>1998</v>
      </c>
      <c r="B68" s="97" t="s">
        <v>1999</v>
      </c>
      <c r="C68" s="63" t="s">
        <v>395</v>
      </c>
      <c r="D68" s="66" t="str">
        <f>IFERROR(INDEX(M_User!$A$12:$J$67,MATCH(C68,M_User!$D$12:$D$67,0),3),"UNMAPPED")</f>
        <v>Meshack  Jeremiah</v>
      </c>
      <c r="E68" s="65" t="str">
        <f>IFERROR(INDEX(M_User!$A$12:$J$67,MATCH(C68,M_User!$D$12:$D$67,0),5),"UNMAPPED")</f>
        <v>MOS</v>
      </c>
      <c r="F68" s="63" t="s">
        <v>244</v>
      </c>
      <c r="G68" s="66" t="str">
        <f>IFERROR(INDEX(M_SKU!$A$18:$J$57,MATCH(F68,M_SKU!$B$18:$B$57,0),1),"UNKNOWN SKU")</f>
        <v>Sparletta Pinenut Pet 500 ml ( x12)</v>
      </c>
      <c r="H68" s="63" t="s">
        <v>526</v>
      </c>
      <c r="I68" s="98">
        <f>SUMIF(T_Load!$U$9:$U$439,B68,T_Load!$O$9:$O$439)</f>
        <v>4</v>
      </c>
      <c r="J68" s="98">
        <f>SUMIF(T_Sales!$O$9:$O$1164,B68,T_Sales!$L$9:$L$1164)</f>
        <v>4</v>
      </c>
      <c r="K68" s="99">
        <f t="shared" si="0"/>
        <v>0</v>
      </c>
      <c r="L68" s="62">
        <v>46179</v>
      </c>
      <c r="M68" s="68" t="s">
        <v>1883</v>
      </c>
    </row>
    <row r="69" spans="1:13" ht="15" customHeight="1" x14ac:dyDescent="0.3">
      <c r="A69" s="70" t="s">
        <v>2000</v>
      </c>
      <c r="B69" s="100" t="s">
        <v>2001</v>
      </c>
      <c r="C69" s="101" t="s">
        <v>395</v>
      </c>
      <c r="D69" s="76" t="str">
        <f>IFERROR(INDEX(M_User!$A$12:$J$67,MATCH(C69,M_User!$D$12:$D$67,0),3),"UNMAPPED")</f>
        <v>Meshack  Jeremiah</v>
      </c>
      <c r="E69" s="75" t="str">
        <f>IFERROR(INDEX(M_User!$A$12:$J$67,MATCH(C69,M_User!$D$12:$D$67,0),5),"UNMAPPED")</f>
        <v>MOS</v>
      </c>
      <c r="F69" s="101" t="s">
        <v>252</v>
      </c>
      <c r="G69" s="76" t="str">
        <f>IFERROR(INDEX(M_SKU!$A$18:$J$57,MATCH(F69,M_SKU!$B$18:$B$57,0),1),"UNKNOWN SKU")</f>
        <v>Sprite Zero Pet 300ML (x 12)</v>
      </c>
      <c r="H69" s="101" t="s">
        <v>545</v>
      </c>
      <c r="I69" s="102">
        <f>SUMIF(T_Load!$U$9:$U$439,B69,T_Load!$O$9:$O$439)</f>
        <v>5</v>
      </c>
      <c r="J69" s="102">
        <f>SUMIF(T_Sales!$O$9:$O$1164,B69,T_Sales!$L$9:$L$1164)</f>
        <v>4</v>
      </c>
      <c r="K69" s="103">
        <f t="shared" si="0"/>
        <v>1</v>
      </c>
      <c r="L69" s="80">
        <v>46179</v>
      </c>
      <c r="M69" s="78" t="s">
        <v>1883</v>
      </c>
    </row>
    <row r="70" spans="1:13" ht="15" customHeight="1" x14ac:dyDescent="0.3">
      <c r="A70" s="60" t="s">
        <v>2002</v>
      </c>
      <c r="B70" s="97" t="s">
        <v>2003</v>
      </c>
      <c r="C70" s="63" t="s">
        <v>395</v>
      </c>
      <c r="D70" s="66" t="str">
        <f>IFERROR(INDEX(M_User!$A$12:$J$67,MATCH(C70,M_User!$D$12:$D$67,0),3),"UNMAPPED")</f>
        <v>Meshack  Jeremiah</v>
      </c>
      <c r="E70" s="65" t="str">
        <f>IFERROR(INDEX(M_User!$A$12:$J$67,MATCH(C70,M_User!$D$12:$D$67,0),5),"UNMAPPED")</f>
        <v>MOS</v>
      </c>
      <c r="F70" s="63" t="s">
        <v>254</v>
      </c>
      <c r="G70" s="66" t="str">
        <f>IFERROR(INDEX(M_SKU!$A$18:$J$57,MATCH(F70,M_SKU!$B$18:$B$57,0),1),"UNKNOWN SKU")</f>
        <v>Fanta Zero Pet 300ML (x 12)</v>
      </c>
      <c r="H70" s="63" t="s">
        <v>546</v>
      </c>
      <c r="I70" s="98">
        <f>SUMIF(T_Load!$U$9:$U$439,B70,T_Load!$O$9:$O$439)</f>
        <v>5</v>
      </c>
      <c r="J70" s="98">
        <f>SUMIF(T_Sales!$O$9:$O$1164,B70,T_Sales!$L$9:$L$1164)</f>
        <v>4</v>
      </c>
      <c r="K70" s="99">
        <f t="shared" si="0"/>
        <v>1</v>
      </c>
      <c r="L70" s="62">
        <v>46179</v>
      </c>
      <c r="M70" s="68" t="s">
        <v>1883</v>
      </c>
    </row>
    <row r="71" spans="1:13" ht="15" customHeight="1" x14ac:dyDescent="0.3">
      <c r="A71" s="70" t="s">
        <v>2004</v>
      </c>
      <c r="B71" s="100" t="s">
        <v>2005</v>
      </c>
      <c r="C71" s="101" t="s">
        <v>395</v>
      </c>
      <c r="D71" s="76" t="str">
        <f>IFERROR(INDEX(M_User!$A$12:$J$67,MATCH(C71,M_User!$D$12:$D$67,0),3),"UNMAPPED")</f>
        <v>Meshack  Jeremiah</v>
      </c>
      <c r="E71" s="75" t="str">
        <f>IFERROR(INDEX(M_User!$A$12:$J$67,MATCH(C71,M_User!$D$12:$D$67,0),5),"UNMAPPED")</f>
        <v>MOS</v>
      </c>
      <c r="F71" s="101" t="s">
        <v>261</v>
      </c>
      <c r="G71" s="76" t="str">
        <f>IFERROR(INDEX(M_SKU!$A$18:$J$57,MATCH(F71,M_SKU!$B$18:$B$57,0),1),"UNKNOWN SKU")</f>
        <v>Sparletta Pine Apple Pet 300ML (x 12)</v>
      </c>
      <c r="H71" s="101" t="s">
        <v>547</v>
      </c>
      <c r="I71" s="102">
        <f>SUMIF(T_Load!$U$9:$U$439,B71,T_Load!$O$9:$O$439)</f>
        <v>5</v>
      </c>
      <c r="J71" s="102">
        <f>SUMIF(T_Sales!$O$9:$O$1164,B71,T_Sales!$L$9:$L$1164)</f>
        <v>4</v>
      </c>
      <c r="K71" s="103">
        <f t="shared" si="0"/>
        <v>1</v>
      </c>
      <c r="L71" s="80">
        <v>46179</v>
      </c>
      <c r="M71" s="78" t="s">
        <v>1883</v>
      </c>
    </row>
    <row r="72" spans="1:13" ht="15" customHeight="1" x14ac:dyDescent="0.3">
      <c r="A72" s="60" t="s">
        <v>2006</v>
      </c>
      <c r="B72" s="97" t="s">
        <v>2007</v>
      </c>
      <c r="C72" s="63" t="s">
        <v>376</v>
      </c>
      <c r="D72" s="66" t="str">
        <f>IFERROR(INDEX(M_User!$A$12:$J$67,MATCH(C72,M_User!$D$12:$D$67,0),3),"UNMAPPED")</f>
        <v>Zefania Julius Ngoma</v>
      </c>
      <c r="E72" s="65" t="str">
        <f>IFERROR(INDEX(M_User!$A$12:$J$67,MATCH(C72,M_User!$D$12:$D$67,0),5),"UNMAPPED")</f>
        <v>MOS</v>
      </c>
      <c r="F72" s="63" t="s">
        <v>170</v>
      </c>
      <c r="G72" s="66" t="str">
        <f>IFERROR(INDEX(M_SKU!$A$18:$J$57,MATCH(F72,M_SKU!$B$18:$B$57,0),1),"UNKNOWN SKU")</f>
        <v>Coke RGB 350ml</v>
      </c>
      <c r="H72" s="63" t="s">
        <v>530</v>
      </c>
      <c r="I72" s="98">
        <f>SUMIF(T_Load!$U$9:$U$439,B72,T_Load!$O$9:$O$439)</f>
        <v>50</v>
      </c>
      <c r="J72" s="98">
        <f>SUMIF(T_Sales!$O$9:$O$1164,B72,T_Sales!$L$9:$L$1164)</f>
        <v>45.373022720863005</v>
      </c>
      <c r="K72" s="99">
        <f t="shared" si="0"/>
        <v>4.6269772791369945</v>
      </c>
      <c r="L72" s="62">
        <v>46179</v>
      </c>
      <c r="M72" s="68" t="s">
        <v>1883</v>
      </c>
    </row>
    <row r="73" spans="1:13" ht="15" customHeight="1" x14ac:dyDescent="0.3">
      <c r="A73" s="70" t="s">
        <v>2008</v>
      </c>
      <c r="B73" s="100" t="s">
        <v>2009</v>
      </c>
      <c r="C73" s="101" t="s">
        <v>376</v>
      </c>
      <c r="D73" s="76" t="str">
        <f>IFERROR(INDEX(M_User!$A$12:$J$67,MATCH(C73,M_User!$D$12:$D$67,0),3),"UNMAPPED")</f>
        <v>Zefania Julius Ngoma</v>
      </c>
      <c r="E73" s="75" t="str">
        <f>IFERROR(INDEX(M_User!$A$12:$J$67,MATCH(C73,M_User!$D$12:$D$67,0),5),"UNMAPPED")</f>
        <v>MOS</v>
      </c>
      <c r="F73" s="101" t="s">
        <v>178</v>
      </c>
      <c r="G73" s="76" t="str">
        <f>IFERROR(INDEX(M_SKU!$A$18:$J$57,MATCH(F73,M_SKU!$B$18:$B$57,0),1),"UNKNOWN SKU")</f>
        <v>Fanta Orange RGB 350ml</v>
      </c>
      <c r="H73" s="101" t="s">
        <v>531</v>
      </c>
      <c r="I73" s="102">
        <f>SUMIF(T_Load!$U$9:$U$439,B73,T_Load!$O$9:$O$439)</f>
        <v>10</v>
      </c>
      <c r="J73" s="102">
        <f>SUMIF(T_Sales!$O$9:$O$1164,B73,T_Sales!$L$9:$L$1164)</f>
        <v>8.5348592863854496</v>
      </c>
      <c r="K73" s="103">
        <f t="shared" si="0"/>
        <v>1.4651407136145504</v>
      </c>
      <c r="L73" s="80">
        <v>46179</v>
      </c>
      <c r="M73" s="78" t="s">
        <v>1883</v>
      </c>
    </row>
    <row r="74" spans="1:13" ht="15" customHeight="1" x14ac:dyDescent="0.3">
      <c r="A74" s="60" t="s">
        <v>2010</v>
      </c>
      <c r="B74" s="97" t="s">
        <v>2011</v>
      </c>
      <c r="C74" s="63" t="s">
        <v>376</v>
      </c>
      <c r="D74" s="66" t="str">
        <f>IFERROR(INDEX(M_User!$A$12:$J$67,MATCH(C74,M_User!$D$12:$D$67,0),3),"UNMAPPED")</f>
        <v>Zefania Julius Ngoma</v>
      </c>
      <c r="E74" s="65" t="str">
        <f>IFERROR(INDEX(M_User!$A$12:$J$67,MATCH(C74,M_User!$D$12:$D$67,0),5),"UNMAPPED")</f>
        <v>MOS</v>
      </c>
      <c r="F74" s="63" t="s">
        <v>181</v>
      </c>
      <c r="G74" s="66" t="str">
        <f>IFERROR(INDEX(M_SKU!$A$18:$J$57,MATCH(F74,M_SKU!$B$18:$B$57,0),1),"UNKNOWN SKU")</f>
        <v>Fanta Passion RGB 350ml</v>
      </c>
      <c r="H74" s="63" t="s">
        <v>550</v>
      </c>
      <c r="I74" s="98">
        <f>SUMIF(T_Load!$U$9:$U$439,B74,T_Load!$O$9:$O$439)</f>
        <v>5</v>
      </c>
      <c r="J74" s="98">
        <f>SUMIF(T_Sales!$O$9:$O$1164,B74,T_Sales!$L$9:$L$1164)</f>
        <v>3.9534945932904497</v>
      </c>
      <c r="K74" s="99">
        <f t="shared" ref="K74:K137" si="1">I74-J74</f>
        <v>1.0465054067095503</v>
      </c>
      <c r="L74" s="62">
        <v>46179</v>
      </c>
      <c r="M74" s="68" t="s">
        <v>1883</v>
      </c>
    </row>
    <row r="75" spans="1:13" ht="15" customHeight="1" x14ac:dyDescent="0.3">
      <c r="A75" s="70" t="s">
        <v>2012</v>
      </c>
      <c r="B75" s="100" t="s">
        <v>2013</v>
      </c>
      <c r="C75" s="101" t="s">
        <v>376</v>
      </c>
      <c r="D75" s="76" t="str">
        <f>IFERROR(INDEX(M_User!$A$12:$J$67,MATCH(C75,M_User!$D$12:$D$67,0),3),"UNMAPPED")</f>
        <v>Zefania Julius Ngoma</v>
      </c>
      <c r="E75" s="75" t="str">
        <f>IFERROR(INDEX(M_User!$A$12:$J$67,MATCH(C75,M_User!$D$12:$D$67,0),5),"UNMAPPED")</f>
        <v>MOS</v>
      </c>
      <c r="F75" s="101" t="s">
        <v>183</v>
      </c>
      <c r="G75" s="76" t="str">
        <f>IFERROR(INDEX(M_SKU!$A$18:$J$57,MATCH(F75,M_SKU!$B$18:$B$57,0),1),"UNKNOWN SKU")</f>
        <v>Fanta Pineapple RGB 350ml</v>
      </c>
      <c r="H75" s="101" t="s">
        <v>533</v>
      </c>
      <c r="I75" s="102">
        <f>SUMIF(T_Load!$U$9:$U$439,B75,T_Load!$O$9:$O$439)</f>
        <v>10</v>
      </c>
      <c r="J75" s="102">
        <f>SUMIF(T_Sales!$O$9:$O$1164,B75,T_Sales!$L$9:$L$1164)</f>
        <v>8.3968540762452086</v>
      </c>
      <c r="K75" s="103">
        <f t="shared" si="1"/>
        <v>1.6031459237547914</v>
      </c>
      <c r="L75" s="80">
        <v>46179</v>
      </c>
      <c r="M75" s="78" t="s">
        <v>1883</v>
      </c>
    </row>
    <row r="76" spans="1:13" ht="15" customHeight="1" x14ac:dyDescent="0.3">
      <c r="A76" s="60" t="s">
        <v>2014</v>
      </c>
      <c r="B76" s="97" t="s">
        <v>2015</v>
      </c>
      <c r="C76" s="63" t="s">
        <v>376</v>
      </c>
      <c r="D76" s="66" t="str">
        <f>IFERROR(INDEX(M_User!$A$12:$J$67,MATCH(C76,M_User!$D$12:$D$67,0),3),"UNMAPPED")</f>
        <v>Zefania Julius Ngoma</v>
      </c>
      <c r="E76" s="65" t="str">
        <f>IFERROR(INDEX(M_User!$A$12:$J$67,MATCH(C76,M_User!$D$12:$D$67,0),5),"UNMAPPED")</f>
        <v>MOS</v>
      </c>
      <c r="F76" s="63" t="s">
        <v>185</v>
      </c>
      <c r="G76" s="66" t="str">
        <f>IFERROR(INDEX(M_SKU!$A$18:$J$57,MATCH(F76,M_SKU!$B$18:$B$57,0),1),"UNKNOWN SKU")</f>
        <v>Fanta Fruit Blast RGB 350 ml</v>
      </c>
      <c r="H76" s="63" t="s">
        <v>534</v>
      </c>
      <c r="I76" s="98">
        <f>SUMIF(T_Load!$U$9:$U$439,B76,T_Load!$O$9:$O$439)</f>
        <v>5</v>
      </c>
      <c r="J76" s="98">
        <f>SUMIF(T_Sales!$O$9:$O$1164,B76,T_Sales!$L$9:$L$1164)</f>
        <v>4.4756647341951794</v>
      </c>
      <c r="K76" s="99">
        <f t="shared" si="1"/>
        <v>0.52433526580482059</v>
      </c>
      <c r="L76" s="62">
        <v>46179</v>
      </c>
      <c r="M76" s="68" t="s">
        <v>1883</v>
      </c>
    </row>
    <row r="77" spans="1:13" ht="15" customHeight="1" x14ac:dyDescent="0.3">
      <c r="A77" s="70" t="s">
        <v>2016</v>
      </c>
      <c r="B77" s="100" t="s">
        <v>2017</v>
      </c>
      <c r="C77" s="101" t="s">
        <v>376</v>
      </c>
      <c r="D77" s="76" t="str">
        <f>IFERROR(INDEX(M_User!$A$12:$J$67,MATCH(C77,M_User!$D$12:$D$67,0),3),"UNMAPPED")</f>
        <v>Zefania Julius Ngoma</v>
      </c>
      <c r="E77" s="75" t="str">
        <f>IFERROR(INDEX(M_User!$A$12:$J$67,MATCH(C77,M_User!$D$12:$D$67,0),5),"UNMAPPED")</f>
        <v>MOS</v>
      </c>
      <c r="F77" s="101" t="s">
        <v>187</v>
      </c>
      <c r="G77" s="76" t="str">
        <f>IFERROR(INDEX(M_SKU!$A$18:$J$57,MATCH(F77,M_SKU!$B$18:$B$57,0),1),"UNKNOWN SKU")</f>
        <v>Sprite 350ml</v>
      </c>
      <c r="H77" s="101" t="s">
        <v>535</v>
      </c>
      <c r="I77" s="102">
        <f>SUMIF(T_Load!$U$9:$U$439,B77,T_Load!$O$9:$O$439)</f>
        <v>10</v>
      </c>
      <c r="J77" s="102">
        <f>SUMIF(T_Sales!$O$9:$O$1164,B77,T_Sales!$L$9:$L$1164)</f>
        <v>8.877330762014271</v>
      </c>
      <c r="K77" s="103">
        <f t="shared" si="1"/>
        <v>1.122669237985729</v>
      </c>
      <c r="L77" s="80">
        <v>46179</v>
      </c>
      <c r="M77" s="78" t="s">
        <v>1883</v>
      </c>
    </row>
    <row r="78" spans="1:13" ht="15" customHeight="1" x14ac:dyDescent="0.3">
      <c r="A78" s="60" t="s">
        <v>2018</v>
      </c>
      <c r="B78" s="97" t="s">
        <v>2019</v>
      </c>
      <c r="C78" s="63" t="s">
        <v>376</v>
      </c>
      <c r="D78" s="66" t="str">
        <f>IFERROR(INDEX(M_User!$A$12:$J$67,MATCH(C78,M_User!$D$12:$D$67,0),3),"UNMAPPED")</f>
        <v>Zefania Julius Ngoma</v>
      </c>
      <c r="E78" s="65" t="str">
        <f>IFERROR(INDEX(M_User!$A$12:$J$67,MATCH(C78,M_User!$D$12:$D$67,0),5),"UNMAPPED")</f>
        <v>MOS</v>
      </c>
      <c r="F78" s="63" t="s">
        <v>190</v>
      </c>
      <c r="G78" s="66" t="str">
        <f>IFERROR(INDEX(M_SKU!$A$18:$J$57,MATCH(F78,M_SKU!$B$18:$B$57,0),1),"UNKNOWN SKU")</f>
        <v>Stoney Tangawizi RGB 350ml</v>
      </c>
      <c r="H78" s="63" t="s">
        <v>536</v>
      </c>
      <c r="I78" s="98">
        <f>SUMIF(T_Load!$U$9:$U$439,B78,T_Load!$O$9:$O$439)</f>
        <v>5</v>
      </c>
      <c r="J78" s="98">
        <f>SUMIF(T_Sales!$O$9:$O$1164,B78,T_Sales!$L$9:$L$1164)</f>
        <v>4.5804876768997298</v>
      </c>
      <c r="K78" s="99">
        <f t="shared" si="1"/>
        <v>0.4195123231002702</v>
      </c>
      <c r="L78" s="62">
        <v>46179</v>
      </c>
      <c r="M78" s="68" t="s">
        <v>1883</v>
      </c>
    </row>
    <row r="79" spans="1:13" ht="15" customHeight="1" x14ac:dyDescent="0.3">
      <c r="A79" s="70" t="s">
        <v>2020</v>
      </c>
      <c r="B79" s="100" t="s">
        <v>2021</v>
      </c>
      <c r="C79" s="101" t="s">
        <v>376</v>
      </c>
      <c r="D79" s="76" t="str">
        <f>IFERROR(INDEX(M_User!$A$12:$J$67,MATCH(C79,M_User!$D$12:$D$67,0),3),"UNMAPPED")</f>
        <v>Zefania Julius Ngoma</v>
      </c>
      <c r="E79" s="75" t="str">
        <f>IFERROR(INDEX(M_User!$A$12:$J$67,MATCH(C79,M_User!$D$12:$D$67,0),5),"UNMAPPED")</f>
        <v>MOS</v>
      </c>
      <c r="F79" s="101" t="s">
        <v>193</v>
      </c>
      <c r="G79" s="76" t="str">
        <f>IFERROR(INDEX(M_SKU!$A$18:$J$57,MATCH(F79,M_SKU!$B$18:$B$57,0),1),"UNKNOWN SKU")</f>
        <v>Sparletta Pinenut RGB 350ml</v>
      </c>
      <c r="H79" s="101" t="s">
        <v>537</v>
      </c>
      <c r="I79" s="102">
        <f>SUMIF(T_Load!$U$9:$U$439,B79,T_Load!$O$9:$O$439)</f>
        <v>5</v>
      </c>
      <c r="J79" s="102">
        <f>SUMIF(T_Sales!$O$9:$O$1164,B79,T_Sales!$L$9:$L$1164)</f>
        <v>4.5948925704636494</v>
      </c>
      <c r="K79" s="103">
        <f t="shared" si="1"/>
        <v>0.40510742953635059</v>
      </c>
      <c r="L79" s="80">
        <v>46179</v>
      </c>
      <c r="M79" s="78" t="s">
        <v>1883</v>
      </c>
    </row>
    <row r="80" spans="1:13" ht="15" customHeight="1" x14ac:dyDescent="0.3">
      <c r="A80" s="60" t="s">
        <v>2022</v>
      </c>
      <c r="B80" s="97" t="s">
        <v>2023</v>
      </c>
      <c r="C80" s="63" t="s">
        <v>376</v>
      </c>
      <c r="D80" s="66" t="str">
        <f>IFERROR(INDEX(M_User!$A$12:$J$67,MATCH(C80,M_User!$D$12:$D$67,0),3),"UNMAPPED")</f>
        <v>Zefania Julius Ngoma</v>
      </c>
      <c r="E80" s="65" t="str">
        <f>IFERROR(INDEX(M_User!$A$12:$J$67,MATCH(C80,M_User!$D$12:$D$67,0),5),"UNMAPPED")</f>
        <v>MOS</v>
      </c>
      <c r="F80" s="63" t="s">
        <v>209</v>
      </c>
      <c r="G80" s="66" t="str">
        <f>IFERROR(INDEX(M_SKU!$A$18:$J$57,MATCH(F80,M_SKU!$B$18:$B$57,0),1),"UNKNOWN SKU")</f>
        <v>Sparletta Red Apple RGB 350ml</v>
      </c>
      <c r="H80" s="63" t="s">
        <v>542</v>
      </c>
      <c r="I80" s="98">
        <f>SUMIF(T_Load!$U$9:$U$439,B80,T_Load!$O$9:$O$439)</f>
        <v>2</v>
      </c>
      <c r="J80" s="98">
        <f>SUMIF(T_Sales!$O$9:$O$1164,B80,T_Sales!$L$9:$L$1164)</f>
        <v>1.7930962628193539</v>
      </c>
      <c r="K80" s="99">
        <f t="shared" si="1"/>
        <v>0.20690373718064614</v>
      </c>
      <c r="L80" s="62">
        <v>46179</v>
      </c>
      <c r="M80" s="68" t="s">
        <v>1883</v>
      </c>
    </row>
    <row r="81" spans="1:13" ht="15" customHeight="1" x14ac:dyDescent="0.3">
      <c r="A81" s="70" t="s">
        <v>2024</v>
      </c>
      <c r="B81" s="100" t="s">
        <v>2025</v>
      </c>
      <c r="C81" s="101" t="s">
        <v>376</v>
      </c>
      <c r="D81" s="76" t="str">
        <f>IFERROR(INDEX(M_User!$A$12:$J$67,MATCH(C81,M_User!$D$12:$D$67,0),3),"UNMAPPED")</f>
        <v>Zefania Julius Ngoma</v>
      </c>
      <c r="E81" s="75" t="str">
        <f>IFERROR(INDEX(M_User!$A$12:$J$67,MATCH(C81,M_User!$D$12:$D$67,0),5),"UNMAPPED")</f>
        <v>MOS</v>
      </c>
      <c r="F81" s="101" t="s">
        <v>211</v>
      </c>
      <c r="G81" s="76" t="str">
        <f>IFERROR(INDEX(M_SKU!$A$18:$J$57,MATCH(F81,M_SKU!$B$18:$B$57,0),1),"UNKNOWN SKU")</f>
        <v>KNMW 500ml</v>
      </c>
      <c r="H81" s="101" t="s">
        <v>543</v>
      </c>
      <c r="I81" s="102">
        <f>SUMIF(T_Load!$U$9:$U$439,B81,T_Load!$O$9:$O$439)</f>
        <v>15</v>
      </c>
      <c r="J81" s="102">
        <f>SUMIF(T_Sales!$O$9:$O$1164,B81,T_Sales!$L$9:$L$1164)</f>
        <v>12</v>
      </c>
      <c r="K81" s="103">
        <f t="shared" si="1"/>
        <v>3</v>
      </c>
      <c r="L81" s="80">
        <v>46179</v>
      </c>
      <c r="M81" s="78" t="s">
        <v>1883</v>
      </c>
    </row>
    <row r="82" spans="1:13" ht="15" customHeight="1" x14ac:dyDescent="0.3">
      <c r="A82" s="60" t="s">
        <v>2026</v>
      </c>
      <c r="B82" s="97" t="s">
        <v>2027</v>
      </c>
      <c r="C82" s="63" t="s">
        <v>376</v>
      </c>
      <c r="D82" s="66" t="str">
        <f>IFERROR(INDEX(M_User!$A$12:$J$67,MATCH(C82,M_User!$D$12:$D$67,0),3),"UNMAPPED")</f>
        <v>Zefania Julius Ngoma</v>
      </c>
      <c r="E82" s="65" t="str">
        <f>IFERROR(INDEX(M_User!$A$12:$J$67,MATCH(C82,M_User!$D$12:$D$67,0),5),"UNMAPPED")</f>
        <v>MOS</v>
      </c>
      <c r="F82" s="63" t="s">
        <v>217</v>
      </c>
      <c r="G82" s="66" t="str">
        <f>IFERROR(INDEX(M_SKU!$A$18:$J$57,MATCH(F82,M_SKU!$B$18:$B$57,0),1),"UNKNOWN SKU")</f>
        <v>KNMW 1500ml</v>
      </c>
      <c r="H82" s="63" t="s">
        <v>551</v>
      </c>
      <c r="I82" s="98">
        <f>SUMIF(T_Load!$U$9:$U$439,B82,T_Load!$O$9:$O$439)</f>
        <v>90</v>
      </c>
      <c r="J82" s="98">
        <f>SUMIF(T_Sales!$O$9:$O$1164,B82,T_Sales!$L$9:$L$1164)</f>
        <v>74</v>
      </c>
      <c r="K82" s="99">
        <f t="shared" si="1"/>
        <v>16</v>
      </c>
      <c r="L82" s="62">
        <v>46179</v>
      </c>
      <c r="M82" s="68" t="s">
        <v>1883</v>
      </c>
    </row>
    <row r="83" spans="1:13" ht="15" customHeight="1" x14ac:dyDescent="0.3">
      <c r="A83" s="70" t="s">
        <v>2028</v>
      </c>
      <c r="B83" s="100" t="s">
        <v>2029</v>
      </c>
      <c r="C83" s="101" t="s">
        <v>376</v>
      </c>
      <c r="D83" s="76" t="str">
        <f>IFERROR(INDEX(M_User!$A$12:$J$67,MATCH(C83,M_User!$D$12:$D$67,0),3),"UNMAPPED")</f>
        <v>Zefania Julius Ngoma</v>
      </c>
      <c r="E83" s="75" t="str">
        <f>IFERROR(INDEX(M_User!$A$12:$J$67,MATCH(C83,M_User!$D$12:$D$67,0),5),"UNMAPPED")</f>
        <v>MOS</v>
      </c>
      <c r="F83" s="101" t="s">
        <v>229</v>
      </c>
      <c r="G83" s="76" t="str">
        <f>IFERROR(INDEX(M_SKU!$A$18:$J$57,MATCH(F83,M_SKU!$B$18:$B$57,0),1),"UNKNOWN SKU")</f>
        <v>Coke Pet 500ML ( x12)</v>
      </c>
      <c r="H83" s="101" t="s">
        <v>520</v>
      </c>
      <c r="I83" s="102">
        <f>SUMIF(T_Load!$U$9:$U$439,B83,T_Load!$O$9:$O$439)</f>
        <v>20</v>
      </c>
      <c r="J83" s="102">
        <f>SUMIF(T_Sales!$O$9:$O$1164,B83,T_Sales!$L$9:$L$1164)</f>
        <v>15</v>
      </c>
      <c r="K83" s="103">
        <f t="shared" si="1"/>
        <v>5</v>
      </c>
      <c r="L83" s="80">
        <v>46179</v>
      </c>
      <c r="M83" s="78" t="s">
        <v>1883</v>
      </c>
    </row>
    <row r="84" spans="1:13" ht="15" customHeight="1" x14ac:dyDescent="0.3">
      <c r="A84" s="60" t="s">
        <v>2030</v>
      </c>
      <c r="B84" s="97" t="s">
        <v>2031</v>
      </c>
      <c r="C84" s="63" t="s">
        <v>376</v>
      </c>
      <c r="D84" s="66" t="str">
        <f>IFERROR(INDEX(M_User!$A$12:$J$67,MATCH(C84,M_User!$D$12:$D$67,0),3),"UNMAPPED")</f>
        <v>Zefania Julius Ngoma</v>
      </c>
      <c r="E84" s="65" t="str">
        <f>IFERROR(INDEX(M_User!$A$12:$J$67,MATCH(C84,M_User!$D$12:$D$67,0),5),"UNMAPPED")</f>
        <v>MOS</v>
      </c>
      <c r="F84" s="63" t="s">
        <v>232</v>
      </c>
      <c r="G84" s="66" t="str">
        <f>IFERROR(INDEX(M_SKU!$A$18:$J$57,MATCH(F84,M_SKU!$B$18:$B$57,0),1),"UNKNOWN SKU")</f>
        <v>Sprite Pet 500ML (x 12)</v>
      </c>
      <c r="H84" s="63" t="s">
        <v>522</v>
      </c>
      <c r="I84" s="98">
        <f>SUMIF(T_Load!$U$9:$U$439,B84,T_Load!$O$9:$O$439)</f>
        <v>5</v>
      </c>
      <c r="J84" s="98">
        <f>SUMIF(T_Sales!$O$9:$O$1164,B84,T_Sales!$L$9:$L$1164)</f>
        <v>4</v>
      </c>
      <c r="K84" s="99">
        <f t="shared" si="1"/>
        <v>1</v>
      </c>
      <c r="L84" s="62">
        <v>46179</v>
      </c>
      <c r="M84" s="68" t="s">
        <v>1883</v>
      </c>
    </row>
    <row r="85" spans="1:13" ht="15" customHeight="1" x14ac:dyDescent="0.3">
      <c r="A85" s="70" t="s">
        <v>2032</v>
      </c>
      <c r="B85" s="100" t="s">
        <v>2033</v>
      </c>
      <c r="C85" s="101" t="s">
        <v>376</v>
      </c>
      <c r="D85" s="76" t="str">
        <f>IFERROR(INDEX(M_User!$A$12:$J$67,MATCH(C85,M_User!$D$12:$D$67,0),3),"UNMAPPED")</f>
        <v>Zefania Julius Ngoma</v>
      </c>
      <c r="E85" s="75" t="str">
        <f>IFERROR(INDEX(M_User!$A$12:$J$67,MATCH(C85,M_User!$D$12:$D$67,0),5),"UNMAPPED")</f>
        <v>MOS</v>
      </c>
      <c r="F85" s="101" t="s">
        <v>234</v>
      </c>
      <c r="G85" s="76" t="str">
        <f>IFERROR(INDEX(M_SKU!$A$18:$J$57,MATCH(F85,M_SKU!$B$18:$B$57,0),1),"UNKNOWN SKU")</f>
        <v>Fanta Orange Pet 500ML ( x 12)</v>
      </c>
      <c r="H85" s="101" t="s">
        <v>523</v>
      </c>
      <c r="I85" s="102">
        <f>SUMIF(T_Load!$U$9:$U$439,B85,T_Load!$O$9:$O$439)</f>
        <v>6</v>
      </c>
      <c r="J85" s="102">
        <f>SUMIF(T_Sales!$O$9:$O$1164,B85,T_Sales!$L$9:$L$1164)</f>
        <v>5</v>
      </c>
      <c r="K85" s="103">
        <f t="shared" si="1"/>
        <v>1</v>
      </c>
      <c r="L85" s="80">
        <v>46179</v>
      </c>
      <c r="M85" s="78" t="s">
        <v>1883</v>
      </c>
    </row>
    <row r="86" spans="1:13" ht="15" customHeight="1" x14ac:dyDescent="0.3">
      <c r="A86" s="60" t="s">
        <v>2034</v>
      </c>
      <c r="B86" s="97" t="s">
        <v>2035</v>
      </c>
      <c r="C86" s="63" t="s">
        <v>376</v>
      </c>
      <c r="D86" s="66" t="str">
        <f>IFERROR(INDEX(M_User!$A$12:$J$67,MATCH(C86,M_User!$D$12:$D$67,0),3),"UNMAPPED")</f>
        <v>Zefania Julius Ngoma</v>
      </c>
      <c r="E86" s="65" t="str">
        <f>IFERROR(INDEX(M_User!$A$12:$J$67,MATCH(C86,M_User!$D$12:$D$67,0),5),"UNMAPPED")</f>
        <v>MOS</v>
      </c>
      <c r="F86" s="63" t="s">
        <v>236</v>
      </c>
      <c r="G86" s="66" t="str">
        <f>IFERROR(INDEX(M_SKU!$A$18:$J$57,MATCH(F86,M_SKU!$B$18:$B$57,0),1),"UNKNOWN SKU")</f>
        <v>Fanta Passion Pet 500ML ( x12)</v>
      </c>
      <c r="H86" s="63" t="s">
        <v>524</v>
      </c>
      <c r="I86" s="98">
        <f>SUMIF(T_Load!$U$9:$U$439,B86,T_Load!$O$9:$O$439)</f>
        <v>5</v>
      </c>
      <c r="J86" s="98">
        <f>SUMIF(T_Sales!$O$9:$O$1164,B86,T_Sales!$L$9:$L$1164)</f>
        <v>4</v>
      </c>
      <c r="K86" s="99">
        <f t="shared" si="1"/>
        <v>1</v>
      </c>
      <c r="L86" s="62">
        <v>46179</v>
      </c>
      <c r="M86" s="68" t="s">
        <v>1883</v>
      </c>
    </row>
    <row r="87" spans="1:13" ht="15" customHeight="1" x14ac:dyDescent="0.3">
      <c r="A87" s="70" t="s">
        <v>2036</v>
      </c>
      <c r="B87" s="100" t="s">
        <v>2037</v>
      </c>
      <c r="C87" s="101" t="s">
        <v>376</v>
      </c>
      <c r="D87" s="76" t="str">
        <f>IFERROR(INDEX(M_User!$A$12:$J$67,MATCH(C87,M_User!$D$12:$D$67,0),3),"UNMAPPED")</f>
        <v>Zefania Julius Ngoma</v>
      </c>
      <c r="E87" s="75" t="str">
        <f>IFERROR(INDEX(M_User!$A$12:$J$67,MATCH(C87,M_User!$D$12:$D$67,0),5),"UNMAPPED")</f>
        <v>MOS</v>
      </c>
      <c r="F87" s="101" t="s">
        <v>240</v>
      </c>
      <c r="G87" s="76" t="str">
        <f>IFERROR(INDEX(M_SKU!$A$18:$J$57,MATCH(F87,M_SKU!$B$18:$B$57,0),1),"UNKNOWN SKU")</f>
        <v>Fanta Fruit Blast Pet 500ML (x12)</v>
      </c>
      <c r="H87" s="101" t="s">
        <v>553</v>
      </c>
      <c r="I87" s="102">
        <f>SUMIF(T_Load!$U$9:$U$439,B87,T_Load!$O$9:$O$439)</f>
        <v>2</v>
      </c>
      <c r="J87" s="102">
        <f>SUMIF(T_Sales!$O$9:$O$1164,B87,T_Sales!$L$9:$L$1164)</f>
        <v>2</v>
      </c>
      <c r="K87" s="103">
        <f t="shared" si="1"/>
        <v>0</v>
      </c>
      <c r="L87" s="80">
        <v>46179</v>
      </c>
      <c r="M87" s="78" t="s">
        <v>1883</v>
      </c>
    </row>
    <row r="88" spans="1:13" ht="15" customHeight="1" x14ac:dyDescent="0.3">
      <c r="A88" s="60" t="s">
        <v>2038</v>
      </c>
      <c r="B88" s="97" t="s">
        <v>2039</v>
      </c>
      <c r="C88" s="63" t="s">
        <v>376</v>
      </c>
      <c r="D88" s="66" t="str">
        <f>IFERROR(INDEX(M_User!$A$12:$J$67,MATCH(C88,M_User!$D$12:$D$67,0),3),"UNMAPPED")</f>
        <v>Zefania Julius Ngoma</v>
      </c>
      <c r="E88" s="65" t="str">
        <f>IFERROR(INDEX(M_User!$A$12:$J$67,MATCH(C88,M_User!$D$12:$D$67,0),5),"UNMAPPED")</f>
        <v>MOS</v>
      </c>
      <c r="F88" s="63" t="s">
        <v>242</v>
      </c>
      <c r="G88" s="66" t="str">
        <f>IFERROR(INDEX(M_SKU!$A$18:$J$57,MATCH(F88,M_SKU!$B$18:$B$57,0),1),"UNKNOWN SKU")</f>
        <v>Stoney Tangawizi Pet 500 ml ( x12)</v>
      </c>
      <c r="H88" s="63" t="s">
        <v>525</v>
      </c>
      <c r="I88" s="98">
        <f>SUMIF(T_Load!$U$9:$U$439,B88,T_Load!$O$9:$O$439)</f>
        <v>3</v>
      </c>
      <c r="J88" s="98">
        <f>SUMIF(T_Sales!$O$9:$O$1164,B88,T_Sales!$L$9:$L$1164)</f>
        <v>3</v>
      </c>
      <c r="K88" s="99">
        <f t="shared" si="1"/>
        <v>0</v>
      </c>
      <c r="L88" s="62">
        <v>46179</v>
      </c>
      <c r="M88" s="68" t="s">
        <v>1883</v>
      </c>
    </row>
    <row r="89" spans="1:13" ht="15" customHeight="1" x14ac:dyDescent="0.3">
      <c r="A89" s="70" t="s">
        <v>2040</v>
      </c>
      <c r="B89" s="100" t="s">
        <v>2041</v>
      </c>
      <c r="C89" s="101" t="s">
        <v>421</v>
      </c>
      <c r="D89" s="76" t="str">
        <f>IFERROR(INDEX(M_User!$A$12:$J$67,MATCH(C89,M_User!$D$12:$D$67,0),3),"UNMAPPED")</f>
        <v>Deodat Francis Materu</v>
      </c>
      <c r="E89" s="75" t="str">
        <f>IFERROR(INDEX(M_User!$A$12:$J$67,MATCH(C89,M_User!$D$12:$D$67,0),5),"UNMAPPED")</f>
        <v>MOS</v>
      </c>
      <c r="F89" s="101" t="s">
        <v>170</v>
      </c>
      <c r="G89" s="76" t="str">
        <f>IFERROR(INDEX(M_SKU!$A$18:$J$57,MATCH(F89,M_SKU!$B$18:$B$57,0),1),"UNKNOWN SKU")</f>
        <v>Coke RGB 350ml</v>
      </c>
      <c r="H89" s="101" t="s">
        <v>530</v>
      </c>
      <c r="I89" s="102">
        <f>SUMIF(T_Load!$U$9:$U$439,B89,T_Load!$O$9:$O$439)</f>
        <v>58</v>
      </c>
      <c r="J89" s="102">
        <f>SUMIF(T_Sales!$O$9:$O$1164,B89,T_Sales!$L$9:$L$1164)</f>
        <v>46.947433714407097</v>
      </c>
      <c r="K89" s="103">
        <f t="shared" si="1"/>
        <v>11.052566285592903</v>
      </c>
      <c r="L89" s="80">
        <v>46179</v>
      </c>
      <c r="M89" s="78" t="s">
        <v>1883</v>
      </c>
    </row>
    <row r="90" spans="1:13" ht="15" customHeight="1" x14ac:dyDescent="0.3">
      <c r="A90" s="60" t="s">
        <v>2042</v>
      </c>
      <c r="B90" s="97" t="s">
        <v>2043</v>
      </c>
      <c r="C90" s="63" t="s">
        <v>421</v>
      </c>
      <c r="D90" s="66" t="str">
        <f>IFERROR(INDEX(M_User!$A$12:$J$67,MATCH(C90,M_User!$D$12:$D$67,0),3),"UNMAPPED")</f>
        <v>Deodat Francis Materu</v>
      </c>
      <c r="E90" s="65" t="str">
        <f>IFERROR(INDEX(M_User!$A$12:$J$67,MATCH(C90,M_User!$D$12:$D$67,0),5),"UNMAPPED")</f>
        <v>MOS</v>
      </c>
      <c r="F90" s="63" t="s">
        <v>178</v>
      </c>
      <c r="G90" s="66" t="str">
        <f>IFERROR(INDEX(M_SKU!$A$18:$J$57,MATCH(F90,M_SKU!$B$18:$B$57,0),1),"UNKNOWN SKU")</f>
        <v>Fanta Orange RGB 350ml</v>
      </c>
      <c r="H90" s="63" t="s">
        <v>531</v>
      </c>
      <c r="I90" s="98">
        <f>SUMIF(T_Load!$U$9:$U$439,B90,T_Load!$O$9:$O$439)</f>
        <v>30</v>
      </c>
      <c r="J90" s="98">
        <f>SUMIF(T_Sales!$O$9:$O$1164,B90,T_Sales!$L$9:$L$1164)</f>
        <v>22.779126115353069</v>
      </c>
      <c r="K90" s="99">
        <f t="shared" si="1"/>
        <v>7.2208738846469309</v>
      </c>
      <c r="L90" s="62">
        <v>46179</v>
      </c>
      <c r="M90" s="68" t="s">
        <v>1883</v>
      </c>
    </row>
    <row r="91" spans="1:13" ht="15" customHeight="1" x14ac:dyDescent="0.3">
      <c r="A91" s="70" t="s">
        <v>2044</v>
      </c>
      <c r="B91" s="100" t="s">
        <v>2045</v>
      </c>
      <c r="C91" s="101" t="s">
        <v>421</v>
      </c>
      <c r="D91" s="76" t="str">
        <f>IFERROR(INDEX(M_User!$A$12:$J$67,MATCH(C91,M_User!$D$12:$D$67,0),3),"UNMAPPED")</f>
        <v>Deodat Francis Materu</v>
      </c>
      <c r="E91" s="75" t="str">
        <f>IFERROR(INDEX(M_User!$A$12:$J$67,MATCH(C91,M_User!$D$12:$D$67,0),5),"UNMAPPED")</f>
        <v>MOS</v>
      </c>
      <c r="F91" s="101" t="s">
        <v>181</v>
      </c>
      <c r="G91" s="76" t="str">
        <f>IFERROR(INDEX(M_SKU!$A$18:$J$57,MATCH(F91,M_SKU!$B$18:$B$57,0),1),"UNKNOWN SKU")</f>
        <v>Fanta Passion RGB 350ml</v>
      </c>
      <c r="H91" s="101" t="s">
        <v>550</v>
      </c>
      <c r="I91" s="102">
        <f>SUMIF(T_Load!$U$9:$U$439,B91,T_Load!$O$9:$O$439)</f>
        <v>12</v>
      </c>
      <c r="J91" s="102">
        <f>SUMIF(T_Sales!$O$9:$O$1164,B91,T_Sales!$L$9:$L$1164)</f>
        <v>9.0769218559447609</v>
      </c>
      <c r="K91" s="103">
        <f t="shared" si="1"/>
        <v>2.9230781440552391</v>
      </c>
      <c r="L91" s="80">
        <v>46179</v>
      </c>
      <c r="M91" s="78" t="s">
        <v>1883</v>
      </c>
    </row>
    <row r="92" spans="1:13" ht="15" customHeight="1" x14ac:dyDescent="0.3">
      <c r="A92" s="60" t="s">
        <v>2046</v>
      </c>
      <c r="B92" s="97" t="s">
        <v>2047</v>
      </c>
      <c r="C92" s="63" t="s">
        <v>421</v>
      </c>
      <c r="D92" s="66" t="str">
        <f>IFERROR(INDEX(M_User!$A$12:$J$67,MATCH(C92,M_User!$D$12:$D$67,0),3),"UNMAPPED")</f>
        <v>Deodat Francis Materu</v>
      </c>
      <c r="E92" s="65" t="str">
        <f>IFERROR(INDEX(M_User!$A$12:$J$67,MATCH(C92,M_User!$D$12:$D$67,0),5),"UNMAPPED")</f>
        <v>MOS</v>
      </c>
      <c r="F92" s="63" t="s">
        <v>183</v>
      </c>
      <c r="G92" s="66" t="str">
        <f>IFERROR(INDEX(M_SKU!$A$18:$J$57,MATCH(F92,M_SKU!$B$18:$B$57,0),1),"UNKNOWN SKU")</f>
        <v>Fanta Pineapple RGB 350ml</v>
      </c>
      <c r="H92" s="63" t="s">
        <v>533</v>
      </c>
      <c r="I92" s="98">
        <f>SUMIF(T_Load!$U$9:$U$439,B92,T_Load!$O$9:$O$439)</f>
        <v>12</v>
      </c>
      <c r="J92" s="98">
        <f>SUMIF(T_Sales!$O$9:$O$1164,B92,T_Sales!$L$9:$L$1164)</f>
        <v>10.767924835235439</v>
      </c>
      <c r="K92" s="99">
        <f t="shared" si="1"/>
        <v>1.2320751647645611</v>
      </c>
      <c r="L92" s="62">
        <v>46179</v>
      </c>
      <c r="M92" s="68" t="s">
        <v>1883</v>
      </c>
    </row>
    <row r="93" spans="1:13" ht="15" customHeight="1" x14ac:dyDescent="0.3">
      <c r="A93" s="70" t="s">
        <v>2048</v>
      </c>
      <c r="B93" s="100" t="s">
        <v>2049</v>
      </c>
      <c r="C93" s="101" t="s">
        <v>421</v>
      </c>
      <c r="D93" s="76" t="str">
        <f>IFERROR(INDEX(M_User!$A$12:$J$67,MATCH(C93,M_User!$D$12:$D$67,0),3),"UNMAPPED")</f>
        <v>Deodat Francis Materu</v>
      </c>
      <c r="E93" s="75" t="str">
        <f>IFERROR(INDEX(M_User!$A$12:$J$67,MATCH(C93,M_User!$D$12:$D$67,0),5),"UNMAPPED")</f>
        <v>MOS</v>
      </c>
      <c r="F93" s="101" t="s">
        <v>185</v>
      </c>
      <c r="G93" s="76" t="str">
        <f>IFERROR(INDEX(M_SKU!$A$18:$J$57,MATCH(F93,M_SKU!$B$18:$B$57,0),1),"UNKNOWN SKU")</f>
        <v>Fanta Fruit Blast RGB 350 ml</v>
      </c>
      <c r="H93" s="101" t="s">
        <v>534</v>
      </c>
      <c r="I93" s="102">
        <f>SUMIF(T_Load!$U$9:$U$439,B93,T_Load!$O$9:$O$439)</f>
        <v>6</v>
      </c>
      <c r="J93" s="102">
        <f>SUMIF(T_Sales!$O$9:$O$1164,B93,T_Sales!$L$9:$L$1164)</f>
        <v>5.5145121630690399</v>
      </c>
      <c r="K93" s="103">
        <f t="shared" si="1"/>
        <v>0.48548783693096009</v>
      </c>
      <c r="L93" s="80">
        <v>46179</v>
      </c>
      <c r="M93" s="78" t="s">
        <v>1883</v>
      </c>
    </row>
    <row r="94" spans="1:13" ht="15" customHeight="1" x14ac:dyDescent="0.3">
      <c r="A94" s="60" t="s">
        <v>2050</v>
      </c>
      <c r="B94" s="97" t="s">
        <v>2051</v>
      </c>
      <c r="C94" s="63" t="s">
        <v>421</v>
      </c>
      <c r="D94" s="66" t="str">
        <f>IFERROR(INDEX(M_User!$A$12:$J$67,MATCH(C94,M_User!$D$12:$D$67,0),3),"UNMAPPED")</f>
        <v>Deodat Francis Materu</v>
      </c>
      <c r="E94" s="65" t="str">
        <f>IFERROR(INDEX(M_User!$A$12:$J$67,MATCH(C94,M_User!$D$12:$D$67,0),5),"UNMAPPED")</f>
        <v>MOS</v>
      </c>
      <c r="F94" s="63" t="s">
        <v>187</v>
      </c>
      <c r="G94" s="66" t="str">
        <f>IFERROR(INDEX(M_SKU!$A$18:$J$57,MATCH(F94,M_SKU!$B$18:$B$57,0),1),"UNKNOWN SKU")</f>
        <v>Sprite 350ml</v>
      </c>
      <c r="H94" s="63" t="s">
        <v>535</v>
      </c>
      <c r="I94" s="98">
        <f>SUMIF(T_Load!$U$9:$U$439,B94,T_Load!$O$9:$O$439)</f>
        <v>18</v>
      </c>
      <c r="J94" s="98">
        <f>SUMIF(T_Sales!$O$9:$O$1164,B94,T_Sales!$L$9:$L$1164)</f>
        <v>14.878664912804979</v>
      </c>
      <c r="K94" s="99">
        <f t="shared" si="1"/>
        <v>3.1213350871950212</v>
      </c>
      <c r="L94" s="62">
        <v>46179</v>
      </c>
      <c r="M94" s="68" t="s">
        <v>1883</v>
      </c>
    </row>
    <row r="95" spans="1:13" ht="15" customHeight="1" x14ac:dyDescent="0.3">
      <c r="A95" s="70" t="s">
        <v>2052</v>
      </c>
      <c r="B95" s="100" t="s">
        <v>2053</v>
      </c>
      <c r="C95" s="101" t="s">
        <v>421</v>
      </c>
      <c r="D95" s="76" t="str">
        <f>IFERROR(INDEX(M_User!$A$12:$J$67,MATCH(C95,M_User!$D$12:$D$67,0),3),"UNMAPPED")</f>
        <v>Deodat Francis Materu</v>
      </c>
      <c r="E95" s="75" t="str">
        <f>IFERROR(INDEX(M_User!$A$12:$J$67,MATCH(C95,M_User!$D$12:$D$67,0),5),"UNMAPPED")</f>
        <v>MOS</v>
      </c>
      <c r="F95" s="101" t="s">
        <v>190</v>
      </c>
      <c r="G95" s="76" t="str">
        <f>IFERROR(INDEX(M_SKU!$A$18:$J$57,MATCH(F95,M_SKU!$B$18:$B$57,0),1),"UNKNOWN SKU")</f>
        <v>Stoney Tangawizi RGB 350ml</v>
      </c>
      <c r="H95" s="101" t="s">
        <v>536</v>
      </c>
      <c r="I95" s="102">
        <f>SUMIF(T_Load!$U$9:$U$439,B95,T_Load!$O$9:$O$439)</f>
        <v>5</v>
      </c>
      <c r="J95" s="102">
        <f>SUMIF(T_Sales!$O$9:$O$1164,B95,T_Sales!$L$9:$L$1164)</f>
        <v>4.0014881310721497</v>
      </c>
      <c r="K95" s="103">
        <f t="shared" si="1"/>
        <v>0.99851186892785027</v>
      </c>
      <c r="L95" s="80">
        <v>46179</v>
      </c>
      <c r="M95" s="78" t="s">
        <v>1883</v>
      </c>
    </row>
    <row r="96" spans="1:13" ht="15" customHeight="1" x14ac:dyDescent="0.3">
      <c r="A96" s="60" t="s">
        <v>2054</v>
      </c>
      <c r="B96" s="97" t="s">
        <v>2055</v>
      </c>
      <c r="C96" s="63" t="s">
        <v>421</v>
      </c>
      <c r="D96" s="66" t="str">
        <f>IFERROR(INDEX(M_User!$A$12:$J$67,MATCH(C96,M_User!$D$12:$D$67,0),3),"UNMAPPED")</f>
        <v>Deodat Francis Materu</v>
      </c>
      <c r="E96" s="65" t="str">
        <f>IFERROR(INDEX(M_User!$A$12:$J$67,MATCH(C96,M_User!$D$12:$D$67,0),5),"UNMAPPED")</f>
        <v>MOS</v>
      </c>
      <c r="F96" s="63" t="s">
        <v>193</v>
      </c>
      <c r="G96" s="66" t="str">
        <f>IFERROR(INDEX(M_SKU!$A$18:$J$57,MATCH(F96,M_SKU!$B$18:$B$57,0),1),"UNKNOWN SKU")</f>
        <v>Sparletta Pinenut RGB 350ml</v>
      </c>
      <c r="H96" s="63" t="s">
        <v>537</v>
      </c>
      <c r="I96" s="98">
        <f>SUMIF(T_Load!$U$9:$U$439,B96,T_Load!$O$9:$O$439)</f>
        <v>5</v>
      </c>
      <c r="J96" s="98">
        <f>SUMIF(T_Sales!$O$9:$O$1164,B96,T_Sales!$L$9:$L$1164)</f>
        <v>4.0567518250685932</v>
      </c>
      <c r="K96" s="99">
        <f t="shared" si="1"/>
        <v>0.94324817493140678</v>
      </c>
      <c r="L96" s="62">
        <v>46179</v>
      </c>
      <c r="M96" s="68" t="s">
        <v>1883</v>
      </c>
    </row>
    <row r="97" spans="1:13" ht="15" customHeight="1" x14ac:dyDescent="0.3">
      <c r="A97" s="70" t="s">
        <v>2056</v>
      </c>
      <c r="B97" s="100" t="s">
        <v>2057</v>
      </c>
      <c r="C97" s="101" t="s">
        <v>421</v>
      </c>
      <c r="D97" s="76" t="str">
        <f>IFERROR(INDEX(M_User!$A$12:$J$67,MATCH(C97,M_User!$D$12:$D$67,0),3),"UNMAPPED")</f>
        <v>Deodat Francis Materu</v>
      </c>
      <c r="E97" s="75" t="str">
        <f>IFERROR(INDEX(M_User!$A$12:$J$67,MATCH(C97,M_User!$D$12:$D$67,0),5),"UNMAPPED")</f>
        <v>MOS</v>
      </c>
      <c r="F97" s="101" t="s">
        <v>196</v>
      </c>
      <c r="G97" s="76" t="str">
        <f>IFERROR(INDEX(M_SKU!$A$18:$J$57,MATCH(F97,M_SKU!$B$18:$B$57,0),1),"UNKNOWN SKU")</f>
        <v>Krest Bitter Lemon RGB 300ml</v>
      </c>
      <c r="H97" s="101" t="s">
        <v>538</v>
      </c>
      <c r="I97" s="102">
        <f>SUMIF(T_Load!$U$9:$U$439,B97,T_Load!$O$9:$O$439)</f>
        <v>4</v>
      </c>
      <c r="J97" s="102">
        <f>SUMIF(T_Sales!$O$9:$O$1164,B97,T_Sales!$L$9:$L$1164)</f>
        <v>3.0125480312272597</v>
      </c>
      <c r="K97" s="103">
        <f t="shared" si="1"/>
        <v>0.98745196877274033</v>
      </c>
      <c r="L97" s="80">
        <v>46179</v>
      </c>
      <c r="M97" s="78" t="s">
        <v>1883</v>
      </c>
    </row>
    <row r="98" spans="1:13" ht="15" customHeight="1" x14ac:dyDescent="0.3">
      <c r="A98" s="60" t="s">
        <v>2058</v>
      </c>
      <c r="B98" s="97" t="s">
        <v>2059</v>
      </c>
      <c r="C98" s="63" t="s">
        <v>421</v>
      </c>
      <c r="D98" s="66" t="str">
        <f>IFERROR(INDEX(M_User!$A$12:$J$67,MATCH(C98,M_User!$D$12:$D$67,0),3),"UNMAPPED")</f>
        <v>Deodat Francis Materu</v>
      </c>
      <c r="E98" s="65" t="str">
        <f>IFERROR(INDEX(M_User!$A$12:$J$67,MATCH(C98,M_User!$D$12:$D$67,0),5),"UNMAPPED")</f>
        <v>MOS</v>
      </c>
      <c r="F98" s="63" t="s">
        <v>199</v>
      </c>
      <c r="G98" s="66" t="str">
        <f>IFERROR(INDEX(M_SKU!$A$18:$J$57,MATCH(F98,M_SKU!$B$18:$B$57,0),1),"UNKNOWN SKU")</f>
        <v>Krest Club Soda RGB 300ml</v>
      </c>
      <c r="H98" s="63" t="s">
        <v>539</v>
      </c>
      <c r="I98" s="98">
        <f>SUMIF(T_Load!$U$9:$U$439,B98,T_Load!$O$9:$O$439)</f>
        <v>3</v>
      </c>
      <c r="J98" s="98">
        <f>SUMIF(T_Sales!$O$9:$O$1164,B98,T_Sales!$L$9:$L$1164)</f>
        <v>2.4686988257507272</v>
      </c>
      <c r="K98" s="99">
        <f t="shared" si="1"/>
        <v>0.53130117424927281</v>
      </c>
      <c r="L98" s="62">
        <v>46179</v>
      </c>
      <c r="M98" s="68" t="s">
        <v>1883</v>
      </c>
    </row>
    <row r="99" spans="1:13" ht="15" customHeight="1" x14ac:dyDescent="0.3">
      <c r="A99" s="70" t="s">
        <v>2060</v>
      </c>
      <c r="B99" s="100" t="s">
        <v>2061</v>
      </c>
      <c r="C99" s="101" t="s">
        <v>421</v>
      </c>
      <c r="D99" s="76" t="str">
        <f>IFERROR(INDEX(M_User!$A$12:$J$67,MATCH(C99,M_User!$D$12:$D$67,0),3),"UNMAPPED")</f>
        <v>Deodat Francis Materu</v>
      </c>
      <c r="E99" s="75" t="str">
        <f>IFERROR(INDEX(M_User!$A$12:$J$67,MATCH(C99,M_User!$D$12:$D$67,0),5),"UNMAPPED")</f>
        <v>MOS</v>
      </c>
      <c r="F99" s="101" t="s">
        <v>201</v>
      </c>
      <c r="G99" s="76" t="str">
        <f>IFERROR(INDEX(M_SKU!$A$18:$J$57,MATCH(F99,M_SKU!$B$18:$B$57,0),1),"UNKNOWN SKU")</f>
        <v>Krest Tonic Water RGB 300ml</v>
      </c>
      <c r="H99" s="101" t="s">
        <v>540</v>
      </c>
      <c r="I99" s="102">
        <f>SUMIF(T_Load!$U$9:$U$439,B99,T_Load!$O$9:$O$439)</f>
        <v>4</v>
      </c>
      <c r="J99" s="102">
        <f>SUMIF(T_Sales!$O$9:$O$1164,B99,T_Sales!$L$9:$L$1164)</f>
        <v>3.2291774701357605</v>
      </c>
      <c r="K99" s="103">
        <f t="shared" si="1"/>
        <v>0.77082252986423949</v>
      </c>
      <c r="L99" s="80">
        <v>46179</v>
      </c>
      <c r="M99" s="78" t="s">
        <v>1883</v>
      </c>
    </row>
    <row r="100" spans="1:13" ht="15" customHeight="1" x14ac:dyDescent="0.3">
      <c r="A100" s="60" t="s">
        <v>2062</v>
      </c>
      <c r="B100" s="97" t="s">
        <v>2063</v>
      </c>
      <c r="C100" s="63" t="s">
        <v>421</v>
      </c>
      <c r="D100" s="66" t="str">
        <f>IFERROR(INDEX(M_User!$A$12:$J$67,MATCH(C100,M_User!$D$12:$D$67,0),3),"UNMAPPED")</f>
        <v>Deodat Francis Materu</v>
      </c>
      <c r="E100" s="65" t="str">
        <f>IFERROR(INDEX(M_User!$A$12:$J$67,MATCH(C100,M_User!$D$12:$D$67,0),5),"UNMAPPED")</f>
        <v>MOS</v>
      </c>
      <c r="F100" s="63" t="s">
        <v>203</v>
      </c>
      <c r="G100" s="66" t="str">
        <f>IFERROR(INDEX(M_SKU!$A$18:$J$57,MATCH(F100,M_SKU!$B$18:$B$57,0),1),"UNKNOWN SKU")</f>
        <v>Krest Ginger Ale RGB 300ml</v>
      </c>
      <c r="H100" s="63" t="s">
        <v>541</v>
      </c>
      <c r="I100" s="98">
        <f>SUMIF(T_Load!$U$9:$U$439,B100,T_Load!$O$9:$O$439)</f>
        <v>3</v>
      </c>
      <c r="J100" s="98">
        <f>SUMIF(T_Sales!$O$9:$O$1164,B100,T_Sales!$L$9:$L$1164)</f>
        <v>2.4588466024464339</v>
      </c>
      <c r="K100" s="99">
        <f t="shared" si="1"/>
        <v>0.54115339755356606</v>
      </c>
      <c r="L100" s="62">
        <v>46179</v>
      </c>
      <c r="M100" s="68" t="s">
        <v>1883</v>
      </c>
    </row>
    <row r="101" spans="1:13" ht="15" customHeight="1" x14ac:dyDescent="0.3">
      <c r="A101" s="70" t="s">
        <v>2064</v>
      </c>
      <c r="B101" s="100" t="s">
        <v>2065</v>
      </c>
      <c r="C101" s="101" t="s">
        <v>421</v>
      </c>
      <c r="D101" s="76" t="str">
        <f>IFERROR(INDEX(M_User!$A$12:$J$67,MATCH(C101,M_User!$D$12:$D$67,0),3),"UNMAPPED")</f>
        <v>Deodat Francis Materu</v>
      </c>
      <c r="E101" s="75" t="str">
        <f>IFERROR(INDEX(M_User!$A$12:$J$67,MATCH(C101,M_User!$D$12:$D$67,0),5),"UNMAPPED")</f>
        <v>MOS</v>
      </c>
      <c r="F101" s="101" t="s">
        <v>209</v>
      </c>
      <c r="G101" s="76" t="str">
        <f>IFERROR(INDEX(M_SKU!$A$18:$J$57,MATCH(F101,M_SKU!$B$18:$B$57,0),1),"UNKNOWN SKU")</f>
        <v>Sparletta Red Apple RGB 350ml</v>
      </c>
      <c r="H101" s="101" t="s">
        <v>542</v>
      </c>
      <c r="I101" s="102">
        <f>SUMIF(T_Load!$U$9:$U$439,B101,T_Load!$O$9:$O$439)</f>
        <v>2</v>
      </c>
      <c r="J101" s="102">
        <f>SUMIF(T_Sales!$O$9:$O$1164,B101,T_Sales!$L$9:$L$1164)</f>
        <v>1.557235991642792</v>
      </c>
      <c r="K101" s="103">
        <f t="shared" si="1"/>
        <v>0.44276400835720797</v>
      </c>
      <c r="L101" s="80">
        <v>46179</v>
      </c>
      <c r="M101" s="78" t="s">
        <v>1883</v>
      </c>
    </row>
    <row r="102" spans="1:13" ht="15" customHeight="1" x14ac:dyDescent="0.3">
      <c r="A102" s="60" t="s">
        <v>2066</v>
      </c>
      <c r="B102" s="97" t="s">
        <v>2067</v>
      </c>
      <c r="C102" s="63" t="s">
        <v>421</v>
      </c>
      <c r="D102" s="66" t="str">
        <f>IFERROR(INDEX(M_User!$A$12:$J$67,MATCH(C102,M_User!$D$12:$D$67,0),3),"UNMAPPED")</f>
        <v>Deodat Francis Materu</v>
      </c>
      <c r="E102" s="65" t="str">
        <f>IFERROR(INDEX(M_User!$A$12:$J$67,MATCH(C102,M_User!$D$12:$D$67,0),5),"UNMAPPED")</f>
        <v>MOS</v>
      </c>
      <c r="F102" s="63" t="s">
        <v>211</v>
      </c>
      <c r="G102" s="66" t="str">
        <f>IFERROR(INDEX(M_SKU!$A$18:$J$57,MATCH(F102,M_SKU!$B$18:$B$57,0),1),"UNKNOWN SKU")</f>
        <v>KNMW 500ml</v>
      </c>
      <c r="H102" s="63" t="s">
        <v>543</v>
      </c>
      <c r="I102" s="98">
        <f>SUMIF(T_Load!$U$9:$U$439,B102,T_Load!$O$9:$O$439)</f>
        <v>60</v>
      </c>
      <c r="J102" s="98">
        <f>SUMIF(T_Sales!$O$9:$O$1164,B102,T_Sales!$L$9:$L$1164)</f>
        <v>46</v>
      </c>
      <c r="K102" s="99">
        <f t="shared" si="1"/>
        <v>14</v>
      </c>
      <c r="L102" s="62">
        <v>46179</v>
      </c>
      <c r="M102" s="68" t="s">
        <v>1883</v>
      </c>
    </row>
    <row r="103" spans="1:13" ht="15" customHeight="1" x14ac:dyDescent="0.3">
      <c r="A103" s="70" t="s">
        <v>2068</v>
      </c>
      <c r="B103" s="100" t="s">
        <v>2069</v>
      </c>
      <c r="C103" s="101" t="s">
        <v>421</v>
      </c>
      <c r="D103" s="76" t="str">
        <f>IFERROR(INDEX(M_User!$A$12:$J$67,MATCH(C103,M_User!$D$12:$D$67,0),3),"UNMAPPED")</f>
        <v>Deodat Francis Materu</v>
      </c>
      <c r="E103" s="75" t="str">
        <f>IFERROR(INDEX(M_User!$A$12:$J$67,MATCH(C103,M_User!$D$12:$D$67,0),5),"UNMAPPED")</f>
        <v>MOS</v>
      </c>
      <c r="F103" s="101" t="s">
        <v>217</v>
      </c>
      <c r="G103" s="76" t="str">
        <f>IFERROR(INDEX(M_SKU!$A$18:$J$57,MATCH(F103,M_SKU!$B$18:$B$57,0),1),"UNKNOWN SKU")</f>
        <v>KNMW 1500ml</v>
      </c>
      <c r="H103" s="101" t="s">
        <v>551</v>
      </c>
      <c r="I103" s="102">
        <f>SUMIF(T_Load!$U$9:$U$439,B103,T_Load!$O$9:$O$439)</f>
        <v>90</v>
      </c>
      <c r="J103" s="102">
        <f>SUMIF(T_Sales!$O$9:$O$1164,B103,T_Sales!$L$9:$L$1164)</f>
        <v>69</v>
      </c>
      <c r="K103" s="103">
        <f t="shared" si="1"/>
        <v>21</v>
      </c>
      <c r="L103" s="80">
        <v>46179</v>
      </c>
      <c r="M103" s="78" t="s">
        <v>1883</v>
      </c>
    </row>
    <row r="104" spans="1:13" ht="15" customHeight="1" x14ac:dyDescent="0.3">
      <c r="A104" s="60" t="s">
        <v>2070</v>
      </c>
      <c r="B104" s="97" t="s">
        <v>2071</v>
      </c>
      <c r="C104" s="63" t="s">
        <v>421</v>
      </c>
      <c r="D104" s="66" t="str">
        <f>IFERROR(INDEX(M_User!$A$12:$J$67,MATCH(C104,M_User!$D$12:$D$67,0),3),"UNMAPPED")</f>
        <v>Deodat Francis Materu</v>
      </c>
      <c r="E104" s="65" t="str">
        <f>IFERROR(INDEX(M_User!$A$12:$J$67,MATCH(C104,M_User!$D$12:$D$67,0),5),"UNMAPPED")</f>
        <v>MOS</v>
      </c>
      <c r="F104" s="63" t="s">
        <v>229</v>
      </c>
      <c r="G104" s="66" t="str">
        <f>IFERROR(INDEX(M_SKU!$A$18:$J$57,MATCH(F104,M_SKU!$B$18:$B$57,0),1),"UNKNOWN SKU")</f>
        <v>Coke Pet 500ML ( x12)</v>
      </c>
      <c r="H104" s="63" t="s">
        <v>520</v>
      </c>
      <c r="I104" s="98">
        <f>SUMIF(T_Load!$U$9:$U$439,B104,T_Load!$O$9:$O$439)</f>
        <v>60</v>
      </c>
      <c r="J104" s="98">
        <f>SUMIF(T_Sales!$O$9:$O$1164,B104,T_Sales!$L$9:$L$1164)</f>
        <v>51</v>
      </c>
      <c r="K104" s="99">
        <f t="shared" si="1"/>
        <v>9</v>
      </c>
      <c r="L104" s="62">
        <v>46179</v>
      </c>
      <c r="M104" s="68" t="s">
        <v>1883</v>
      </c>
    </row>
    <row r="105" spans="1:13" ht="15" customHeight="1" x14ac:dyDescent="0.3">
      <c r="A105" s="70" t="s">
        <v>2072</v>
      </c>
      <c r="B105" s="100" t="s">
        <v>2073</v>
      </c>
      <c r="C105" s="101" t="s">
        <v>421</v>
      </c>
      <c r="D105" s="76" t="str">
        <f>IFERROR(INDEX(M_User!$A$12:$J$67,MATCH(C105,M_User!$D$12:$D$67,0),3),"UNMAPPED")</f>
        <v>Deodat Francis Materu</v>
      </c>
      <c r="E105" s="75" t="str">
        <f>IFERROR(INDEX(M_User!$A$12:$J$67,MATCH(C105,M_User!$D$12:$D$67,0),5),"UNMAPPED")</f>
        <v>MOS</v>
      </c>
      <c r="F105" s="101" t="s">
        <v>232</v>
      </c>
      <c r="G105" s="76" t="str">
        <f>IFERROR(INDEX(M_SKU!$A$18:$J$57,MATCH(F105,M_SKU!$B$18:$B$57,0),1),"UNKNOWN SKU")</f>
        <v>Sprite Pet 500ML (x 12)</v>
      </c>
      <c r="H105" s="101" t="s">
        <v>522</v>
      </c>
      <c r="I105" s="102">
        <f>SUMIF(T_Load!$U$9:$U$439,B105,T_Load!$O$9:$O$439)</f>
        <v>15</v>
      </c>
      <c r="J105" s="102">
        <f>SUMIF(T_Sales!$O$9:$O$1164,B105,T_Sales!$L$9:$L$1164)</f>
        <v>12</v>
      </c>
      <c r="K105" s="103">
        <f t="shared" si="1"/>
        <v>3</v>
      </c>
      <c r="L105" s="80">
        <v>46179</v>
      </c>
      <c r="M105" s="78" t="s">
        <v>1883</v>
      </c>
    </row>
    <row r="106" spans="1:13" ht="15" customHeight="1" x14ac:dyDescent="0.3">
      <c r="A106" s="60" t="s">
        <v>2074</v>
      </c>
      <c r="B106" s="97" t="s">
        <v>2075</v>
      </c>
      <c r="C106" s="63" t="s">
        <v>421</v>
      </c>
      <c r="D106" s="66" t="str">
        <f>IFERROR(INDEX(M_User!$A$12:$J$67,MATCH(C106,M_User!$D$12:$D$67,0),3),"UNMAPPED")</f>
        <v>Deodat Francis Materu</v>
      </c>
      <c r="E106" s="65" t="str">
        <f>IFERROR(INDEX(M_User!$A$12:$J$67,MATCH(C106,M_User!$D$12:$D$67,0),5),"UNMAPPED")</f>
        <v>MOS</v>
      </c>
      <c r="F106" s="63" t="s">
        <v>234</v>
      </c>
      <c r="G106" s="66" t="str">
        <f>IFERROR(INDEX(M_SKU!$A$18:$J$57,MATCH(F106,M_SKU!$B$18:$B$57,0),1),"UNKNOWN SKU")</f>
        <v>Fanta Orange Pet 500ML ( x 12)</v>
      </c>
      <c r="H106" s="63" t="s">
        <v>523</v>
      </c>
      <c r="I106" s="98">
        <f>SUMIF(T_Load!$U$9:$U$439,B106,T_Load!$O$9:$O$439)</f>
        <v>25</v>
      </c>
      <c r="J106" s="98">
        <f>SUMIF(T_Sales!$O$9:$O$1164,B106,T_Sales!$L$9:$L$1164)</f>
        <v>22</v>
      </c>
      <c r="K106" s="99">
        <f t="shared" si="1"/>
        <v>3</v>
      </c>
      <c r="L106" s="62">
        <v>46179</v>
      </c>
      <c r="M106" s="68" t="s">
        <v>1883</v>
      </c>
    </row>
    <row r="107" spans="1:13" ht="15" customHeight="1" x14ac:dyDescent="0.3">
      <c r="A107" s="70" t="s">
        <v>2076</v>
      </c>
      <c r="B107" s="100" t="s">
        <v>2077</v>
      </c>
      <c r="C107" s="101" t="s">
        <v>421</v>
      </c>
      <c r="D107" s="76" t="str">
        <f>IFERROR(INDEX(M_User!$A$12:$J$67,MATCH(C107,M_User!$D$12:$D$67,0),3),"UNMAPPED")</f>
        <v>Deodat Francis Materu</v>
      </c>
      <c r="E107" s="75" t="str">
        <f>IFERROR(INDEX(M_User!$A$12:$J$67,MATCH(C107,M_User!$D$12:$D$67,0),5),"UNMAPPED")</f>
        <v>MOS</v>
      </c>
      <c r="F107" s="101" t="s">
        <v>236</v>
      </c>
      <c r="G107" s="76" t="str">
        <f>IFERROR(INDEX(M_SKU!$A$18:$J$57,MATCH(F107,M_SKU!$B$18:$B$57,0),1),"UNKNOWN SKU")</f>
        <v>Fanta Passion Pet 500ML ( x12)</v>
      </c>
      <c r="H107" s="101" t="s">
        <v>524</v>
      </c>
      <c r="I107" s="102">
        <f>SUMIF(T_Load!$U$9:$U$439,B107,T_Load!$O$9:$O$439)</f>
        <v>10</v>
      </c>
      <c r="J107" s="102">
        <f>SUMIF(T_Sales!$O$9:$O$1164,B107,T_Sales!$L$9:$L$1164)</f>
        <v>9</v>
      </c>
      <c r="K107" s="103">
        <f t="shared" si="1"/>
        <v>1</v>
      </c>
      <c r="L107" s="80">
        <v>46179</v>
      </c>
      <c r="M107" s="78" t="s">
        <v>1883</v>
      </c>
    </row>
    <row r="108" spans="1:13" ht="15" customHeight="1" x14ac:dyDescent="0.3">
      <c r="A108" s="60" t="s">
        <v>2078</v>
      </c>
      <c r="B108" s="97" t="s">
        <v>2079</v>
      </c>
      <c r="C108" s="63" t="s">
        <v>421</v>
      </c>
      <c r="D108" s="66" t="str">
        <f>IFERROR(INDEX(M_User!$A$12:$J$67,MATCH(C108,M_User!$D$12:$D$67,0),3),"UNMAPPED")</f>
        <v>Deodat Francis Materu</v>
      </c>
      <c r="E108" s="65" t="str">
        <f>IFERROR(INDEX(M_User!$A$12:$J$67,MATCH(C108,M_User!$D$12:$D$67,0),5),"UNMAPPED")</f>
        <v>MOS</v>
      </c>
      <c r="F108" s="63" t="s">
        <v>240</v>
      </c>
      <c r="G108" s="66" t="str">
        <f>IFERROR(INDEX(M_SKU!$A$18:$J$57,MATCH(F108,M_SKU!$B$18:$B$57,0),1),"UNKNOWN SKU")</f>
        <v>Fanta Fruit Blast Pet 500ML (x12)</v>
      </c>
      <c r="H108" s="63" t="s">
        <v>552</v>
      </c>
      <c r="I108" s="98">
        <f>SUMIF(T_Load!$U$9:$U$439,B108,T_Load!$O$9:$O$439)</f>
        <v>4</v>
      </c>
      <c r="J108" s="98">
        <f>SUMIF(T_Sales!$O$9:$O$1164,B108,T_Sales!$L$9:$L$1164)</f>
        <v>3</v>
      </c>
      <c r="K108" s="99">
        <f t="shared" si="1"/>
        <v>1</v>
      </c>
      <c r="L108" s="62">
        <v>46179</v>
      </c>
      <c r="M108" s="68" t="s">
        <v>1883</v>
      </c>
    </row>
    <row r="109" spans="1:13" ht="15" customHeight="1" x14ac:dyDescent="0.3">
      <c r="A109" s="70" t="s">
        <v>2080</v>
      </c>
      <c r="B109" s="100" t="s">
        <v>2081</v>
      </c>
      <c r="C109" s="101" t="s">
        <v>421</v>
      </c>
      <c r="D109" s="76" t="str">
        <f>IFERROR(INDEX(M_User!$A$12:$J$67,MATCH(C109,M_User!$D$12:$D$67,0),3),"UNMAPPED")</f>
        <v>Deodat Francis Materu</v>
      </c>
      <c r="E109" s="75" t="str">
        <f>IFERROR(INDEX(M_User!$A$12:$J$67,MATCH(C109,M_User!$D$12:$D$67,0),5),"UNMAPPED")</f>
        <v>MOS</v>
      </c>
      <c r="F109" s="101" t="s">
        <v>240</v>
      </c>
      <c r="G109" s="76" t="str">
        <f>IFERROR(INDEX(M_SKU!$A$18:$J$57,MATCH(F109,M_SKU!$B$18:$B$57,0),1),"UNKNOWN SKU")</f>
        <v>Fanta Fruit Blast Pet 500ML (x12)</v>
      </c>
      <c r="H109" s="101" t="s">
        <v>553</v>
      </c>
      <c r="I109" s="102">
        <f>SUMIF(T_Load!$U$9:$U$439,B109,T_Load!$O$9:$O$439)</f>
        <v>1</v>
      </c>
      <c r="J109" s="102">
        <f>SUMIF(T_Sales!$O$9:$O$1164,B109,T_Sales!$L$9:$L$1164)</f>
        <v>1</v>
      </c>
      <c r="K109" s="103">
        <f t="shared" si="1"/>
        <v>0</v>
      </c>
      <c r="L109" s="80">
        <v>46179</v>
      </c>
      <c r="M109" s="78" t="s">
        <v>1883</v>
      </c>
    </row>
    <row r="110" spans="1:13" ht="15" customHeight="1" x14ac:dyDescent="0.3">
      <c r="A110" s="60" t="s">
        <v>2082</v>
      </c>
      <c r="B110" s="97" t="s">
        <v>2083</v>
      </c>
      <c r="C110" s="63" t="s">
        <v>421</v>
      </c>
      <c r="D110" s="66" t="str">
        <f>IFERROR(INDEX(M_User!$A$12:$J$67,MATCH(C110,M_User!$D$12:$D$67,0),3),"UNMAPPED")</f>
        <v>Deodat Francis Materu</v>
      </c>
      <c r="E110" s="65" t="str">
        <f>IFERROR(INDEX(M_User!$A$12:$J$67,MATCH(C110,M_User!$D$12:$D$67,0),5),"UNMAPPED")</f>
        <v>MOS</v>
      </c>
      <c r="F110" s="63" t="s">
        <v>242</v>
      </c>
      <c r="G110" s="66" t="str">
        <f>IFERROR(INDEX(M_SKU!$A$18:$J$57,MATCH(F110,M_SKU!$B$18:$B$57,0),1),"UNKNOWN SKU")</f>
        <v>Stoney Tangawizi Pet 500 ml ( x12)</v>
      </c>
      <c r="H110" s="63" t="s">
        <v>525</v>
      </c>
      <c r="I110" s="98">
        <f>SUMIF(T_Load!$U$9:$U$439,B110,T_Load!$O$9:$O$439)</f>
        <v>3</v>
      </c>
      <c r="J110" s="98">
        <f>SUMIF(T_Sales!$O$9:$O$1164,B110,T_Sales!$L$9:$L$1164)</f>
        <v>3</v>
      </c>
      <c r="K110" s="99">
        <f t="shared" si="1"/>
        <v>0</v>
      </c>
      <c r="L110" s="62">
        <v>46179</v>
      </c>
      <c r="M110" s="68" t="s">
        <v>1883</v>
      </c>
    </row>
    <row r="111" spans="1:13" ht="15" customHeight="1" x14ac:dyDescent="0.3">
      <c r="A111" s="70" t="s">
        <v>2084</v>
      </c>
      <c r="B111" s="100" t="s">
        <v>2085</v>
      </c>
      <c r="C111" s="101" t="s">
        <v>421</v>
      </c>
      <c r="D111" s="76" t="str">
        <f>IFERROR(INDEX(M_User!$A$12:$J$67,MATCH(C111,M_User!$D$12:$D$67,0),3),"UNMAPPED")</f>
        <v>Deodat Francis Materu</v>
      </c>
      <c r="E111" s="75" t="str">
        <f>IFERROR(INDEX(M_User!$A$12:$J$67,MATCH(C111,M_User!$D$12:$D$67,0),5),"UNMAPPED")</f>
        <v>MOS</v>
      </c>
      <c r="F111" s="101" t="s">
        <v>244</v>
      </c>
      <c r="G111" s="76" t="str">
        <f>IFERROR(INDEX(M_SKU!$A$18:$J$57,MATCH(F111,M_SKU!$B$18:$B$57,0),1),"UNKNOWN SKU")</f>
        <v>Sparletta Pinenut Pet 500 ml ( x12)</v>
      </c>
      <c r="H111" s="101" t="s">
        <v>526</v>
      </c>
      <c r="I111" s="102">
        <f>SUMIF(T_Load!$U$9:$U$439,B111,T_Load!$O$9:$O$439)</f>
        <v>3</v>
      </c>
      <c r="J111" s="102">
        <f>SUMIF(T_Sales!$O$9:$O$1164,B111,T_Sales!$L$9:$L$1164)</f>
        <v>3</v>
      </c>
      <c r="K111" s="103">
        <f t="shared" si="1"/>
        <v>0</v>
      </c>
      <c r="L111" s="80">
        <v>46179</v>
      </c>
      <c r="M111" s="78" t="s">
        <v>1883</v>
      </c>
    </row>
    <row r="112" spans="1:13" ht="15" customHeight="1" x14ac:dyDescent="0.3">
      <c r="A112" s="60" t="s">
        <v>2086</v>
      </c>
      <c r="B112" s="97" t="s">
        <v>2087</v>
      </c>
      <c r="C112" s="63" t="s">
        <v>421</v>
      </c>
      <c r="D112" s="66" t="str">
        <f>IFERROR(INDEX(M_User!$A$12:$J$67,MATCH(C112,M_User!$D$12:$D$67,0),3),"UNMAPPED")</f>
        <v>Deodat Francis Materu</v>
      </c>
      <c r="E112" s="65" t="str">
        <f>IFERROR(INDEX(M_User!$A$12:$J$67,MATCH(C112,M_User!$D$12:$D$67,0),5),"UNMAPPED")</f>
        <v>MOS</v>
      </c>
      <c r="F112" s="63" t="s">
        <v>246</v>
      </c>
      <c r="G112" s="66" t="str">
        <f>IFERROR(INDEX(M_SKU!$A$18:$J$57,MATCH(F112,M_SKU!$B$18:$B$57,0),1),"UNKNOWN SKU")</f>
        <v>Coke Zero Pet 500ML ( X 12)</v>
      </c>
      <c r="H112" s="63" t="s">
        <v>554</v>
      </c>
      <c r="I112" s="98">
        <f>SUMIF(T_Load!$U$9:$U$439,B112,T_Load!$O$9:$O$439)</f>
        <v>5</v>
      </c>
      <c r="J112" s="98">
        <f>SUMIF(T_Sales!$O$9:$O$1164,B112,T_Sales!$L$9:$L$1164)</f>
        <v>4</v>
      </c>
      <c r="K112" s="99">
        <f t="shared" si="1"/>
        <v>1</v>
      </c>
      <c r="L112" s="62">
        <v>46179</v>
      </c>
      <c r="M112" s="68" t="s">
        <v>1883</v>
      </c>
    </row>
    <row r="113" spans="1:13" ht="15" customHeight="1" x14ac:dyDescent="0.3">
      <c r="A113" s="70" t="s">
        <v>2088</v>
      </c>
      <c r="B113" s="100" t="s">
        <v>2089</v>
      </c>
      <c r="C113" s="101" t="s">
        <v>421</v>
      </c>
      <c r="D113" s="76" t="str">
        <f>IFERROR(INDEX(M_User!$A$12:$J$67,MATCH(C113,M_User!$D$12:$D$67,0),3),"UNMAPPED")</f>
        <v>Deodat Francis Materu</v>
      </c>
      <c r="E113" s="75" t="str">
        <f>IFERROR(INDEX(M_User!$A$12:$J$67,MATCH(C113,M_User!$D$12:$D$67,0),5),"UNMAPPED")</f>
        <v>MOS</v>
      </c>
      <c r="F113" s="101" t="s">
        <v>252</v>
      </c>
      <c r="G113" s="76" t="str">
        <f>IFERROR(INDEX(M_SKU!$A$18:$J$57,MATCH(F113,M_SKU!$B$18:$B$57,0),1),"UNKNOWN SKU")</f>
        <v>Sprite Zero Pet 300ML (x 12)</v>
      </c>
      <c r="H113" s="101" t="s">
        <v>545</v>
      </c>
      <c r="I113" s="102">
        <f>SUMIF(T_Load!$U$9:$U$439,B113,T_Load!$O$9:$O$439)</f>
        <v>5</v>
      </c>
      <c r="J113" s="102">
        <f>SUMIF(T_Sales!$O$9:$O$1164,B113,T_Sales!$L$9:$L$1164)</f>
        <v>4</v>
      </c>
      <c r="K113" s="103">
        <f t="shared" si="1"/>
        <v>1</v>
      </c>
      <c r="L113" s="80">
        <v>46179</v>
      </c>
      <c r="M113" s="78" t="s">
        <v>1883</v>
      </c>
    </row>
    <row r="114" spans="1:13" ht="15" customHeight="1" x14ac:dyDescent="0.3">
      <c r="A114" s="60" t="s">
        <v>2090</v>
      </c>
      <c r="B114" s="97" t="s">
        <v>2091</v>
      </c>
      <c r="C114" s="63" t="s">
        <v>421</v>
      </c>
      <c r="D114" s="66" t="str">
        <f>IFERROR(INDEX(M_User!$A$12:$J$67,MATCH(C114,M_User!$D$12:$D$67,0),3),"UNMAPPED")</f>
        <v>Deodat Francis Materu</v>
      </c>
      <c r="E114" s="65" t="str">
        <f>IFERROR(INDEX(M_User!$A$12:$J$67,MATCH(C114,M_User!$D$12:$D$67,0),5),"UNMAPPED")</f>
        <v>MOS</v>
      </c>
      <c r="F114" s="63" t="s">
        <v>254</v>
      </c>
      <c r="G114" s="66" t="str">
        <f>IFERROR(INDEX(M_SKU!$A$18:$J$57,MATCH(F114,M_SKU!$B$18:$B$57,0),1),"UNKNOWN SKU")</f>
        <v>Fanta Zero Pet 300ML (x 12)</v>
      </c>
      <c r="H114" s="63" t="s">
        <v>546</v>
      </c>
      <c r="I114" s="98">
        <f>SUMIF(T_Load!$U$9:$U$439,B114,T_Load!$O$9:$O$439)</f>
        <v>5</v>
      </c>
      <c r="J114" s="98">
        <f>SUMIF(T_Sales!$O$9:$O$1164,B114,T_Sales!$L$9:$L$1164)</f>
        <v>4</v>
      </c>
      <c r="K114" s="99">
        <f t="shared" si="1"/>
        <v>1</v>
      </c>
      <c r="L114" s="62">
        <v>46179</v>
      </c>
      <c r="M114" s="68" t="s">
        <v>1883</v>
      </c>
    </row>
    <row r="115" spans="1:13" ht="15" customHeight="1" x14ac:dyDescent="0.3">
      <c r="A115" s="70" t="s">
        <v>2092</v>
      </c>
      <c r="B115" s="100" t="s">
        <v>2093</v>
      </c>
      <c r="C115" s="101" t="s">
        <v>421</v>
      </c>
      <c r="D115" s="76" t="str">
        <f>IFERROR(INDEX(M_User!$A$12:$J$67,MATCH(C115,M_User!$D$12:$D$67,0),3),"UNMAPPED")</f>
        <v>Deodat Francis Materu</v>
      </c>
      <c r="E115" s="75" t="str">
        <f>IFERROR(INDEX(M_User!$A$12:$J$67,MATCH(C115,M_User!$D$12:$D$67,0),5),"UNMAPPED")</f>
        <v>MOS</v>
      </c>
      <c r="F115" s="101" t="s">
        <v>256</v>
      </c>
      <c r="G115" s="76" t="str">
        <f>IFERROR(INDEX(M_SKU!$A$18:$J$57,MATCH(F115,M_SKU!$B$18:$B$57,0),1),"UNKNOWN SKU")</f>
        <v>Sparletta Red Apple Pet 300ML(x 12)</v>
      </c>
      <c r="H115" s="101" t="s">
        <v>555</v>
      </c>
      <c r="I115" s="102">
        <f>SUMIF(T_Load!$U$9:$U$439,B115,T_Load!$O$9:$O$439)</f>
        <v>5</v>
      </c>
      <c r="J115" s="102">
        <f>SUMIF(T_Sales!$O$9:$O$1164,B115,T_Sales!$L$9:$L$1164)</f>
        <v>4</v>
      </c>
      <c r="K115" s="103">
        <f t="shared" si="1"/>
        <v>1</v>
      </c>
      <c r="L115" s="80">
        <v>46179</v>
      </c>
      <c r="M115" s="78" t="s">
        <v>1883</v>
      </c>
    </row>
    <row r="116" spans="1:13" ht="15" customHeight="1" x14ac:dyDescent="0.3">
      <c r="A116" s="60" t="s">
        <v>2094</v>
      </c>
      <c r="B116" s="97" t="s">
        <v>2095</v>
      </c>
      <c r="C116" s="63" t="s">
        <v>421</v>
      </c>
      <c r="D116" s="66" t="str">
        <f>IFERROR(INDEX(M_User!$A$12:$J$67,MATCH(C116,M_User!$D$12:$D$67,0),3),"UNMAPPED")</f>
        <v>Deodat Francis Materu</v>
      </c>
      <c r="E116" s="65" t="str">
        <f>IFERROR(INDEX(M_User!$A$12:$J$67,MATCH(C116,M_User!$D$12:$D$67,0),5),"UNMAPPED")</f>
        <v>MOS</v>
      </c>
      <c r="F116" s="63" t="s">
        <v>261</v>
      </c>
      <c r="G116" s="66" t="str">
        <f>IFERROR(INDEX(M_SKU!$A$18:$J$57,MATCH(F116,M_SKU!$B$18:$B$57,0),1),"UNKNOWN SKU")</f>
        <v>Sparletta Pine Apple Pet 300ML (x 12)</v>
      </c>
      <c r="H116" s="63" t="s">
        <v>547</v>
      </c>
      <c r="I116" s="98">
        <f>SUMIF(T_Load!$U$9:$U$439,B116,T_Load!$O$9:$O$439)</f>
        <v>5</v>
      </c>
      <c r="J116" s="98">
        <f>SUMIF(T_Sales!$O$9:$O$1164,B116,T_Sales!$L$9:$L$1164)</f>
        <v>4</v>
      </c>
      <c r="K116" s="99">
        <f t="shared" si="1"/>
        <v>1</v>
      </c>
      <c r="L116" s="62">
        <v>46179</v>
      </c>
      <c r="M116" s="68" t="s">
        <v>1883</v>
      </c>
    </row>
    <row r="117" spans="1:13" ht="15" customHeight="1" x14ac:dyDescent="0.3">
      <c r="A117" s="70" t="s">
        <v>2096</v>
      </c>
      <c r="B117" s="100" t="s">
        <v>2097</v>
      </c>
      <c r="C117" s="101" t="s">
        <v>336</v>
      </c>
      <c r="D117" s="76" t="str">
        <f>IFERROR(INDEX(M_User!$A$12:$J$67,MATCH(C117,M_User!$D$12:$D$67,0),3),"UNMAPPED")</f>
        <v>George Gibson Mmary</v>
      </c>
      <c r="E117" s="75" t="str">
        <f>IFERROR(INDEX(M_User!$A$12:$J$67,MATCH(C117,M_User!$D$12:$D$67,0),5),"UNMAPPED")</f>
        <v>MOS</v>
      </c>
      <c r="F117" s="101" t="s">
        <v>170</v>
      </c>
      <c r="G117" s="76" t="str">
        <f>IFERROR(INDEX(M_SKU!$A$18:$J$57,MATCH(F117,M_SKU!$B$18:$B$57,0),1),"UNKNOWN SKU")</f>
        <v>Coke RGB 350ml</v>
      </c>
      <c r="H117" s="101" t="s">
        <v>585</v>
      </c>
      <c r="I117" s="102">
        <f>SUMIF(T_Load!$U$9:$U$439,B117,T_Load!$O$9:$O$439)</f>
        <v>83</v>
      </c>
      <c r="J117" s="102">
        <f>SUMIF(T_Sales!$O$9:$O$1164,B117,T_Sales!$L$9:$L$1164)</f>
        <v>63.684286399288098</v>
      </c>
      <c r="K117" s="103">
        <f t="shared" si="1"/>
        <v>19.315713600711902</v>
      </c>
      <c r="L117" s="80">
        <v>46179</v>
      </c>
      <c r="M117" s="78" t="s">
        <v>1883</v>
      </c>
    </row>
    <row r="118" spans="1:13" ht="15" customHeight="1" x14ac:dyDescent="0.3">
      <c r="A118" s="60" t="s">
        <v>2098</v>
      </c>
      <c r="B118" s="97" t="s">
        <v>2099</v>
      </c>
      <c r="C118" s="63" t="s">
        <v>336</v>
      </c>
      <c r="D118" s="66" t="str">
        <f>IFERROR(INDEX(M_User!$A$12:$J$67,MATCH(C118,M_User!$D$12:$D$67,0),3),"UNMAPPED")</f>
        <v>George Gibson Mmary</v>
      </c>
      <c r="E118" s="65" t="str">
        <f>IFERROR(INDEX(M_User!$A$12:$J$67,MATCH(C118,M_User!$D$12:$D$67,0),5),"UNMAPPED")</f>
        <v>MOS</v>
      </c>
      <c r="F118" s="63" t="s">
        <v>178</v>
      </c>
      <c r="G118" s="66" t="str">
        <f>IFERROR(INDEX(M_SKU!$A$18:$J$57,MATCH(F118,M_SKU!$B$18:$B$57,0),1),"UNKNOWN SKU")</f>
        <v>Fanta Orange RGB 350ml</v>
      </c>
      <c r="H118" s="63" t="s">
        <v>531</v>
      </c>
      <c r="I118" s="98">
        <f>SUMIF(T_Load!$U$9:$U$439,B118,T_Load!$O$9:$O$439)</f>
        <v>30</v>
      </c>
      <c r="J118" s="98">
        <f>SUMIF(T_Sales!$O$9:$O$1164,B118,T_Sales!$L$9:$L$1164)</f>
        <v>23.383106757958558</v>
      </c>
      <c r="K118" s="99">
        <f t="shared" si="1"/>
        <v>6.6168932420414421</v>
      </c>
      <c r="L118" s="62">
        <v>46179</v>
      </c>
      <c r="M118" s="68" t="s">
        <v>1883</v>
      </c>
    </row>
    <row r="119" spans="1:13" ht="15" customHeight="1" x14ac:dyDescent="0.3">
      <c r="A119" s="70" t="s">
        <v>2100</v>
      </c>
      <c r="B119" s="100" t="s">
        <v>2101</v>
      </c>
      <c r="C119" s="101" t="s">
        <v>336</v>
      </c>
      <c r="D119" s="76" t="str">
        <f>IFERROR(INDEX(M_User!$A$12:$J$67,MATCH(C119,M_User!$D$12:$D$67,0),3),"UNMAPPED")</f>
        <v>George Gibson Mmary</v>
      </c>
      <c r="E119" s="75" t="str">
        <f>IFERROR(INDEX(M_User!$A$12:$J$67,MATCH(C119,M_User!$D$12:$D$67,0),5),"UNMAPPED")</f>
        <v>MOS</v>
      </c>
      <c r="F119" s="101" t="s">
        <v>181</v>
      </c>
      <c r="G119" s="76" t="str">
        <f>IFERROR(INDEX(M_SKU!$A$18:$J$57,MATCH(F119,M_SKU!$B$18:$B$57,0),1),"UNKNOWN SKU")</f>
        <v>Fanta Passion RGB 350ml</v>
      </c>
      <c r="H119" s="101" t="s">
        <v>550</v>
      </c>
      <c r="I119" s="102">
        <f>SUMIF(T_Load!$U$9:$U$439,B119,T_Load!$O$9:$O$439)</f>
        <v>15</v>
      </c>
      <c r="J119" s="102">
        <f>SUMIF(T_Sales!$O$9:$O$1164,B119,T_Sales!$L$9:$L$1164)</f>
        <v>11.265763556555591</v>
      </c>
      <c r="K119" s="103">
        <f t="shared" si="1"/>
        <v>3.7342364434444093</v>
      </c>
      <c r="L119" s="80">
        <v>46179</v>
      </c>
      <c r="M119" s="78" t="s">
        <v>1883</v>
      </c>
    </row>
    <row r="120" spans="1:13" ht="15" customHeight="1" x14ac:dyDescent="0.3">
      <c r="A120" s="60" t="s">
        <v>2102</v>
      </c>
      <c r="B120" s="97" t="s">
        <v>2103</v>
      </c>
      <c r="C120" s="63" t="s">
        <v>336</v>
      </c>
      <c r="D120" s="66" t="str">
        <f>IFERROR(INDEX(M_User!$A$12:$J$67,MATCH(C120,M_User!$D$12:$D$67,0),3),"UNMAPPED")</f>
        <v>George Gibson Mmary</v>
      </c>
      <c r="E120" s="65" t="str">
        <f>IFERROR(INDEX(M_User!$A$12:$J$67,MATCH(C120,M_User!$D$12:$D$67,0),5),"UNMAPPED")</f>
        <v>MOS</v>
      </c>
      <c r="F120" s="63" t="s">
        <v>183</v>
      </c>
      <c r="G120" s="66" t="str">
        <f>IFERROR(INDEX(M_SKU!$A$18:$J$57,MATCH(F120,M_SKU!$B$18:$B$57,0),1),"UNKNOWN SKU")</f>
        <v>Fanta Pineapple RGB 350ml</v>
      </c>
      <c r="H120" s="63" t="s">
        <v>533</v>
      </c>
      <c r="I120" s="98">
        <f>SUMIF(T_Load!$U$9:$U$439,B120,T_Load!$O$9:$O$439)</f>
        <v>15</v>
      </c>
      <c r="J120" s="98">
        <f>SUMIF(T_Sales!$O$9:$O$1164,B120,T_Sales!$L$9:$L$1164)</f>
        <v>13.40952363561305</v>
      </c>
      <c r="K120" s="99">
        <f t="shared" si="1"/>
        <v>1.5904763643869497</v>
      </c>
      <c r="L120" s="62">
        <v>46179</v>
      </c>
      <c r="M120" s="68" t="s">
        <v>1883</v>
      </c>
    </row>
    <row r="121" spans="1:13" ht="15" customHeight="1" x14ac:dyDescent="0.3">
      <c r="A121" s="70" t="s">
        <v>2104</v>
      </c>
      <c r="B121" s="100" t="s">
        <v>2105</v>
      </c>
      <c r="C121" s="101" t="s">
        <v>336</v>
      </c>
      <c r="D121" s="76" t="str">
        <f>IFERROR(INDEX(M_User!$A$12:$J$67,MATCH(C121,M_User!$D$12:$D$67,0),3),"UNMAPPED")</f>
        <v>George Gibson Mmary</v>
      </c>
      <c r="E121" s="75" t="str">
        <f>IFERROR(INDEX(M_User!$A$12:$J$67,MATCH(C121,M_User!$D$12:$D$67,0),5),"UNMAPPED")</f>
        <v>MOS</v>
      </c>
      <c r="F121" s="101" t="s">
        <v>185</v>
      </c>
      <c r="G121" s="76" t="str">
        <f>IFERROR(INDEX(M_SKU!$A$18:$J$57,MATCH(F121,M_SKU!$B$18:$B$57,0),1),"UNKNOWN SKU")</f>
        <v>Fanta Fruit Blast RGB 350 ml</v>
      </c>
      <c r="H121" s="101" t="s">
        <v>534</v>
      </c>
      <c r="I121" s="102">
        <f>SUMIF(T_Load!$U$9:$U$439,B121,T_Load!$O$9:$O$439)</f>
        <v>5</v>
      </c>
      <c r="J121" s="102">
        <f>SUMIF(T_Sales!$O$9:$O$1164,B121,T_Sales!$L$9:$L$1164)</f>
        <v>3.9477119260506144</v>
      </c>
      <c r="K121" s="103">
        <f t="shared" si="1"/>
        <v>1.0522880739493856</v>
      </c>
      <c r="L121" s="80">
        <v>46179</v>
      </c>
      <c r="M121" s="78" t="s">
        <v>1883</v>
      </c>
    </row>
    <row r="122" spans="1:13" ht="15" customHeight="1" x14ac:dyDescent="0.3">
      <c r="A122" s="60" t="s">
        <v>2106</v>
      </c>
      <c r="B122" s="97" t="s">
        <v>2107</v>
      </c>
      <c r="C122" s="63" t="s">
        <v>336</v>
      </c>
      <c r="D122" s="66" t="str">
        <f>IFERROR(INDEX(M_User!$A$12:$J$67,MATCH(C122,M_User!$D$12:$D$67,0),3),"UNMAPPED")</f>
        <v>George Gibson Mmary</v>
      </c>
      <c r="E122" s="65" t="str">
        <f>IFERROR(INDEX(M_User!$A$12:$J$67,MATCH(C122,M_User!$D$12:$D$67,0),5),"UNMAPPED")</f>
        <v>MOS</v>
      </c>
      <c r="F122" s="63" t="s">
        <v>187</v>
      </c>
      <c r="G122" s="66" t="str">
        <f>IFERROR(INDEX(M_SKU!$A$18:$J$57,MATCH(F122,M_SKU!$B$18:$B$57,0),1),"UNKNOWN SKU")</f>
        <v>Sprite 350ml</v>
      </c>
      <c r="H122" s="63" t="s">
        <v>535</v>
      </c>
      <c r="I122" s="98">
        <f>SUMIF(T_Load!$U$9:$U$439,B122,T_Load!$O$9:$O$439)</f>
        <v>30</v>
      </c>
      <c r="J122" s="98">
        <f>SUMIF(T_Sales!$O$9:$O$1164,B122,T_Sales!$L$9:$L$1164)</f>
        <v>24.464915184824321</v>
      </c>
      <c r="K122" s="99">
        <f t="shared" si="1"/>
        <v>5.5350848151756793</v>
      </c>
      <c r="L122" s="62">
        <v>46179</v>
      </c>
      <c r="M122" s="68" t="s">
        <v>1883</v>
      </c>
    </row>
    <row r="123" spans="1:13" ht="15" customHeight="1" x14ac:dyDescent="0.3">
      <c r="A123" s="70" t="s">
        <v>2108</v>
      </c>
      <c r="B123" s="100" t="s">
        <v>2109</v>
      </c>
      <c r="C123" s="101" t="s">
        <v>336</v>
      </c>
      <c r="D123" s="76" t="str">
        <f>IFERROR(INDEX(M_User!$A$12:$J$67,MATCH(C123,M_User!$D$12:$D$67,0),3),"UNMAPPED")</f>
        <v>George Gibson Mmary</v>
      </c>
      <c r="E123" s="75" t="str">
        <f>IFERROR(INDEX(M_User!$A$12:$J$67,MATCH(C123,M_User!$D$12:$D$67,0),5),"UNMAPPED")</f>
        <v>MOS</v>
      </c>
      <c r="F123" s="101" t="s">
        <v>190</v>
      </c>
      <c r="G123" s="76" t="str">
        <f>IFERROR(INDEX(M_SKU!$A$18:$J$57,MATCH(F123,M_SKU!$B$18:$B$57,0),1),"UNKNOWN SKU")</f>
        <v>Stoney Tangawizi RGB 350ml</v>
      </c>
      <c r="H123" s="101" t="s">
        <v>536</v>
      </c>
      <c r="I123" s="102">
        <f>SUMIF(T_Load!$U$9:$U$439,B123,T_Load!$O$9:$O$439)</f>
        <v>5</v>
      </c>
      <c r="J123" s="102">
        <f>SUMIF(T_Sales!$O$9:$O$1164,B123,T_Sales!$L$9:$L$1164)</f>
        <v>3.9182740882012999</v>
      </c>
      <c r="K123" s="103">
        <f t="shared" si="1"/>
        <v>1.0817259117987001</v>
      </c>
      <c r="L123" s="80">
        <v>46179</v>
      </c>
      <c r="M123" s="78" t="s">
        <v>1883</v>
      </c>
    </row>
    <row r="124" spans="1:13" ht="15" customHeight="1" x14ac:dyDescent="0.3">
      <c r="A124" s="60" t="s">
        <v>2110</v>
      </c>
      <c r="B124" s="97" t="s">
        <v>2111</v>
      </c>
      <c r="C124" s="63" t="s">
        <v>336</v>
      </c>
      <c r="D124" s="66" t="str">
        <f>IFERROR(INDEX(M_User!$A$12:$J$67,MATCH(C124,M_User!$D$12:$D$67,0),3),"UNMAPPED")</f>
        <v>George Gibson Mmary</v>
      </c>
      <c r="E124" s="65" t="str">
        <f>IFERROR(INDEX(M_User!$A$12:$J$67,MATCH(C124,M_User!$D$12:$D$67,0),5),"UNMAPPED")</f>
        <v>MOS</v>
      </c>
      <c r="F124" s="63" t="s">
        <v>193</v>
      </c>
      <c r="G124" s="66" t="str">
        <f>IFERROR(INDEX(M_SKU!$A$18:$J$57,MATCH(F124,M_SKU!$B$18:$B$57,0),1),"UNKNOWN SKU")</f>
        <v>Sparletta Pinenut RGB 350ml</v>
      </c>
      <c r="H124" s="63" t="s">
        <v>537</v>
      </c>
      <c r="I124" s="98">
        <f>SUMIF(T_Load!$U$9:$U$439,B124,T_Load!$O$9:$O$439)</f>
        <v>5</v>
      </c>
      <c r="J124" s="98">
        <f>SUMIF(T_Sales!$O$9:$O$1164,B124,T_Sales!$L$9:$L$1164)</f>
        <v>4.1388516672425402</v>
      </c>
      <c r="K124" s="99">
        <f t="shared" si="1"/>
        <v>0.86114833275745983</v>
      </c>
      <c r="L124" s="62">
        <v>46179</v>
      </c>
      <c r="M124" s="68" t="s">
        <v>1883</v>
      </c>
    </row>
    <row r="125" spans="1:13" ht="15" customHeight="1" x14ac:dyDescent="0.3">
      <c r="A125" s="70" t="s">
        <v>2112</v>
      </c>
      <c r="B125" s="100" t="s">
        <v>2113</v>
      </c>
      <c r="C125" s="101" t="s">
        <v>336</v>
      </c>
      <c r="D125" s="76" t="str">
        <f>IFERROR(INDEX(M_User!$A$12:$J$67,MATCH(C125,M_User!$D$12:$D$67,0),3),"UNMAPPED")</f>
        <v>George Gibson Mmary</v>
      </c>
      <c r="E125" s="75" t="str">
        <f>IFERROR(INDEX(M_User!$A$12:$J$67,MATCH(C125,M_User!$D$12:$D$67,0),5),"UNMAPPED")</f>
        <v>MOS</v>
      </c>
      <c r="F125" s="101" t="s">
        <v>196</v>
      </c>
      <c r="G125" s="76" t="str">
        <f>IFERROR(INDEX(M_SKU!$A$18:$J$57,MATCH(F125,M_SKU!$B$18:$B$57,0),1),"UNKNOWN SKU")</f>
        <v>Krest Bitter Lemon RGB 300ml</v>
      </c>
      <c r="H125" s="101" t="s">
        <v>538</v>
      </c>
      <c r="I125" s="102">
        <f>SUMIF(T_Load!$U$9:$U$439,B125,T_Load!$O$9:$O$439)</f>
        <v>3</v>
      </c>
      <c r="J125" s="102">
        <f>SUMIF(T_Sales!$O$9:$O$1164,B125,T_Sales!$L$9:$L$1164)</f>
        <v>2.3495011283932579</v>
      </c>
      <c r="K125" s="103">
        <f t="shared" si="1"/>
        <v>0.65049887160674214</v>
      </c>
      <c r="L125" s="80">
        <v>46179</v>
      </c>
      <c r="M125" s="78" t="s">
        <v>1883</v>
      </c>
    </row>
    <row r="126" spans="1:13" ht="15" customHeight="1" x14ac:dyDescent="0.3">
      <c r="A126" s="60" t="s">
        <v>2114</v>
      </c>
      <c r="B126" s="97" t="s">
        <v>2115</v>
      </c>
      <c r="C126" s="63" t="s">
        <v>336</v>
      </c>
      <c r="D126" s="66" t="str">
        <f>IFERROR(INDEX(M_User!$A$12:$J$67,MATCH(C126,M_User!$D$12:$D$67,0),3),"UNMAPPED")</f>
        <v>George Gibson Mmary</v>
      </c>
      <c r="E126" s="65" t="str">
        <f>IFERROR(INDEX(M_User!$A$12:$J$67,MATCH(C126,M_User!$D$12:$D$67,0),5),"UNMAPPED")</f>
        <v>MOS</v>
      </c>
      <c r="F126" s="63" t="s">
        <v>199</v>
      </c>
      <c r="G126" s="66" t="str">
        <f>IFERROR(INDEX(M_SKU!$A$18:$J$57,MATCH(F126,M_SKU!$B$18:$B$57,0),1),"UNKNOWN SKU")</f>
        <v>Krest Club Soda RGB 300ml</v>
      </c>
      <c r="H126" s="63" t="s">
        <v>539</v>
      </c>
      <c r="I126" s="98">
        <f>SUMIF(T_Load!$U$9:$U$439,B126,T_Load!$O$9:$O$439)</f>
        <v>3</v>
      </c>
      <c r="J126" s="98">
        <f>SUMIF(T_Sales!$O$9:$O$1164,B126,T_Sales!$L$9:$L$1164)</f>
        <v>2.61005107977702</v>
      </c>
      <c r="K126" s="99">
        <f t="shared" si="1"/>
        <v>0.38994892022298</v>
      </c>
      <c r="L126" s="62">
        <v>46179</v>
      </c>
      <c r="M126" s="68" t="s">
        <v>1883</v>
      </c>
    </row>
    <row r="127" spans="1:13" ht="15" customHeight="1" x14ac:dyDescent="0.3">
      <c r="A127" s="70" t="s">
        <v>2116</v>
      </c>
      <c r="B127" s="100" t="s">
        <v>2117</v>
      </c>
      <c r="C127" s="101" t="s">
        <v>336</v>
      </c>
      <c r="D127" s="76" t="str">
        <f>IFERROR(INDEX(M_User!$A$12:$J$67,MATCH(C127,M_User!$D$12:$D$67,0),3),"UNMAPPED")</f>
        <v>George Gibson Mmary</v>
      </c>
      <c r="E127" s="75" t="str">
        <f>IFERROR(INDEX(M_User!$A$12:$J$67,MATCH(C127,M_User!$D$12:$D$67,0),5),"UNMAPPED")</f>
        <v>MOS</v>
      </c>
      <c r="F127" s="101" t="s">
        <v>201</v>
      </c>
      <c r="G127" s="76" t="str">
        <f>IFERROR(INDEX(M_SKU!$A$18:$J$57,MATCH(F127,M_SKU!$B$18:$B$57,0),1),"UNKNOWN SKU")</f>
        <v>Krest Tonic Water RGB 300ml</v>
      </c>
      <c r="H127" s="101" t="s">
        <v>540</v>
      </c>
      <c r="I127" s="102">
        <f>SUMIF(T_Load!$U$9:$U$439,B127,T_Load!$O$9:$O$439)</f>
        <v>3</v>
      </c>
      <c r="J127" s="102">
        <f>SUMIF(T_Sales!$O$9:$O$1164,B127,T_Sales!$L$9:$L$1164)</f>
        <v>2.5819498114507078</v>
      </c>
      <c r="K127" s="103">
        <f t="shared" si="1"/>
        <v>0.41805018854929221</v>
      </c>
      <c r="L127" s="80">
        <v>46179</v>
      </c>
      <c r="M127" s="78" t="s">
        <v>1883</v>
      </c>
    </row>
    <row r="128" spans="1:13" ht="15" customHeight="1" x14ac:dyDescent="0.3">
      <c r="A128" s="60" t="s">
        <v>2118</v>
      </c>
      <c r="B128" s="97" t="s">
        <v>2119</v>
      </c>
      <c r="C128" s="63" t="s">
        <v>336</v>
      </c>
      <c r="D128" s="66" t="str">
        <f>IFERROR(INDEX(M_User!$A$12:$J$67,MATCH(C128,M_User!$D$12:$D$67,0),3),"UNMAPPED")</f>
        <v>George Gibson Mmary</v>
      </c>
      <c r="E128" s="65" t="str">
        <f>IFERROR(INDEX(M_User!$A$12:$J$67,MATCH(C128,M_User!$D$12:$D$67,0),5),"UNMAPPED")</f>
        <v>MOS</v>
      </c>
      <c r="F128" s="63" t="s">
        <v>203</v>
      </c>
      <c r="G128" s="66" t="str">
        <f>IFERROR(INDEX(M_SKU!$A$18:$J$57,MATCH(F128,M_SKU!$B$18:$B$57,0),1),"UNKNOWN SKU")</f>
        <v>Krest Ginger Ale RGB 300ml</v>
      </c>
      <c r="H128" s="63" t="s">
        <v>541</v>
      </c>
      <c r="I128" s="98">
        <f>SUMIF(T_Load!$U$9:$U$439,B128,T_Load!$O$9:$O$439)</f>
        <v>3</v>
      </c>
      <c r="J128" s="98">
        <f>SUMIF(T_Sales!$O$9:$O$1164,B128,T_Sales!$L$9:$L$1164)</f>
        <v>2.4706004597854201</v>
      </c>
      <c r="K128" s="99">
        <f t="shared" si="1"/>
        <v>0.52939954021457991</v>
      </c>
      <c r="L128" s="62">
        <v>46179</v>
      </c>
      <c r="M128" s="68" t="s">
        <v>1883</v>
      </c>
    </row>
    <row r="129" spans="1:13" ht="15" customHeight="1" x14ac:dyDescent="0.3">
      <c r="A129" s="70" t="s">
        <v>2120</v>
      </c>
      <c r="B129" s="100" t="s">
        <v>2121</v>
      </c>
      <c r="C129" s="101" t="s">
        <v>336</v>
      </c>
      <c r="D129" s="76" t="str">
        <f>IFERROR(INDEX(M_User!$A$12:$J$67,MATCH(C129,M_User!$D$12:$D$67,0),3),"UNMAPPED")</f>
        <v>George Gibson Mmary</v>
      </c>
      <c r="E129" s="75" t="str">
        <f>IFERROR(INDEX(M_User!$A$12:$J$67,MATCH(C129,M_User!$D$12:$D$67,0),5),"UNMAPPED")</f>
        <v>MOS</v>
      </c>
      <c r="F129" s="101" t="s">
        <v>209</v>
      </c>
      <c r="G129" s="76" t="str">
        <f>IFERROR(INDEX(M_SKU!$A$18:$J$57,MATCH(F129,M_SKU!$B$18:$B$57,0),1),"UNKNOWN SKU")</f>
        <v>Sparletta Red Apple RGB 350ml</v>
      </c>
      <c r="H129" s="101" t="s">
        <v>542</v>
      </c>
      <c r="I129" s="102">
        <f>SUMIF(T_Load!$U$9:$U$439,B129,T_Load!$O$9:$O$439)</f>
        <v>2</v>
      </c>
      <c r="J129" s="102">
        <f>SUMIF(T_Sales!$O$9:$O$1164,B129,T_Sales!$L$9:$L$1164)</f>
        <v>1.7181241500097202</v>
      </c>
      <c r="K129" s="103">
        <f t="shared" si="1"/>
        <v>0.28187584999027981</v>
      </c>
      <c r="L129" s="80">
        <v>46179</v>
      </c>
      <c r="M129" s="78" t="s">
        <v>1883</v>
      </c>
    </row>
    <row r="130" spans="1:13" ht="15" customHeight="1" x14ac:dyDescent="0.3">
      <c r="A130" s="60" t="s">
        <v>2122</v>
      </c>
      <c r="B130" s="97" t="s">
        <v>2123</v>
      </c>
      <c r="C130" s="63" t="s">
        <v>336</v>
      </c>
      <c r="D130" s="66" t="str">
        <f>IFERROR(INDEX(M_User!$A$12:$J$67,MATCH(C130,M_User!$D$12:$D$67,0),3),"UNMAPPED")</f>
        <v>George Gibson Mmary</v>
      </c>
      <c r="E130" s="65" t="str">
        <f>IFERROR(INDEX(M_User!$A$12:$J$67,MATCH(C130,M_User!$D$12:$D$67,0),5),"UNMAPPED")</f>
        <v>MOS</v>
      </c>
      <c r="F130" s="63" t="s">
        <v>211</v>
      </c>
      <c r="G130" s="66" t="str">
        <f>IFERROR(INDEX(M_SKU!$A$18:$J$57,MATCH(F130,M_SKU!$B$18:$B$57,0),1),"UNKNOWN SKU")</f>
        <v>KNMW 500ml</v>
      </c>
      <c r="H130" s="63" t="s">
        <v>543</v>
      </c>
      <c r="I130" s="98">
        <f>SUMIF(T_Load!$U$9:$U$439,B130,T_Load!$O$9:$O$439)</f>
        <v>100</v>
      </c>
      <c r="J130" s="98">
        <f>SUMIF(T_Sales!$O$9:$O$1164,B130,T_Sales!$L$9:$L$1164)</f>
        <v>89</v>
      </c>
      <c r="K130" s="99">
        <f t="shared" si="1"/>
        <v>11</v>
      </c>
      <c r="L130" s="62">
        <v>46179</v>
      </c>
      <c r="M130" s="68" t="s">
        <v>1883</v>
      </c>
    </row>
    <row r="131" spans="1:13" ht="15" customHeight="1" x14ac:dyDescent="0.3">
      <c r="A131" s="70" t="s">
        <v>2124</v>
      </c>
      <c r="B131" s="100" t="s">
        <v>2125</v>
      </c>
      <c r="C131" s="101" t="s">
        <v>336</v>
      </c>
      <c r="D131" s="76" t="str">
        <f>IFERROR(INDEX(M_User!$A$12:$J$67,MATCH(C131,M_User!$D$12:$D$67,0),3),"UNMAPPED")</f>
        <v>George Gibson Mmary</v>
      </c>
      <c r="E131" s="75" t="str">
        <f>IFERROR(INDEX(M_User!$A$12:$J$67,MATCH(C131,M_User!$D$12:$D$67,0),5),"UNMAPPED")</f>
        <v>MOS</v>
      </c>
      <c r="F131" s="101" t="s">
        <v>217</v>
      </c>
      <c r="G131" s="76" t="str">
        <f>IFERROR(INDEX(M_SKU!$A$18:$J$57,MATCH(F131,M_SKU!$B$18:$B$57,0),1),"UNKNOWN SKU")</f>
        <v>KNMW 1500ml</v>
      </c>
      <c r="H131" s="101" t="s">
        <v>551</v>
      </c>
      <c r="I131" s="102">
        <f>SUMIF(T_Load!$U$9:$U$439,B131,T_Load!$O$9:$O$439)</f>
        <v>90</v>
      </c>
      <c r="J131" s="102">
        <f>SUMIF(T_Sales!$O$9:$O$1164,B131,T_Sales!$L$9:$L$1164)</f>
        <v>68</v>
      </c>
      <c r="K131" s="103">
        <f t="shared" si="1"/>
        <v>22</v>
      </c>
      <c r="L131" s="80">
        <v>46179</v>
      </c>
      <c r="M131" s="78" t="s">
        <v>1883</v>
      </c>
    </row>
    <row r="132" spans="1:13" ht="15" customHeight="1" x14ac:dyDescent="0.3">
      <c r="A132" s="60" t="s">
        <v>2126</v>
      </c>
      <c r="B132" s="97" t="s">
        <v>2127</v>
      </c>
      <c r="C132" s="63" t="s">
        <v>336</v>
      </c>
      <c r="D132" s="66" t="str">
        <f>IFERROR(INDEX(M_User!$A$12:$J$67,MATCH(C132,M_User!$D$12:$D$67,0),3),"UNMAPPED")</f>
        <v>George Gibson Mmary</v>
      </c>
      <c r="E132" s="65" t="str">
        <f>IFERROR(INDEX(M_User!$A$12:$J$67,MATCH(C132,M_User!$D$12:$D$67,0),5),"UNMAPPED")</f>
        <v>MOS</v>
      </c>
      <c r="F132" s="63" t="s">
        <v>229</v>
      </c>
      <c r="G132" s="66" t="str">
        <f>IFERROR(INDEX(M_SKU!$A$18:$J$57,MATCH(F132,M_SKU!$B$18:$B$57,0),1),"UNKNOWN SKU")</f>
        <v>Coke Pet 500ML ( x12)</v>
      </c>
      <c r="H132" s="63" t="s">
        <v>520</v>
      </c>
      <c r="I132" s="98">
        <f>SUMIF(T_Load!$U$9:$U$439,B132,T_Load!$O$9:$O$439)</f>
        <v>80</v>
      </c>
      <c r="J132" s="98">
        <f>SUMIF(T_Sales!$O$9:$O$1164,B132,T_Sales!$L$9:$L$1164)</f>
        <v>69</v>
      </c>
      <c r="K132" s="99">
        <f t="shared" si="1"/>
        <v>11</v>
      </c>
      <c r="L132" s="62">
        <v>46179</v>
      </c>
      <c r="M132" s="68" t="s">
        <v>1883</v>
      </c>
    </row>
    <row r="133" spans="1:13" ht="15" customHeight="1" x14ac:dyDescent="0.3">
      <c r="A133" s="70" t="s">
        <v>2128</v>
      </c>
      <c r="B133" s="100" t="s">
        <v>2129</v>
      </c>
      <c r="C133" s="101" t="s">
        <v>336</v>
      </c>
      <c r="D133" s="76" t="str">
        <f>IFERROR(INDEX(M_User!$A$12:$J$67,MATCH(C133,M_User!$D$12:$D$67,0),3),"UNMAPPED")</f>
        <v>George Gibson Mmary</v>
      </c>
      <c r="E133" s="75" t="str">
        <f>IFERROR(INDEX(M_User!$A$12:$J$67,MATCH(C133,M_User!$D$12:$D$67,0),5),"UNMAPPED")</f>
        <v>MOS</v>
      </c>
      <c r="F133" s="101" t="s">
        <v>232</v>
      </c>
      <c r="G133" s="76" t="str">
        <f>IFERROR(INDEX(M_SKU!$A$18:$J$57,MATCH(F133,M_SKU!$B$18:$B$57,0),1),"UNKNOWN SKU")</f>
        <v>Sprite Pet 500ML (x 12)</v>
      </c>
      <c r="H133" s="101" t="s">
        <v>522</v>
      </c>
      <c r="I133" s="102">
        <f>SUMIF(T_Load!$U$9:$U$439,B133,T_Load!$O$9:$O$439)</f>
        <v>10</v>
      </c>
      <c r="J133" s="102">
        <f>SUMIF(T_Sales!$O$9:$O$1164,B133,T_Sales!$L$9:$L$1164)</f>
        <v>8</v>
      </c>
      <c r="K133" s="103">
        <f t="shared" si="1"/>
        <v>2</v>
      </c>
      <c r="L133" s="80">
        <v>46179</v>
      </c>
      <c r="M133" s="78" t="s">
        <v>1883</v>
      </c>
    </row>
    <row r="134" spans="1:13" ht="15" customHeight="1" x14ac:dyDescent="0.3">
      <c r="A134" s="60" t="s">
        <v>2130</v>
      </c>
      <c r="B134" s="97" t="s">
        <v>2131</v>
      </c>
      <c r="C134" s="63" t="s">
        <v>336</v>
      </c>
      <c r="D134" s="66" t="str">
        <f>IFERROR(INDEX(M_User!$A$12:$J$67,MATCH(C134,M_User!$D$12:$D$67,0),3),"UNMAPPED")</f>
        <v>George Gibson Mmary</v>
      </c>
      <c r="E134" s="65" t="str">
        <f>IFERROR(INDEX(M_User!$A$12:$J$67,MATCH(C134,M_User!$D$12:$D$67,0),5),"UNMAPPED")</f>
        <v>MOS</v>
      </c>
      <c r="F134" s="63" t="s">
        <v>234</v>
      </c>
      <c r="G134" s="66" t="str">
        <f>IFERROR(INDEX(M_SKU!$A$18:$J$57,MATCH(F134,M_SKU!$B$18:$B$57,0),1),"UNKNOWN SKU")</f>
        <v>Fanta Orange Pet 500ML ( x 12)</v>
      </c>
      <c r="H134" s="63" t="s">
        <v>523</v>
      </c>
      <c r="I134" s="98">
        <f>SUMIF(T_Load!$U$9:$U$439,B134,T_Load!$O$9:$O$439)</f>
        <v>40</v>
      </c>
      <c r="J134" s="98">
        <f>SUMIF(T_Sales!$O$9:$O$1164,B134,T_Sales!$L$9:$L$1164)</f>
        <v>33</v>
      </c>
      <c r="K134" s="99">
        <f t="shared" si="1"/>
        <v>7</v>
      </c>
      <c r="L134" s="62">
        <v>46179</v>
      </c>
      <c r="M134" s="68" t="s">
        <v>1883</v>
      </c>
    </row>
    <row r="135" spans="1:13" ht="15" customHeight="1" x14ac:dyDescent="0.3">
      <c r="A135" s="70" t="s">
        <v>2132</v>
      </c>
      <c r="B135" s="100" t="s">
        <v>2133</v>
      </c>
      <c r="C135" s="101" t="s">
        <v>336</v>
      </c>
      <c r="D135" s="76" t="str">
        <f>IFERROR(INDEX(M_User!$A$12:$J$67,MATCH(C135,M_User!$D$12:$D$67,0),3),"UNMAPPED")</f>
        <v>George Gibson Mmary</v>
      </c>
      <c r="E135" s="75" t="str">
        <f>IFERROR(INDEX(M_User!$A$12:$J$67,MATCH(C135,M_User!$D$12:$D$67,0),5),"UNMAPPED")</f>
        <v>MOS</v>
      </c>
      <c r="F135" s="101" t="s">
        <v>236</v>
      </c>
      <c r="G135" s="76" t="str">
        <f>IFERROR(INDEX(M_SKU!$A$18:$J$57,MATCH(F135,M_SKU!$B$18:$B$57,0),1),"UNKNOWN SKU")</f>
        <v>Fanta Passion Pet 500ML ( x12)</v>
      </c>
      <c r="H135" s="101" t="s">
        <v>524</v>
      </c>
      <c r="I135" s="102">
        <f>SUMIF(T_Load!$U$9:$U$439,B135,T_Load!$O$9:$O$439)</f>
        <v>10</v>
      </c>
      <c r="J135" s="102">
        <f>SUMIF(T_Sales!$O$9:$O$1164,B135,T_Sales!$L$9:$L$1164)</f>
        <v>8</v>
      </c>
      <c r="K135" s="103">
        <f t="shared" si="1"/>
        <v>2</v>
      </c>
      <c r="L135" s="80">
        <v>46179</v>
      </c>
      <c r="M135" s="78" t="s">
        <v>1883</v>
      </c>
    </row>
    <row r="136" spans="1:13" ht="15" customHeight="1" x14ac:dyDescent="0.3">
      <c r="A136" s="60" t="s">
        <v>2134</v>
      </c>
      <c r="B136" s="97" t="s">
        <v>2135</v>
      </c>
      <c r="C136" s="63" t="s">
        <v>336</v>
      </c>
      <c r="D136" s="66" t="str">
        <f>IFERROR(INDEX(M_User!$A$12:$J$67,MATCH(C136,M_User!$D$12:$D$67,0),3),"UNMAPPED")</f>
        <v>George Gibson Mmary</v>
      </c>
      <c r="E136" s="65" t="str">
        <f>IFERROR(INDEX(M_User!$A$12:$J$67,MATCH(C136,M_User!$D$12:$D$67,0),5),"UNMAPPED")</f>
        <v>MOS</v>
      </c>
      <c r="F136" s="63" t="s">
        <v>242</v>
      </c>
      <c r="G136" s="66" t="str">
        <f>IFERROR(INDEX(M_SKU!$A$18:$J$57,MATCH(F136,M_SKU!$B$18:$B$57,0),1),"UNKNOWN SKU")</f>
        <v>Stoney Tangawizi Pet 500 ml ( x12)</v>
      </c>
      <c r="H136" s="63" t="s">
        <v>525</v>
      </c>
      <c r="I136" s="98">
        <f>SUMIF(T_Load!$U$9:$U$439,B136,T_Load!$O$9:$O$439)</f>
        <v>10</v>
      </c>
      <c r="J136" s="98">
        <f>SUMIF(T_Sales!$O$9:$O$1164,B136,T_Sales!$L$9:$L$1164)</f>
        <v>8</v>
      </c>
      <c r="K136" s="99">
        <f t="shared" si="1"/>
        <v>2</v>
      </c>
      <c r="L136" s="62">
        <v>46179</v>
      </c>
      <c r="M136" s="68" t="s">
        <v>1883</v>
      </c>
    </row>
    <row r="137" spans="1:13" ht="15" customHeight="1" x14ac:dyDescent="0.3">
      <c r="A137" s="70" t="s">
        <v>2136</v>
      </c>
      <c r="B137" s="100" t="s">
        <v>2137</v>
      </c>
      <c r="C137" s="101" t="s">
        <v>336</v>
      </c>
      <c r="D137" s="76" t="str">
        <f>IFERROR(INDEX(M_User!$A$12:$J$67,MATCH(C137,M_User!$D$12:$D$67,0),3),"UNMAPPED")</f>
        <v>George Gibson Mmary</v>
      </c>
      <c r="E137" s="75" t="str">
        <f>IFERROR(INDEX(M_User!$A$12:$J$67,MATCH(C137,M_User!$D$12:$D$67,0),5),"UNMAPPED")</f>
        <v>MOS</v>
      </c>
      <c r="F137" s="101" t="s">
        <v>244</v>
      </c>
      <c r="G137" s="76" t="str">
        <f>IFERROR(INDEX(M_SKU!$A$18:$J$57,MATCH(F137,M_SKU!$B$18:$B$57,0),1),"UNKNOWN SKU")</f>
        <v>Sparletta Pinenut Pet 500 ml ( x12)</v>
      </c>
      <c r="H137" s="101" t="s">
        <v>526</v>
      </c>
      <c r="I137" s="102">
        <f>SUMIF(T_Load!$U$9:$U$439,B137,T_Load!$O$9:$O$439)</f>
        <v>5</v>
      </c>
      <c r="J137" s="102">
        <f>SUMIF(T_Sales!$O$9:$O$1164,B137,T_Sales!$L$9:$L$1164)</f>
        <v>4</v>
      </c>
      <c r="K137" s="103">
        <f t="shared" si="1"/>
        <v>1</v>
      </c>
      <c r="L137" s="80">
        <v>46179</v>
      </c>
      <c r="M137" s="78" t="s">
        <v>1883</v>
      </c>
    </row>
    <row r="138" spans="1:13" ht="15" customHeight="1" x14ac:dyDescent="0.3">
      <c r="A138" s="60" t="s">
        <v>2138</v>
      </c>
      <c r="B138" s="97" t="s">
        <v>2139</v>
      </c>
      <c r="C138" s="63" t="s">
        <v>336</v>
      </c>
      <c r="D138" s="66" t="str">
        <f>IFERROR(INDEX(M_User!$A$12:$J$67,MATCH(C138,M_User!$D$12:$D$67,0),3),"UNMAPPED")</f>
        <v>George Gibson Mmary</v>
      </c>
      <c r="E138" s="65" t="str">
        <f>IFERROR(INDEX(M_User!$A$12:$J$67,MATCH(C138,M_User!$D$12:$D$67,0),5),"UNMAPPED")</f>
        <v>MOS</v>
      </c>
      <c r="F138" s="63" t="s">
        <v>252</v>
      </c>
      <c r="G138" s="66" t="str">
        <f>IFERROR(INDEX(M_SKU!$A$18:$J$57,MATCH(F138,M_SKU!$B$18:$B$57,0),1),"UNKNOWN SKU")</f>
        <v>Sprite Zero Pet 300ML (x 12)</v>
      </c>
      <c r="H138" s="63" t="s">
        <v>545</v>
      </c>
      <c r="I138" s="98">
        <f>SUMIF(T_Load!$U$9:$U$439,B138,T_Load!$O$9:$O$439)</f>
        <v>5</v>
      </c>
      <c r="J138" s="98">
        <f>SUMIF(T_Sales!$O$9:$O$1164,B138,T_Sales!$L$9:$L$1164)</f>
        <v>4</v>
      </c>
      <c r="K138" s="99">
        <f t="shared" ref="K138:K201" si="2">I138-J138</f>
        <v>1</v>
      </c>
      <c r="L138" s="62">
        <v>46179</v>
      </c>
      <c r="M138" s="68" t="s">
        <v>1883</v>
      </c>
    </row>
    <row r="139" spans="1:13" ht="15" customHeight="1" x14ac:dyDescent="0.3">
      <c r="A139" s="70" t="s">
        <v>2140</v>
      </c>
      <c r="B139" s="100" t="s">
        <v>2141</v>
      </c>
      <c r="C139" s="101" t="s">
        <v>336</v>
      </c>
      <c r="D139" s="76" t="str">
        <f>IFERROR(INDEX(M_User!$A$12:$J$67,MATCH(C139,M_User!$D$12:$D$67,0),3),"UNMAPPED")</f>
        <v>George Gibson Mmary</v>
      </c>
      <c r="E139" s="75" t="str">
        <f>IFERROR(INDEX(M_User!$A$12:$J$67,MATCH(C139,M_User!$D$12:$D$67,0),5),"UNMAPPED")</f>
        <v>MOS</v>
      </c>
      <c r="F139" s="101" t="s">
        <v>254</v>
      </c>
      <c r="G139" s="76" t="str">
        <f>IFERROR(INDEX(M_SKU!$A$18:$J$57,MATCH(F139,M_SKU!$B$18:$B$57,0),1),"UNKNOWN SKU")</f>
        <v>Fanta Zero Pet 300ML (x 12)</v>
      </c>
      <c r="H139" s="101" t="s">
        <v>546</v>
      </c>
      <c r="I139" s="102">
        <f>SUMIF(T_Load!$U$9:$U$439,B139,T_Load!$O$9:$O$439)</f>
        <v>5</v>
      </c>
      <c r="J139" s="102">
        <f>SUMIF(T_Sales!$O$9:$O$1164,B139,T_Sales!$L$9:$L$1164)</f>
        <v>4</v>
      </c>
      <c r="K139" s="103">
        <f t="shared" si="2"/>
        <v>1</v>
      </c>
      <c r="L139" s="80">
        <v>46179</v>
      </c>
      <c r="M139" s="78" t="s">
        <v>1883</v>
      </c>
    </row>
    <row r="140" spans="1:13" ht="15" customHeight="1" x14ac:dyDescent="0.3">
      <c r="A140" s="60" t="s">
        <v>2142</v>
      </c>
      <c r="B140" s="97" t="s">
        <v>2143</v>
      </c>
      <c r="C140" s="63" t="s">
        <v>339</v>
      </c>
      <c r="D140" s="66" t="str">
        <f>IFERROR(INDEX(M_User!$A$12:$J$67,MATCH(C140,M_User!$D$12:$D$67,0),3),"UNMAPPED")</f>
        <v>Erick K. Mkama</v>
      </c>
      <c r="E140" s="65" t="str">
        <f>IFERROR(INDEX(M_User!$A$12:$J$67,MATCH(C140,M_User!$D$12:$D$67,0),5),"UNMAPPED")</f>
        <v>MOS</v>
      </c>
      <c r="F140" s="63" t="s">
        <v>170</v>
      </c>
      <c r="G140" s="66" t="str">
        <f>IFERROR(INDEX(M_SKU!$A$18:$J$57,MATCH(F140,M_SKU!$B$18:$B$57,0),1),"UNKNOWN SKU")</f>
        <v>Coke RGB 350ml</v>
      </c>
      <c r="H140" s="63" t="s">
        <v>530</v>
      </c>
      <c r="I140" s="98">
        <f>SUMIF(T_Load!$U$9:$U$439,B140,T_Load!$O$9:$O$439)</f>
        <v>34</v>
      </c>
      <c r="J140" s="98">
        <f>SUMIF(T_Sales!$O$9:$O$1164,B140,T_Sales!$L$9:$L$1164)</f>
        <v>30.760148033819199</v>
      </c>
      <c r="K140" s="99">
        <f t="shared" si="2"/>
        <v>3.239851966180801</v>
      </c>
      <c r="L140" s="62">
        <v>46179</v>
      </c>
      <c r="M140" s="68" t="s">
        <v>1883</v>
      </c>
    </row>
    <row r="141" spans="1:13" ht="15" customHeight="1" x14ac:dyDescent="0.3">
      <c r="A141" s="70" t="s">
        <v>2144</v>
      </c>
      <c r="B141" s="100" t="s">
        <v>2145</v>
      </c>
      <c r="C141" s="101" t="s">
        <v>339</v>
      </c>
      <c r="D141" s="76" t="str">
        <f>IFERROR(INDEX(M_User!$A$12:$J$67,MATCH(C141,M_User!$D$12:$D$67,0),3),"UNMAPPED")</f>
        <v>Erick K. Mkama</v>
      </c>
      <c r="E141" s="75" t="str">
        <f>IFERROR(INDEX(M_User!$A$12:$J$67,MATCH(C141,M_User!$D$12:$D$67,0),5),"UNMAPPED")</f>
        <v>MOS</v>
      </c>
      <c r="F141" s="101" t="s">
        <v>178</v>
      </c>
      <c r="G141" s="76" t="str">
        <f>IFERROR(INDEX(M_SKU!$A$18:$J$57,MATCH(F141,M_SKU!$B$18:$B$57,0),1),"UNKNOWN SKU")</f>
        <v>Fanta Orange RGB 350ml</v>
      </c>
      <c r="H141" s="101" t="s">
        <v>531</v>
      </c>
      <c r="I141" s="102">
        <f>SUMIF(T_Load!$U$9:$U$439,B141,T_Load!$O$9:$O$439)</f>
        <v>15</v>
      </c>
      <c r="J141" s="102">
        <f>SUMIF(T_Sales!$O$9:$O$1164,B141,T_Sales!$L$9:$L$1164)</f>
        <v>11.39897867146945</v>
      </c>
      <c r="K141" s="103">
        <f t="shared" si="2"/>
        <v>3.6010213285305497</v>
      </c>
      <c r="L141" s="80">
        <v>46179</v>
      </c>
      <c r="M141" s="78" t="s">
        <v>1883</v>
      </c>
    </row>
    <row r="142" spans="1:13" ht="15" customHeight="1" x14ac:dyDescent="0.3">
      <c r="A142" s="60" t="s">
        <v>2146</v>
      </c>
      <c r="B142" s="97" t="s">
        <v>2147</v>
      </c>
      <c r="C142" s="63" t="s">
        <v>339</v>
      </c>
      <c r="D142" s="66" t="str">
        <f>IFERROR(INDEX(M_User!$A$12:$J$67,MATCH(C142,M_User!$D$12:$D$67,0),3),"UNMAPPED")</f>
        <v>Erick K. Mkama</v>
      </c>
      <c r="E142" s="65" t="str">
        <f>IFERROR(INDEX(M_User!$A$12:$J$67,MATCH(C142,M_User!$D$12:$D$67,0),5),"UNMAPPED")</f>
        <v>MOS</v>
      </c>
      <c r="F142" s="63" t="s">
        <v>181</v>
      </c>
      <c r="G142" s="66" t="str">
        <f>IFERROR(INDEX(M_SKU!$A$18:$J$57,MATCH(F142,M_SKU!$B$18:$B$57,0),1),"UNKNOWN SKU")</f>
        <v>Fanta Passion RGB 350ml</v>
      </c>
      <c r="H142" s="63" t="s">
        <v>550</v>
      </c>
      <c r="I142" s="98">
        <f>SUMIF(T_Load!$U$9:$U$439,B142,T_Load!$O$9:$O$439)</f>
        <v>8</v>
      </c>
      <c r="J142" s="98">
        <f>SUMIF(T_Sales!$O$9:$O$1164,B142,T_Sales!$L$9:$L$1164)</f>
        <v>6.8298060848519402</v>
      </c>
      <c r="K142" s="99">
        <f t="shared" si="2"/>
        <v>1.1701939151480598</v>
      </c>
      <c r="L142" s="62">
        <v>46179</v>
      </c>
      <c r="M142" s="68" t="s">
        <v>1883</v>
      </c>
    </row>
    <row r="143" spans="1:13" ht="15" customHeight="1" x14ac:dyDescent="0.3">
      <c r="A143" s="70" t="s">
        <v>2148</v>
      </c>
      <c r="B143" s="100" t="s">
        <v>2149</v>
      </c>
      <c r="C143" s="101" t="s">
        <v>339</v>
      </c>
      <c r="D143" s="76" t="str">
        <f>IFERROR(INDEX(M_User!$A$12:$J$67,MATCH(C143,M_User!$D$12:$D$67,0),3),"UNMAPPED")</f>
        <v>Erick K. Mkama</v>
      </c>
      <c r="E143" s="75" t="str">
        <f>IFERROR(INDEX(M_User!$A$12:$J$67,MATCH(C143,M_User!$D$12:$D$67,0),5),"UNMAPPED")</f>
        <v>MOS</v>
      </c>
      <c r="F143" s="101" t="s">
        <v>183</v>
      </c>
      <c r="G143" s="76" t="str">
        <f>IFERROR(INDEX(M_SKU!$A$18:$J$57,MATCH(F143,M_SKU!$B$18:$B$57,0),1),"UNKNOWN SKU")</f>
        <v>Fanta Pineapple RGB 350ml</v>
      </c>
      <c r="H143" s="101" t="s">
        <v>533</v>
      </c>
      <c r="I143" s="102">
        <f>SUMIF(T_Load!$U$9:$U$439,B143,T_Load!$O$9:$O$439)</f>
        <v>8</v>
      </c>
      <c r="J143" s="102">
        <f>SUMIF(T_Sales!$O$9:$O$1164,B143,T_Sales!$L$9:$L$1164)</f>
        <v>6.4732745248960901</v>
      </c>
      <c r="K143" s="103">
        <f t="shared" si="2"/>
        <v>1.5267254751039099</v>
      </c>
      <c r="L143" s="80">
        <v>46179</v>
      </c>
      <c r="M143" s="78" t="s">
        <v>1883</v>
      </c>
    </row>
    <row r="144" spans="1:13" ht="15" customHeight="1" x14ac:dyDescent="0.3">
      <c r="A144" s="60" t="s">
        <v>2150</v>
      </c>
      <c r="B144" s="97" t="s">
        <v>2151</v>
      </c>
      <c r="C144" s="63" t="s">
        <v>339</v>
      </c>
      <c r="D144" s="66" t="str">
        <f>IFERROR(INDEX(M_User!$A$12:$J$67,MATCH(C144,M_User!$D$12:$D$67,0),3),"UNMAPPED")</f>
        <v>Erick K. Mkama</v>
      </c>
      <c r="E144" s="65" t="str">
        <f>IFERROR(INDEX(M_User!$A$12:$J$67,MATCH(C144,M_User!$D$12:$D$67,0),5),"UNMAPPED")</f>
        <v>MOS</v>
      </c>
      <c r="F144" s="63" t="s">
        <v>185</v>
      </c>
      <c r="G144" s="66" t="str">
        <f>IFERROR(INDEX(M_SKU!$A$18:$J$57,MATCH(F144,M_SKU!$B$18:$B$57,0),1),"UNKNOWN SKU")</f>
        <v>Fanta Fruit Blast RGB 350 ml</v>
      </c>
      <c r="H144" s="63" t="s">
        <v>534</v>
      </c>
      <c r="I144" s="98">
        <f>SUMIF(T_Load!$U$9:$U$439,B144,T_Load!$O$9:$O$439)</f>
        <v>5</v>
      </c>
      <c r="J144" s="98">
        <f>SUMIF(T_Sales!$O$9:$O$1164,B144,T_Sales!$L$9:$L$1164)</f>
        <v>4.2709284322196703</v>
      </c>
      <c r="K144" s="99">
        <f t="shared" si="2"/>
        <v>0.72907156778032967</v>
      </c>
      <c r="L144" s="62">
        <v>46179</v>
      </c>
      <c r="M144" s="68" t="s">
        <v>1883</v>
      </c>
    </row>
    <row r="145" spans="1:13" ht="15" customHeight="1" x14ac:dyDescent="0.3">
      <c r="A145" s="70" t="s">
        <v>2152</v>
      </c>
      <c r="B145" s="100" t="s">
        <v>2153</v>
      </c>
      <c r="C145" s="101" t="s">
        <v>339</v>
      </c>
      <c r="D145" s="76" t="str">
        <f>IFERROR(INDEX(M_User!$A$12:$J$67,MATCH(C145,M_User!$D$12:$D$67,0),3),"UNMAPPED")</f>
        <v>Erick K. Mkama</v>
      </c>
      <c r="E145" s="75" t="str">
        <f>IFERROR(INDEX(M_User!$A$12:$J$67,MATCH(C145,M_User!$D$12:$D$67,0),5),"UNMAPPED")</f>
        <v>MOS</v>
      </c>
      <c r="F145" s="101" t="s">
        <v>187</v>
      </c>
      <c r="G145" s="76" t="str">
        <f>IFERROR(INDEX(M_SKU!$A$18:$J$57,MATCH(F145,M_SKU!$B$18:$B$57,0),1),"UNKNOWN SKU")</f>
        <v>Sprite 350ml</v>
      </c>
      <c r="H145" s="101" t="s">
        <v>535</v>
      </c>
      <c r="I145" s="102">
        <f>SUMIF(T_Load!$U$9:$U$439,B145,T_Load!$O$9:$O$439)</f>
        <v>10</v>
      </c>
      <c r="J145" s="102">
        <f>SUMIF(T_Sales!$O$9:$O$1164,B145,T_Sales!$L$9:$L$1164)</f>
        <v>8.4082906670698101</v>
      </c>
      <c r="K145" s="103">
        <f t="shared" si="2"/>
        <v>1.5917093329301899</v>
      </c>
      <c r="L145" s="80">
        <v>46179</v>
      </c>
      <c r="M145" s="78" t="s">
        <v>1883</v>
      </c>
    </row>
    <row r="146" spans="1:13" ht="15" customHeight="1" x14ac:dyDescent="0.3">
      <c r="A146" s="60" t="s">
        <v>2154</v>
      </c>
      <c r="B146" s="97" t="s">
        <v>2155</v>
      </c>
      <c r="C146" s="63" t="s">
        <v>339</v>
      </c>
      <c r="D146" s="66" t="str">
        <f>IFERROR(INDEX(M_User!$A$12:$J$67,MATCH(C146,M_User!$D$12:$D$67,0),3),"UNMAPPED")</f>
        <v>Erick K. Mkama</v>
      </c>
      <c r="E146" s="65" t="str">
        <f>IFERROR(INDEX(M_User!$A$12:$J$67,MATCH(C146,M_User!$D$12:$D$67,0),5),"UNMAPPED")</f>
        <v>MOS</v>
      </c>
      <c r="F146" s="63" t="s">
        <v>190</v>
      </c>
      <c r="G146" s="66" t="str">
        <f>IFERROR(INDEX(M_SKU!$A$18:$J$57,MATCH(F146,M_SKU!$B$18:$B$57,0),1),"UNKNOWN SKU")</f>
        <v>Stoney Tangawizi RGB 350ml</v>
      </c>
      <c r="H146" s="63" t="s">
        <v>536</v>
      </c>
      <c r="I146" s="98">
        <f>SUMIF(T_Load!$U$9:$U$439,B146,T_Load!$O$9:$O$439)</f>
        <v>3</v>
      </c>
      <c r="J146" s="98">
        <f>SUMIF(T_Sales!$O$9:$O$1164,B146,T_Sales!$L$9:$L$1164)</f>
        <v>2.2923825643082978</v>
      </c>
      <c r="K146" s="99">
        <f t="shared" si="2"/>
        <v>0.70761743569170221</v>
      </c>
      <c r="L146" s="62">
        <v>46179</v>
      </c>
      <c r="M146" s="68" t="s">
        <v>1883</v>
      </c>
    </row>
    <row r="147" spans="1:13" ht="15" customHeight="1" x14ac:dyDescent="0.3">
      <c r="A147" s="70" t="s">
        <v>2156</v>
      </c>
      <c r="B147" s="100" t="s">
        <v>2157</v>
      </c>
      <c r="C147" s="101" t="s">
        <v>339</v>
      </c>
      <c r="D147" s="76" t="str">
        <f>IFERROR(INDEX(M_User!$A$12:$J$67,MATCH(C147,M_User!$D$12:$D$67,0),3),"UNMAPPED")</f>
        <v>Erick K. Mkama</v>
      </c>
      <c r="E147" s="75" t="str">
        <f>IFERROR(INDEX(M_User!$A$12:$J$67,MATCH(C147,M_User!$D$12:$D$67,0),5),"UNMAPPED")</f>
        <v>MOS</v>
      </c>
      <c r="F147" s="101" t="s">
        <v>193</v>
      </c>
      <c r="G147" s="76" t="str">
        <f>IFERROR(INDEX(M_SKU!$A$18:$J$57,MATCH(F147,M_SKU!$B$18:$B$57,0),1),"UNKNOWN SKU")</f>
        <v>Sparletta Pinenut RGB 350ml</v>
      </c>
      <c r="H147" s="101" t="s">
        <v>580</v>
      </c>
      <c r="I147" s="102">
        <f>SUMIF(T_Load!$U$9:$U$439,B147,T_Load!$O$9:$O$439)</f>
        <v>3</v>
      </c>
      <c r="J147" s="102">
        <f>SUMIF(T_Sales!$O$9:$O$1164,B147,T_Sales!$L$9:$L$1164)</f>
        <v>2.272478841587994</v>
      </c>
      <c r="K147" s="103">
        <f t="shared" si="2"/>
        <v>0.72752115841200604</v>
      </c>
      <c r="L147" s="80">
        <v>46179</v>
      </c>
      <c r="M147" s="78" t="s">
        <v>1883</v>
      </c>
    </row>
    <row r="148" spans="1:13" ht="15" customHeight="1" x14ac:dyDescent="0.3">
      <c r="A148" s="60" t="s">
        <v>2158</v>
      </c>
      <c r="B148" s="97" t="s">
        <v>2159</v>
      </c>
      <c r="C148" s="63" t="s">
        <v>339</v>
      </c>
      <c r="D148" s="66" t="str">
        <f>IFERROR(INDEX(M_User!$A$12:$J$67,MATCH(C148,M_User!$D$12:$D$67,0),3),"UNMAPPED")</f>
        <v>Erick K. Mkama</v>
      </c>
      <c r="E148" s="65" t="str">
        <f>IFERROR(INDEX(M_User!$A$12:$J$67,MATCH(C148,M_User!$D$12:$D$67,0),5),"UNMAPPED")</f>
        <v>MOS</v>
      </c>
      <c r="F148" s="63" t="s">
        <v>196</v>
      </c>
      <c r="G148" s="66" t="str">
        <f>IFERROR(INDEX(M_SKU!$A$18:$J$57,MATCH(F148,M_SKU!$B$18:$B$57,0),1),"UNKNOWN SKU")</f>
        <v>Krest Bitter Lemon RGB 300ml</v>
      </c>
      <c r="H148" s="63" t="s">
        <v>538</v>
      </c>
      <c r="I148" s="98">
        <f>SUMIF(T_Load!$U$9:$U$439,B148,T_Load!$O$9:$O$439)</f>
        <v>3</v>
      </c>
      <c r="J148" s="98">
        <f>SUMIF(T_Sales!$O$9:$O$1164,B148,T_Sales!$L$9:$L$1164)</f>
        <v>2.3873835787911868</v>
      </c>
      <c r="K148" s="99">
        <f t="shared" si="2"/>
        <v>0.61261642120881321</v>
      </c>
      <c r="L148" s="62">
        <v>46179</v>
      </c>
      <c r="M148" s="68" t="s">
        <v>1883</v>
      </c>
    </row>
    <row r="149" spans="1:13" ht="15" customHeight="1" x14ac:dyDescent="0.3">
      <c r="A149" s="70" t="s">
        <v>2160</v>
      </c>
      <c r="B149" s="100" t="s">
        <v>2161</v>
      </c>
      <c r="C149" s="101" t="s">
        <v>339</v>
      </c>
      <c r="D149" s="76" t="str">
        <f>IFERROR(INDEX(M_User!$A$12:$J$67,MATCH(C149,M_User!$D$12:$D$67,0),3),"UNMAPPED")</f>
        <v>Erick K. Mkama</v>
      </c>
      <c r="E149" s="75" t="str">
        <f>IFERROR(INDEX(M_User!$A$12:$J$67,MATCH(C149,M_User!$D$12:$D$67,0),5),"UNMAPPED")</f>
        <v>MOS</v>
      </c>
      <c r="F149" s="101" t="s">
        <v>199</v>
      </c>
      <c r="G149" s="76" t="str">
        <f>IFERROR(INDEX(M_SKU!$A$18:$J$57,MATCH(F149,M_SKU!$B$18:$B$57,0),1),"UNKNOWN SKU")</f>
        <v>Krest Club Soda RGB 300ml</v>
      </c>
      <c r="H149" s="101" t="s">
        <v>539</v>
      </c>
      <c r="I149" s="102">
        <f>SUMIF(T_Load!$U$9:$U$439,B149,T_Load!$O$9:$O$439)</f>
        <v>2</v>
      </c>
      <c r="J149" s="102">
        <f>SUMIF(T_Sales!$O$9:$O$1164,B149,T_Sales!$L$9:$L$1164)</f>
        <v>1.7067307396138971</v>
      </c>
      <c r="K149" s="103">
        <f t="shared" si="2"/>
        <v>0.2932692603861029</v>
      </c>
      <c r="L149" s="80">
        <v>46179</v>
      </c>
      <c r="M149" s="78" t="s">
        <v>1883</v>
      </c>
    </row>
    <row r="150" spans="1:13" ht="15" customHeight="1" x14ac:dyDescent="0.3">
      <c r="A150" s="60" t="s">
        <v>2162</v>
      </c>
      <c r="B150" s="97" t="s">
        <v>2163</v>
      </c>
      <c r="C150" s="63" t="s">
        <v>339</v>
      </c>
      <c r="D150" s="66" t="str">
        <f>IFERROR(INDEX(M_User!$A$12:$J$67,MATCH(C150,M_User!$D$12:$D$67,0),3),"UNMAPPED")</f>
        <v>Erick K. Mkama</v>
      </c>
      <c r="E150" s="65" t="str">
        <f>IFERROR(INDEX(M_User!$A$12:$J$67,MATCH(C150,M_User!$D$12:$D$67,0),5),"UNMAPPED")</f>
        <v>MOS</v>
      </c>
      <c r="F150" s="63" t="s">
        <v>201</v>
      </c>
      <c r="G150" s="66" t="str">
        <f>IFERROR(INDEX(M_SKU!$A$18:$J$57,MATCH(F150,M_SKU!$B$18:$B$57,0),1),"UNKNOWN SKU")</f>
        <v>Krest Tonic Water RGB 300ml</v>
      </c>
      <c r="H150" s="63" t="s">
        <v>540</v>
      </c>
      <c r="I150" s="98">
        <f>SUMIF(T_Load!$U$9:$U$439,B150,T_Load!$O$9:$O$439)</f>
        <v>3</v>
      </c>
      <c r="J150" s="98">
        <f>SUMIF(T_Sales!$O$9:$O$1164,B150,T_Sales!$L$9:$L$1164)</f>
        <v>2.3986208369971571</v>
      </c>
      <c r="K150" s="99">
        <f t="shared" si="2"/>
        <v>0.60137916300284289</v>
      </c>
      <c r="L150" s="62">
        <v>46179</v>
      </c>
      <c r="M150" s="68" t="s">
        <v>1883</v>
      </c>
    </row>
    <row r="151" spans="1:13" ht="15" customHeight="1" x14ac:dyDescent="0.3">
      <c r="A151" s="70" t="s">
        <v>2164</v>
      </c>
      <c r="B151" s="100" t="s">
        <v>2165</v>
      </c>
      <c r="C151" s="101" t="s">
        <v>339</v>
      </c>
      <c r="D151" s="76" t="str">
        <f>IFERROR(INDEX(M_User!$A$12:$J$67,MATCH(C151,M_User!$D$12:$D$67,0),3),"UNMAPPED")</f>
        <v>Erick K. Mkama</v>
      </c>
      <c r="E151" s="75" t="str">
        <f>IFERROR(INDEX(M_User!$A$12:$J$67,MATCH(C151,M_User!$D$12:$D$67,0),5),"UNMAPPED")</f>
        <v>MOS</v>
      </c>
      <c r="F151" s="101" t="s">
        <v>203</v>
      </c>
      <c r="G151" s="76" t="str">
        <f>IFERROR(INDEX(M_SKU!$A$18:$J$57,MATCH(F151,M_SKU!$B$18:$B$57,0),1),"UNKNOWN SKU")</f>
        <v>Krest Ginger Ale RGB 300ml</v>
      </c>
      <c r="H151" s="101" t="s">
        <v>541</v>
      </c>
      <c r="I151" s="102">
        <f>SUMIF(T_Load!$U$9:$U$439,B151,T_Load!$O$9:$O$439)</f>
        <v>2</v>
      </c>
      <c r="J151" s="102">
        <f>SUMIF(T_Sales!$O$9:$O$1164,B151,T_Sales!$L$9:$L$1164)</f>
        <v>1.7311238367653601</v>
      </c>
      <c r="K151" s="103">
        <f t="shared" si="2"/>
        <v>0.26887616323463992</v>
      </c>
      <c r="L151" s="80">
        <v>46179</v>
      </c>
      <c r="M151" s="78" t="s">
        <v>1883</v>
      </c>
    </row>
    <row r="152" spans="1:13" ht="15" customHeight="1" x14ac:dyDescent="0.3">
      <c r="A152" s="60" t="s">
        <v>2166</v>
      </c>
      <c r="B152" s="97" t="s">
        <v>2167</v>
      </c>
      <c r="C152" s="63" t="s">
        <v>339</v>
      </c>
      <c r="D152" s="66" t="str">
        <f>IFERROR(INDEX(M_User!$A$12:$J$67,MATCH(C152,M_User!$D$12:$D$67,0),3),"UNMAPPED")</f>
        <v>Erick K. Mkama</v>
      </c>
      <c r="E152" s="65" t="str">
        <f>IFERROR(INDEX(M_User!$A$12:$J$67,MATCH(C152,M_User!$D$12:$D$67,0),5),"UNMAPPED")</f>
        <v>MOS</v>
      </c>
      <c r="F152" s="63" t="s">
        <v>209</v>
      </c>
      <c r="G152" s="66" t="str">
        <f>IFERROR(INDEX(M_SKU!$A$18:$J$57,MATCH(F152,M_SKU!$B$18:$B$57,0),1),"UNKNOWN SKU")</f>
        <v>Sparletta Red Apple RGB 350ml</v>
      </c>
      <c r="H152" s="63" t="s">
        <v>542</v>
      </c>
      <c r="I152" s="98">
        <f>SUMIF(T_Load!$U$9:$U$439,B152,T_Load!$O$9:$O$439)</f>
        <v>2</v>
      </c>
      <c r="J152" s="98">
        <f>SUMIF(T_Sales!$O$9:$O$1164,B152,T_Sales!$L$9:$L$1164)</f>
        <v>1.7718840494674959</v>
      </c>
      <c r="K152" s="99">
        <f t="shared" si="2"/>
        <v>0.22811595053250411</v>
      </c>
      <c r="L152" s="62">
        <v>46179</v>
      </c>
      <c r="M152" s="68" t="s">
        <v>1883</v>
      </c>
    </row>
    <row r="153" spans="1:13" ht="15" customHeight="1" x14ac:dyDescent="0.3">
      <c r="A153" s="70" t="s">
        <v>2168</v>
      </c>
      <c r="B153" s="100" t="s">
        <v>2169</v>
      </c>
      <c r="C153" s="101" t="s">
        <v>339</v>
      </c>
      <c r="D153" s="76" t="str">
        <f>IFERROR(INDEX(M_User!$A$12:$J$67,MATCH(C153,M_User!$D$12:$D$67,0),3),"UNMAPPED")</f>
        <v>Erick K. Mkama</v>
      </c>
      <c r="E153" s="75" t="str">
        <f>IFERROR(INDEX(M_User!$A$12:$J$67,MATCH(C153,M_User!$D$12:$D$67,0),5),"UNMAPPED")</f>
        <v>MOS</v>
      </c>
      <c r="F153" s="101" t="s">
        <v>211</v>
      </c>
      <c r="G153" s="76" t="str">
        <f>IFERROR(INDEX(M_SKU!$A$18:$J$57,MATCH(F153,M_SKU!$B$18:$B$57,0),1),"UNKNOWN SKU")</f>
        <v>KNMW 500ml</v>
      </c>
      <c r="H153" s="101" t="s">
        <v>543</v>
      </c>
      <c r="I153" s="102">
        <f>SUMIF(T_Load!$U$9:$U$439,B153,T_Load!$O$9:$O$439)</f>
        <v>50</v>
      </c>
      <c r="J153" s="102">
        <f>SUMIF(T_Sales!$O$9:$O$1164,B153,T_Sales!$L$9:$L$1164)</f>
        <v>39</v>
      </c>
      <c r="K153" s="103">
        <f t="shared" si="2"/>
        <v>11</v>
      </c>
      <c r="L153" s="80">
        <v>46179</v>
      </c>
      <c r="M153" s="78" t="s">
        <v>1883</v>
      </c>
    </row>
    <row r="154" spans="1:13" ht="15" customHeight="1" x14ac:dyDescent="0.3">
      <c r="A154" s="60" t="s">
        <v>2170</v>
      </c>
      <c r="B154" s="97" t="s">
        <v>2171</v>
      </c>
      <c r="C154" s="63" t="s">
        <v>339</v>
      </c>
      <c r="D154" s="66" t="str">
        <f>IFERROR(INDEX(M_User!$A$12:$J$67,MATCH(C154,M_User!$D$12:$D$67,0),3),"UNMAPPED")</f>
        <v>Erick K. Mkama</v>
      </c>
      <c r="E154" s="65" t="str">
        <f>IFERROR(INDEX(M_User!$A$12:$J$67,MATCH(C154,M_User!$D$12:$D$67,0),5),"UNMAPPED")</f>
        <v>MOS</v>
      </c>
      <c r="F154" s="63" t="s">
        <v>217</v>
      </c>
      <c r="G154" s="66" t="str">
        <f>IFERROR(INDEX(M_SKU!$A$18:$J$57,MATCH(F154,M_SKU!$B$18:$B$57,0),1),"UNKNOWN SKU")</f>
        <v>KNMW 1500ml</v>
      </c>
      <c r="H154" s="63" t="s">
        <v>551</v>
      </c>
      <c r="I154" s="98">
        <f>SUMIF(T_Load!$U$9:$U$439,B154,T_Load!$O$9:$O$439)</f>
        <v>90</v>
      </c>
      <c r="J154" s="98">
        <f>SUMIF(T_Sales!$O$9:$O$1164,B154,T_Sales!$L$9:$L$1164)</f>
        <v>81</v>
      </c>
      <c r="K154" s="99">
        <f t="shared" si="2"/>
        <v>9</v>
      </c>
      <c r="L154" s="62">
        <v>46179</v>
      </c>
      <c r="M154" s="68" t="s">
        <v>1883</v>
      </c>
    </row>
    <row r="155" spans="1:13" ht="15" customHeight="1" x14ac:dyDescent="0.3">
      <c r="A155" s="70" t="s">
        <v>2172</v>
      </c>
      <c r="B155" s="100" t="s">
        <v>2173</v>
      </c>
      <c r="C155" s="101" t="s">
        <v>339</v>
      </c>
      <c r="D155" s="76" t="str">
        <f>IFERROR(INDEX(M_User!$A$12:$J$67,MATCH(C155,M_User!$D$12:$D$67,0),3),"UNMAPPED")</f>
        <v>Erick K. Mkama</v>
      </c>
      <c r="E155" s="75" t="str">
        <f>IFERROR(INDEX(M_User!$A$12:$J$67,MATCH(C155,M_User!$D$12:$D$67,0),5),"UNMAPPED")</f>
        <v>MOS</v>
      </c>
      <c r="F155" s="101" t="s">
        <v>229</v>
      </c>
      <c r="G155" s="76" t="str">
        <f>IFERROR(INDEX(M_SKU!$A$18:$J$57,MATCH(F155,M_SKU!$B$18:$B$57,0),1),"UNKNOWN SKU")</f>
        <v>Coke Pet 500ML ( x12)</v>
      </c>
      <c r="H155" s="101" t="s">
        <v>520</v>
      </c>
      <c r="I155" s="102">
        <f>SUMIF(T_Load!$U$9:$U$439,B155,T_Load!$O$9:$O$439)</f>
        <v>50</v>
      </c>
      <c r="J155" s="102">
        <f>SUMIF(T_Sales!$O$9:$O$1164,B155,T_Sales!$L$9:$L$1164)</f>
        <v>45</v>
      </c>
      <c r="K155" s="103">
        <f t="shared" si="2"/>
        <v>5</v>
      </c>
      <c r="L155" s="80">
        <v>46179</v>
      </c>
      <c r="M155" s="78" t="s">
        <v>1883</v>
      </c>
    </row>
    <row r="156" spans="1:13" ht="15" customHeight="1" x14ac:dyDescent="0.3">
      <c r="A156" s="60" t="s">
        <v>2174</v>
      </c>
      <c r="B156" s="97" t="s">
        <v>2175</v>
      </c>
      <c r="C156" s="63" t="s">
        <v>339</v>
      </c>
      <c r="D156" s="66" t="str">
        <f>IFERROR(INDEX(M_User!$A$12:$J$67,MATCH(C156,M_User!$D$12:$D$67,0),3),"UNMAPPED")</f>
        <v>Erick K. Mkama</v>
      </c>
      <c r="E156" s="65" t="str">
        <f>IFERROR(INDEX(M_User!$A$12:$J$67,MATCH(C156,M_User!$D$12:$D$67,0),5),"UNMAPPED")</f>
        <v>MOS</v>
      </c>
      <c r="F156" s="63" t="s">
        <v>232</v>
      </c>
      <c r="G156" s="66" t="str">
        <f>IFERROR(INDEX(M_SKU!$A$18:$J$57,MATCH(F156,M_SKU!$B$18:$B$57,0),1),"UNKNOWN SKU")</f>
        <v>Sprite Pet 500ML (x 12)</v>
      </c>
      <c r="H156" s="63" t="s">
        <v>522</v>
      </c>
      <c r="I156" s="98">
        <f>SUMIF(T_Load!$U$9:$U$439,B156,T_Load!$O$9:$O$439)</f>
        <v>10</v>
      </c>
      <c r="J156" s="98">
        <f>SUMIF(T_Sales!$O$9:$O$1164,B156,T_Sales!$L$9:$L$1164)</f>
        <v>8</v>
      </c>
      <c r="K156" s="99">
        <f t="shared" si="2"/>
        <v>2</v>
      </c>
      <c r="L156" s="62">
        <v>46179</v>
      </c>
      <c r="M156" s="68" t="s">
        <v>1883</v>
      </c>
    </row>
    <row r="157" spans="1:13" ht="15" customHeight="1" x14ac:dyDescent="0.3">
      <c r="A157" s="70" t="s">
        <v>2176</v>
      </c>
      <c r="B157" s="100" t="s">
        <v>2177</v>
      </c>
      <c r="C157" s="101" t="s">
        <v>339</v>
      </c>
      <c r="D157" s="76" t="str">
        <f>IFERROR(INDEX(M_User!$A$12:$J$67,MATCH(C157,M_User!$D$12:$D$67,0),3),"UNMAPPED")</f>
        <v>Erick K. Mkama</v>
      </c>
      <c r="E157" s="75" t="str">
        <f>IFERROR(INDEX(M_User!$A$12:$J$67,MATCH(C157,M_User!$D$12:$D$67,0),5),"UNMAPPED")</f>
        <v>MOS</v>
      </c>
      <c r="F157" s="101" t="s">
        <v>234</v>
      </c>
      <c r="G157" s="76" t="str">
        <f>IFERROR(INDEX(M_SKU!$A$18:$J$57,MATCH(F157,M_SKU!$B$18:$B$57,0),1),"UNKNOWN SKU")</f>
        <v>Fanta Orange Pet 500ML ( x 12)</v>
      </c>
      <c r="H157" s="101" t="s">
        <v>523</v>
      </c>
      <c r="I157" s="102">
        <f>SUMIF(T_Load!$U$9:$U$439,B157,T_Load!$O$9:$O$439)</f>
        <v>30</v>
      </c>
      <c r="J157" s="102">
        <f>SUMIF(T_Sales!$O$9:$O$1164,B157,T_Sales!$L$9:$L$1164)</f>
        <v>24</v>
      </c>
      <c r="K157" s="103">
        <f t="shared" si="2"/>
        <v>6</v>
      </c>
      <c r="L157" s="80">
        <v>46179</v>
      </c>
      <c r="M157" s="78" t="s">
        <v>1883</v>
      </c>
    </row>
    <row r="158" spans="1:13" ht="15" customHeight="1" x14ac:dyDescent="0.3">
      <c r="A158" s="60" t="s">
        <v>2178</v>
      </c>
      <c r="B158" s="97" t="s">
        <v>2179</v>
      </c>
      <c r="C158" s="63" t="s">
        <v>339</v>
      </c>
      <c r="D158" s="66" t="str">
        <f>IFERROR(INDEX(M_User!$A$12:$J$67,MATCH(C158,M_User!$D$12:$D$67,0),3),"UNMAPPED")</f>
        <v>Erick K. Mkama</v>
      </c>
      <c r="E158" s="65" t="str">
        <f>IFERROR(INDEX(M_User!$A$12:$J$67,MATCH(C158,M_User!$D$12:$D$67,0),5),"UNMAPPED")</f>
        <v>MOS</v>
      </c>
      <c r="F158" s="63" t="s">
        <v>236</v>
      </c>
      <c r="G158" s="66" t="str">
        <f>IFERROR(INDEX(M_SKU!$A$18:$J$57,MATCH(F158,M_SKU!$B$18:$B$57,0),1),"UNKNOWN SKU")</f>
        <v>Fanta Passion Pet 500ML ( x12)</v>
      </c>
      <c r="H158" s="63" t="s">
        <v>524</v>
      </c>
      <c r="I158" s="98">
        <f>SUMIF(T_Load!$U$9:$U$439,B158,T_Load!$O$9:$O$439)</f>
        <v>8</v>
      </c>
      <c r="J158" s="98">
        <f>SUMIF(T_Sales!$O$9:$O$1164,B158,T_Sales!$L$9:$L$1164)</f>
        <v>7</v>
      </c>
      <c r="K158" s="99">
        <f t="shared" si="2"/>
        <v>1</v>
      </c>
      <c r="L158" s="62">
        <v>46179</v>
      </c>
      <c r="M158" s="68" t="s">
        <v>1883</v>
      </c>
    </row>
    <row r="159" spans="1:13" ht="15" customHeight="1" x14ac:dyDescent="0.3">
      <c r="A159" s="70" t="s">
        <v>2180</v>
      </c>
      <c r="B159" s="100" t="s">
        <v>2181</v>
      </c>
      <c r="C159" s="101" t="s">
        <v>339</v>
      </c>
      <c r="D159" s="76" t="str">
        <f>IFERROR(INDEX(M_User!$A$12:$J$67,MATCH(C159,M_User!$D$12:$D$67,0),3),"UNMAPPED")</f>
        <v>Erick K. Mkama</v>
      </c>
      <c r="E159" s="75" t="str">
        <f>IFERROR(INDEX(M_User!$A$12:$J$67,MATCH(C159,M_User!$D$12:$D$67,0),5),"UNMAPPED")</f>
        <v>MOS</v>
      </c>
      <c r="F159" s="101" t="s">
        <v>240</v>
      </c>
      <c r="G159" s="76" t="str">
        <f>IFERROR(INDEX(M_SKU!$A$18:$J$57,MATCH(F159,M_SKU!$B$18:$B$57,0),1),"UNKNOWN SKU")</f>
        <v>Fanta Fruit Blast Pet 500ML (x12)</v>
      </c>
      <c r="H159" s="101" t="s">
        <v>553</v>
      </c>
      <c r="I159" s="102">
        <f>SUMIF(T_Load!$U$9:$U$439,B159,T_Load!$O$9:$O$439)</f>
        <v>5</v>
      </c>
      <c r="J159" s="102">
        <f>SUMIF(T_Sales!$O$9:$O$1164,B159,T_Sales!$L$9:$L$1164)</f>
        <v>4</v>
      </c>
      <c r="K159" s="103">
        <f t="shared" si="2"/>
        <v>1</v>
      </c>
      <c r="L159" s="80">
        <v>46179</v>
      </c>
      <c r="M159" s="78" t="s">
        <v>1883</v>
      </c>
    </row>
    <row r="160" spans="1:13" ht="15" customHeight="1" x14ac:dyDescent="0.3">
      <c r="A160" s="60" t="s">
        <v>2182</v>
      </c>
      <c r="B160" s="97" t="s">
        <v>2183</v>
      </c>
      <c r="C160" s="63" t="s">
        <v>339</v>
      </c>
      <c r="D160" s="66" t="str">
        <f>IFERROR(INDEX(M_User!$A$12:$J$67,MATCH(C160,M_User!$D$12:$D$67,0),3),"UNMAPPED")</f>
        <v>Erick K. Mkama</v>
      </c>
      <c r="E160" s="65" t="str">
        <f>IFERROR(INDEX(M_User!$A$12:$J$67,MATCH(C160,M_User!$D$12:$D$67,0),5),"UNMAPPED")</f>
        <v>MOS</v>
      </c>
      <c r="F160" s="63" t="s">
        <v>242</v>
      </c>
      <c r="G160" s="66" t="str">
        <f>IFERROR(INDEX(M_SKU!$A$18:$J$57,MATCH(F160,M_SKU!$B$18:$B$57,0),1),"UNKNOWN SKU")</f>
        <v>Stoney Tangawizi Pet 500 ml ( x12)</v>
      </c>
      <c r="H160" s="63" t="s">
        <v>525</v>
      </c>
      <c r="I160" s="98">
        <f>SUMIF(T_Load!$U$9:$U$439,B160,T_Load!$O$9:$O$439)</f>
        <v>3</v>
      </c>
      <c r="J160" s="98">
        <f>SUMIF(T_Sales!$O$9:$O$1164,B160,T_Sales!$L$9:$L$1164)</f>
        <v>2</v>
      </c>
      <c r="K160" s="99">
        <f t="shared" si="2"/>
        <v>1</v>
      </c>
      <c r="L160" s="62">
        <v>46179</v>
      </c>
      <c r="M160" s="68" t="s">
        <v>1883</v>
      </c>
    </row>
    <row r="161" spans="1:13" ht="15" customHeight="1" x14ac:dyDescent="0.3">
      <c r="A161" s="70" t="s">
        <v>2184</v>
      </c>
      <c r="B161" s="100" t="s">
        <v>2185</v>
      </c>
      <c r="C161" s="101" t="s">
        <v>339</v>
      </c>
      <c r="D161" s="76" t="str">
        <f>IFERROR(INDEX(M_User!$A$12:$J$67,MATCH(C161,M_User!$D$12:$D$67,0),3),"UNMAPPED")</f>
        <v>Erick K. Mkama</v>
      </c>
      <c r="E161" s="75" t="str">
        <f>IFERROR(INDEX(M_User!$A$12:$J$67,MATCH(C161,M_User!$D$12:$D$67,0),5),"UNMAPPED")</f>
        <v>MOS</v>
      </c>
      <c r="F161" s="101" t="s">
        <v>244</v>
      </c>
      <c r="G161" s="76" t="str">
        <f>IFERROR(INDEX(M_SKU!$A$18:$J$57,MATCH(F161,M_SKU!$B$18:$B$57,0),1),"UNKNOWN SKU")</f>
        <v>Sparletta Pinenut Pet 500 ml ( x12)</v>
      </c>
      <c r="H161" s="101" t="s">
        <v>526</v>
      </c>
      <c r="I161" s="102">
        <f>SUMIF(T_Load!$U$9:$U$439,B161,T_Load!$O$9:$O$439)</f>
        <v>3</v>
      </c>
      <c r="J161" s="102">
        <f>SUMIF(T_Sales!$O$9:$O$1164,B161,T_Sales!$L$9:$L$1164)</f>
        <v>3</v>
      </c>
      <c r="K161" s="103">
        <f t="shared" si="2"/>
        <v>0</v>
      </c>
      <c r="L161" s="80">
        <v>46179</v>
      </c>
      <c r="M161" s="78" t="s">
        <v>1883</v>
      </c>
    </row>
    <row r="162" spans="1:13" ht="15" customHeight="1" x14ac:dyDescent="0.3">
      <c r="A162" s="60" t="s">
        <v>2186</v>
      </c>
      <c r="B162" s="97" t="s">
        <v>2187</v>
      </c>
      <c r="C162" s="63" t="s">
        <v>339</v>
      </c>
      <c r="D162" s="66" t="str">
        <f>IFERROR(INDEX(M_User!$A$12:$J$67,MATCH(C162,M_User!$D$12:$D$67,0),3),"UNMAPPED")</f>
        <v>Erick K. Mkama</v>
      </c>
      <c r="E162" s="65" t="str">
        <f>IFERROR(INDEX(M_User!$A$12:$J$67,MATCH(C162,M_User!$D$12:$D$67,0),5),"UNMAPPED")</f>
        <v>MOS</v>
      </c>
      <c r="F162" s="63" t="s">
        <v>246</v>
      </c>
      <c r="G162" s="66" t="str">
        <f>IFERROR(INDEX(M_SKU!$A$18:$J$57,MATCH(F162,M_SKU!$B$18:$B$57,0),1),"UNKNOWN SKU")</f>
        <v>Coke Zero Pet 500ML ( X 12)</v>
      </c>
      <c r="H162" s="63" t="s">
        <v>554</v>
      </c>
      <c r="I162" s="98">
        <f>SUMIF(T_Load!$U$9:$U$439,B162,T_Load!$O$9:$O$439)</f>
        <v>5</v>
      </c>
      <c r="J162" s="98">
        <f>SUMIF(T_Sales!$O$9:$O$1164,B162,T_Sales!$L$9:$L$1164)</f>
        <v>4</v>
      </c>
      <c r="K162" s="99">
        <f t="shared" si="2"/>
        <v>1</v>
      </c>
      <c r="L162" s="62">
        <v>46179</v>
      </c>
      <c r="M162" s="68" t="s">
        <v>1883</v>
      </c>
    </row>
    <row r="163" spans="1:13" ht="15" customHeight="1" x14ac:dyDescent="0.3">
      <c r="A163" s="70" t="s">
        <v>2188</v>
      </c>
      <c r="B163" s="100" t="s">
        <v>2189</v>
      </c>
      <c r="C163" s="101" t="s">
        <v>339</v>
      </c>
      <c r="D163" s="76" t="str">
        <f>IFERROR(INDEX(M_User!$A$12:$J$67,MATCH(C163,M_User!$D$12:$D$67,0),3),"UNMAPPED")</f>
        <v>Erick K. Mkama</v>
      </c>
      <c r="E163" s="75" t="str">
        <f>IFERROR(INDEX(M_User!$A$12:$J$67,MATCH(C163,M_User!$D$12:$D$67,0),5),"UNMAPPED")</f>
        <v>MOS</v>
      </c>
      <c r="F163" s="101" t="s">
        <v>252</v>
      </c>
      <c r="G163" s="76" t="str">
        <f>IFERROR(INDEX(M_SKU!$A$18:$J$57,MATCH(F163,M_SKU!$B$18:$B$57,0),1),"UNKNOWN SKU")</f>
        <v>Sprite Zero Pet 300ML (x 12)</v>
      </c>
      <c r="H163" s="101" t="s">
        <v>545</v>
      </c>
      <c r="I163" s="102">
        <f>SUMIF(T_Load!$U$9:$U$439,B163,T_Load!$O$9:$O$439)</f>
        <v>10</v>
      </c>
      <c r="J163" s="102">
        <f>SUMIF(T_Sales!$O$9:$O$1164,B163,T_Sales!$L$9:$L$1164)</f>
        <v>8</v>
      </c>
      <c r="K163" s="103">
        <f t="shared" si="2"/>
        <v>2</v>
      </c>
      <c r="L163" s="80">
        <v>46179</v>
      </c>
      <c r="M163" s="78" t="s">
        <v>1883</v>
      </c>
    </row>
    <row r="164" spans="1:13" ht="15" customHeight="1" x14ac:dyDescent="0.3">
      <c r="A164" s="60" t="s">
        <v>2190</v>
      </c>
      <c r="B164" s="97" t="s">
        <v>2191</v>
      </c>
      <c r="C164" s="63" t="s">
        <v>339</v>
      </c>
      <c r="D164" s="66" t="str">
        <f>IFERROR(INDEX(M_User!$A$12:$J$67,MATCH(C164,M_User!$D$12:$D$67,0),3),"UNMAPPED")</f>
        <v>Erick K. Mkama</v>
      </c>
      <c r="E164" s="65" t="str">
        <f>IFERROR(INDEX(M_User!$A$12:$J$67,MATCH(C164,M_User!$D$12:$D$67,0),5),"UNMAPPED")</f>
        <v>MOS</v>
      </c>
      <c r="F164" s="63" t="s">
        <v>254</v>
      </c>
      <c r="G164" s="66" t="str">
        <f>IFERROR(INDEX(M_SKU!$A$18:$J$57,MATCH(F164,M_SKU!$B$18:$B$57,0),1),"UNKNOWN SKU")</f>
        <v>Fanta Zero Pet 300ML (x 12)</v>
      </c>
      <c r="H164" s="63" t="s">
        <v>546</v>
      </c>
      <c r="I164" s="98">
        <f>SUMIF(T_Load!$U$9:$U$439,B164,T_Load!$O$9:$O$439)</f>
        <v>10</v>
      </c>
      <c r="J164" s="98">
        <f>SUMIF(T_Sales!$O$9:$O$1164,B164,T_Sales!$L$9:$L$1164)</f>
        <v>8</v>
      </c>
      <c r="K164" s="99">
        <f t="shared" si="2"/>
        <v>2</v>
      </c>
      <c r="L164" s="62">
        <v>46179</v>
      </c>
      <c r="M164" s="68" t="s">
        <v>1883</v>
      </c>
    </row>
    <row r="165" spans="1:13" ht="15" customHeight="1" x14ac:dyDescent="0.3">
      <c r="A165" s="70" t="s">
        <v>2192</v>
      </c>
      <c r="B165" s="100" t="s">
        <v>2193</v>
      </c>
      <c r="C165" s="101" t="s">
        <v>339</v>
      </c>
      <c r="D165" s="76" t="str">
        <f>IFERROR(INDEX(M_User!$A$12:$J$67,MATCH(C165,M_User!$D$12:$D$67,0),3),"UNMAPPED")</f>
        <v>Erick K. Mkama</v>
      </c>
      <c r="E165" s="75" t="str">
        <f>IFERROR(INDEX(M_User!$A$12:$J$67,MATCH(C165,M_User!$D$12:$D$67,0),5),"UNMAPPED")</f>
        <v>MOS</v>
      </c>
      <c r="F165" s="101" t="s">
        <v>261</v>
      </c>
      <c r="G165" s="76" t="str">
        <f>IFERROR(INDEX(M_SKU!$A$18:$J$57,MATCH(F165,M_SKU!$B$18:$B$57,0),1),"UNKNOWN SKU")</f>
        <v>Sparletta Pine Apple Pet 300ML (x 12)</v>
      </c>
      <c r="H165" s="101" t="s">
        <v>547</v>
      </c>
      <c r="I165" s="102">
        <f>SUMIF(T_Load!$U$9:$U$439,B165,T_Load!$O$9:$O$439)</f>
        <v>15</v>
      </c>
      <c r="J165" s="102">
        <f>SUMIF(T_Sales!$O$9:$O$1164,B165,T_Sales!$L$9:$L$1164)</f>
        <v>11</v>
      </c>
      <c r="K165" s="103">
        <f t="shared" si="2"/>
        <v>4</v>
      </c>
      <c r="L165" s="80">
        <v>46179</v>
      </c>
      <c r="M165" s="78" t="s">
        <v>1883</v>
      </c>
    </row>
    <row r="166" spans="1:13" ht="15" customHeight="1" x14ac:dyDescent="0.3">
      <c r="A166" s="60" t="s">
        <v>2194</v>
      </c>
      <c r="B166" s="97" t="s">
        <v>2195</v>
      </c>
      <c r="C166" s="63" t="s">
        <v>412</v>
      </c>
      <c r="D166" s="66" t="str">
        <f>IFERROR(INDEX(M_User!$A$12:$J$67,MATCH(C166,M_User!$D$12:$D$67,0),3),"UNMAPPED")</f>
        <v>Jonas Steven Michael</v>
      </c>
      <c r="E166" s="65" t="str">
        <f>IFERROR(INDEX(M_User!$A$12:$J$67,MATCH(C166,M_User!$D$12:$D$67,0),5),"UNMAPPED")</f>
        <v>MOS</v>
      </c>
      <c r="F166" s="63" t="s">
        <v>170</v>
      </c>
      <c r="G166" s="66" t="str">
        <f>IFERROR(INDEX(M_SKU!$A$18:$J$57,MATCH(F166,M_SKU!$B$18:$B$57,0),1),"UNKNOWN SKU")</f>
        <v>Coke RGB 350ml</v>
      </c>
      <c r="H166" s="63" t="s">
        <v>530</v>
      </c>
      <c r="I166" s="98">
        <f>SUMIF(T_Load!$U$9:$U$439,B166,T_Load!$O$9:$O$439)</f>
        <v>74</v>
      </c>
      <c r="J166" s="98">
        <f>SUMIF(T_Sales!$O$9:$O$1164,B166,T_Sales!$L$9:$L$1164)</f>
        <v>56.854464825049156</v>
      </c>
      <c r="K166" s="99">
        <f t="shared" si="2"/>
        <v>17.145535174950844</v>
      </c>
      <c r="L166" s="62">
        <v>46179</v>
      </c>
      <c r="M166" s="68" t="s">
        <v>1883</v>
      </c>
    </row>
    <row r="167" spans="1:13" ht="15" customHeight="1" x14ac:dyDescent="0.3">
      <c r="A167" s="70" t="s">
        <v>2196</v>
      </c>
      <c r="B167" s="100" t="s">
        <v>2197</v>
      </c>
      <c r="C167" s="101" t="s">
        <v>412</v>
      </c>
      <c r="D167" s="76" t="str">
        <f>IFERROR(INDEX(M_User!$A$12:$J$67,MATCH(C167,M_User!$D$12:$D$67,0),3),"UNMAPPED")</f>
        <v>Jonas Steven Michael</v>
      </c>
      <c r="E167" s="75" t="str">
        <f>IFERROR(INDEX(M_User!$A$12:$J$67,MATCH(C167,M_User!$D$12:$D$67,0),5),"UNMAPPED")</f>
        <v>MOS</v>
      </c>
      <c r="F167" s="101" t="s">
        <v>178</v>
      </c>
      <c r="G167" s="76" t="str">
        <f>IFERROR(INDEX(M_SKU!$A$18:$J$57,MATCH(F167,M_SKU!$B$18:$B$57,0),1),"UNKNOWN SKU")</f>
        <v>Fanta Orange RGB 350ml</v>
      </c>
      <c r="H167" s="101" t="s">
        <v>531</v>
      </c>
      <c r="I167" s="102">
        <f>SUMIF(T_Load!$U$9:$U$439,B167,T_Load!$O$9:$O$439)</f>
        <v>25</v>
      </c>
      <c r="J167" s="102">
        <f>SUMIF(T_Sales!$O$9:$O$1164,B167,T_Sales!$L$9:$L$1164)</f>
        <v>22.210926455102648</v>
      </c>
      <c r="K167" s="103">
        <f t="shared" si="2"/>
        <v>2.7890735448973523</v>
      </c>
      <c r="L167" s="80">
        <v>46179</v>
      </c>
      <c r="M167" s="78" t="s">
        <v>1883</v>
      </c>
    </row>
    <row r="168" spans="1:13" ht="15" customHeight="1" x14ac:dyDescent="0.3">
      <c r="A168" s="60" t="s">
        <v>2198</v>
      </c>
      <c r="B168" s="97" t="s">
        <v>2199</v>
      </c>
      <c r="C168" s="63" t="s">
        <v>412</v>
      </c>
      <c r="D168" s="66" t="str">
        <f>IFERROR(INDEX(M_User!$A$12:$J$67,MATCH(C168,M_User!$D$12:$D$67,0),3),"UNMAPPED")</f>
        <v>Jonas Steven Michael</v>
      </c>
      <c r="E168" s="65" t="str">
        <f>IFERROR(INDEX(M_User!$A$12:$J$67,MATCH(C168,M_User!$D$12:$D$67,0),5),"UNMAPPED")</f>
        <v>MOS</v>
      </c>
      <c r="F168" s="63" t="s">
        <v>181</v>
      </c>
      <c r="G168" s="66" t="str">
        <f>IFERROR(INDEX(M_SKU!$A$18:$J$57,MATCH(F168,M_SKU!$B$18:$B$57,0),1),"UNKNOWN SKU")</f>
        <v>Fanta Passion RGB 350ml</v>
      </c>
      <c r="H168" s="63" t="s">
        <v>550</v>
      </c>
      <c r="I168" s="98">
        <f>SUMIF(T_Load!$U$9:$U$439,B168,T_Load!$O$9:$O$439)</f>
        <v>12</v>
      </c>
      <c r="J168" s="98">
        <f>SUMIF(T_Sales!$O$9:$O$1164,B168,T_Sales!$L$9:$L$1164)</f>
        <v>10.9847695840276</v>
      </c>
      <c r="K168" s="99">
        <f t="shared" si="2"/>
        <v>1.0152304159724004</v>
      </c>
      <c r="L168" s="62">
        <v>46179</v>
      </c>
      <c r="M168" s="68" t="s">
        <v>1883</v>
      </c>
    </row>
    <row r="169" spans="1:13" ht="15" customHeight="1" x14ac:dyDescent="0.3">
      <c r="A169" s="70" t="s">
        <v>2200</v>
      </c>
      <c r="B169" s="100" t="s">
        <v>2201</v>
      </c>
      <c r="C169" s="101" t="s">
        <v>412</v>
      </c>
      <c r="D169" s="76" t="str">
        <f>IFERROR(INDEX(M_User!$A$12:$J$67,MATCH(C169,M_User!$D$12:$D$67,0),3),"UNMAPPED")</f>
        <v>Jonas Steven Michael</v>
      </c>
      <c r="E169" s="75" t="str">
        <f>IFERROR(INDEX(M_User!$A$12:$J$67,MATCH(C169,M_User!$D$12:$D$67,0),5),"UNMAPPED")</f>
        <v>MOS</v>
      </c>
      <c r="F169" s="101" t="s">
        <v>183</v>
      </c>
      <c r="G169" s="76" t="str">
        <f>IFERROR(INDEX(M_SKU!$A$18:$J$57,MATCH(F169,M_SKU!$B$18:$B$57,0),1),"UNKNOWN SKU")</f>
        <v>Fanta Pineapple RGB 350ml</v>
      </c>
      <c r="H169" s="101" t="s">
        <v>533</v>
      </c>
      <c r="I169" s="102">
        <f>SUMIF(T_Load!$U$9:$U$439,B169,T_Load!$O$9:$O$439)</f>
        <v>14</v>
      </c>
      <c r="J169" s="102">
        <f>SUMIF(T_Sales!$O$9:$O$1164,B169,T_Sales!$L$9:$L$1164)</f>
        <v>12.733684018303489</v>
      </c>
      <c r="K169" s="103">
        <f t="shared" si="2"/>
        <v>1.2663159816965113</v>
      </c>
      <c r="L169" s="80">
        <v>46179</v>
      </c>
      <c r="M169" s="78" t="s">
        <v>1883</v>
      </c>
    </row>
    <row r="170" spans="1:13" ht="15" customHeight="1" x14ac:dyDescent="0.3">
      <c r="A170" s="60" t="s">
        <v>2202</v>
      </c>
      <c r="B170" s="97" t="s">
        <v>2203</v>
      </c>
      <c r="C170" s="63" t="s">
        <v>412</v>
      </c>
      <c r="D170" s="66" t="str">
        <f>IFERROR(INDEX(M_User!$A$12:$J$67,MATCH(C170,M_User!$D$12:$D$67,0),3),"UNMAPPED")</f>
        <v>Jonas Steven Michael</v>
      </c>
      <c r="E170" s="65" t="str">
        <f>IFERROR(INDEX(M_User!$A$12:$J$67,MATCH(C170,M_User!$D$12:$D$67,0),5),"UNMAPPED")</f>
        <v>MOS</v>
      </c>
      <c r="F170" s="63" t="s">
        <v>185</v>
      </c>
      <c r="G170" s="66" t="str">
        <f>IFERROR(INDEX(M_SKU!$A$18:$J$57,MATCH(F170,M_SKU!$B$18:$B$57,0),1),"UNKNOWN SKU")</f>
        <v>Fanta Fruit Blast RGB 350 ml</v>
      </c>
      <c r="H170" s="63" t="s">
        <v>534</v>
      </c>
      <c r="I170" s="98">
        <f>SUMIF(T_Load!$U$9:$U$439,B170,T_Load!$O$9:$O$439)</f>
        <v>6</v>
      </c>
      <c r="J170" s="98">
        <f>SUMIF(T_Sales!$O$9:$O$1164,B170,T_Sales!$L$9:$L$1164)</f>
        <v>4.9444481596390304</v>
      </c>
      <c r="K170" s="99">
        <f t="shared" si="2"/>
        <v>1.0555518403609696</v>
      </c>
      <c r="L170" s="62">
        <v>46179</v>
      </c>
      <c r="M170" s="68" t="s">
        <v>1883</v>
      </c>
    </row>
    <row r="171" spans="1:13" ht="15" customHeight="1" x14ac:dyDescent="0.3">
      <c r="A171" s="70" t="s">
        <v>2204</v>
      </c>
      <c r="B171" s="100" t="s">
        <v>2205</v>
      </c>
      <c r="C171" s="101" t="s">
        <v>412</v>
      </c>
      <c r="D171" s="76" t="str">
        <f>IFERROR(INDEX(M_User!$A$12:$J$67,MATCH(C171,M_User!$D$12:$D$67,0),3),"UNMAPPED")</f>
        <v>Jonas Steven Michael</v>
      </c>
      <c r="E171" s="75" t="str">
        <f>IFERROR(INDEX(M_User!$A$12:$J$67,MATCH(C171,M_User!$D$12:$D$67,0),5),"UNMAPPED")</f>
        <v>MOS</v>
      </c>
      <c r="F171" s="101" t="s">
        <v>187</v>
      </c>
      <c r="G171" s="76" t="str">
        <f>IFERROR(INDEX(M_SKU!$A$18:$J$57,MATCH(F171,M_SKU!$B$18:$B$57,0),1),"UNKNOWN SKU")</f>
        <v>Sprite 350ml</v>
      </c>
      <c r="H171" s="101" t="s">
        <v>535</v>
      </c>
      <c r="I171" s="102">
        <f>SUMIF(T_Load!$U$9:$U$439,B171,T_Load!$O$9:$O$439)</f>
        <v>17</v>
      </c>
      <c r="J171" s="102">
        <f>SUMIF(T_Sales!$O$9:$O$1164,B171,T_Sales!$L$9:$L$1164)</f>
        <v>15.633706288039388</v>
      </c>
      <c r="K171" s="103">
        <f t="shared" si="2"/>
        <v>1.366293711960612</v>
      </c>
      <c r="L171" s="80">
        <v>46179</v>
      </c>
      <c r="M171" s="78" t="s">
        <v>1883</v>
      </c>
    </row>
    <row r="172" spans="1:13" ht="15" customHeight="1" x14ac:dyDescent="0.3">
      <c r="A172" s="60" t="s">
        <v>2206</v>
      </c>
      <c r="B172" s="97" t="s">
        <v>2207</v>
      </c>
      <c r="C172" s="63" t="s">
        <v>412</v>
      </c>
      <c r="D172" s="66" t="str">
        <f>IFERROR(INDEX(M_User!$A$12:$J$67,MATCH(C172,M_User!$D$12:$D$67,0),3),"UNMAPPED")</f>
        <v>Jonas Steven Michael</v>
      </c>
      <c r="E172" s="65" t="str">
        <f>IFERROR(INDEX(M_User!$A$12:$J$67,MATCH(C172,M_User!$D$12:$D$67,0),5),"UNMAPPED")</f>
        <v>MOS</v>
      </c>
      <c r="F172" s="63" t="s">
        <v>190</v>
      </c>
      <c r="G172" s="66" t="str">
        <f>IFERROR(INDEX(M_SKU!$A$18:$J$57,MATCH(F172,M_SKU!$B$18:$B$57,0),1),"UNKNOWN SKU")</f>
        <v>Stoney Tangawizi RGB 350ml</v>
      </c>
      <c r="H172" s="63" t="s">
        <v>536</v>
      </c>
      <c r="I172" s="98">
        <f>SUMIF(T_Load!$U$9:$U$439,B172,T_Load!$O$9:$O$439)</f>
        <v>6</v>
      </c>
      <c r="J172" s="98">
        <f>SUMIF(T_Sales!$O$9:$O$1164,B172,T_Sales!$L$9:$L$1164)</f>
        <v>4.7722508576883804</v>
      </c>
      <c r="K172" s="99">
        <f t="shared" si="2"/>
        <v>1.2277491423116196</v>
      </c>
      <c r="L172" s="62">
        <v>46179</v>
      </c>
      <c r="M172" s="68" t="s">
        <v>1883</v>
      </c>
    </row>
    <row r="173" spans="1:13" ht="15" customHeight="1" x14ac:dyDescent="0.3">
      <c r="A173" s="70" t="s">
        <v>2208</v>
      </c>
      <c r="B173" s="100" t="s">
        <v>2209</v>
      </c>
      <c r="C173" s="101" t="s">
        <v>412</v>
      </c>
      <c r="D173" s="76" t="str">
        <f>IFERROR(INDEX(M_User!$A$12:$J$67,MATCH(C173,M_User!$D$12:$D$67,0),3),"UNMAPPED")</f>
        <v>Jonas Steven Michael</v>
      </c>
      <c r="E173" s="75" t="str">
        <f>IFERROR(INDEX(M_User!$A$12:$J$67,MATCH(C173,M_User!$D$12:$D$67,0),5),"UNMAPPED")</f>
        <v>MOS</v>
      </c>
      <c r="F173" s="101" t="s">
        <v>193</v>
      </c>
      <c r="G173" s="76" t="str">
        <f>IFERROR(INDEX(M_SKU!$A$18:$J$57,MATCH(F173,M_SKU!$B$18:$B$57,0),1),"UNKNOWN SKU")</f>
        <v>Sparletta Pinenut RGB 350ml</v>
      </c>
      <c r="H173" s="101" t="s">
        <v>537</v>
      </c>
      <c r="I173" s="102">
        <f>SUMIF(T_Load!$U$9:$U$439,B173,T_Load!$O$9:$O$439)</f>
        <v>5</v>
      </c>
      <c r="J173" s="102">
        <f>SUMIF(T_Sales!$O$9:$O$1164,B173,T_Sales!$L$9:$L$1164)</f>
        <v>4.0957533315788996</v>
      </c>
      <c r="K173" s="103">
        <f t="shared" si="2"/>
        <v>0.90424666842110035</v>
      </c>
      <c r="L173" s="80">
        <v>46179</v>
      </c>
      <c r="M173" s="78" t="s">
        <v>1883</v>
      </c>
    </row>
    <row r="174" spans="1:13" ht="15" customHeight="1" x14ac:dyDescent="0.3">
      <c r="A174" s="60" t="s">
        <v>2210</v>
      </c>
      <c r="B174" s="97" t="s">
        <v>2211</v>
      </c>
      <c r="C174" s="63" t="s">
        <v>412</v>
      </c>
      <c r="D174" s="66" t="str">
        <f>IFERROR(INDEX(M_User!$A$12:$J$67,MATCH(C174,M_User!$D$12:$D$67,0),3),"UNMAPPED")</f>
        <v>Jonas Steven Michael</v>
      </c>
      <c r="E174" s="65" t="str">
        <f>IFERROR(INDEX(M_User!$A$12:$J$67,MATCH(C174,M_User!$D$12:$D$67,0),5),"UNMAPPED")</f>
        <v>MOS</v>
      </c>
      <c r="F174" s="63" t="s">
        <v>196</v>
      </c>
      <c r="G174" s="66" t="str">
        <f>IFERROR(INDEX(M_SKU!$A$18:$J$57,MATCH(F174,M_SKU!$B$18:$B$57,0),1),"UNKNOWN SKU")</f>
        <v>Krest Bitter Lemon RGB 300ml</v>
      </c>
      <c r="H174" s="63" t="s">
        <v>538</v>
      </c>
      <c r="I174" s="98">
        <f>SUMIF(T_Load!$U$9:$U$439,B174,T_Load!$O$9:$O$439)</f>
        <v>3</v>
      </c>
      <c r="J174" s="98">
        <f>SUMIF(T_Sales!$O$9:$O$1164,B174,T_Sales!$L$9:$L$1164)</f>
        <v>2.2825009863697039</v>
      </c>
      <c r="K174" s="99">
        <f t="shared" si="2"/>
        <v>0.71749901363029611</v>
      </c>
      <c r="L174" s="62">
        <v>46179</v>
      </c>
      <c r="M174" s="68" t="s">
        <v>1883</v>
      </c>
    </row>
    <row r="175" spans="1:13" ht="15" customHeight="1" x14ac:dyDescent="0.3">
      <c r="A175" s="70" t="s">
        <v>2212</v>
      </c>
      <c r="B175" s="100" t="s">
        <v>2213</v>
      </c>
      <c r="C175" s="101" t="s">
        <v>412</v>
      </c>
      <c r="D175" s="76" t="str">
        <f>IFERROR(INDEX(M_User!$A$12:$J$67,MATCH(C175,M_User!$D$12:$D$67,0),3),"UNMAPPED")</f>
        <v>Jonas Steven Michael</v>
      </c>
      <c r="E175" s="75" t="str">
        <f>IFERROR(INDEX(M_User!$A$12:$J$67,MATCH(C175,M_User!$D$12:$D$67,0),5),"UNMAPPED")</f>
        <v>MOS</v>
      </c>
      <c r="F175" s="101" t="s">
        <v>199</v>
      </c>
      <c r="G175" s="76" t="str">
        <f>IFERROR(INDEX(M_SKU!$A$18:$J$57,MATCH(F175,M_SKU!$B$18:$B$57,0),1),"UNKNOWN SKU")</f>
        <v>Krest Club Soda RGB 300ml</v>
      </c>
      <c r="H175" s="101" t="s">
        <v>539</v>
      </c>
      <c r="I175" s="102">
        <f>SUMIF(T_Load!$U$9:$U$439,B175,T_Load!$O$9:$O$439)</f>
        <v>3</v>
      </c>
      <c r="J175" s="102">
        <f>SUMIF(T_Sales!$O$9:$O$1164,B175,T_Sales!$L$9:$L$1164)</f>
        <v>2.2827717466901998</v>
      </c>
      <c r="K175" s="103">
        <f t="shared" si="2"/>
        <v>0.71722825330980022</v>
      </c>
      <c r="L175" s="80">
        <v>46179</v>
      </c>
      <c r="M175" s="78" t="s">
        <v>1883</v>
      </c>
    </row>
    <row r="176" spans="1:13" ht="15" customHeight="1" x14ac:dyDescent="0.3">
      <c r="A176" s="60" t="s">
        <v>2214</v>
      </c>
      <c r="B176" s="97" t="s">
        <v>2215</v>
      </c>
      <c r="C176" s="63" t="s">
        <v>412</v>
      </c>
      <c r="D176" s="66" t="str">
        <f>IFERROR(INDEX(M_User!$A$12:$J$67,MATCH(C176,M_User!$D$12:$D$67,0),3),"UNMAPPED")</f>
        <v>Jonas Steven Michael</v>
      </c>
      <c r="E176" s="65" t="str">
        <f>IFERROR(INDEX(M_User!$A$12:$J$67,MATCH(C176,M_User!$D$12:$D$67,0),5),"UNMAPPED")</f>
        <v>MOS</v>
      </c>
      <c r="F176" s="63" t="s">
        <v>201</v>
      </c>
      <c r="G176" s="66" t="str">
        <f>IFERROR(INDEX(M_SKU!$A$18:$J$57,MATCH(F176,M_SKU!$B$18:$B$57,0),1),"UNKNOWN SKU")</f>
        <v>Krest Tonic Water RGB 300ml</v>
      </c>
      <c r="H176" s="63" t="s">
        <v>540</v>
      </c>
      <c r="I176" s="98">
        <f>SUMIF(T_Load!$U$9:$U$439,B176,T_Load!$O$9:$O$439)</f>
        <v>3</v>
      </c>
      <c r="J176" s="98">
        <f>SUMIF(T_Sales!$O$9:$O$1164,B176,T_Sales!$L$9:$L$1164)</f>
        <v>2.5718918214338848</v>
      </c>
      <c r="K176" s="99">
        <f t="shared" si="2"/>
        <v>0.42810817856611516</v>
      </c>
      <c r="L176" s="62">
        <v>46179</v>
      </c>
      <c r="M176" s="68" t="s">
        <v>1883</v>
      </c>
    </row>
    <row r="177" spans="1:13" ht="15" customHeight="1" x14ac:dyDescent="0.3">
      <c r="A177" s="70" t="s">
        <v>2216</v>
      </c>
      <c r="B177" s="100" t="s">
        <v>2217</v>
      </c>
      <c r="C177" s="101" t="s">
        <v>412</v>
      </c>
      <c r="D177" s="76" t="str">
        <f>IFERROR(INDEX(M_User!$A$12:$J$67,MATCH(C177,M_User!$D$12:$D$67,0),3),"UNMAPPED")</f>
        <v>Jonas Steven Michael</v>
      </c>
      <c r="E177" s="75" t="str">
        <f>IFERROR(INDEX(M_User!$A$12:$J$67,MATCH(C177,M_User!$D$12:$D$67,0),5),"UNMAPPED")</f>
        <v>MOS</v>
      </c>
      <c r="F177" s="101" t="s">
        <v>203</v>
      </c>
      <c r="G177" s="76" t="str">
        <f>IFERROR(INDEX(M_SKU!$A$18:$J$57,MATCH(F177,M_SKU!$B$18:$B$57,0),1),"UNKNOWN SKU")</f>
        <v>Krest Ginger Ale RGB 300ml</v>
      </c>
      <c r="H177" s="101" t="s">
        <v>541</v>
      </c>
      <c r="I177" s="102">
        <f>SUMIF(T_Load!$U$9:$U$439,B177,T_Load!$O$9:$O$439)</f>
        <v>2</v>
      </c>
      <c r="J177" s="102">
        <f>SUMIF(T_Sales!$O$9:$O$1164,B177,T_Sales!$L$9:$L$1164)</f>
        <v>1.8310228768312098</v>
      </c>
      <c r="K177" s="103">
        <f t="shared" si="2"/>
        <v>0.16897712316879021</v>
      </c>
      <c r="L177" s="80">
        <v>46179</v>
      </c>
      <c r="M177" s="78" t="s">
        <v>1883</v>
      </c>
    </row>
    <row r="178" spans="1:13" ht="15" customHeight="1" x14ac:dyDescent="0.3">
      <c r="A178" s="60" t="s">
        <v>2218</v>
      </c>
      <c r="B178" s="97" t="s">
        <v>2219</v>
      </c>
      <c r="C178" s="63" t="s">
        <v>412</v>
      </c>
      <c r="D178" s="66" t="str">
        <f>IFERROR(INDEX(M_User!$A$12:$J$67,MATCH(C178,M_User!$D$12:$D$67,0),3),"UNMAPPED")</f>
        <v>Jonas Steven Michael</v>
      </c>
      <c r="E178" s="65" t="str">
        <f>IFERROR(INDEX(M_User!$A$12:$J$67,MATCH(C178,M_User!$D$12:$D$67,0),5),"UNMAPPED")</f>
        <v>MOS</v>
      </c>
      <c r="F178" s="63" t="s">
        <v>209</v>
      </c>
      <c r="G178" s="66" t="str">
        <f>IFERROR(INDEX(M_SKU!$A$18:$J$57,MATCH(F178,M_SKU!$B$18:$B$57,0),1),"UNKNOWN SKU")</f>
        <v>Sparletta Red Apple RGB 350ml</v>
      </c>
      <c r="H178" s="63" t="s">
        <v>542</v>
      </c>
      <c r="I178" s="98">
        <f>SUMIF(T_Load!$U$9:$U$439,B178,T_Load!$O$9:$O$439)</f>
        <v>2</v>
      </c>
      <c r="J178" s="98">
        <f>SUMIF(T_Sales!$O$9:$O$1164,B178,T_Sales!$L$9:$L$1164)</f>
        <v>1.8211873634070601</v>
      </c>
      <c r="K178" s="99">
        <f t="shared" si="2"/>
        <v>0.17881263659293989</v>
      </c>
      <c r="L178" s="62">
        <v>46179</v>
      </c>
      <c r="M178" s="68" t="s">
        <v>1883</v>
      </c>
    </row>
    <row r="179" spans="1:13" ht="15" customHeight="1" x14ac:dyDescent="0.3">
      <c r="A179" s="70" t="s">
        <v>2220</v>
      </c>
      <c r="B179" s="100" t="s">
        <v>2221</v>
      </c>
      <c r="C179" s="101" t="s">
        <v>412</v>
      </c>
      <c r="D179" s="76" t="str">
        <f>IFERROR(INDEX(M_User!$A$12:$J$67,MATCH(C179,M_User!$D$12:$D$67,0),3),"UNMAPPED")</f>
        <v>Jonas Steven Michael</v>
      </c>
      <c r="E179" s="75" t="str">
        <f>IFERROR(INDEX(M_User!$A$12:$J$67,MATCH(C179,M_User!$D$12:$D$67,0),5),"UNMAPPED")</f>
        <v>MOS</v>
      </c>
      <c r="F179" s="101" t="s">
        <v>211</v>
      </c>
      <c r="G179" s="76" t="str">
        <f>IFERROR(INDEX(M_SKU!$A$18:$J$57,MATCH(F179,M_SKU!$B$18:$B$57,0),1),"UNKNOWN SKU")</f>
        <v>KNMW 500ml</v>
      </c>
      <c r="H179" s="101" t="s">
        <v>543</v>
      </c>
      <c r="I179" s="102">
        <f>SUMIF(T_Load!$U$9:$U$439,B179,T_Load!$O$9:$O$439)</f>
        <v>180</v>
      </c>
      <c r="J179" s="102">
        <f>SUMIF(T_Sales!$O$9:$O$1164,B179,T_Sales!$L$9:$L$1164)</f>
        <v>150</v>
      </c>
      <c r="K179" s="103">
        <f t="shared" si="2"/>
        <v>30</v>
      </c>
      <c r="L179" s="80">
        <v>46179</v>
      </c>
      <c r="M179" s="78" t="s">
        <v>1883</v>
      </c>
    </row>
    <row r="180" spans="1:13" ht="15" customHeight="1" x14ac:dyDescent="0.3">
      <c r="A180" s="60" t="s">
        <v>2222</v>
      </c>
      <c r="B180" s="97" t="s">
        <v>2223</v>
      </c>
      <c r="C180" s="63" t="s">
        <v>412</v>
      </c>
      <c r="D180" s="66" t="str">
        <f>IFERROR(INDEX(M_User!$A$12:$J$67,MATCH(C180,M_User!$D$12:$D$67,0),3),"UNMAPPED")</f>
        <v>Jonas Steven Michael</v>
      </c>
      <c r="E180" s="65" t="str">
        <f>IFERROR(INDEX(M_User!$A$12:$J$67,MATCH(C180,M_User!$D$12:$D$67,0),5),"UNMAPPED")</f>
        <v>MOS</v>
      </c>
      <c r="F180" s="63" t="s">
        <v>217</v>
      </c>
      <c r="G180" s="66" t="str">
        <f>IFERROR(INDEX(M_SKU!$A$18:$J$57,MATCH(F180,M_SKU!$B$18:$B$57,0),1),"UNKNOWN SKU")</f>
        <v>KNMW 1500ml</v>
      </c>
      <c r="H180" s="63" t="s">
        <v>551</v>
      </c>
      <c r="I180" s="98">
        <f>SUMIF(T_Load!$U$9:$U$439,B180,T_Load!$O$9:$O$439)</f>
        <v>90</v>
      </c>
      <c r="J180" s="98">
        <f>SUMIF(T_Sales!$O$9:$O$1164,B180,T_Sales!$L$9:$L$1164)</f>
        <v>83</v>
      </c>
      <c r="K180" s="99">
        <f t="shared" si="2"/>
        <v>7</v>
      </c>
      <c r="L180" s="62">
        <v>46179</v>
      </c>
      <c r="M180" s="68" t="s">
        <v>1883</v>
      </c>
    </row>
    <row r="181" spans="1:13" ht="15" customHeight="1" x14ac:dyDescent="0.3">
      <c r="A181" s="70" t="s">
        <v>2224</v>
      </c>
      <c r="B181" s="100" t="s">
        <v>2225</v>
      </c>
      <c r="C181" s="101" t="s">
        <v>412</v>
      </c>
      <c r="D181" s="76" t="str">
        <f>IFERROR(INDEX(M_User!$A$12:$J$67,MATCH(C181,M_User!$D$12:$D$67,0),3),"UNMAPPED")</f>
        <v>Jonas Steven Michael</v>
      </c>
      <c r="E181" s="75" t="str">
        <f>IFERROR(INDEX(M_User!$A$12:$J$67,MATCH(C181,M_User!$D$12:$D$67,0),5),"UNMAPPED")</f>
        <v>MOS</v>
      </c>
      <c r="F181" s="101" t="s">
        <v>229</v>
      </c>
      <c r="G181" s="76" t="str">
        <f>IFERROR(INDEX(M_SKU!$A$18:$J$57,MATCH(F181,M_SKU!$B$18:$B$57,0),1),"UNKNOWN SKU")</f>
        <v>Coke Pet 500ML ( x12)</v>
      </c>
      <c r="H181" s="101" t="s">
        <v>520</v>
      </c>
      <c r="I181" s="102">
        <f>SUMIF(T_Load!$U$9:$U$439,B181,T_Load!$O$9:$O$439)</f>
        <v>30</v>
      </c>
      <c r="J181" s="102">
        <f>SUMIF(T_Sales!$O$9:$O$1164,B181,T_Sales!$L$9:$L$1164)</f>
        <v>26</v>
      </c>
      <c r="K181" s="103">
        <f t="shared" si="2"/>
        <v>4</v>
      </c>
      <c r="L181" s="80">
        <v>46179</v>
      </c>
      <c r="M181" s="78" t="s">
        <v>1883</v>
      </c>
    </row>
    <row r="182" spans="1:13" ht="15" customHeight="1" x14ac:dyDescent="0.3">
      <c r="A182" s="60" t="s">
        <v>2226</v>
      </c>
      <c r="B182" s="97" t="s">
        <v>2227</v>
      </c>
      <c r="C182" s="63" t="s">
        <v>412</v>
      </c>
      <c r="D182" s="66" t="str">
        <f>IFERROR(INDEX(M_User!$A$12:$J$67,MATCH(C182,M_User!$D$12:$D$67,0),3),"UNMAPPED")</f>
        <v>Jonas Steven Michael</v>
      </c>
      <c r="E182" s="65" t="str">
        <f>IFERROR(INDEX(M_User!$A$12:$J$67,MATCH(C182,M_User!$D$12:$D$67,0),5),"UNMAPPED")</f>
        <v>MOS</v>
      </c>
      <c r="F182" s="63" t="s">
        <v>232</v>
      </c>
      <c r="G182" s="66" t="str">
        <f>IFERROR(INDEX(M_SKU!$A$18:$J$57,MATCH(F182,M_SKU!$B$18:$B$57,0),1),"UNKNOWN SKU")</f>
        <v>Sprite Pet 500ML (x 12)</v>
      </c>
      <c r="H182" s="63" t="s">
        <v>522</v>
      </c>
      <c r="I182" s="98">
        <f>SUMIF(T_Load!$U$9:$U$439,B182,T_Load!$O$9:$O$439)</f>
        <v>7</v>
      </c>
      <c r="J182" s="98">
        <f>SUMIF(T_Sales!$O$9:$O$1164,B182,T_Sales!$L$9:$L$1164)</f>
        <v>6</v>
      </c>
      <c r="K182" s="99">
        <f t="shared" si="2"/>
        <v>1</v>
      </c>
      <c r="L182" s="62">
        <v>46179</v>
      </c>
      <c r="M182" s="68" t="s">
        <v>1883</v>
      </c>
    </row>
    <row r="183" spans="1:13" ht="15" customHeight="1" x14ac:dyDescent="0.3">
      <c r="A183" s="70" t="s">
        <v>2228</v>
      </c>
      <c r="B183" s="100" t="s">
        <v>2229</v>
      </c>
      <c r="C183" s="101" t="s">
        <v>412</v>
      </c>
      <c r="D183" s="76" t="str">
        <f>IFERROR(INDEX(M_User!$A$12:$J$67,MATCH(C183,M_User!$D$12:$D$67,0),3),"UNMAPPED")</f>
        <v>Jonas Steven Michael</v>
      </c>
      <c r="E183" s="75" t="str">
        <f>IFERROR(INDEX(M_User!$A$12:$J$67,MATCH(C183,M_User!$D$12:$D$67,0),5),"UNMAPPED")</f>
        <v>MOS</v>
      </c>
      <c r="F183" s="101" t="s">
        <v>234</v>
      </c>
      <c r="G183" s="76" t="str">
        <f>IFERROR(INDEX(M_SKU!$A$18:$J$57,MATCH(F183,M_SKU!$B$18:$B$57,0),1),"UNKNOWN SKU")</f>
        <v>Fanta Orange Pet 500ML ( x 12)</v>
      </c>
      <c r="H183" s="101" t="s">
        <v>523</v>
      </c>
      <c r="I183" s="102">
        <f>SUMIF(T_Load!$U$9:$U$439,B183,T_Load!$O$9:$O$439)</f>
        <v>20</v>
      </c>
      <c r="J183" s="102">
        <f>SUMIF(T_Sales!$O$9:$O$1164,B183,T_Sales!$L$9:$L$1164)</f>
        <v>16</v>
      </c>
      <c r="K183" s="103">
        <f t="shared" si="2"/>
        <v>4</v>
      </c>
      <c r="L183" s="80">
        <v>46179</v>
      </c>
      <c r="M183" s="78" t="s">
        <v>1883</v>
      </c>
    </row>
    <row r="184" spans="1:13" ht="15" customHeight="1" x14ac:dyDescent="0.3">
      <c r="A184" s="60" t="s">
        <v>2230</v>
      </c>
      <c r="B184" s="97" t="s">
        <v>2231</v>
      </c>
      <c r="C184" s="63" t="s">
        <v>412</v>
      </c>
      <c r="D184" s="66" t="str">
        <f>IFERROR(INDEX(M_User!$A$12:$J$67,MATCH(C184,M_User!$D$12:$D$67,0),3),"UNMAPPED")</f>
        <v>Jonas Steven Michael</v>
      </c>
      <c r="E184" s="65" t="str">
        <f>IFERROR(INDEX(M_User!$A$12:$J$67,MATCH(C184,M_User!$D$12:$D$67,0),5),"UNMAPPED")</f>
        <v>MOS</v>
      </c>
      <c r="F184" s="63" t="s">
        <v>236</v>
      </c>
      <c r="G184" s="66" t="str">
        <f>IFERROR(INDEX(M_SKU!$A$18:$J$57,MATCH(F184,M_SKU!$B$18:$B$57,0),1),"UNKNOWN SKU")</f>
        <v>Fanta Passion Pet 500ML ( x12)</v>
      </c>
      <c r="H184" s="63" t="s">
        <v>524</v>
      </c>
      <c r="I184" s="98">
        <f>SUMIF(T_Load!$U$9:$U$439,B184,T_Load!$O$9:$O$439)</f>
        <v>8</v>
      </c>
      <c r="J184" s="98">
        <f>SUMIF(T_Sales!$O$9:$O$1164,B184,T_Sales!$L$9:$L$1164)</f>
        <v>7</v>
      </c>
      <c r="K184" s="99">
        <f t="shared" si="2"/>
        <v>1</v>
      </c>
      <c r="L184" s="62">
        <v>46179</v>
      </c>
      <c r="M184" s="68" t="s">
        <v>1883</v>
      </c>
    </row>
    <row r="185" spans="1:13" ht="15" customHeight="1" x14ac:dyDescent="0.3">
      <c r="A185" s="70" t="s">
        <v>2232</v>
      </c>
      <c r="B185" s="100" t="s">
        <v>2233</v>
      </c>
      <c r="C185" s="101" t="s">
        <v>412</v>
      </c>
      <c r="D185" s="76" t="str">
        <f>IFERROR(INDEX(M_User!$A$12:$J$67,MATCH(C185,M_User!$D$12:$D$67,0),3),"UNMAPPED")</f>
        <v>Jonas Steven Michael</v>
      </c>
      <c r="E185" s="75" t="str">
        <f>IFERROR(INDEX(M_User!$A$12:$J$67,MATCH(C185,M_User!$D$12:$D$67,0),5),"UNMAPPED")</f>
        <v>MOS</v>
      </c>
      <c r="F185" s="101" t="s">
        <v>242</v>
      </c>
      <c r="G185" s="76" t="str">
        <f>IFERROR(INDEX(M_SKU!$A$18:$J$57,MATCH(F185,M_SKU!$B$18:$B$57,0),1),"UNKNOWN SKU")</f>
        <v>Stoney Tangawizi Pet 500 ml ( x12)</v>
      </c>
      <c r="H185" s="101" t="s">
        <v>525</v>
      </c>
      <c r="I185" s="102">
        <f>SUMIF(T_Load!$U$9:$U$439,B185,T_Load!$O$9:$O$439)</f>
        <v>5</v>
      </c>
      <c r="J185" s="102">
        <f>SUMIF(T_Sales!$O$9:$O$1164,B185,T_Sales!$L$9:$L$1164)</f>
        <v>4</v>
      </c>
      <c r="K185" s="103">
        <f t="shared" si="2"/>
        <v>1</v>
      </c>
      <c r="L185" s="80">
        <v>46179</v>
      </c>
      <c r="M185" s="78" t="s">
        <v>1883</v>
      </c>
    </row>
    <row r="186" spans="1:13" ht="15" customHeight="1" x14ac:dyDescent="0.3">
      <c r="A186" s="60" t="s">
        <v>2234</v>
      </c>
      <c r="B186" s="97" t="s">
        <v>2235</v>
      </c>
      <c r="C186" s="63" t="s">
        <v>412</v>
      </c>
      <c r="D186" s="66" t="str">
        <f>IFERROR(INDEX(M_User!$A$12:$J$67,MATCH(C186,M_User!$D$12:$D$67,0),3),"UNMAPPED")</f>
        <v>Jonas Steven Michael</v>
      </c>
      <c r="E186" s="65" t="str">
        <f>IFERROR(INDEX(M_User!$A$12:$J$67,MATCH(C186,M_User!$D$12:$D$67,0),5),"UNMAPPED")</f>
        <v>MOS</v>
      </c>
      <c r="F186" s="63" t="s">
        <v>244</v>
      </c>
      <c r="G186" s="66" t="str">
        <f>IFERROR(INDEX(M_SKU!$A$18:$J$57,MATCH(F186,M_SKU!$B$18:$B$57,0),1),"UNKNOWN SKU")</f>
        <v>Sparletta Pinenut Pet 500 ml ( x12)</v>
      </c>
      <c r="H186" s="63" t="s">
        <v>526</v>
      </c>
      <c r="I186" s="98">
        <f>SUMIF(T_Load!$U$9:$U$439,B186,T_Load!$O$9:$O$439)</f>
        <v>5</v>
      </c>
      <c r="J186" s="98">
        <f>SUMIF(T_Sales!$O$9:$O$1164,B186,T_Sales!$L$9:$L$1164)</f>
        <v>4</v>
      </c>
      <c r="K186" s="99">
        <f t="shared" si="2"/>
        <v>1</v>
      </c>
      <c r="L186" s="62">
        <v>46179</v>
      </c>
      <c r="M186" s="68" t="s">
        <v>1883</v>
      </c>
    </row>
    <row r="187" spans="1:13" ht="15" customHeight="1" x14ac:dyDescent="0.3">
      <c r="A187" s="70" t="s">
        <v>2236</v>
      </c>
      <c r="B187" s="100" t="s">
        <v>2237</v>
      </c>
      <c r="C187" s="101" t="s">
        <v>412</v>
      </c>
      <c r="D187" s="76" t="str">
        <f>IFERROR(INDEX(M_User!$A$12:$J$67,MATCH(C187,M_User!$D$12:$D$67,0),3),"UNMAPPED")</f>
        <v>Jonas Steven Michael</v>
      </c>
      <c r="E187" s="75" t="str">
        <f>IFERROR(INDEX(M_User!$A$12:$J$67,MATCH(C187,M_User!$D$12:$D$67,0),5),"UNMAPPED")</f>
        <v>MOS</v>
      </c>
      <c r="F187" s="101" t="s">
        <v>252</v>
      </c>
      <c r="G187" s="76" t="str">
        <f>IFERROR(INDEX(M_SKU!$A$18:$J$57,MATCH(F187,M_SKU!$B$18:$B$57,0),1),"UNKNOWN SKU")</f>
        <v>Sprite Zero Pet 300ML (x 12)</v>
      </c>
      <c r="H187" s="101" t="s">
        <v>545</v>
      </c>
      <c r="I187" s="102">
        <f>SUMIF(T_Load!$U$9:$U$439,B187,T_Load!$O$9:$O$439)</f>
        <v>4</v>
      </c>
      <c r="J187" s="102">
        <f>SUMIF(T_Sales!$O$9:$O$1164,B187,T_Sales!$L$9:$L$1164)</f>
        <v>3</v>
      </c>
      <c r="K187" s="103">
        <f t="shared" si="2"/>
        <v>1</v>
      </c>
      <c r="L187" s="80">
        <v>46179</v>
      </c>
      <c r="M187" s="78" t="s">
        <v>1883</v>
      </c>
    </row>
    <row r="188" spans="1:13" ht="15" customHeight="1" x14ac:dyDescent="0.3">
      <c r="A188" s="60" t="s">
        <v>2238</v>
      </c>
      <c r="B188" s="97" t="s">
        <v>2239</v>
      </c>
      <c r="C188" s="63" t="s">
        <v>412</v>
      </c>
      <c r="D188" s="66" t="str">
        <f>IFERROR(INDEX(M_User!$A$12:$J$67,MATCH(C188,M_User!$D$12:$D$67,0),3),"UNMAPPED")</f>
        <v>Jonas Steven Michael</v>
      </c>
      <c r="E188" s="65" t="str">
        <f>IFERROR(INDEX(M_User!$A$12:$J$67,MATCH(C188,M_User!$D$12:$D$67,0),5),"UNMAPPED")</f>
        <v>MOS</v>
      </c>
      <c r="F188" s="63" t="s">
        <v>254</v>
      </c>
      <c r="G188" s="66" t="str">
        <f>IFERROR(INDEX(M_SKU!$A$18:$J$57,MATCH(F188,M_SKU!$B$18:$B$57,0),1),"UNKNOWN SKU")</f>
        <v>Fanta Zero Pet 300ML (x 12)</v>
      </c>
      <c r="H188" s="63" t="s">
        <v>546</v>
      </c>
      <c r="I188" s="98">
        <f>SUMIF(T_Load!$U$9:$U$439,B188,T_Load!$O$9:$O$439)</f>
        <v>3</v>
      </c>
      <c r="J188" s="98">
        <f>SUMIF(T_Sales!$O$9:$O$1164,B188,T_Sales!$L$9:$L$1164)</f>
        <v>3</v>
      </c>
      <c r="K188" s="99">
        <f t="shared" si="2"/>
        <v>0</v>
      </c>
      <c r="L188" s="62">
        <v>46179</v>
      </c>
      <c r="M188" s="68" t="s">
        <v>1883</v>
      </c>
    </row>
    <row r="189" spans="1:13" ht="15" customHeight="1" x14ac:dyDescent="0.3">
      <c r="A189" s="70" t="s">
        <v>2240</v>
      </c>
      <c r="B189" s="100" t="s">
        <v>2241</v>
      </c>
      <c r="C189" s="101" t="s">
        <v>412</v>
      </c>
      <c r="D189" s="76" t="str">
        <f>IFERROR(INDEX(M_User!$A$12:$J$67,MATCH(C189,M_User!$D$12:$D$67,0),3),"UNMAPPED")</f>
        <v>Jonas Steven Michael</v>
      </c>
      <c r="E189" s="75" t="str">
        <f>IFERROR(INDEX(M_User!$A$12:$J$67,MATCH(C189,M_User!$D$12:$D$67,0),5),"UNMAPPED")</f>
        <v>MOS</v>
      </c>
      <c r="F189" s="101" t="s">
        <v>256</v>
      </c>
      <c r="G189" s="76" t="str">
        <f>IFERROR(INDEX(M_SKU!$A$18:$J$57,MATCH(F189,M_SKU!$B$18:$B$57,0),1),"UNKNOWN SKU")</f>
        <v>Sparletta Red Apple Pet 300ML(x 12)</v>
      </c>
      <c r="H189" s="101" t="s">
        <v>555</v>
      </c>
      <c r="I189" s="102">
        <f>SUMIF(T_Load!$U$9:$U$439,B189,T_Load!$O$9:$O$439)</f>
        <v>2</v>
      </c>
      <c r="J189" s="102">
        <f>SUMIF(T_Sales!$O$9:$O$1164,B189,T_Sales!$L$9:$L$1164)</f>
        <v>2</v>
      </c>
      <c r="K189" s="103">
        <f t="shared" si="2"/>
        <v>0</v>
      </c>
      <c r="L189" s="80">
        <v>46179</v>
      </c>
      <c r="M189" s="78" t="s">
        <v>1883</v>
      </c>
    </row>
    <row r="190" spans="1:13" ht="15" customHeight="1" x14ac:dyDescent="0.3">
      <c r="A190" s="60" t="s">
        <v>2242</v>
      </c>
      <c r="B190" s="97" t="s">
        <v>2243</v>
      </c>
      <c r="C190" s="63" t="s">
        <v>412</v>
      </c>
      <c r="D190" s="66" t="str">
        <f>IFERROR(INDEX(M_User!$A$12:$J$67,MATCH(C190,M_User!$D$12:$D$67,0),3),"UNMAPPED")</f>
        <v>Jonas Steven Michael</v>
      </c>
      <c r="E190" s="65" t="str">
        <f>IFERROR(INDEX(M_User!$A$12:$J$67,MATCH(C190,M_User!$D$12:$D$67,0),5),"UNMAPPED")</f>
        <v>MOS</v>
      </c>
      <c r="F190" s="63" t="s">
        <v>261</v>
      </c>
      <c r="G190" s="66" t="str">
        <f>IFERROR(INDEX(M_SKU!$A$18:$J$57,MATCH(F190,M_SKU!$B$18:$B$57,0),1),"UNKNOWN SKU")</f>
        <v>Sparletta Pine Apple Pet 300ML (x 12)</v>
      </c>
      <c r="H190" s="63" t="s">
        <v>547</v>
      </c>
      <c r="I190" s="98">
        <f>SUMIF(T_Load!$U$9:$U$439,B190,T_Load!$O$9:$O$439)</f>
        <v>10</v>
      </c>
      <c r="J190" s="98">
        <f>SUMIF(T_Sales!$O$9:$O$1164,B190,T_Sales!$L$9:$L$1164)</f>
        <v>8</v>
      </c>
      <c r="K190" s="99">
        <f t="shared" si="2"/>
        <v>2</v>
      </c>
      <c r="L190" s="62">
        <v>46179</v>
      </c>
      <c r="M190" s="68" t="s">
        <v>1883</v>
      </c>
    </row>
    <row r="191" spans="1:13" ht="15" customHeight="1" x14ac:dyDescent="0.3">
      <c r="A191" s="70" t="s">
        <v>2244</v>
      </c>
      <c r="B191" s="100" t="s">
        <v>2245</v>
      </c>
      <c r="C191" s="101" t="s">
        <v>384</v>
      </c>
      <c r="D191" s="76" t="str">
        <f>IFERROR(INDEX(M_User!$A$12:$J$67,MATCH(C191,M_User!$D$12:$D$67,0),3),"UNMAPPED")</f>
        <v>Gastory S Msaki</v>
      </c>
      <c r="E191" s="75" t="str">
        <f>IFERROR(INDEX(M_User!$A$12:$J$67,MATCH(C191,M_User!$D$12:$D$67,0),5),"UNMAPPED")</f>
        <v>MOS</v>
      </c>
      <c r="F191" s="101" t="s">
        <v>170</v>
      </c>
      <c r="G191" s="76" t="str">
        <f>IFERROR(INDEX(M_SKU!$A$18:$J$57,MATCH(F191,M_SKU!$B$18:$B$57,0),1),"UNKNOWN SKU")</f>
        <v>Coke RGB 350ml</v>
      </c>
      <c r="H191" s="101" t="s">
        <v>530</v>
      </c>
      <c r="I191" s="102">
        <f>SUMIF(T_Load!$U$9:$U$439,B191,T_Load!$O$9:$O$439)</f>
        <v>65</v>
      </c>
      <c r="J191" s="102">
        <f>SUMIF(T_Sales!$O$9:$O$1164,B191,T_Sales!$L$9:$L$1164)</f>
        <v>56.276451769184405</v>
      </c>
      <c r="K191" s="103">
        <f t="shared" si="2"/>
        <v>8.7235482308155952</v>
      </c>
      <c r="L191" s="80">
        <v>46179</v>
      </c>
      <c r="M191" s="78" t="s">
        <v>1883</v>
      </c>
    </row>
    <row r="192" spans="1:13" ht="15" customHeight="1" x14ac:dyDescent="0.3">
      <c r="A192" s="60" t="s">
        <v>2246</v>
      </c>
      <c r="B192" s="97" t="s">
        <v>2247</v>
      </c>
      <c r="C192" s="63" t="s">
        <v>384</v>
      </c>
      <c r="D192" s="66" t="str">
        <f>IFERROR(INDEX(M_User!$A$12:$J$67,MATCH(C192,M_User!$D$12:$D$67,0),3),"UNMAPPED")</f>
        <v>Gastory S Msaki</v>
      </c>
      <c r="E192" s="65" t="str">
        <f>IFERROR(INDEX(M_User!$A$12:$J$67,MATCH(C192,M_User!$D$12:$D$67,0),5),"UNMAPPED")</f>
        <v>MOS</v>
      </c>
      <c r="F192" s="63" t="s">
        <v>178</v>
      </c>
      <c r="G192" s="66" t="str">
        <f>IFERROR(INDEX(M_SKU!$A$18:$J$57,MATCH(F192,M_SKU!$B$18:$B$57,0),1),"UNKNOWN SKU")</f>
        <v>Fanta Orange RGB 350ml</v>
      </c>
      <c r="H192" s="63" t="s">
        <v>531</v>
      </c>
      <c r="I192" s="98">
        <f>SUMIF(T_Load!$U$9:$U$439,B192,T_Load!$O$9:$O$439)</f>
        <v>15</v>
      </c>
      <c r="J192" s="98">
        <f>SUMIF(T_Sales!$O$9:$O$1164,B192,T_Sales!$L$9:$L$1164)</f>
        <v>13.210248251795239</v>
      </c>
      <c r="K192" s="99">
        <f t="shared" si="2"/>
        <v>1.7897517482047611</v>
      </c>
      <c r="L192" s="62">
        <v>46179</v>
      </c>
      <c r="M192" s="68" t="s">
        <v>1883</v>
      </c>
    </row>
    <row r="193" spans="1:13" ht="15" customHeight="1" x14ac:dyDescent="0.3">
      <c r="A193" s="70" t="s">
        <v>2248</v>
      </c>
      <c r="B193" s="100" t="s">
        <v>2249</v>
      </c>
      <c r="C193" s="101" t="s">
        <v>384</v>
      </c>
      <c r="D193" s="76" t="str">
        <f>IFERROR(INDEX(M_User!$A$12:$J$67,MATCH(C193,M_User!$D$12:$D$67,0),3),"UNMAPPED")</f>
        <v>Gastory S Msaki</v>
      </c>
      <c r="E193" s="75" t="str">
        <f>IFERROR(INDEX(M_User!$A$12:$J$67,MATCH(C193,M_User!$D$12:$D$67,0),5),"UNMAPPED")</f>
        <v>MOS</v>
      </c>
      <c r="F193" s="101" t="s">
        <v>181</v>
      </c>
      <c r="G193" s="76" t="str">
        <f>IFERROR(INDEX(M_SKU!$A$18:$J$57,MATCH(F193,M_SKU!$B$18:$B$57,0),1),"UNKNOWN SKU")</f>
        <v>Fanta Passion RGB 350ml</v>
      </c>
      <c r="H193" s="101" t="s">
        <v>550</v>
      </c>
      <c r="I193" s="102">
        <f>SUMIF(T_Load!$U$9:$U$439,B193,T_Load!$O$9:$O$439)</f>
        <v>8</v>
      </c>
      <c r="J193" s="102">
        <f>SUMIF(T_Sales!$O$9:$O$1164,B193,T_Sales!$L$9:$L$1164)</f>
        <v>6.6112658411556495</v>
      </c>
      <c r="K193" s="103">
        <f t="shared" si="2"/>
        <v>1.3887341588443505</v>
      </c>
      <c r="L193" s="80">
        <v>46179</v>
      </c>
      <c r="M193" s="78" t="s">
        <v>1883</v>
      </c>
    </row>
    <row r="194" spans="1:13" ht="15" customHeight="1" x14ac:dyDescent="0.3">
      <c r="A194" s="60" t="s">
        <v>2250</v>
      </c>
      <c r="B194" s="97" t="s">
        <v>2251</v>
      </c>
      <c r="C194" s="63" t="s">
        <v>384</v>
      </c>
      <c r="D194" s="66" t="str">
        <f>IFERROR(INDEX(M_User!$A$12:$J$67,MATCH(C194,M_User!$D$12:$D$67,0),3),"UNMAPPED")</f>
        <v>Gastory S Msaki</v>
      </c>
      <c r="E194" s="65" t="str">
        <f>IFERROR(INDEX(M_User!$A$12:$J$67,MATCH(C194,M_User!$D$12:$D$67,0),5),"UNMAPPED")</f>
        <v>MOS</v>
      </c>
      <c r="F194" s="63" t="s">
        <v>183</v>
      </c>
      <c r="G194" s="66" t="str">
        <f>IFERROR(INDEX(M_SKU!$A$18:$J$57,MATCH(F194,M_SKU!$B$18:$B$57,0),1),"UNKNOWN SKU")</f>
        <v>Fanta Pineapple RGB 350ml</v>
      </c>
      <c r="H194" s="63" t="s">
        <v>533</v>
      </c>
      <c r="I194" s="98">
        <f>SUMIF(T_Load!$U$9:$U$439,B194,T_Load!$O$9:$O$439)</f>
        <v>15</v>
      </c>
      <c r="J194" s="98">
        <f>SUMIF(T_Sales!$O$9:$O$1164,B194,T_Sales!$L$9:$L$1164)</f>
        <v>11.45915862635203</v>
      </c>
      <c r="K194" s="99">
        <f t="shared" si="2"/>
        <v>3.5408413736479698</v>
      </c>
      <c r="L194" s="62">
        <v>46179</v>
      </c>
      <c r="M194" s="68" t="s">
        <v>1883</v>
      </c>
    </row>
    <row r="195" spans="1:13" ht="15" customHeight="1" x14ac:dyDescent="0.3">
      <c r="A195" s="70" t="s">
        <v>2252</v>
      </c>
      <c r="B195" s="100" t="s">
        <v>2253</v>
      </c>
      <c r="C195" s="101" t="s">
        <v>384</v>
      </c>
      <c r="D195" s="76" t="str">
        <f>IFERROR(INDEX(M_User!$A$12:$J$67,MATCH(C195,M_User!$D$12:$D$67,0),3),"UNMAPPED")</f>
        <v>Gastory S Msaki</v>
      </c>
      <c r="E195" s="75" t="str">
        <f>IFERROR(INDEX(M_User!$A$12:$J$67,MATCH(C195,M_User!$D$12:$D$67,0),5),"UNMAPPED")</f>
        <v>MOS</v>
      </c>
      <c r="F195" s="101" t="s">
        <v>185</v>
      </c>
      <c r="G195" s="76" t="str">
        <f>IFERROR(INDEX(M_SKU!$A$18:$J$57,MATCH(F195,M_SKU!$B$18:$B$57,0),1),"UNKNOWN SKU")</f>
        <v>Fanta Fruit Blast RGB 350 ml</v>
      </c>
      <c r="H195" s="101" t="s">
        <v>534</v>
      </c>
      <c r="I195" s="102">
        <f>SUMIF(T_Load!$U$9:$U$439,B195,T_Load!$O$9:$O$439)</f>
        <v>5</v>
      </c>
      <c r="J195" s="102">
        <f>SUMIF(T_Sales!$O$9:$O$1164,B195,T_Sales!$L$9:$L$1164)</f>
        <v>4.4513428957064898</v>
      </c>
      <c r="K195" s="103">
        <f t="shared" si="2"/>
        <v>0.54865710429351022</v>
      </c>
      <c r="L195" s="80">
        <v>46179</v>
      </c>
      <c r="M195" s="78" t="s">
        <v>1883</v>
      </c>
    </row>
    <row r="196" spans="1:13" ht="15" customHeight="1" x14ac:dyDescent="0.3">
      <c r="A196" s="60" t="s">
        <v>2254</v>
      </c>
      <c r="B196" s="97" t="s">
        <v>2255</v>
      </c>
      <c r="C196" s="63" t="s">
        <v>384</v>
      </c>
      <c r="D196" s="66" t="str">
        <f>IFERROR(INDEX(M_User!$A$12:$J$67,MATCH(C196,M_User!$D$12:$D$67,0),3),"UNMAPPED")</f>
        <v>Gastory S Msaki</v>
      </c>
      <c r="E196" s="65" t="str">
        <f>IFERROR(INDEX(M_User!$A$12:$J$67,MATCH(C196,M_User!$D$12:$D$67,0),5),"UNMAPPED")</f>
        <v>MOS</v>
      </c>
      <c r="F196" s="63" t="s">
        <v>187</v>
      </c>
      <c r="G196" s="66" t="str">
        <f>IFERROR(INDEX(M_SKU!$A$18:$J$57,MATCH(F196,M_SKU!$B$18:$B$57,0),1),"UNKNOWN SKU")</f>
        <v>Sprite 350ml</v>
      </c>
      <c r="H196" s="63" t="s">
        <v>535</v>
      </c>
      <c r="I196" s="98">
        <f>SUMIF(T_Load!$U$9:$U$439,B196,T_Load!$O$9:$O$439)</f>
        <v>10</v>
      </c>
      <c r="J196" s="98">
        <f>SUMIF(T_Sales!$O$9:$O$1164,B196,T_Sales!$L$9:$L$1164)</f>
        <v>8.1773572069612896</v>
      </c>
      <c r="K196" s="99">
        <f t="shared" si="2"/>
        <v>1.8226427930387104</v>
      </c>
      <c r="L196" s="62">
        <v>46179</v>
      </c>
      <c r="M196" s="68" t="s">
        <v>1883</v>
      </c>
    </row>
    <row r="197" spans="1:13" ht="15" customHeight="1" x14ac:dyDescent="0.3">
      <c r="A197" s="70" t="s">
        <v>2256</v>
      </c>
      <c r="B197" s="100" t="s">
        <v>2257</v>
      </c>
      <c r="C197" s="101" t="s">
        <v>384</v>
      </c>
      <c r="D197" s="76" t="str">
        <f>IFERROR(INDEX(M_User!$A$12:$J$67,MATCH(C197,M_User!$D$12:$D$67,0),3),"UNMAPPED")</f>
        <v>Gastory S Msaki</v>
      </c>
      <c r="E197" s="75" t="str">
        <f>IFERROR(INDEX(M_User!$A$12:$J$67,MATCH(C197,M_User!$D$12:$D$67,0),5),"UNMAPPED")</f>
        <v>MOS</v>
      </c>
      <c r="F197" s="101" t="s">
        <v>190</v>
      </c>
      <c r="G197" s="76" t="str">
        <f>IFERROR(INDEX(M_SKU!$A$18:$J$57,MATCH(F197,M_SKU!$B$18:$B$57,0),1),"UNKNOWN SKU")</f>
        <v>Stoney Tangawizi RGB 350ml</v>
      </c>
      <c r="H197" s="101" t="s">
        <v>536</v>
      </c>
      <c r="I197" s="102">
        <f>SUMIF(T_Load!$U$9:$U$439,B197,T_Load!$O$9:$O$439)</f>
        <v>7</v>
      </c>
      <c r="J197" s="102">
        <f>SUMIF(T_Sales!$O$9:$O$1164,B197,T_Sales!$L$9:$L$1164)</f>
        <v>6.3680971903161705</v>
      </c>
      <c r="K197" s="103">
        <f t="shared" si="2"/>
        <v>0.6319028096838295</v>
      </c>
      <c r="L197" s="80">
        <v>46179</v>
      </c>
      <c r="M197" s="78" t="s">
        <v>1883</v>
      </c>
    </row>
    <row r="198" spans="1:13" ht="15" customHeight="1" x14ac:dyDescent="0.3">
      <c r="A198" s="60" t="s">
        <v>2258</v>
      </c>
      <c r="B198" s="97" t="s">
        <v>2259</v>
      </c>
      <c r="C198" s="63" t="s">
        <v>384</v>
      </c>
      <c r="D198" s="66" t="str">
        <f>IFERROR(INDEX(M_User!$A$12:$J$67,MATCH(C198,M_User!$D$12:$D$67,0),3),"UNMAPPED")</f>
        <v>Gastory S Msaki</v>
      </c>
      <c r="E198" s="65" t="str">
        <f>IFERROR(INDEX(M_User!$A$12:$J$67,MATCH(C198,M_User!$D$12:$D$67,0),5),"UNMAPPED")</f>
        <v>MOS</v>
      </c>
      <c r="F198" s="63" t="s">
        <v>193</v>
      </c>
      <c r="G198" s="66" t="str">
        <f>IFERROR(INDEX(M_SKU!$A$18:$J$57,MATCH(F198,M_SKU!$B$18:$B$57,0),1),"UNKNOWN SKU")</f>
        <v>Sparletta Pinenut RGB 350ml</v>
      </c>
      <c r="H198" s="63" t="s">
        <v>537</v>
      </c>
      <c r="I198" s="98">
        <f>SUMIF(T_Load!$U$9:$U$439,B198,T_Load!$O$9:$O$439)</f>
        <v>10</v>
      </c>
      <c r="J198" s="98">
        <f>SUMIF(T_Sales!$O$9:$O$1164,B198,T_Sales!$L$9:$L$1164)</f>
        <v>9.0635906542788298</v>
      </c>
      <c r="K198" s="99">
        <f t="shared" si="2"/>
        <v>0.93640934572117018</v>
      </c>
      <c r="L198" s="62">
        <v>46179</v>
      </c>
      <c r="M198" s="68" t="s">
        <v>1883</v>
      </c>
    </row>
    <row r="199" spans="1:13" ht="15" customHeight="1" x14ac:dyDescent="0.3">
      <c r="A199" s="70" t="s">
        <v>2260</v>
      </c>
      <c r="B199" s="100" t="s">
        <v>2261</v>
      </c>
      <c r="C199" s="101" t="s">
        <v>384</v>
      </c>
      <c r="D199" s="76" t="str">
        <f>IFERROR(INDEX(M_User!$A$12:$J$67,MATCH(C199,M_User!$D$12:$D$67,0),3),"UNMAPPED")</f>
        <v>Gastory S Msaki</v>
      </c>
      <c r="E199" s="75" t="str">
        <f>IFERROR(INDEX(M_User!$A$12:$J$67,MATCH(C199,M_User!$D$12:$D$67,0),5),"UNMAPPED")</f>
        <v>MOS</v>
      </c>
      <c r="F199" s="101" t="s">
        <v>196</v>
      </c>
      <c r="G199" s="76" t="str">
        <f>IFERROR(INDEX(M_SKU!$A$18:$J$57,MATCH(F199,M_SKU!$B$18:$B$57,0),1),"UNKNOWN SKU")</f>
        <v>Krest Bitter Lemon RGB 300ml</v>
      </c>
      <c r="H199" s="101" t="s">
        <v>538</v>
      </c>
      <c r="I199" s="102">
        <f>SUMIF(T_Load!$U$9:$U$439,B199,T_Load!$O$9:$O$439)</f>
        <v>2</v>
      </c>
      <c r="J199" s="102">
        <f>SUMIF(T_Sales!$O$9:$O$1164,B199,T_Sales!$L$9:$L$1164)</f>
        <v>1.6018784127813919</v>
      </c>
      <c r="K199" s="103">
        <f t="shared" si="2"/>
        <v>0.39812158721860813</v>
      </c>
      <c r="L199" s="80">
        <v>46179</v>
      </c>
      <c r="M199" s="78" t="s">
        <v>1883</v>
      </c>
    </row>
    <row r="200" spans="1:13" ht="15" customHeight="1" x14ac:dyDescent="0.3">
      <c r="A200" s="60" t="s">
        <v>2262</v>
      </c>
      <c r="B200" s="97" t="s">
        <v>2263</v>
      </c>
      <c r="C200" s="63" t="s">
        <v>384</v>
      </c>
      <c r="D200" s="66" t="str">
        <f>IFERROR(INDEX(M_User!$A$12:$J$67,MATCH(C200,M_User!$D$12:$D$67,0),3),"UNMAPPED")</f>
        <v>Gastory S Msaki</v>
      </c>
      <c r="E200" s="65" t="str">
        <f>IFERROR(INDEX(M_User!$A$12:$J$67,MATCH(C200,M_User!$D$12:$D$67,0),5),"UNMAPPED")</f>
        <v>MOS</v>
      </c>
      <c r="F200" s="63" t="s">
        <v>199</v>
      </c>
      <c r="G200" s="66" t="str">
        <f>IFERROR(INDEX(M_SKU!$A$18:$J$57,MATCH(F200,M_SKU!$B$18:$B$57,0),1),"UNKNOWN SKU")</f>
        <v>Krest Club Soda RGB 300ml</v>
      </c>
      <c r="H200" s="63" t="s">
        <v>539</v>
      </c>
      <c r="I200" s="98">
        <f>SUMIF(T_Load!$U$9:$U$439,B200,T_Load!$O$9:$O$439)</f>
        <v>1</v>
      </c>
      <c r="J200" s="98">
        <f>SUMIF(T_Sales!$O$9:$O$1164,B200,T_Sales!$L$9:$L$1164)</f>
        <v>0.8784299272987991</v>
      </c>
      <c r="K200" s="99">
        <f t="shared" si="2"/>
        <v>0.1215700727012009</v>
      </c>
      <c r="L200" s="62">
        <v>46179</v>
      </c>
      <c r="M200" s="68" t="s">
        <v>1883</v>
      </c>
    </row>
    <row r="201" spans="1:13" ht="15" customHeight="1" x14ac:dyDescent="0.3">
      <c r="A201" s="70" t="s">
        <v>2264</v>
      </c>
      <c r="B201" s="100" t="s">
        <v>2265</v>
      </c>
      <c r="C201" s="101" t="s">
        <v>384</v>
      </c>
      <c r="D201" s="76" t="str">
        <f>IFERROR(INDEX(M_User!$A$12:$J$67,MATCH(C201,M_User!$D$12:$D$67,0),3),"UNMAPPED")</f>
        <v>Gastory S Msaki</v>
      </c>
      <c r="E201" s="75" t="str">
        <f>IFERROR(INDEX(M_User!$A$12:$J$67,MATCH(C201,M_User!$D$12:$D$67,0),5),"UNMAPPED")</f>
        <v>MOS</v>
      </c>
      <c r="F201" s="101" t="s">
        <v>201</v>
      </c>
      <c r="G201" s="76" t="str">
        <f>IFERROR(INDEX(M_SKU!$A$18:$J$57,MATCH(F201,M_SKU!$B$18:$B$57,0),1),"UNKNOWN SKU")</f>
        <v>Krest Tonic Water RGB 300ml</v>
      </c>
      <c r="H201" s="101" t="s">
        <v>540</v>
      </c>
      <c r="I201" s="102">
        <f>SUMIF(T_Load!$U$9:$U$439,B201,T_Load!$O$9:$O$439)</f>
        <v>1</v>
      </c>
      <c r="J201" s="102">
        <f>SUMIF(T_Sales!$O$9:$O$1164,B201,T_Sales!$L$9:$L$1164)</f>
        <v>0.90706353688079311</v>
      </c>
      <c r="K201" s="103">
        <f t="shared" si="2"/>
        <v>9.2936463119206891E-2</v>
      </c>
      <c r="L201" s="80">
        <v>46179</v>
      </c>
      <c r="M201" s="78" t="s">
        <v>1883</v>
      </c>
    </row>
    <row r="202" spans="1:13" ht="15" customHeight="1" x14ac:dyDescent="0.3">
      <c r="A202" s="60" t="s">
        <v>2266</v>
      </c>
      <c r="B202" s="97" t="s">
        <v>2267</v>
      </c>
      <c r="C202" s="63" t="s">
        <v>384</v>
      </c>
      <c r="D202" s="66" t="str">
        <f>IFERROR(INDEX(M_User!$A$12:$J$67,MATCH(C202,M_User!$D$12:$D$67,0),3),"UNMAPPED")</f>
        <v>Gastory S Msaki</v>
      </c>
      <c r="E202" s="65" t="str">
        <f>IFERROR(INDEX(M_User!$A$12:$J$67,MATCH(C202,M_User!$D$12:$D$67,0),5),"UNMAPPED")</f>
        <v>MOS</v>
      </c>
      <c r="F202" s="63" t="s">
        <v>203</v>
      </c>
      <c r="G202" s="66" t="str">
        <f>IFERROR(INDEX(M_SKU!$A$18:$J$57,MATCH(F202,M_SKU!$B$18:$B$57,0),1),"UNKNOWN SKU")</f>
        <v>Krest Ginger Ale RGB 300ml</v>
      </c>
      <c r="H202" s="63" t="s">
        <v>541</v>
      </c>
      <c r="I202" s="98">
        <f>SUMIF(T_Load!$U$9:$U$439,B202,T_Load!$O$9:$O$439)</f>
        <v>2</v>
      </c>
      <c r="J202" s="98">
        <f>SUMIF(T_Sales!$O$9:$O$1164,B202,T_Sales!$L$9:$L$1164)</f>
        <v>1.6682252840039871</v>
      </c>
      <c r="K202" s="99">
        <f t="shared" ref="K202:K265" si="3">I202-J202</f>
        <v>0.33177471599601294</v>
      </c>
      <c r="L202" s="62">
        <v>46179</v>
      </c>
      <c r="M202" s="68" t="s">
        <v>1883</v>
      </c>
    </row>
    <row r="203" spans="1:13" ht="15" customHeight="1" x14ac:dyDescent="0.3">
      <c r="A203" s="70" t="s">
        <v>2268</v>
      </c>
      <c r="B203" s="100" t="s">
        <v>2269</v>
      </c>
      <c r="C203" s="101" t="s">
        <v>384</v>
      </c>
      <c r="D203" s="76" t="str">
        <f>IFERROR(INDEX(M_User!$A$12:$J$67,MATCH(C203,M_User!$D$12:$D$67,0),3),"UNMAPPED")</f>
        <v>Gastory S Msaki</v>
      </c>
      <c r="E203" s="75" t="str">
        <f>IFERROR(INDEX(M_User!$A$12:$J$67,MATCH(C203,M_User!$D$12:$D$67,0),5),"UNMAPPED")</f>
        <v>MOS</v>
      </c>
      <c r="F203" s="101" t="s">
        <v>209</v>
      </c>
      <c r="G203" s="76" t="str">
        <f>IFERROR(INDEX(M_SKU!$A$18:$J$57,MATCH(F203,M_SKU!$B$18:$B$57,0),1),"UNKNOWN SKU")</f>
        <v>Sparletta Red Apple RGB 350ml</v>
      </c>
      <c r="H203" s="101" t="s">
        <v>542</v>
      </c>
      <c r="I203" s="102">
        <f>SUMIF(T_Load!$U$9:$U$439,B203,T_Load!$O$9:$O$439)</f>
        <v>2</v>
      </c>
      <c r="J203" s="102">
        <f>SUMIF(T_Sales!$O$9:$O$1164,B203,T_Sales!$L$9:$L$1164)</f>
        <v>1.7139545935291312</v>
      </c>
      <c r="K203" s="103">
        <f t="shared" si="3"/>
        <v>0.28604540647086885</v>
      </c>
      <c r="L203" s="80">
        <v>46179</v>
      </c>
      <c r="M203" s="78" t="s">
        <v>1883</v>
      </c>
    </row>
    <row r="204" spans="1:13" ht="15" customHeight="1" x14ac:dyDescent="0.3">
      <c r="A204" s="60" t="s">
        <v>2270</v>
      </c>
      <c r="B204" s="97" t="s">
        <v>2271</v>
      </c>
      <c r="C204" s="63" t="s">
        <v>384</v>
      </c>
      <c r="D204" s="66" t="str">
        <f>IFERROR(INDEX(M_User!$A$12:$J$67,MATCH(C204,M_User!$D$12:$D$67,0),3),"UNMAPPED")</f>
        <v>Gastory S Msaki</v>
      </c>
      <c r="E204" s="65" t="str">
        <f>IFERROR(INDEX(M_User!$A$12:$J$67,MATCH(C204,M_User!$D$12:$D$67,0),5),"UNMAPPED")</f>
        <v>MOS</v>
      </c>
      <c r="F204" s="63" t="s">
        <v>211</v>
      </c>
      <c r="G204" s="66" t="str">
        <f>IFERROR(INDEX(M_SKU!$A$18:$J$57,MATCH(F204,M_SKU!$B$18:$B$57,0),1),"UNKNOWN SKU")</f>
        <v>KNMW 500ml</v>
      </c>
      <c r="H204" s="63" t="s">
        <v>543</v>
      </c>
      <c r="I204" s="98">
        <f>SUMIF(T_Load!$U$9:$U$439,B204,T_Load!$O$9:$O$439)</f>
        <v>20</v>
      </c>
      <c r="J204" s="98">
        <f>SUMIF(T_Sales!$O$9:$O$1164,B204,T_Sales!$L$9:$L$1164)</f>
        <v>18</v>
      </c>
      <c r="K204" s="99">
        <f t="shared" si="3"/>
        <v>2</v>
      </c>
      <c r="L204" s="62">
        <v>46179</v>
      </c>
      <c r="M204" s="68" t="s">
        <v>1883</v>
      </c>
    </row>
    <row r="205" spans="1:13" ht="15" customHeight="1" x14ac:dyDescent="0.3">
      <c r="A205" s="70" t="s">
        <v>2272</v>
      </c>
      <c r="B205" s="100" t="s">
        <v>2273</v>
      </c>
      <c r="C205" s="101" t="s">
        <v>384</v>
      </c>
      <c r="D205" s="76" t="str">
        <f>IFERROR(INDEX(M_User!$A$12:$J$67,MATCH(C205,M_User!$D$12:$D$67,0),3),"UNMAPPED")</f>
        <v>Gastory S Msaki</v>
      </c>
      <c r="E205" s="75" t="str">
        <f>IFERROR(INDEX(M_User!$A$12:$J$67,MATCH(C205,M_User!$D$12:$D$67,0),5),"UNMAPPED")</f>
        <v>MOS</v>
      </c>
      <c r="F205" s="101" t="s">
        <v>217</v>
      </c>
      <c r="G205" s="76" t="str">
        <f>IFERROR(INDEX(M_SKU!$A$18:$J$57,MATCH(F205,M_SKU!$B$18:$B$57,0),1),"UNKNOWN SKU")</f>
        <v>KNMW 1500ml</v>
      </c>
      <c r="H205" s="101" t="s">
        <v>551</v>
      </c>
      <c r="I205" s="102">
        <f>SUMIF(T_Load!$U$9:$U$439,B205,T_Load!$O$9:$O$439)</f>
        <v>90</v>
      </c>
      <c r="J205" s="102">
        <f>SUMIF(T_Sales!$O$9:$O$1164,B205,T_Sales!$L$9:$L$1164)</f>
        <v>70</v>
      </c>
      <c r="K205" s="103">
        <f t="shared" si="3"/>
        <v>20</v>
      </c>
      <c r="L205" s="80">
        <v>46179</v>
      </c>
      <c r="M205" s="78" t="s">
        <v>1883</v>
      </c>
    </row>
    <row r="206" spans="1:13" ht="15" customHeight="1" x14ac:dyDescent="0.3">
      <c r="A206" s="60" t="s">
        <v>2274</v>
      </c>
      <c r="B206" s="97" t="s">
        <v>2275</v>
      </c>
      <c r="C206" s="63" t="s">
        <v>384</v>
      </c>
      <c r="D206" s="66" t="str">
        <f>IFERROR(INDEX(M_User!$A$12:$J$67,MATCH(C206,M_User!$D$12:$D$67,0),3),"UNMAPPED")</f>
        <v>Gastory S Msaki</v>
      </c>
      <c r="E206" s="65" t="str">
        <f>IFERROR(INDEX(M_User!$A$12:$J$67,MATCH(C206,M_User!$D$12:$D$67,0),5),"UNMAPPED")</f>
        <v>MOS</v>
      </c>
      <c r="F206" s="63" t="s">
        <v>219</v>
      </c>
      <c r="G206" s="66" t="str">
        <f>IFERROR(INDEX(M_SKU!$A$18:$J$57,MATCH(F206,M_SKU!$B$18:$B$57,0),1),"UNKNOWN SKU")</f>
        <v>Kilimanjaro Drinking Water 6000 ML</v>
      </c>
      <c r="H206" s="63" t="s">
        <v>571</v>
      </c>
      <c r="I206" s="98">
        <f>SUMIF(T_Load!$U$9:$U$439,B206,T_Load!$O$9:$O$439)</f>
        <v>10</v>
      </c>
      <c r="J206" s="98">
        <f>SUMIF(T_Sales!$O$9:$O$1164,B206,T_Sales!$L$9:$L$1164)</f>
        <v>8</v>
      </c>
      <c r="K206" s="99">
        <f t="shared" si="3"/>
        <v>2</v>
      </c>
      <c r="L206" s="62">
        <v>46179</v>
      </c>
      <c r="M206" s="68" t="s">
        <v>1883</v>
      </c>
    </row>
    <row r="207" spans="1:13" ht="15" customHeight="1" x14ac:dyDescent="0.3">
      <c r="A207" s="70" t="s">
        <v>2276</v>
      </c>
      <c r="B207" s="100" t="s">
        <v>2277</v>
      </c>
      <c r="C207" s="101" t="s">
        <v>384</v>
      </c>
      <c r="D207" s="76" t="str">
        <f>IFERROR(INDEX(M_User!$A$12:$J$67,MATCH(C207,M_User!$D$12:$D$67,0),3),"UNMAPPED")</f>
        <v>Gastory S Msaki</v>
      </c>
      <c r="E207" s="75" t="str">
        <f>IFERROR(INDEX(M_User!$A$12:$J$67,MATCH(C207,M_User!$D$12:$D$67,0),5),"UNMAPPED")</f>
        <v>MOS</v>
      </c>
      <c r="F207" s="101" t="s">
        <v>225</v>
      </c>
      <c r="G207" s="76" t="str">
        <f>IFERROR(INDEX(M_SKU!$A$18:$J$57,MATCH(F207,M_SKU!$B$18:$B$57,0),1),"UNKNOWN SKU")</f>
        <v>Kilimanjaro Drinking Water 18900 ML</v>
      </c>
      <c r="H207" s="101" t="s">
        <v>567</v>
      </c>
      <c r="I207" s="102">
        <f>SUMIF(T_Load!$U$9:$U$439,B207,T_Load!$O$9:$O$439)</f>
        <v>5</v>
      </c>
      <c r="J207" s="102">
        <f>SUMIF(T_Sales!$O$9:$O$1164,B207,T_Sales!$L$9:$L$1164)</f>
        <v>4</v>
      </c>
      <c r="K207" s="103">
        <f t="shared" si="3"/>
        <v>1</v>
      </c>
      <c r="L207" s="80">
        <v>46179</v>
      </c>
      <c r="M207" s="78" t="s">
        <v>1883</v>
      </c>
    </row>
    <row r="208" spans="1:13" ht="15" customHeight="1" x14ac:dyDescent="0.3">
      <c r="A208" s="60" t="s">
        <v>2278</v>
      </c>
      <c r="B208" s="97" t="s">
        <v>2279</v>
      </c>
      <c r="C208" s="63" t="s">
        <v>384</v>
      </c>
      <c r="D208" s="66" t="str">
        <f>IFERROR(INDEX(M_User!$A$12:$J$67,MATCH(C208,M_User!$D$12:$D$67,0),3),"UNMAPPED")</f>
        <v>Gastory S Msaki</v>
      </c>
      <c r="E208" s="65" t="str">
        <f>IFERROR(INDEX(M_User!$A$12:$J$67,MATCH(C208,M_User!$D$12:$D$67,0),5),"UNMAPPED")</f>
        <v>MOS</v>
      </c>
      <c r="F208" s="63" t="s">
        <v>229</v>
      </c>
      <c r="G208" s="66" t="str">
        <f>IFERROR(INDEX(M_SKU!$A$18:$J$57,MATCH(F208,M_SKU!$B$18:$B$57,0),1),"UNKNOWN SKU")</f>
        <v>Coke Pet 500ML ( x12)</v>
      </c>
      <c r="H208" s="63" t="s">
        <v>520</v>
      </c>
      <c r="I208" s="98">
        <f>SUMIF(T_Load!$U$9:$U$439,B208,T_Load!$O$9:$O$439)</f>
        <v>100</v>
      </c>
      <c r="J208" s="98">
        <f>SUMIF(T_Sales!$O$9:$O$1164,B208,T_Sales!$L$9:$L$1164)</f>
        <v>86</v>
      </c>
      <c r="K208" s="99">
        <f t="shared" si="3"/>
        <v>14</v>
      </c>
      <c r="L208" s="62">
        <v>46179</v>
      </c>
      <c r="M208" s="68" t="s">
        <v>1883</v>
      </c>
    </row>
    <row r="209" spans="1:13" ht="15" customHeight="1" x14ac:dyDescent="0.3">
      <c r="A209" s="70" t="s">
        <v>2280</v>
      </c>
      <c r="B209" s="100" t="s">
        <v>2281</v>
      </c>
      <c r="C209" s="101" t="s">
        <v>384</v>
      </c>
      <c r="D209" s="76" t="str">
        <f>IFERROR(INDEX(M_User!$A$12:$J$67,MATCH(C209,M_User!$D$12:$D$67,0),3),"UNMAPPED")</f>
        <v>Gastory S Msaki</v>
      </c>
      <c r="E209" s="75" t="str">
        <f>IFERROR(INDEX(M_User!$A$12:$J$67,MATCH(C209,M_User!$D$12:$D$67,0),5),"UNMAPPED")</f>
        <v>MOS</v>
      </c>
      <c r="F209" s="101" t="s">
        <v>232</v>
      </c>
      <c r="G209" s="76" t="str">
        <f>IFERROR(INDEX(M_SKU!$A$18:$J$57,MATCH(F209,M_SKU!$B$18:$B$57,0),1),"UNKNOWN SKU")</f>
        <v>Sprite Pet 500ML (x 12)</v>
      </c>
      <c r="H209" s="101" t="s">
        <v>522</v>
      </c>
      <c r="I209" s="102">
        <f>SUMIF(T_Load!$U$9:$U$439,B209,T_Load!$O$9:$O$439)</f>
        <v>40</v>
      </c>
      <c r="J209" s="102">
        <f>SUMIF(T_Sales!$O$9:$O$1164,B209,T_Sales!$L$9:$L$1164)</f>
        <v>31</v>
      </c>
      <c r="K209" s="103">
        <f t="shared" si="3"/>
        <v>9</v>
      </c>
      <c r="L209" s="80">
        <v>46179</v>
      </c>
      <c r="M209" s="78" t="s">
        <v>1883</v>
      </c>
    </row>
    <row r="210" spans="1:13" ht="15" customHeight="1" x14ac:dyDescent="0.3">
      <c r="A210" s="60" t="s">
        <v>2282</v>
      </c>
      <c r="B210" s="97" t="s">
        <v>2283</v>
      </c>
      <c r="C210" s="63" t="s">
        <v>384</v>
      </c>
      <c r="D210" s="66" t="str">
        <f>IFERROR(INDEX(M_User!$A$12:$J$67,MATCH(C210,M_User!$D$12:$D$67,0),3),"UNMAPPED")</f>
        <v>Gastory S Msaki</v>
      </c>
      <c r="E210" s="65" t="str">
        <f>IFERROR(INDEX(M_User!$A$12:$J$67,MATCH(C210,M_User!$D$12:$D$67,0),5),"UNMAPPED")</f>
        <v>MOS</v>
      </c>
      <c r="F210" s="63" t="s">
        <v>234</v>
      </c>
      <c r="G210" s="66" t="str">
        <f>IFERROR(INDEX(M_SKU!$A$18:$J$57,MATCH(F210,M_SKU!$B$18:$B$57,0),1),"UNKNOWN SKU")</f>
        <v>Fanta Orange Pet 500ML ( x 12)</v>
      </c>
      <c r="H210" s="63" t="s">
        <v>523</v>
      </c>
      <c r="I210" s="98">
        <f>SUMIF(T_Load!$U$9:$U$439,B210,T_Load!$O$9:$O$439)</f>
        <v>40</v>
      </c>
      <c r="J210" s="98">
        <f>SUMIF(T_Sales!$O$9:$O$1164,B210,T_Sales!$L$9:$L$1164)</f>
        <v>33</v>
      </c>
      <c r="K210" s="99">
        <f t="shared" si="3"/>
        <v>7</v>
      </c>
      <c r="L210" s="62">
        <v>46179</v>
      </c>
      <c r="M210" s="68" t="s">
        <v>1883</v>
      </c>
    </row>
    <row r="211" spans="1:13" ht="15" customHeight="1" x14ac:dyDescent="0.3">
      <c r="A211" s="70" t="s">
        <v>2284</v>
      </c>
      <c r="B211" s="100" t="s">
        <v>2285</v>
      </c>
      <c r="C211" s="101" t="s">
        <v>384</v>
      </c>
      <c r="D211" s="76" t="str">
        <f>IFERROR(INDEX(M_User!$A$12:$J$67,MATCH(C211,M_User!$D$12:$D$67,0),3),"UNMAPPED")</f>
        <v>Gastory S Msaki</v>
      </c>
      <c r="E211" s="75" t="str">
        <f>IFERROR(INDEX(M_User!$A$12:$J$67,MATCH(C211,M_User!$D$12:$D$67,0),5),"UNMAPPED")</f>
        <v>MOS</v>
      </c>
      <c r="F211" s="101" t="s">
        <v>236</v>
      </c>
      <c r="G211" s="76" t="str">
        <f>IFERROR(INDEX(M_SKU!$A$18:$J$57,MATCH(F211,M_SKU!$B$18:$B$57,0),1),"UNKNOWN SKU")</f>
        <v>Fanta Passion Pet 500ML ( x12)</v>
      </c>
      <c r="H211" s="101" t="s">
        <v>524</v>
      </c>
      <c r="I211" s="102">
        <f>SUMIF(T_Load!$U$9:$U$439,B211,T_Load!$O$9:$O$439)</f>
        <v>40</v>
      </c>
      <c r="J211" s="102">
        <f>SUMIF(T_Sales!$O$9:$O$1164,B211,T_Sales!$L$9:$L$1164)</f>
        <v>37</v>
      </c>
      <c r="K211" s="103">
        <f t="shared" si="3"/>
        <v>3</v>
      </c>
      <c r="L211" s="80">
        <v>46179</v>
      </c>
      <c r="M211" s="78" t="s">
        <v>1883</v>
      </c>
    </row>
    <row r="212" spans="1:13" ht="15" customHeight="1" x14ac:dyDescent="0.3">
      <c r="A212" s="60" t="s">
        <v>2286</v>
      </c>
      <c r="B212" s="97" t="s">
        <v>2287</v>
      </c>
      <c r="C212" s="63" t="s">
        <v>384</v>
      </c>
      <c r="D212" s="66" t="str">
        <f>IFERROR(INDEX(M_User!$A$12:$J$67,MATCH(C212,M_User!$D$12:$D$67,0),3),"UNMAPPED")</f>
        <v>Gastory S Msaki</v>
      </c>
      <c r="E212" s="65" t="str">
        <f>IFERROR(INDEX(M_User!$A$12:$J$67,MATCH(C212,M_User!$D$12:$D$67,0),5),"UNMAPPED")</f>
        <v>MOS</v>
      </c>
      <c r="F212" s="63" t="s">
        <v>242</v>
      </c>
      <c r="G212" s="66" t="str">
        <f>IFERROR(INDEX(M_SKU!$A$18:$J$57,MATCH(F212,M_SKU!$B$18:$B$57,0),1),"UNKNOWN SKU")</f>
        <v>Stoney Tangawizi Pet 500 ml ( x12)</v>
      </c>
      <c r="H212" s="63" t="s">
        <v>525</v>
      </c>
      <c r="I212" s="98">
        <f>SUMIF(T_Load!$U$9:$U$439,B212,T_Load!$O$9:$O$439)</f>
        <v>10</v>
      </c>
      <c r="J212" s="98">
        <f>SUMIF(T_Sales!$O$9:$O$1164,B212,T_Sales!$L$9:$L$1164)</f>
        <v>8</v>
      </c>
      <c r="K212" s="99">
        <f t="shared" si="3"/>
        <v>2</v>
      </c>
      <c r="L212" s="62">
        <v>46179</v>
      </c>
      <c r="M212" s="68" t="s">
        <v>1883</v>
      </c>
    </row>
    <row r="213" spans="1:13" ht="15" customHeight="1" x14ac:dyDescent="0.3">
      <c r="A213" s="70" t="s">
        <v>2288</v>
      </c>
      <c r="B213" s="100" t="s">
        <v>2289</v>
      </c>
      <c r="C213" s="101" t="s">
        <v>384</v>
      </c>
      <c r="D213" s="76" t="str">
        <f>IFERROR(INDEX(M_User!$A$12:$J$67,MATCH(C213,M_User!$D$12:$D$67,0),3),"UNMAPPED")</f>
        <v>Gastory S Msaki</v>
      </c>
      <c r="E213" s="75" t="str">
        <f>IFERROR(INDEX(M_User!$A$12:$J$67,MATCH(C213,M_User!$D$12:$D$67,0),5),"UNMAPPED")</f>
        <v>MOS</v>
      </c>
      <c r="F213" s="101" t="s">
        <v>244</v>
      </c>
      <c r="G213" s="76" t="str">
        <f>IFERROR(INDEX(M_SKU!$A$18:$J$57,MATCH(F213,M_SKU!$B$18:$B$57,0),1),"UNKNOWN SKU")</f>
        <v>Sparletta Pinenut Pet 500 ml ( x12)</v>
      </c>
      <c r="H213" s="101" t="s">
        <v>526</v>
      </c>
      <c r="I213" s="102">
        <f>SUMIF(T_Load!$U$9:$U$439,B213,T_Load!$O$9:$O$439)</f>
        <v>20</v>
      </c>
      <c r="J213" s="102">
        <f>SUMIF(T_Sales!$O$9:$O$1164,B213,T_Sales!$L$9:$L$1164)</f>
        <v>18</v>
      </c>
      <c r="K213" s="103">
        <f t="shared" si="3"/>
        <v>2</v>
      </c>
      <c r="L213" s="80">
        <v>46179</v>
      </c>
      <c r="M213" s="78" t="s">
        <v>1883</v>
      </c>
    </row>
    <row r="214" spans="1:13" ht="15" customHeight="1" x14ac:dyDescent="0.3">
      <c r="A214" s="60" t="s">
        <v>2290</v>
      </c>
      <c r="B214" s="97" t="s">
        <v>2291</v>
      </c>
      <c r="C214" s="63" t="s">
        <v>384</v>
      </c>
      <c r="D214" s="66" t="str">
        <f>IFERROR(INDEX(M_User!$A$12:$J$67,MATCH(C214,M_User!$D$12:$D$67,0),3),"UNMAPPED")</f>
        <v>Gastory S Msaki</v>
      </c>
      <c r="E214" s="65" t="str">
        <f>IFERROR(INDEX(M_User!$A$12:$J$67,MATCH(C214,M_User!$D$12:$D$67,0),5),"UNMAPPED")</f>
        <v>MOS</v>
      </c>
      <c r="F214" s="63" t="s">
        <v>252</v>
      </c>
      <c r="G214" s="66" t="str">
        <f>IFERROR(INDEX(M_SKU!$A$18:$J$57,MATCH(F214,M_SKU!$B$18:$B$57,0),1),"UNKNOWN SKU")</f>
        <v>Sprite Zero Pet 300ML (x 12)</v>
      </c>
      <c r="H214" s="63" t="s">
        <v>545</v>
      </c>
      <c r="I214" s="98">
        <f>SUMIF(T_Load!$U$9:$U$439,B214,T_Load!$O$9:$O$439)</f>
        <v>5</v>
      </c>
      <c r="J214" s="98">
        <f>SUMIF(T_Sales!$O$9:$O$1164,B214,T_Sales!$L$9:$L$1164)</f>
        <v>4</v>
      </c>
      <c r="K214" s="99">
        <f t="shared" si="3"/>
        <v>1</v>
      </c>
      <c r="L214" s="62">
        <v>46179</v>
      </c>
      <c r="M214" s="68" t="s">
        <v>1883</v>
      </c>
    </row>
    <row r="215" spans="1:13" ht="15" customHeight="1" x14ac:dyDescent="0.3">
      <c r="A215" s="70" t="s">
        <v>2292</v>
      </c>
      <c r="B215" s="100" t="s">
        <v>2293</v>
      </c>
      <c r="C215" s="101" t="s">
        <v>384</v>
      </c>
      <c r="D215" s="76" t="str">
        <f>IFERROR(INDEX(M_User!$A$12:$J$67,MATCH(C215,M_User!$D$12:$D$67,0),3),"UNMAPPED")</f>
        <v>Gastory S Msaki</v>
      </c>
      <c r="E215" s="75" t="str">
        <f>IFERROR(INDEX(M_User!$A$12:$J$67,MATCH(C215,M_User!$D$12:$D$67,0),5),"UNMAPPED")</f>
        <v>MOS</v>
      </c>
      <c r="F215" s="101" t="s">
        <v>254</v>
      </c>
      <c r="G215" s="76" t="str">
        <f>IFERROR(INDEX(M_SKU!$A$18:$J$57,MATCH(F215,M_SKU!$B$18:$B$57,0),1),"UNKNOWN SKU")</f>
        <v>Fanta Zero Pet 300ML (x 12)</v>
      </c>
      <c r="H215" s="101" t="s">
        <v>546</v>
      </c>
      <c r="I215" s="102">
        <f>SUMIF(T_Load!$U$9:$U$439,B215,T_Load!$O$9:$O$439)</f>
        <v>5</v>
      </c>
      <c r="J215" s="102">
        <f>SUMIF(T_Sales!$O$9:$O$1164,B215,T_Sales!$L$9:$L$1164)</f>
        <v>4</v>
      </c>
      <c r="K215" s="103">
        <f t="shared" si="3"/>
        <v>1</v>
      </c>
      <c r="L215" s="80">
        <v>46179</v>
      </c>
      <c r="M215" s="78" t="s">
        <v>1883</v>
      </c>
    </row>
    <row r="216" spans="1:13" ht="15" customHeight="1" x14ac:dyDescent="0.3">
      <c r="A216" s="60" t="s">
        <v>2294</v>
      </c>
      <c r="B216" s="97" t="s">
        <v>2295</v>
      </c>
      <c r="C216" s="63" t="s">
        <v>384</v>
      </c>
      <c r="D216" s="66" t="str">
        <f>IFERROR(INDEX(M_User!$A$12:$J$67,MATCH(C216,M_User!$D$12:$D$67,0),3),"UNMAPPED")</f>
        <v>Gastory S Msaki</v>
      </c>
      <c r="E216" s="65" t="str">
        <f>IFERROR(INDEX(M_User!$A$12:$J$67,MATCH(C216,M_User!$D$12:$D$67,0),5),"UNMAPPED")</f>
        <v>MOS</v>
      </c>
      <c r="F216" s="63" t="s">
        <v>261</v>
      </c>
      <c r="G216" s="66" t="str">
        <f>IFERROR(INDEX(M_SKU!$A$18:$J$57,MATCH(F216,M_SKU!$B$18:$B$57,0),1),"UNKNOWN SKU")</f>
        <v>Sparletta Pine Apple Pet 300ML (x 12)</v>
      </c>
      <c r="H216" s="63" t="s">
        <v>547</v>
      </c>
      <c r="I216" s="98">
        <f>SUMIF(T_Load!$U$9:$U$439,B216,T_Load!$O$9:$O$439)</f>
        <v>20</v>
      </c>
      <c r="J216" s="98">
        <f>SUMIF(T_Sales!$O$9:$O$1164,B216,T_Sales!$L$9:$L$1164)</f>
        <v>15</v>
      </c>
      <c r="K216" s="99">
        <f t="shared" si="3"/>
        <v>5</v>
      </c>
      <c r="L216" s="62">
        <v>46179</v>
      </c>
      <c r="M216" s="68" t="s">
        <v>1883</v>
      </c>
    </row>
    <row r="217" spans="1:13" ht="15" customHeight="1" x14ac:dyDescent="0.3">
      <c r="A217" s="70" t="s">
        <v>2296</v>
      </c>
      <c r="B217" s="100" t="s">
        <v>2297</v>
      </c>
      <c r="C217" s="101" t="s">
        <v>404</v>
      </c>
      <c r="D217" s="76" t="str">
        <f>IFERROR(INDEX(M_User!$A$12:$J$67,MATCH(C217,M_User!$D$12:$D$67,0),3),"UNMAPPED")</f>
        <v>Riziki Rajabu Mghamba</v>
      </c>
      <c r="E217" s="75" t="str">
        <f>IFERROR(INDEX(M_User!$A$12:$J$67,MATCH(C217,M_User!$D$12:$D$67,0),5),"UNMAPPED")</f>
        <v>MOS</v>
      </c>
      <c r="F217" s="101" t="s">
        <v>170</v>
      </c>
      <c r="G217" s="76" t="str">
        <f>IFERROR(INDEX(M_SKU!$A$18:$J$57,MATCH(F217,M_SKU!$B$18:$B$57,0),1),"UNKNOWN SKU")</f>
        <v>Coke RGB 350ml</v>
      </c>
      <c r="H217" s="101" t="s">
        <v>529</v>
      </c>
      <c r="I217" s="102">
        <f>SUMIF(T_Load!$U$9:$U$439,B217,T_Load!$O$9:$O$439)</f>
        <v>15.58</v>
      </c>
      <c r="J217" s="102">
        <f>SUMIF(T_Sales!$O$9:$O$1164,B217,T_Sales!$L$9:$L$1164)</f>
        <v>11.655178019232679</v>
      </c>
      <c r="K217" s="103">
        <f t="shared" si="3"/>
        <v>3.9248219807673213</v>
      </c>
      <c r="L217" s="80">
        <v>46179</v>
      </c>
      <c r="M217" s="78" t="s">
        <v>1883</v>
      </c>
    </row>
    <row r="218" spans="1:13" ht="15" customHeight="1" x14ac:dyDescent="0.3">
      <c r="A218" s="60" t="s">
        <v>2298</v>
      </c>
      <c r="B218" s="97" t="s">
        <v>2299</v>
      </c>
      <c r="C218" s="63" t="s">
        <v>404</v>
      </c>
      <c r="D218" s="66" t="str">
        <f>IFERROR(INDEX(M_User!$A$12:$J$67,MATCH(C218,M_User!$D$12:$D$67,0),3),"UNMAPPED")</f>
        <v>Riziki Rajabu Mghamba</v>
      </c>
      <c r="E218" s="65" t="str">
        <f>IFERROR(INDEX(M_User!$A$12:$J$67,MATCH(C218,M_User!$D$12:$D$67,0),5),"UNMAPPED")</f>
        <v>MOS</v>
      </c>
      <c r="F218" s="63" t="s">
        <v>170</v>
      </c>
      <c r="G218" s="66" t="str">
        <f>IFERROR(INDEX(M_SKU!$A$18:$J$57,MATCH(F218,M_SKU!$B$18:$B$57,0),1),"UNKNOWN SKU")</f>
        <v>Coke RGB 350ml</v>
      </c>
      <c r="H218" s="63" t="s">
        <v>530</v>
      </c>
      <c r="I218" s="98">
        <f>SUMIF(T_Load!$U$9:$U$439,B218,T_Load!$O$9:$O$439)</f>
        <v>64.42</v>
      </c>
      <c r="J218" s="98">
        <f>SUMIF(T_Sales!$O$9:$O$1164,B218,T_Sales!$L$9:$L$1164)</f>
        <v>49.1867089538855</v>
      </c>
      <c r="K218" s="99">
        <f t="shared" si="3"/>
        <v>15.233291046114502</v>
      </c>
      <c r="L218" s="62">
        <v>46179</v>
      </c>
      <c r="M218" s="68" t="s">
        <v>1883</v>
      </c>
    </row>
    <row r="219" spans="1:13" ht="15" customHeight="1" x14ac:dyDescent="0.3">
      <c r="A219" s="70" t="s">
        <v>2300</v>
      </c>
      <c r="B219" s="100" t="s">
        <v>2301</v>
      </c>
      <c r="C219" s="101" t="s">
        <v>404</v>
      </c>
      <c r="D219" s="76" t="str">
        <f>IFERROR(INDEX(M_User!$A$12:$J$67,MATCH(C219,M_User!$D$12:$D$67,0),3),"UNMAPPED")</f>
        <v>Riziki Rajabu Mghamba</v>
      </c>
      <c r="E219" s="75" t="str">
        <f>IFERROR(INDEX(M_User!$A$12:$J$67,MATCH(C219,M_User!$D$12:$D$67,0),5),"UNMAPPED")</f>
        <v>MOS</v>
      </c>
      <c r="F219" s="101" t="s">
        <v>178</v>
      </c>
      <c r="G219" s="76" t="str">
        <f>IFERROR(INDEX(M_SKU!$A$18:$J$57,MATCH(F219,M_SKU!$B$18:$B$57,0),1),"UNKNOWN SKU")</f>
        <v>Fanta Orange RGB 350ml</v>
      </c>
      <c r="H219" s="101" t="s">
        <v>531</v>
      </c>
      <c r="I219" s="102">
        <f>SUMIF(T_Load!$U$9:$U$439,B219,T_Load!$O$9:$O$439)</f>
        <v>30</v>
      </c>
      <c r="J219" s="102">
        <f>SUMIF(T_Sales!$O$9:$O$1164,B219,T_Sales!$L$9:$L$1164)</f>
        <v>23.469625046332709</v>
      </c>
      <c r="K219" s="103">
        <f t="shared" si="3"/>
        <v>6.530374953667291</v>
      </c>
      <c r="L219" s="80">
        <v>46179</v>
      </c>
      <c r="M219" s="78" t="s">
        <v>1883</v>
      </c>
    </row>
    <row r="220" spans="1:13" ht="15" customHeight="1" x14ac:dyDescent="0.3">
      <c r="A220" s="60" t="s">
        <v>2302</v>
      </c>
      <c r="B220" s="97" t="s">
        <v>2303</v>
      </c>
      <c r="C220" s="63" t="s">
        <v>404</v>
      </c>
      <c r="D220" s="66" t="str">
        <f>IFERROR(INDEX(M_User!$A$12:$J$67,MATCH(C220,M_User!$D$12:$D$67,0),3),"UNMAPPED")</f>
        <v>Riziki Rajabu Mghamba</v>
      </c>
      <c r="E220" s="65" t="str">
        <f>IFERROR(INDEX(M_User!$A$12:$J$67,MATCH(C220,M_User!$D$12:$D$67,0),5),"UNMAPPED")</f>
        <v>MOS</v>
      </c>
      <c r="F220" s="63" t="s">
        <v>181</v>
      </c>
      <c r="G220" s="66" t="str">
        <f>IFERROR(INDEX(M_SKU!$A$18:$J$57,MATCH(F220,M_SKU!$B$18:$B$57,0),1),"UNKNOWN SKU")</f>
        <v>Fanta Passion RGB 350ml</v>
      </c>
      <c r="H220" s="63" t="s">
        <v>532</v>
      </c>
      <c r="I220" s="98">
        <f>SUMIF(T_Load!$U$9:$U$439,B220,T_Load!$O$9:$O$439)</f>
        <v>15</v>
      </c>
      <c r="J220" s="98">
        <f>SUMIF(T_Sales!$O$9:$O$1164,B220,T_Sales!$L$9:$L$1164)</f>
        <v>11.87299531669068</v>
      </c>
      <c r="K220" s="99">
        <f t="shared" si="3"/>
        <v>3.1270046833093197</v>
      </c>
      <c r="L220" s="62">
        <v>46179</v>
      </c>
      <c r="M220" s="68" t="s">
        <v>1883</v>
      </c>
    </row>
    <row r="221" spans="1:13" ht="15" customHeight="1" x14ac:dyDescent="0.3">
      <c r="A221" s="70" t="s">
        <v>2304</v>
      </c>
      <c r="B221" s="100" t="s">
        <v>2305</v>
      </c>
      <c r="C221" s="101" t="s">
        <v>404</v>
      </c>
      <c r="D221" s="76" t="str">
        <f>IFERROR(INDEX(M_User!$A$12:$J$67,MATCH(C221,M_User!$D$12:$D$67,0),3),"UNMAPPED")</f>
        <v>Riziki Rajabu Mghamba</v>
      </c>
      <c r="E221" s="75" t="str">
        <f>IFERROR(INDEX(M_User!$A$12:$J$67,MATCH(C221,M_User!$D$12:$D$67,0),5),"UNMAPPED")</f>
        <v>MOS</v>
      </c>
      <c r="F221" s="101" t="s">
        <v>183</v>
      </c>
      <c r="G221" s="76" t="str">
        <f>IFERROR(INDEX(M_SKU!$A$18:$J$57,MATCH(F221,M_SKU!$B$18:$B$57,0),1),"UNKNOWN SKU")</f>
        <v>Fanta Pineapple RGB 350ml</v>
      </c>
      <c r="H221" s="101" t="s">
        <v>533</v>
      </c>
      <c r="I221" s="102">
        <f>SUMIF(T_Load!$U$9:$U$439,B221,T_Load!$O$9:$O$439)</f>
        <v>15</v>
      </c>
      <c r="J221" s="102">
        <f>SUMIF(T_Sales!$O$9:$O$1164,B221,T_Sales!$L$9:$L$1164)</f>
        <v>9.9033995322098107</v>
      </c>
      <c r="K221" s="103">
        <f t="shared" si="3"/>
        <v>5.0966004677901893</v>
      </c>
      <c r="L221" s="80">
        <v>46179</v>
      </c>
      <c r="M221" s="78" t="s">
        <v>1883</v>
      </c>
    </row>
    <row r="222" spans="1:13" ht="15" customHeight="1" x14ac:dyDescent="0.3">
      <c r="A222" s="60" t="s">
        <v>2306</v>
      </c>
      <c r="B222" s="97" t="s">
        <v>2307</v>
      </c>
      <c r="C222" s="63" t="s">
        <v>404</v>
      </c>
      <c r="D222" s="66" t="str">
        <f>IFERROR(INDEX(M_User!$A$12:$J$67,MATCH(C222,M_User!$D$12:$D$67,0),3),"UNMAPPED")</f>
        <v>Riziki Rajabu Mghamba</v>
      </c>
      <c r="E222" s="65" t="str">
        <f>IFERROR(INDEX(M_User!$A$12:$J$67,MATCH(C222,M_User!$D$12:$D$67,0),5),"UNMAPPED")</f>
        <v>MOS</v>
      </c>
      <c r="F222" s="63" t="s">
        <v>185</v>
      </c>
      <c r="G222" s="66" t="str">
        <f>IFERROR(INDEX(M_SKU!$A$18:$J$57,MATCH(F222,M_SKU!$B$18:$B$57,0),1),"UNKNOWN SKU")</f>
        <v>Fanta Fruit Blast RGB 350 ml</v>
      </c>
      <c r="H222" s="63" t="s">
        <v>534</v>
      </c>
      <c r="I222" s="98">
        <f>SUMIF(T_Load!$U$9:$U$439,B222,T_Load!$O$9:$O$439)</f>
        <v>12</v>
      </c>
      <c r="J222" s="98">
        <f>SUMIF(T_Sales!$O$9:$O$1164,B222,T_Sales!$L$9:$L$1164)</f>
        <v>8.2286691828955796</v>
      </c>
      <c r="K222" s="99">
        <f t="shared" si="3"/>
        <v>3.7713308171044204</v>
      </c>
      <c r="L222" s="62">
        <v>46179</v>
      </c>
      <c r="M222" s="68" t="s">
        <v>1883</v>
      </c>
    </row>
    <row r="223" spans="1:13" ht="15" customHeight="1" x14ac:dyDescent="0.3">
      <c r="A223" s="70" t="s">
        <v>2308</v>
      </c>
      <c r="B223" s="100" t="s">
        <v>2309</v>
      </c>
      <c r="C223" s="101" t="s">
        <v>404</v>
      </c>
      <c r="D223" s="76" t="str">
        <f>IFERROR(INDEX(M_User!$A$12:$J$67,MATCH(C223,M_User!$D$12:$D$67,0),3),"UNMAPPED")</f>
        <v>Riziki Rajabu Mghamba</v>
      </c>
      <c r="E223" s="75" t="str">
        <f>IFERROR(INDEX(M_User!$A$12:$J$67,MATCH(C223,M_User!$D$12:$D$67,0),5),"UNMAPPED")</f>
        <v>MOS</v>
      </c>
      <c r="F223" s="101" t="s">
        <v>187</v>
      </c>
      <c r="G223" s="76" t="str">
        <f>IFERROR(INDEX(M_SKU!$A$18:$J$57,MATCH(F223,M_SKU!$B$18:$B$57,0),1),"UNKNOWN SKU")</f>
        <v>Sprite 350ml</v>
      </c>
      <c r="H223" s="101" t="s">
        <v>535</v>
      </c>
      <c r="I223" s="102">
        <f>SUMIF(T_Load!$U$9:$U$439,B223,T_Load!$O$9:$O$439)</f>
        <v>15</v>
      </c>
      <c r="J223" s="102">
        <f>SUMIF(T_Sales!$O$9:$O$1164,B223,T_Sales!$L$9:$L$1164)</f>
        <v>10.83729877934779</v>
      </c>
      <c r="K223" s="103">
        <f t="shared" si="3"/>
        <v>4.1627012206522096</v>
      </c>
      <c r="L223" s="80">
        <v>46179</v>
      </c>
      <c r="M223" s="78" t="s">
        <v>1883</v>
      </c>
    </row>
    <row r="224" spans="1:13" ht="15" customHeight="1" x14ac:dyDescent="0.3">
      <c r="A224" s="60" t="s">
        <v>2310</v>
      </c>
      <c r="B224" s="97" t="s">
        <v>2311</v>
      </c>
      <c r="C224" s="63" t="s">
        <v>404</v>
      </c>
      <c r="D224" s="66" t="str">
        <f>IFERROR(INDEX(M_User!$A$12:$J$67,MATCH(C224,M_User!$D$12:$D$67,0),3),"UNMAPPED")</f>
        <v>Riziki Rajabu Mghamba</v>
      </c>
      <c r="E224" s="65" t="str">
        <f>IFERROR(INDEX(M_User!$A$12:$J$67,MATCH(C224,M_User!$D$12:$D$67,0),5),"UNMAPPED")</f>
        <v>MOS</v>
      </c>
      <c r="F224" s="63" t="s">
        <v>190</v>
      </c>
      <c r="G224" s="66" t="str">
        <f>IFERROR(INDEX(M_SKU!$A$18:$J$57,MATCH(F224,M_SKU!$B$18:$B$57,0),1),"UNKNOWN SKU")</f>
        <v>Stoney Tangawizi RGB 350ml</v>
      </c>
      <c r="H224" s="63" t="s">
        <v>536</v>
      </c>
      <c r="I224" s="98">
        <f>SUMIF(T_Load!$U$9:$U$439,B224,T_Load!$O$9:$O$439)</f>
        <v>5</v>
      </c>
      <c r="J224" s="98">
        <f>SUMIF(T_Sales!$O$9:$O$1164,B224,T_Sales!$L$9:$L$1164)</f>
        <v>3.8329911047788801</v>
      </c>
      <c r="K224" s="99">
        <f t="shared" si="3"/>
        <v>1.1670088952211199</v>
      </c>
      <c r="L224" s="62">
        <v>46179</v>
      </c>
      <c r="M224" s="68" t="s">
        <v>1883</v>
      </c>
    </row>
    <row r="225" spans="1:13" ht="15" customHeight="1" x14ac:dyDescent="0.3">
      <c r="A225" s="70" t="s">
        <v>2312</v>
      </c>
      <c r="B225" s="100" t="s">
        <v>2313</v>
      </c>
      <c r="C225" s="101" t="s">
        <v>404</v>
      </c>
      <c r="D225" s="76" t="str">
        <f>IFERROR(INDEX(M_User!$A$12:$J$67,MATCH(C225,M_User!$D$12:$D$67,0),3),"UNMAPPED")</f>
        <v>Riziki Rajabu Mghamba</v>
      </c>
      <c r="E225" s="75" t="str">
        <f>IFERROR(INDEX(M_User!$A$12:$J$67,MATCH(C225,M_User!$D$12:$D$67,0),5),"UNMAPPED")</f>
        <v>MOS</v>
      </c>
      <c r="F225" s="101" t="s">
        <v>193</v>
      </c>
      <c r="G225" s="76" t="str">
        <f>IFERROR(INDEX(M_SKU!$A$18:$J$57,MATCH(F225,M_SKU!$B$18:$B$57,0),1),"UNKNOWN SKU")</f>
        <v>Sparletta Pinenut RGB 350ml</v>
      </c>
      <c r="H225" s="101" t="s">
        <v>537</v>
      </c>
      <c r="I225" s="102">
        <f>SUMIF(T_Load!$U$9:$U$439,B225,T_Load!$O$9:$O$439)</f>
        <v>5</v>
      </c>
      <c r="J225" s="102">
        <f>SUMIF(T_Sales!$O$9:$O$1164,B225,T_Sales!$L$9:$L$1164)</f>
        <v>3.8800544349208801</v>
      </c>
      <c r="K225" s="103">
        <f t="shared" si="3"/>
        <v>1.1199455650791199</v>
      </c>
      <c r="L225" s="80">
        <v>46179</v>
      </c>
      <c r="M225" s="78" t="s">
        <v>1883</v>
      </c>
    </row>
    <row r="226" spans="1:13" ht="15" customHeight="1" x14ac:dyDescent="0.3">
      <c r="A226" s="60" t="s">
        <v>2314</v>
      </c>
      <c r="B226" s="97" t="s">
        <v>2315</v>
      </c>
      <c r="C226" s="63" t="s">
        <v>404</v>
      </c>
      <c r="D226" s="66" t="str">
        <f>IFERROR(INDEX(M_User!$A$12:$J$67,MATCH(C226,M_User!$D$12:$D$67,0),3),"UNMAPPED")</f>
        <v>Riziki Rajabu Mghamba</v>
      </c>
      <c r="E226" s="65" t="str">
        <f>IFERROR(INDEX(M_User!$A$12:$J$67,MATCH(C226,M_User!$D$12:$D$67,0),5),"UNMAPPED")</f>
        <v>MOS</v>
      </c>
      <c r="F226" s="63" t="s">
        <v>196</v>
      </c>
      <c r="G226" s="66" t="str">
        <f>IFERROR(INDEX(M_SKU!$A$18:$J$57,MATCH(F226,M_SKU!$B$18:$B$57,0),1),"UNKNOWN SKU")</f>
        <v>Krest Bitter Lemon RGB 300ml</v>
      </c>
      <c r="H226" s="63" t="s">
        <v>538</v>
      </c>
      <c r="I226" s="98">
        <f>SUMIF(T_Load!$U$9:$U$439,B226,T_Load!$O$9:$O$439)</f>
        <v>2</v>
      </c>
      <c r="J226" s="98">
        <f>SUMIF(T_Sales!$O$9:$O$1164,B226,T_Sales!$L$9:$L$1164)</f>
        <v>1.5081550266579291</v>
      </c>
      <c r="K226" s="99">
        <f t="shared" si="3"/>
        <v>0.49184497334207089</v>
      </c>
      <c r="L226" s="62">
        <v>46179</v>
      </c>
      <c r="M226" s="68" t="s">
        <v>1883</v>
      </c>
    </row>
    <row r="227" spans="1:13" ht="15" customHeight="1" x14ac:dyDescent="0.3">
      <c r="A227" s="70" t="s">
        <v>2316</v>
      </c>
      <c r="B227" s="100" t="s">
        <v>2317</v>
      </c>
      <c r="C227" s="101" t="s">
        <v>404</v>
      </c>
      <c r="D227" s="76" t="str">
        <f>IFERROR(INDEX(M_User!$A$12:$J$67,MATCH(C227,M_User!$D$12:$D$67,0),3),"UNMAPPED")</f>
        <v>Riziki Rajabu Mghamba</v>
      </c>
      <c r="E227" s="75" t="str">
        <f>IFERROR(INDEX(M_User!$A$12:$J$67,MATCH(C227,M_User!$D$12:$D$67,0),5),"UNMAPPED")</f>
        <v>MOS</v>
      </c>
      <c r="F227" s="101" t="s">
        <v>199</v>
      </c>
      <c r="G227" s="76" t="str">
        <f>IFERROR(INDEX(M_SKU!$A$18:$J$57,MATCH(F227,M_SKU!$B$18:$B$57,0),1),"UNKNOWN SKU")</f>
        <v>Krest Club Soda RGB 300ml</v>
      </c>
      <c r="H227" s="101" t="s">
        <v>539</v>
      </c>
      <c r="I227" s="102">
        <f>SUMIF(T_Load!$U$9:$U$439,B227,T_Load!$O$9:$O$439)</f>
        <v>2</v>
      </c>
      <c r="J227" s="102">
        <f>SUMIF(T_Sales!$O$9:$O$1164,B227,T_Sales!$L$9:$L$1164)</f>
        <v>1.5109494575735072</v>
      </c>
      <c r="K227" s="103">
        <f t="shared" si="3"/>
        <v>0.48905054242649282</v>
      </c>
      <c r="L227" s="80">
        <v>46179</v>
      </c>
      <c r="M227" s="78" t="s">
        <v>1883</v>
      </c>
    </row>
    <row r="228" spans="1:13" ht="15" customHeight="1" x14ac:dyDescent="0.3">
      <c r="A228" s="60" t="s">
        <v>2318</v>
      </c>
      <c r="B228" s="97" t="s">
        <v>2319</v>
      </c>
      <c r="C228" s="63" t="s">
        <v>404</v>
      </c>
      <c r="D228" s="66" t="str">
        <f>IFERROR(INDEX(M_User!$A$12:$J$67,MATCH(C228,M_User!$D$12:$D$67,0),3),"UNMAPPED")</f>
        <v>Riziki Rajabu Mghamba</v>
      </c>
      <c r="E228" s="65" t="str">
        <f>IFERROR(INDEX(M_User!$A$12:$J$67,MATCH(C228,M_User!$D$12:$D$67,0),5),"UNMAPPED")</f>
        <v>MOS</v>
      </c>
      <c r="F228" s="63" t="s">
        <v>201</v>
      </c>
      <c r="G228" s="66" t="str">
        <f>IFERROR(INDEX(M_SKU!$A$18:$J$57,MATCH(F228,M_SKU!$B$18:$B$57,0),1),"UNKNOWN SKU")</f>
        <v>Krest Tonic Water RGB 300ml</v>
      </c>
      <c r="H228" s="63" t="s">
        <v>540</v>
      </c>
      <c r="I228" s="98">
        <f>SUMIF(T_Load!$U$9:$U$439,B228,T_Load!$O$9:$O$439)</f>
        <v>2</v>
      </c>
      <c r="J228" s="98">
        <f>SUMIF(T_Sales!$O$9:$O$1164,B228,T_Sales!$L$9:$L$1164)</f>
        <v>1.3428727139913779</v>
      </c>
      <c r="K228" s="99">
        <f t="shared" si="3"/>
        <v>0.65712728600862214</v>
      </c>
      <c r="L228" s="62">
        <v>46179</v>
      </c>
      <c r="M228" s="68" t="s">
        <v>1883</v>
      </c>
    </row>
    <row r="229" spans="1:13" ht="15" customHeight="1" x14ac:dyDescent="0.3">
      <c r="A229" s="70" t="s">
        <v>2320</v>
      </c>
      <c r="B229" s="100" t="s">
        <v>2321</v>
      </c>
      <c r="C229" s="101" t="s">
        <v>404</v>
      </c>
      <c r="D229" s="76" t="str">
        <f>IFERROR(INDEX(M_User!$A$12:$J$67,MATCH(C229,M_User!$D$12:$D$67,0),3),"UNMAPPED")</f>
        <v>Riziki Rajabu Mghamba</v>
      </c>
      <c r="E229" s="75" t="str">
        <f>IFERROR(INDEX(M_User!$A$12:$J$67,MATCH(C229,M_User!$D$12:$D$67,0),5),"UNMAPPED")</f>
        <v>MOS</v>
      </c>
      <c r="F229" s="101" t="s">
        <v>203</v>
      </c>
      <c r="G229" s="76" t="str">
        <f>IFERROR(INDEX(M_SKU!$A$18:$J$57,MATCH(F229,M_SKU!$B$18:$B$57,0),1),"UNKNOWN SKU")</f>
        <v>Krest Ginger Ale RGB 300ml</v>
      </c>
      <c r="H229" s="101" t="s">
        <v>541</v>
      </c>
      <c r="I229" s="102">
        <f>SUMIF(T_Load!$U$9:$U$439,B229,T_Load!$O$9:$O$439)</f>
        <v>1</v>
      </c>
      <c r="J229" s="102">
        <f>SUMIF(T_Sales!$O$9:$O$1164,B229,T_Sales!$L$9:$L$1164)</f>
        <v>0.698128824815889</v>
      </c>
      <c r="K229" s="103">
        <f t="shared" si="3"/>
        <v>0.301871175184111</v>
      </c>
      <c r="L229" s="80">
        <v>46179</v>
      </c>
      <c r="M229" s="78" t="s">
        <v>1883</v>
      </c>
    </row>
    <row r="230" spans="1:13" ht="15" customHeight="1" x14ac:dyDescent="0.3">
      <c r="A230" s="60" t="s">
        <v>2322</v>
      </c>
      <c r="B230" s="97" t="s">
        <v>2323</v>
      </c>
      <c r="C230" s="63" t="s">
        <v>404</v>
      </c>
      <c r="D230" s="66" t="str">
        <f>IFERROR(INDEX(M_User!$A$12:$J$67,MATCH(C230,M_User!$D$12:$D$67,0),3),"UNMAPPED")</f>
        <v>Riziki Rajabu Mghamba</v>
      </c>
      <c r="E230" s="65" t="str">
        <f>IFERROR(INDEX(M_User!$A$12:$J$67,MATCH(C230,M_User!$D$12:$D$67,0),5),"UNMAPPED")</f>
        <v>MOS</v>
      </c>
      <c r="F230" s="63" t="s">
        <v>209</v>
      </c>
      <c r="G230" s="66" t="str">
        <f>IFERROR(INDEX(M_SKU!$A$18:$J$57,MATCH(F230,M_SKU!$B$18:$B$57,0),1),"UNKNOWN SKU")</f>
        <v>Sparletta Red Apple RGB 350ml</v>
      </c>
      <c r="H230" s="63" t="s">
        <v>542</v>
      </c>
      <c r="I230" s="98">
        <f>SUMIF(T_Load!$U$9:$U$439,B230,T_Load!$O$9:$O$439)</f>
        <v>2</v>
      </c>
      <c r="J230" s="98">
        <f>SUMIF(T_Sales!$O$9:$O$1164,B230,T_Sales!$L$9:$L$1164)</f>
        <v>1.57072458961825</v>
      </c>
      <c r="K230" s="99">
        <f t="shared" si="3"/>
        <v>0.42927541038174999</v>
      </c>
      <c r="L230" s="62">
        <v>46179</v>
      </c>
      <c r="M230" s="68" t="s">
        <v>1883</v>
      </c>
    </row>
    <row r="231" spans="1:13" ht="15" customHeight="1" x14ac:dyDescent="0.3">
      <c r="A231" s="70" t="s">
        <v>2324</v>
      </c>
      <c r="B231" s="100" t="s">
        <v>2325</v>
      </c>
      <c r="C231" s="101" t="s">
        <v>404</v>
      </c>
      <c r="D231" s="76" t="str">
        <f>IFERROR(INDEX(M_User!$A$12:$J$67,MATCH(C231,M_User!$D$12:$D$67,0),3),"UNMAPPED")</f>
        <v>Riziki Rajabu Mghamba</v>
      </c>
      <c r="E231" s="75" t="str">
        <f>IFERROR(INDEX(M_User!$A$12:$J$67,MATCH(C231,M_User!$D$12:$D$67,0),5),"UNMAPPED")</f>
        <v>MOS</v>
      </c>
      <c r="F231" s="101" t="s">
        <v>211</v>
      </c>
      <c r="G231" s="76" t="str">
        <f>IFERROR(INDEX(M_SKU!$A$18:$J$57,MATCH(F231,M_SKU!$B$18:$B$57,0),1),"UNKNOWN SKU")</f>
        <v>KNMW 500ml</v>
      </c>
      <c r="H231" s="101" t="s">
        <v>543</v>
      </c>
      <c r="I231" s="102">
        <f>SUMIF(T_Load!$U$9:$U$439,B231,T_Load!$O$9:$O$439)</f>
        <v>150</v>
      </c>
      <c r="J231" s="102">
        <f>SUMIF(T_Sales!$O$9:$O$1164,B231,T_Sales!$L$9:$L$1164)</f>
        <v>118</v>
      </c>
      <c r="K231" s="103">
        <f t="shared" si="3"/>
        <v>32</v>
      </c>
      <c r="L231" s="80">
        <v>46179</v>
      </c>
      <c r="M231" s="78" t="s">
        <v>1883</v>
      </c>
    </row>
    <row r="232" spans="1:13" ht="15" customHeight="1" x14ac:dyDescent="0.3">
      <c r="A232" s="60" t="s">
        <v>2326</v>
      </c>
      <c r="B232" s="97" t="s">
        <v>2327</v>
      </c>
      <c r="C232" s="63" t="s">
        <v>404</v>
      </c>
      <c r="D232" s="66" t="str">
        <f>IFERROR(INDEX(M_User!$A$12:$J$67,MATCH(C232,M_User!$D$12:$D$67,0),3),"UNMAPPED")</f>
        <v>Riziki Rajabu Mghamba</v>
      </c>
      <c r="E232" s="65" t="str">
        <f>IFERROR(INDEX(M_User!$A$12:$J$67,MATCH(C232,M_User!$D$12:$D$67,0),5),"UNMAPPED")</f>
        <v>MOS</v>
      </c>
      <c r="F232" s="63" t="s">
        <v>217</v>
      </c>
      <c r="G232" s="66" t="str">
        <f>IFERROR(INDEX(M_SKU!$A$18:$J$57,MATCH(F232,M_SKU!$B$18:$B$57,0),1),"UNKNOWN SKU")</f>
        <v>KNMW 1500ml</v>
      </c>
      <c r="H232" s="63" t="s">
        <v>544</v>
      </c>
      <c r="I232" s="98">
        <f>SUMIF(T_Load!$U$9:$U$439,B232,T_Load!$O$9:$O$439)</f>
        <v>90</v>
      </c>
      <c r="J232" s="98">
        <f>SUMIF(T_Sales!$O$9:$O$1164,B232,T_Sales!$L$9:$L$1164)</f>
        <v>59</v>
      </c>
      <c r="K232" s="99">
        <f t="shared" si="3"/>
        <v>31</v>
      </c>
      <c r="L232" s="62">
        <v>46179</v>
      </c>
      <c r="M232" s="68" t="s">
        <v>1883</v>
      </c>
    </row>
    <row r="233" spans="1:13" ht="15" customHeight="1" x14ac:dyDescent="0.3">
      <c r="A233" s="70" t="s">
        <v>2328</v>
      </c>
      <c r="B233" s="100" t="s">
        <v>2329</v>
      </c>
      <c r="C233" s="101" t="s">
        <v>404</v>
      </c>
      <c r="D233" s="76" t="str">
        <f>IFERROR(INDEX(M_User!$A$12:$J$67,MATCH(C233,M_User!$D$12:$D$67,0),3),"UNMAPPED")</f>
        <v>Riziki Rajabu Mghamba</v>
      </c>
      <c r="E233" s="75" t="str">
        <f>IFERROR(INDEX(M_User!$A$12:$J$67,MATCH(C233,M_User!$D$12:$D$67,0),5),"UNMAPPED")</f>
        <v>MOS</v>
      </c>
      <c r="F233" s="101" t="s">
        <v>229</v>
      </c>
      <c r="G233" s="76" t="str">
        <f>IFERROR(INDEX(M_SKU!$A$18:$J$57,MATCH(F233,M_SKU!$B$18:$B$57,0),1),"UNKNOWN SKU")</f>
        <v>Coke Pet 500ML ( x12)</v>
      </c>
      <c r="H233" s="101" t="s">
        <v>520</v>
      </c>
      <c r="I233" s="102">
        <f>SUMIF(T_Load!$U$9:$U$439,B233,T_Load!$O$9:$O$439)</f>
        <v>85</v>
      </c>
      <c r="J233" s="102">
        <f>SUMIF(T_Sales!$O$9:$O$1164,B233,T_Sales!$L$9:$L$1164)</f>
        <v>61</v>
      </c>
      <c r="K233" s="103">
        <f t="shared" si="3"/>
        <v>24</v>
      </c>
      <c r="L233" s="80">
        <v>46179</v>
      </c>
      <c r="M233" s="78" t="s">
        <v>1883</v>
      </c>
    </row>
    <row r="234" spans="1:13" ht="15" customHeight="1" x14ac:dyDescent="0.3">
      <c r="A234" s="60" t="s">
        <v>2330</v>
      </c>
      <c r="B234" s="97" t="s">
        <v>2331</v>
      </c>
      <c r="C234" s="63" t="s">
        <v>404</v>
      </c>
      <c r="D234" s="66" t="str">
        <f>IFERROR(INDEX(M_User!$A$12:$J$67,MATCH(C234,M_User!$D$12:$D$67,0),3),"UNMAPPED")</f>
        <v>Riziki Rajabu Mghamba</v>
      </c>
      <c r="E234" s="65" t="str">
        <f>IFERROR(INDEX(M_User!$A$12:$J$67,MATCH(C234,M_User!$D$12:$D$67,0),5),"UNMAPPED")</f>
        <v>MOS</v>
      </c>
      <c r="F234" s="63" t="s">
        <v>232</v>
      </c>
      <c r="G234" s="66" t="str">
        <f>IFERROR(INDEX(M_SKU!$A$18:$J$57,MATCH(F234,M_SKU!$B$18:$B$57,0),1),"UNKNOWN SKU")</f>
        <v>Sprite Pet 500ML (x 12)</v>
      </c>
      <c r="H234" s="63" t="s">
        <v>522</v>
      </c>
      <c r="I234" s="98">
        <f>SUMIF(T_Load!$U$9:$U$439,B234,T_Load!$O$9:$O$439)</f>
        <v>25</v>
      </c>
      <c r="J234" s="98">
        <f>SUMIF(T_Sales!$O$9:$O$1164,B234,T_Sales!$L$9:$L$1164)</f>
        <v>17</v>
      </c>
      <c r="K234" s="99">
        <f t="shared" si="3"/>
        <v>8</v>
      </c>
      <c r="L234" s="62">
        <v>46179</v>
      </c>
      <c r="M234" s="68" t="s">
        <v>1883</v>
      </c>
    </row>
    <row r="235" spans="1:13" ht="15" customHeight="1" x14ac:dyDescent="0.3">
      <c r="A235" s="70" t="s">
        <v>2332</v>
      </c>
      <c r="B235" s="100" t="s">
        <v>2333</v>
      </c>
      <c r="C235" s="101" t="s">
        <v>404</v>
      </c>
      <c r="D235" s="76" t="str">
        <f>IFERROR(INDEX(M_User!$A$12:$J$67,MATCH(C235,M_User!$D$12:$D$67,0),3),"UNMAPPED")</f>
        <v>Riziki Rajabu Mghamba</v>
      </c>
      <c r="E235" s="75" t="str">
        <f>IFERROR(INDEX(M_User!$A$12:$J$67,MATCH(C235,M_User!$D$12:$D$67,0),5),"UNMAPPED")</f>
        <v>MOS</v>
      </c>
      <c r="F235" s="101" t="s">
        <v>234</v>
      </c>
      <c r="G235" s="76" t="str">
        <f>IFERROR(INDEX(M_SKU!$A$18:$J$57,MATCH(F235,M_SKU!$B$18:$B$57,0),1),"UNKNOWN SKU")</f>
        <v>Fanta Orange Pet 500ML ( x 12)</v>
      </c>
      <c r="H235" s="101" t="s">
        <v>523</v>
      </c>
      <c r="I235" s="102">
        <f>SUMIF(T_Load!$U$9:$U$439,B235,T_Load!$O$9:$O$439)</f>
        <v>65</v>
      </c>
      <c r="J235" s="102">
        <f>SUMIF(T_Sales!$O$9:$O$1164,B235,T_Sales!$L$9:$L$1164)</f>
        <v>51</v>
      </c>
      <c r="K235" s="103">
        <f t="shared" si="3"/>
        <v>14</v>
      </c>
      <c r="L235" s="80">
        <v>46179</v>
      </c>
      <c r="M235" s="78" t="s">
        <v>1883</v>
      </c>
    </row>
    <row r="236" spans="1:13" ht="15" customHeight="1" x14ac:dyDescent="0.3">
      <c r="A236" s="60" t="s">
        <v>2334</v>
      </c>
      <c r="B236" s="97" t="s">
        <v>2335</v>
      </c>
      <c r="C236" s="63" t="s">
        <v>404</v>
      </c>
      <c r="D236" s="66" t="str">
        <f>IFERROR(INDEX(M_User!$A$12:$J$67,MATCH(C236,M_User!$D$12:$D$67,0),3),"UNMAPPED")</f>
        <v>Riziki Rajabu Mghamba</v>
      </c>
      <c r="E236" s="65" t="str">
        <f>IFERROR(INDEX(M_User!$A$12:$J$67,MATCH(C236,M_User!$D$12:$D$67,0),5),"UNMAPPED")</f>
        <v>MOS</v>
      </c>
      <c r="F236" s="63" t="s">
        <v>236</v>
      </c>
      <c r="G236" s="66" t="str">
        <f>IFERROR(INDEX(M_SKU!$A$18:$J$57,MATCH(F236,M_SKU!$B$18:$B$57,0),1),"UNKNOWN SKU")</f>
        <v>Fanta Passion Pet 500ML ( x12)</v>
      </c>
      <c r="H236" s="63" t="s">
        <v>524</v>
      </c>
      <c r="I236" s="98">
        <f>SUMIF(T_Load!$U$9:$U$439,B236,T_Load!$O$9:$O$439)</f>
        <v>40</v>
      </c>
      <c r="J236" s="98">
        <f>SUMIF(T_Sales!$O$9:$O$1164,B236,T_Sales!$L$9:$L$1164)</f>
        <v>26</v>
      </c>
      <c r="K236" s="99">
        <f t="shared" si="3"/>
        <v>14</v>
      </c>
      <c r="L236" s="62">
        <v>46179</v>
      </c>
      <c r="M236" s="68" t="s">
        <v>1883</v>
      </c>
    </row>
    <row r="237" spans="1:13" ht="15" customHeight="1" x14ac:dyDescent="0.3">
      <c r="A237" s="70" t="s">
        <v>2336</v>
      </c>
      <c r="B237" s="100" t="s">
        <v>2337</v>
      </c>
      <c r="C237" s="101" t="s">
        <v>404</v>
      </c>
      <c r="D237" s="76" t="str">
        <f>IFERROR(INDEX(M_User!$A$12:$J$67,MATCH(C237,M_User!$D$12:$D$67,0),3),"UNMAPPED")</f>
        <v>Riziki Rajabu Mghamba</v>
      </c>
      <c r="E237" s="75" t="str">
        <f>IFERROR(INDEX(M_User!$A$12:$J$67,MATCH(C237,M_User!$D$12:$D$67,0),5),"UNMAPPED")</f>
        <v>MOS</v>
      </c>
      <c r="F237" s="101" t="s">
        <v>242</v>
      </c>
      <c r="G237" s="76" t="str">
        <f>IFERROR(INDEX(M_SKU!$A$18:$J$57,MATCH(F237,M_SKU!$B$18:$B$57,0),1),"UNKNOWN SKU")</f>
        <v>Stoney Tangawizi Pet 500 ml ( x12)</v>
      </c>
      <c r="H237" s="101" t="s">
        <v>525</v>
      </c>
      <c r="I237" s="102">
        <f>SUMIF(T_Load!$U$9:$U$439,B237,T_Load!$O$9:$O$439)</f>
        <v>10</v>
      </c>
      <c r="J237" s="102">
        <f>SUMIF(T_Sales!$O$9:$O$1164,B237,T_Sales!$L$9:$L$1164)</f>
        <v>7</v>
      </c>
      <c r="K237" s="103">
        <f t="shared" si="3"/>
        <v>3</v>
      </c>
      <c r="L237" s="80">
        <v>46179</v>
      </c>
      <c r="M237" s="78" t="s">
        <v>1883</v>
      </c>
    </row>
    <row r="238" spans="1:13" ht="15" customHeight="1" x14ac:dyDescent="0.3">
      <c r="A238" s="60" t="s">
        <v>2338</v>
      </c>
      <c r="B238" s="97" t="s">
        <v>2339</v>
      </c>
      <c r="C238" s="63" t="s">
        <v>404</v>
      </c>
      <c r="D238" s="66" t="str">
        <f>IFERROR(INDEX(M_User!$A$12:$J$67,MATCH(C238,M_User!$D$12:$D$67,0),3),"UNMAPPED")</f>
        <v>Riziki Rajabu Mghamba</v>
      </c>
      <c r="E238" s="65" t="str">
        <f>IFERROR(INDEX(M_User!$A$12:$J$67,MATCH(C238,M_User!$D$12:$D$67,0),5),"UNMAPPED")</f>
        <v>MOS</v>
      </c>
      <c r="F238" s="63" t="s">
        <v>244</v>
      </c>
      <c r="G238" s="66" t="str">
        <f>IFERROR(INDEX(M_SKU!$A$18:$J$57,MATCH(F238,M_SKU!$B$18:$B$57,0),1),"UNKNOWN SKU")</f>
        <v>Sparletta Pinenut Pet 500 ml ( x12)</v>
      </c>
      <c r="H238" s="63" t="s">
        <v>526</v>
      </c>
      <c r="I238" s="98">
        <f>SUMIF(T_Load!$U$9:$U$439,B238,T_Load!$O$9:$O$439)</f>
        <v>10</v>
      </c>
      <c r="J238" s="98">
        <f>SUMIF(T_Sales!$O$9:$O$1164,B238,T_Sales!$L$9:$L$1164)</f>
        <v>8</v>
      </c>
      <c r="K238" s="99">
        <f t="shared" si="3"/>
        <v>2</v>
      </c>
      <c r="L238" s="62">
        <v>46179</v>
      </c>
      <c r="M238" s="68" t="s">
        <v>1883</v>
      </c>
    </row>
    <row r="239" spans="1:13" ht="15" customHeight="1" x14ac:dyDescent="0.3">
      <c r="A239" s="70" t="s">
        <v>2340</v>
      </c>
      <c r="B239" s="100" t="s">
        <v>2341</v>
      </c>
      <c r="C239" s="101" t="s">
        <v>404</v>
      </c>
      <c r="D239" s="76" t="str">
        <f>IFERROR(INDEX(M_User!$A$12:$J$67,MATCH(C239,M_User!$D$12:$D$67,0),3),"UNMAPPED")</f>
        <v>Riziki Rajabu Mghamba</v>
      </c>
      <c r="E239" s="75" t="str">
        <f>IFERROR(INDEX(M_User!$A$12:$J$67,MATCH(C239,M_User!$D$12:$D$67,0),5),"UNMAPPED")</f>
        <v>MOS</v>
      </c>
      <c r="F239" s="101" t="s">
        <v>252</v>
      </c>
      <c r="G239" s="76" t="str">
        <f>IFERROR(INDEX(M_SKU!$A$18:$J$57,MATCH(F239,M_SKU!$B$18:$B$57,0),1),"UNKNOWN SKU")</f>
        <v>Sprite Zero Pet 300ML (x 12)</v>
      </c>
      <c r="H239" s="101" t="s">
        <v>545</v>
      </c>
      <c r="I239" s="102">
        <f>SUMIF(T_Load!$U$9:$U$439,B239,T_Load!$O$9:$O$439)</f>
        <v>25</v>
      </c>
      <c r="J239" s="102">
        <f>SUMIF(T_Sales!$O$9:$O$1164,B239,T_Sales!$L$9:$L$1164)</f>
        <v>19</v>
      </c>
      <c r="K239" s="103">
        <f t="shared" si="3"/>
        <v>6</v>
      </c>
      <c r="L239" s="80">
        <v>46179</v>
      </c>
      <c r="M239" s="78" t="s">
        <v>1883</v>
      </c>
    </row>
    <row r="240" spans="1:13" ht="15" customHeight="1" x14ac:dyDescent="0.3">
      <c r="A240" s="60" t="s">
        <v>2342</v>
      </c>
      <c r="B240" s="97" t="s">
        <v>2343</v>
      </c>
      <c r="C240" s="63" t="s">
        <v>404</v>
      </c>
      <c r="D240" s="66" t="str">
        <f>IFERROR(INDEX(M_User!$A$12:$J$67,MATCH(C240,M_User!$D$12:$D$67,0),3),"UNMAPPED")</f>
        <v>Riziki Rajabu Mghamba</v>
      </c>
      <c r="E240" s="65" t="str">
        <f>IFERROR(INDEX(M_User!$A$12:$J$67,MATCH(C240,M_User!$D$12:$D$67,0),5),"UNMAPPED")</f>
        <v>MOS</v>
      </c>
      <c r="F240" s="63" t="s">
        <v>254</v>
      </c>
      <c r="G240" s="66" t="str">
        <f>IFERROR(INDEX(M_SKU!$A$18:$J$57,MATCH(F240,M_SKU!$B$18:$B$57,0),1),"UNKNOWN SKU")</f>
        <v>Fanta Zero Pet 300ML (x 12)</v>
      </c>
      <c r="H240" s="63" t="s">
        <v>546</v>
      </c>
      <c r="I240" s="98">
        <f>SUMIF(T_Load!$U$9:$U$439,B240,T_Load!$O$9:$O$439)</f>
        <v>10</v>
      </c>
      <c r="J240" s="98">
        <f>SUMIF(T_Sales!$O$9:$O$1164,B240,T_Sales!$L$9:$L$1164)</f>
        <v>8</v>
      </c>
      <c r="K240" s="99">
        <f t="shared" si="3"/>
        <v>2</v>
      </c>
      <c r="L240" s="62">
        <v>46179</v>
      </c>
      <c r="M240" s="68" t="s">
        <v>1883</v>
      </c>
    </row>
    <row r="241" spans="1:13" ht="15" customHeight="1" x14ac:dyDescent="0.3">
      <c r="A241" s="70" t="s">
        <v>2344</v>
      </c>
      <c r="B241" s="100" t="s">
        <v>2345</v>
      </c>
      <c r="C241" s="101" t="s">
        <v>404</v>
      </c>
      <c r="D241" s="76" t="str">
        <f>IFERROR(INDEX(M_User!$A$12:$J$67,MATCH(C241,M_User!$D$12:$D$67,0),3),"UNMAPPED")</f>
        <v>Riziki Rajabu Mghamba</v>
      </c>
      <c r="E241" s="75" t="str">
        <f>IFERROR(INDEX(M_User!$A$12:$J$67,MATCH(C241,M_User!$D$12:$D$67,0),5),"UNMAPPED")</f>
        <v>MOS</v>
      </c>
      <c r="F241" s="101" t="s">
        <v>261</v>
      </c>
      <c r="G241" s="76" t="str">
        <f>IFERROR(INDEX(M_SKU!$A$18:$J$57,MATCH(F241,M_SKU!$B$18:$B$57,0),1),"UNKNOWN SKU")</f>
        <v>Sparletta Pine Apple Pet 300ML (x 12)</v>
      </c>
      <c r="H241" s="101" t="s">
        <v>547</v>
      </c>
      <c r="I241" s="102">
        <f>SUMIF(T_Load!$U$9:$U$439,B241,T_Load!$O$9:$O$439)</f>
        <v>15</v>
      </c>
      <c r="J241" s="102">
        <f>SUMIF(T_Sales!$O$9:$O$1164,B241,T_Sales!$L$9:$L$1164)</f>
        <v>10</v>
      </c>
      <c r="K241" s="103">
        <f t="shared" si="3"/>
        <v>5</v>
      </c>
      <c r="L241" s="80">
        <v>46179</v>
      </c>
      <c r="M241" s="78" t="s">
        <v>1883</v>
      </c>
    </row>
    <row r="242" spans="1:13" ht="15" customHeight="1" x14ac:dyDescent="0.3">
      <c r="A242" s="60" t="s">
        <v>2346</v>
      </c>
      <c r="B242" s="97" t="s">
        <v>2347</v>
      </c>
      <c r="C242" s="63" t="s">
        <v>427</v>
      </c>
      <c r="D242" s="66" t="str">
        <f>IFERROR(INDEX(M_User!$A$12:$J$67,MATCH(C242,M_User!$D$12:$D$67,0),3),"UNMAPPED")</f>
        <v>Piniel Julius Singo</v>
      </c>
      <c r="E242" s="65" t="str">
        <f>IFERROR(INDEX(M_User!$A$12:$J$67,MATCH(C242,M_User!$D$12:$D$67,0),5),"UNMAPPED")</f>
        <v>MOS</v>
      </c>
      <c r="F242" s="63" t="s">
        <v>170</v>
      </c>
      <c r="G242" s="66" t="str">
        <f>IFERROR(INDEX(M_SKU!$A$18:$J$57,MATCH(F242,M_SKU!$B$18:$B$57,0),1),"UNKNOWN SKU")</f>
        <v>Coke RGB 350ml</v>
      </c>
      <c r="H242" s="63" t="s">
        <v>530</v>
      </c>
      <c r="I242" s="98">
        <f>SUMIF(T_Load!$U$9:$U$439,B242,T_Load!$O$9:$O$439)</f>
        <v>50</v>
      </c>
      <c r="J242" s="98">
        <f>SUMIF(T_Sales!$O$9:$O$1164,B242,T_Sales!$L$9:$L$1164)</f>
        <v>45.888907717890703</v>
      </c>
      <c r="K242" s="99">
        <f t="shared" si="3"/>
        <v>4.111092282109297</v>
      </c>
      <c r="L242" s="62">
        <v>46179</v>
      </c>
      <c r="M242" s="68" t="s">
        <v>1883</v>
      </c>
    </row>
    <row r="243" spans="1:13" ht="15" customHeight="1" x14ac:dyDescent="0.3">
      <c r="A243" s="70" t="s">
        <v>2348</v>
      </c>
      <c r="B243" s="100" t="s">
        <v>2349</v>
      </c>
      <c r="C243" s="101" t="s">
        <v>427</v>
      </c>
      <c r="D243" s="76" t="str">
        <f>IFERROR(INDEX(M_User!$A$12:$J$67,MATCH(C243,M_User!$D$12:$D$67,0),3),"UNMAPPED")</f>
        <v>Piniel Julius Singo</v>
      </c>
      <c r="E243" s="75" t="str">
        <f>IFERROR(INDEX(M_User!$A$12:$J$67,MATCH(C243,M_User!$D$12:$D$67,0),5),"UNMAPPED")</f>
        <v>MOS</v>
      </c>
      <c r="F243" s="101" t="s">
        <v>178</v>
      </c>
      <c r="G243" s="76" t="str">
        <f>IFERROR(INDEX(M_SKU!$A$18:$J$57,MATCH(F243,M_SKU!$B$18:$B$57,0),1),"UNKNOWN SKU")</f>
        <v>Fanta Orange RGB 350ml</v>
      </c>
      <c r="H243" s="101" t="s">
        <v>531</v>
      </c>
      <c r="I243" s="102">
        <f>SUMIF(T_Load!$U$9:$U$439,B243,T_Load!$O$9:$O$439)</f>
        <v>22</v>
      </c>
      <c r="J243" s="102">
        <f>SUMIF(T_Sales!$O$9:$O$1164,B243,T_Sales!$L$9:$L$1164)</f>
        <v>19.009179015997191</v>
      </c>
      <c r="K243" s="103">
        <f t="shared" si="3"/>
        <v>2.9908209840028093</v>
      </c>
      <c r="L243" s="80">
        <v>46179</v>
      </c>
      <c r="M243" s="78" t="s">
        <v>1883</v>
      </c>
    </row>
    <row r="244" spans="1:13" ht="15" customHeight="1" x14ac:dyDescent="0.3">
      <c r="A244" s="60" t="s">
        <v>2350</v>
      </c>
      <c r="B244" s="97" t="s">
        <v>2351</v>
      </c>
      <c r="C244" s="63" t="s">
        <v>427</v>
      </c>
      <c r="D244" s="66" t="str">
        <f>IFERROR(INDEX(M_User!$A$12:$J$67,MATCH(C244,M_User!$D$12:$D$67,0),3),"UNMAPPED")</f>
        <v>Piniel Julius Singo</v>
      </c>
      <c r="E244" s="65" t="str">
        <f>IFERROR(INDEX(M_User!$A$12:$J$67,MATCH(C244,M_User!$D$12:$D$67,0),5),"UNMAPPED")</f>
        <v>MOS</v>
      </c>
      <c r="F244" s="63" t="s">
        <v>181</v>
      </c>
      <c r="G244" s="66" t="str">
        <f>IFERROR(INDEX(M_SKU!$A$18:$J$57,MATCH(F244,M_SKU!$B$18:$B$57,0),1),"UNKNOWN SKU")</f>
        <v>Fanta Passion RGB 350ml</v>
      </c>
      <c r="H244" s="63" t="s">
        <v>550</v>
      </c>
      <c r="I244" s="98">
        <f>SUMIF(T_Load!$U$9:$U$439,B244,T_Load!$O$9:$O$439)</f>
        <v>7</v>
      </c>
      <c r="J244" s="98">
        <f>SUMIF(T_Sales!$O$9:$O$1164,B244,T_Sales!$L$9:$L$1164)</f>
        <v>5.7713698372549507</v>
      </c>
      <c r="K244" s="99">
        <f t="shared" si="3"/>
        <v>1.2286301627450493</v>
      </c>
      <c r="L244" s="62">
        <v>46179</v>
      </c>
      <c r="M244" s="68" t="s">
        <v>1883</v>
      </c>
    </row>
    <row r="245" spans="1:13" ht="15" customHeight="1" x14ac:dyDescent="0.3">
      <c r="A245" s="70" t="s">
        <v>2352</v>
      </c>
      <c r="B245" s="100" t="s">
        <v>2353</v>
      </c>
      <c r="C245" s="101" t="s">
        <v>427</v>
      </c>
      <c r="D245" s="76" t="str">
        <f>IFERROR(INDEX(M_User!$A$12:$J$67,MATCH(C245,M_User!$D$12:$D$67,0),3),"UNMAPPED")</f>
        <v>Piniel Julius Singo</v>
      </c>
      <c r="E245" s="75" t="str">
        <f>IFERROR(INDEX(M_User!$A$12:$J$67,MATCH(C245,M_User!$D$12:$D$67,0),5),"UNMAPPED")</f>
        <v>MOS</v>
      </c>
      <c r="F245" s="101" t="s">
        <v>183</v>
      </c>
      <c r="G245" s="76" t="str">
        <f>IFERROR(INDEX(M_SKU!$A$18:$J$57,MATCH(F245,M_SKU!$B$18:$B$57,0),1),"UNKNOWN SKU")</f>
        <v>Fanta Pineapple RGB 350ml</v>
      </c>
      <c r="H245" s="101" t="s">
        <v>533</v>
      </c>
      <c r="I245" s="102">
        <f>SUMIF(T_Load!$U$9:$U$439,B245,T_Load!$O$9:$O$439)</f>
        <v>9</v>
      </c>
      <c r="J245" s="102">
        <f>SUMIF(T_Sales!$O$9:$O$1164,B245,T_Sales!$L$9:$L$1164)</f>
        <v>8.0019608399573503</v>
      </c>
      <c r="K245" s="103">
        <f t="shared" si="3"/>
        <v>0.9980391600426497</v>
      </c>
      <c r="L245" s="80">
        <v>46179</v>
      </c>
      <c r="M245" s="78" t="s">
        <v>1883</v>
      </c>
    </row>
    <row r="246" spans="1:13" ht="15" customHeight="1" x14ac:dyDescent="0.3">
      <c r="A246" s="60" t="s">
        <v>2354</v>
      </c>
      <c r="B246" s="97" t="s">
        <v>2355</v>
      </c>
      <c r="C246" s="63" t="s">
        <v>427</v>
      </c>
      <c r="D246" s="66" t="str">
        <f>IFERROR(INDEX(M_User!$A$12:$J$67,MATCH(C246,M_User!$D$12:$D$67,0),3),"UNMAPPED")</f>
        <v>Piniel Julius Singo</v>
      </c>
      <c r="E246" s="65" t="str">
        <f>IFERROR(INDEX(M_User!$A$12:$J$67,MATCH(C246,M_User!$D$12:$D$67,0),5),"UNMAPPED")</f>
        <v>MOS</v>
      </c>
      <c r="F246" s="63" t="s">
        <v>185</v>
      </c>
      <c r="G246" s="66" t="str">
        <f>IFERROR(INDEX(M_SKU!$A$18:$J$57,MATCH(F246,M_SKU!$B$18:$B$57,0),1),"UNKNOWN SKU")</f>
        <v>Fanta Fruit Blast RGB 350 ml</v>
      </c>
      <c r="H246" s="63" t="s">
        <v>534</v>
      </c>
      <c r="I246" s="98">
        <f>SUMIF(T_Load!$U$9:$U$439,B246,T_Load!$O$9:$O$439)</f>
        <v>4</v>
      </c>
      <c r="J246" s="98">
        <f>SUMIF(T_Sales!$O$9:$O$1164,B246,T_Sales!$L$9:$L$1164)</f>
        <v>3.3809489701433142</v>
      </c>
      <c r="K246" s="99">
        <f t="shared" si="3"/>
        <v>0.61905102985668581</v>
      </c>
      <c r="L246" s="62">
        <v>46179</v>
      </c>
      <c r="M246" s="68" t="s">
        <v>1883</v>
      </c>
    </row>
    <row r="247" spans="1:13" ht="15" customHeight="1" x14ac:dyDescent="0.3">
      <c r="A247" s="70" t="s">
        <v>2356</v>
      </c>
      <c r="B247" s="100" t="s">
        <v>2357</v>
      </c>
      <c r="C247" s="101" t="s">
        <v>427</v>
      </c>
      <c r="D247" s="76" t="str">
        <f>IFERROR(INDEX(M_User!$A$12:$J$67,MATCH(C247,M_User!$D$12:$D$67,0),3),"UNMAPPED")</f>
        <v>Piniel Julius Singo</v>
      </c>
      <c r="E247" s="75" t="str">
        <f>IFERROR(INDEX(M_User!$A$12:$J$67,MATCH(C247,M_User!$D$12:$D$67,0),5),"UNMAPPED")</f>
        <v>MOS</v>
      </c>
      <c r="F247" s="101" t="s">
        <v>187</v>
      </c>
      <c r="G247" s="76" t="str">
        <f>IFERROR(INDEX(M_SKU!$A$18:$J$57,MATCH(F247,M_SKU!$B$18:$B$57,0),1),"UNKNOWN SKU")</f>
        <v>Sprite 350ml</v>
      </c>
      <c r="H247" s="101" t="s">
        <v>535</v>
      </c>
      <c r="I247" s="102">
        <f>SUMIF(T_Load!$U$9:$U$439,B247,T_Load!$O$9:$O$439)</f>
        <v>9</v>
      </c>
      <c r="J247" s="102">
        <f>SUMIF(T_Sales!$O$9:$O$1164,B247,T_Sales!$L$9:$L$1164)</f>
        <v>7.8605459238078099</v>
      </c>
      <c r="K247" s="103">
        <f t="shared" si="3"/>
        <v>1.1394540761921901</v>
      </c>
      <c r="L247" s="80">
        <v>46179</v>
      </c>
      <c r="M247" s="78" t="s">
        <v>1883</v>
      </c>
    </row>
    <row r="248" spans="1:13" ht="15" customHeight="1" x14ac:dyDescent="0.3">
      <c r="A248" s="60" t="s">
        <v>2358</v>
      </c>
      <c r="B248" s="97" t="s">
        <v>2359</v>
      </c>
      <c r="C248" s="63" t="s">
        <v>427</v>
      </c>
      <c r="D248" s="66" t="str">
        <f>IFERROR(INDEX(M_User!$A$12:$J$67,MATCH(C248,M_User!$D$12:$D$67,0),3),"UNMAPPED")</f>
        <v>Piniel Julius Singo</v>
      </c>
      <c r="E248" s="65" t="str">
        <f>IFERROR(INDEX(M_User!$A$12:$J$67,MATCH(C248,M_User!$D$12:$D$67,0),5),"UNMAPPED")</f>
        <v>MOS</v>
      </c>
      <c r="F248" s="63" t="s">
        <v>190</v>
      </c>
      <c r="G248" s="66" t="str">
        <f>IFERROR(INDEX(M_SKU!$A$18:$J$57,MATCH(F248,M_SKU!$B$18:$B$57,0),1),"UNKNOWN SKU")</f>
        <v>Stoney Tangawizi RGB 350ml</v>
      </c>
      <c r="H248" s="63" t="s">
        <v>536</v>
      </c>
      <c r="I248" s="98">
        <f>SUMIF(T_Load!$U$9:$U$439,B248,T_Load!$O$9:$O$439)</f>
        <v>4</v>
      </c>
      <c r="J248" s="98">
        <f>SUMIF(T_Sales!$O$9:$O$1164,B248,T_Sales!$L$9:$L$1164)</f>
        <v>3.1853192404137798</v>
      </c>
      <c r="K248" s="99">
        <f t="shared" si="3"/>
        <v>0.81468075958622022</v>
      </c>
      <c r="L248" s="62">
        <v>46179</v>
      </c>
      <c r="M248" s="68" t="s">
        <v>1883</v>
      </c>
    </row>
    <row r="249" spans="1:13" ht="15" customHeight="1" x14ac:dyDescent="0.3">
      <c r="A249" s="70" t="s">
        <v>2360</v>
      </c>
      <c r="B249" s="100" t="s">
        <v>2361</v>
      </c>
      <c r="C249" s="101" t="s">
        <v>427</v>
      </c>
      <c r="D249" s="76" t="str">
        <f>IFERROR(INDEX(M_User!$A$12:$J$67,MATCH(C249,M_User!$D$12:$D$67,0),3),"UNMAPPED")</f>
        <v>Piniel Julius Singo</v>
      </c>
      <c r="E249" s="75" t="str">
        <f>IFERROR(INDEX(M_User!$A$12:$J$67,MATCH(C249,M_User!$D$12:$D$67,0),5),"UNMAPPED")</f>
        <v>MOS</v>
      </c>
      <c r="F249" s="101" t="s">
        <v>193</v>
      </c>
      <c r="G249" s="76" t="str">
        <f>IFERROR(INDEX(M_SKU!$A$18:$J$57,MATCH(F249,M_SKU!$B$18:$B$57,0),1),"UNKNOWN SKU")</f>
        <v>Sparletta Pinenut RGB 350ml</v>
      </c>
      <c r="H249" s="101" t="s">
        <v>537</v>
      </c>
      <c r="I249" s="102">
        <f>SUMIF(T_Load!$U$9:$U$439,B249,T_Load!$O$9:$O$439)</f>
        <v>3</v>
      </c>
      <c r="J249" s="102">
        <f>SUMIF(T_Sales!$O$9:$O$1164,B249,T_Sales!$L$9:$L$1164)</f>
        <v>2.2521559238094833</v>
      </c>
      <c r="K249" s="103">
        <f t="shared" si="3"/>
        <v>0.74784407619051674</v>
      </c>
      <c r="L249" s="80">
        <v>46179</v>
      </c>
      <c r="M249" s="78" t="s">
        <v>1883</v>
      </c>
    </row>
    <row r="250" spans="1:13" ht="15" customHeight="1" x14ac:dyDescent="0.3">
      <c r="A250" s="60" t="s">
        <v>2362</v>
      </c>
      <c r="B250" s="97" t="s">
        <v>2363</v>
      </c>
      <c r="C250" s="63" t="s">
        <v>427</v>
      </c>
      <c r="D250" s="66" t="str">
        <f>IFERROR(INDEX(M_User!$A$12:$J$67,MATCH(C250,M_User!$D$12:$D$67,0),3),"UNMAPPED")</f>
        <v>Piniel Julius Singo</v>
      </c>
      <c r="E250" s="65" t="str">
        <f>IFERROR(INDEX(M_User!$A$12:$J$67,MATCH(C250,M_User!$D$12:$D$67,0),5),"UNMAPPED")</f>
        <v>MOS</v>
      </c>
      <c r="F250" s="63" t="s">
        <v>199</v>
      </c>
      <c r="G250" s="66" t="str">
        <f>IFERROR(INDEX(M_SKU!$A$18:$J$57,MATCH(F250,M_SKU!$B$18:$B$57,0),1),"UNKNOWN SKU")</f>
        <v>Krest Club Soda RGB 300ml</v>
      </c>
      <c r="H250" s="63" t="s">
        <v>539</v>
      </c>
      <c r="I250" s="98">
        <f>SUMIF(T_Load!$U$9:$U$439,B250,T_Load!$O$9:$O$439)</f>
        <v>2</v>
      </c>
      <c r="J250" s="98">
        <f>SUMIF(T_Sales!$O$9:$O$1164,B250,T_Sales!$L$9:$L$1164)</f>
        <v>1.76994952415615</v>
      </c>
      <c r="K250" s="99">
        <f t="shared" si="3"/>
        <v>0.23005047584384997</v>
      </c>
      <c r="L250" s="62">
        <v>46179</v>
      </c>
      <c r="M250" s="68" t="s">
        <v>1883</v>
      </c>
    </row>
    <row r="251" spans="1:13" ht="15" customHeight="1" x14ac:dyDescent="0.3">
      <c r="A251" s="70" t="s">
        <v>2364</v>
      </c>
      <c r="B251" s="100" t="s">
        <v>2365</v>
      </c>
      <c r="C251" s="101" t="s">
        <v>427</v>
      </c>
      <c r="D251" s="76" t="str">
        <f>IFERROR(INDEX(M_User!$A$12:$J$67,MATCH(C251,M_User!$D$12:$D$67,0),3),"UNMAPPED")</f>
        <v>Piniel Julius Singo</v>
      </c>
      <c r="E251" s="75" t="str">
        <f>IFERROR(INDEX(M_User!$A$12:$J$67,MATCH(C251,M_User!$D$12:$D$67,0),5),"UNMAPPED")</f>
        <v>MOS</v>
      </c>
      <c r="F251" s="101" t="s">
        <v>201</v>
      </c>
      <c r="G251" s="76" t="str">
        <f>IFERROR(INDEX(M_SKU!$A$18:$J$57,MATCH(F251,M_SKU!$B$18:$B$57,0),1),"UNKNOWN SKU")</f>
        <v>Krest Tonic Water RGB 300ml</v>
      </c>
      <c r="H251" s="101" t="s">
        <v>540</v>
      </c>
      <c r="I251" s="102">
        <f>SUMIF(T_Load!$U$9:$U$439,B251,T_Load!$O$9:$O$439)</f>
        <v>5</v>
      </c>
      <c r="J251" s="102">
        <f>SUMIF(T_Sales!$O$9:$O$1164,B251,T_Sales!$L$9:$L$1164)</f>
        <v>4.2016971568919903</v>
      </c>
      <c r="K251" s="103">
        <f t="shared" si="3"/>
        <v>0.7983028431080097</v>
      </c>
      <c r="L251" s="80">
        <v>46179</v>
      </c>
      <c r="M251" s="78" t="s">
        <v>1883</v>
      </c>
    </row>
    <row r="252" spans="1:13" ht="15" customHeight="1" x14ac:dyDescent="0.3">
      <c r="A252" s="60" t="s">
        <v>2366</v>
      </c>
      <c r="B252" s="97" t="s">
        <v>2367</v>
      </c>
      <c r="C252" s="63" t="s">
        <v>427</v>
      </c>
      <c r="D252" s="66" t="str">
        <f>IFERROR(INDEX(M_User!$A$12:$J$67,MATCH(C252,M_User!$D$12:$D$67,0),3),"UNMAPPED")</f>
        <v>Piniel Julius Singo</v>
      </c>
      <c r="E252" s="65" t="str">
        <f>IFERROR(INDEX(M_User!$A$12:$J$67,MATCH(C252,M_User!$D$12:$D$67,0),5),"UNMAPPED")</f>
        <v>MOS</v>
      </c>
      <c r="F252" s="63" t="s">
        <v>203</v>
      </c>
      <c r="G252" s="66" t="str">
        <f>IFERROR(INDEX(M_SKU!$A$18:$J$57,MATCH(F252,M_SKU!$B$18:$B$57,0),1),"UNKNOWN SKU")</f>
        <v>Krest Ginger Ale RGB 300ml</v>
      </c>
      <c r="H252" s="63" t="s">
        <v>541</v>
      </c>
      <c r="I252" s="98">
        <f>SUMIF(T_Load!$U$9:$U$439,B252,T_Load!$O$9:$O$439)</f>
        <v>3</v>
      </c>
      <c r="J252" s="98">
        <f>SUMIF(T_Sales!$O$9:$O$1164,B252,T_Sales!$L$9:$L$1164)</f>
        <v>2.4950603997485801</v>
      </c>
      <c r="K252" s="99">
        <f t="shared" si="3"/>
        <v>0.50493960025141993</v>
      </c>
      <c r="L252" s="62">
        <v>46179</v>
      </c>
      <c r="M252" s="68" t="s">
        <v>1883</v>
      </c>
    </row>
    <row r="253" spans="1:13" ht="15" customHeight="1" x14ac:dyDescent="0.3">
      <c r="A253" s="70" t="s">
        <v>2368</v>
      </c>
      <c r="B253" s="100" t="s">
        <v>2369</v>
      </c>
      <c r="C253" s="101" t="s">
        <v>427</v>
      </c>
      <c r="D253" s="76" t="str">
        <f>IFERROR(INDEX(M_User!$A$12:$J$67,MATCH(C253,M_User!$D$12:$D$67,0),3),"UNMAPPED")</f>
        <v>Piniel Julius Singo</v>
      </c>
      <c r="E253" s="75" t="str">
        <f>IFERROR(INDEX(M_User!$A$12:$J$67,MATCH(C253,M_User!$D$12:$D$67,0),5),"UNMAPPED")</f>
        <v>MOS</v>
      </c>
      <c r="F253" s="101" t="s">
        <v>209</v>
      </c>
      <c r="G253" s="76" t="str">
        <f>IFERROR(INDEX(M_SKU!$A$18:$J$57,MATCH(F253,M_SKU!$B$18:$B$57,0),1),"UNKNOWN SKU")</f>
        <v>Sparletta Red Apple RGB 350ml</v>
      </c>
      <c r="H253" s="101" t="s">
        <v>542</v>
      </c>
      <c r="I253" s="102">
        <f>SUMIF(T_Load!$U$9:$U$439,B253,T_Load!$O$9:$O$439)</f>
        <v>2</v>
      </c>
      <c r="J253" s="102">
        <f>SUMIF(T_Sales!$O$9:$O$1164,B253,T_Sales!$L$9:$L$1164)</f>
        <v>1.793120675587965</v>
      </c>
      <c r="K253" s="103">
        <f t="shared" si="3"/>
        <v>0.20687932441203505</v>
      </c>
      <c r="L253" s="80">
        <v>46179</v>
      </c>
      <c r="M253" s="78" t="s">
        <v>1883</v>
      </c>
    </row>
    <row r="254" spans="1:13" ht="15" customHeight="1" x14ac:dyDescent="0.3">
      <c r="A254" s="60" t="s">
        <v>2370</v>
      </c>
      <c r="B254" s="97" t="s">
        <v>2371</v>
      </c>
      <c r="C254" s="63" t="s">
        <v>427</v>
      </c>
      <c r="D254" s="66" t="str">
        <f>IFERROR(INDEX(M_User!$A$12:$J$67,MATCH(C254,M_User!$D$12:$D$67,0),3),"UNMAPPED")</f>
        <v>Piniel Julius Singo</v>
      </c>
      <c r="E254" s="65" t="str">
        <f>IFERROR(INDEX(M_User!$A$12:$J$67,MATCH(C254,M_User!$D$12:$D$67,0),5),"UNMAPPED")</f>
        <v>MOS</v>
      </c>
      <c r="F254" s="63" t="s">
        <v>211</v>
      </c>
      <c r="G254" s="66" t="str">
        <f>IFERROR(INDEX(M_SKU!$A$18:$J$57,MATCH(F254,M_SKU!$B$18:$B$57,0),1),"UNKNOWN SKU")</f>
        <v>KNMW 500ml</v>
      </c>
      <c r="H254" s="63" t="s">
        <v>543</v>
      </c>
      <c r="I254" s="98">
        <f>SUMIF(T_Load!$U$9:$U$439,B254,T_Load!$O$9:$O$439)</f>
        <v>40</v>
      </c>
      <c r="J254" s="98">
        <f>SUMIF(T_Sales!$O$9:$O$1164,B254,T_Sales!$L$9:$L$1164)</f>
        <v>33</v>
      </c>
      <c r="K254" s="99">
        <f t="shared" si="3"/>
        <v>7</v>
      </c>
      <c r="L254" s="62">
        <v>46179</v>
      </c>
      <c r="M254" s="68" t="s">
        <v>1883</v>
      </c>
    </row>
    <row r="255" spans="1:13" ht="15" customHeight="1" x14ac:dyDescent="0.3">
      <c r="A255" s="70" t="s">
        <v>2372</v>
      </c>
      <c r="B255" s="100" t="s">
        <v>2373</v>
      </c>
      <c r="C255" s="101" t="s">
        <v>427</v>
      </c>
      <c r="D255" s="76" t="str">
        <f>IFERROR(INDEX(M_User!$A$12:$J$67,MATCH(C255,M_User!$D$12:$D$67,0),3),"UNMAPPED")</f>
        <v>Piniel Julius Singo</v>
      </c>
      <c r="E255" s="75" t="str">
        <f>IFERROR(INDEX(M_User!$A$12:$J$67,MATCH(C255,M_User!$D$12:$D$67,0),5),"UNMAPPED")</f>
        <v>MOS</v>
      </c>
      <c r="F255" s="101" t="s">
        <v>217</v>
      </c>
      <c r="G255" s="76" t="str">
        <f>IFERROR(INDEX(M_SKU!$A$18:$J$57,MATCH(F255,M_SKU!$B$18:$B$57,0),1),"UNKNOWN SKU")</f>
        <v>KNMW 1500ml</v>
      </c>
      <c r="H255" s="101" t="s">
        <v>551</v>
      </c>
      <c r="I255" s="102">
        <f>SUMIF(T_Load!$U$9:$U$439,B255,T_Load!$O$9:$O$439)</f>
        <v>90</v>
      </c>
      <c r="J255" s="102">
        <f>SUMIF(T_Sales!$O$9:$O$1164,B255,T_Sales!$L$9:$L$1164)</f>
        <v>71</v>
      </c>
      <c r="K255" s="103">
        <f t="shared" si="3"/>
        <v>19</v>
      </c>
      <c r="L255" s="80">
        <v>46179</v>
      </c>
      <c r="M255" s="78" t="s">
        <v>1883</v>
      </c>
    </row>
    <row r="256" spans="1:13" ht="15" customHeight="1" x14ac:dyDescent="0.3">
      <c r="A256" s="60" t="s">
        <v>2374</v>
      </c>
      <c r="B256" s="97" t="s">
        <v>2375</v>
      </c>
      <c r="C256" s="63" t="s">
        <v>427</v>
      </c>
      <c r="D256" s="66" t="str">
        <f>IFERROR(INDEX(M_User!$A$12:$J$67,MATCH(C256,M_User!$D$12:$D$67,0),3),"UNMAPPED")</f>
        <v>Piniel Julius Singo</v>
      </c>
      <c r="E256" s="65" t="str">
        <f>IFERROR(INDEX(M_User!$A$12:$J$67,MATCH(C256,M_User!$D$12:$D$67,0),5),"UNMAPPED")</f>
        <v>MOS</v>
      </c>
      <c r="F256" s="63" t="s">
        <v>222</v>
      </c>
      <c r="G256" s="66" t="str">
        <f>IFERROR(INDEX(M_SKU!$A$18:$J$57,MATCH(F256,M_SKU!$B$18:$B$57,0),1),"UNKNOWN SKU")</f>
        <v>Kilimanjaro Drinking Water 12000 ML</v>
      </c>
      <c r="H256" s="63" t="s">
        <v>566</v>
      </c>
      <c r="I256" s="98">
        <f>SUMIF(T_Load!$U$9:$U$439,B256,T_Load!$O$9:$O$439)</f>
        <v>5</v>
      </c>
      <c r="J256" s="98">
        <f>SUMIF(T_Sales!$O$9:$O$1164,B256,T_Sales!$L$9:$L$1164)</f>
        <v>4</v>
      </c>
      <c r="K256" s="99">
        <f t="shared" si="3"/>
        <v>1</v>
      </c>
      <c r="L256" s="62">
        <v>46179</v>
      </c>
      <c r="M256" s="68" t="s">
        <v>1883</v>
      </c>
    </row>
    <row r="257" spans="1:13" ht="15" customHeight="1" x14ac:dyDescent="0.3">
      <c r="A257" s="70" t="s">
        <v>2376</v>
      </c>
      <c r="B257" s="100" t="s">
        <v>2377</v>
      </c>
      <c r="C257" s="101" t="s">
        <v>427</v>
      </c>
      <c r="D257" s="76" t="str">
        <f>IFERROR(INDEX(M_User!$A$12:$J$67,MATCH(C257,M_User!$D$12:$D$67,0),3),"UNMAPPED")</f>
        <v>Piniel Julius Singo</v>
      </c>
      <c r="E257" s="75" t="str">
        <f>IFERROR(INDEX(M_User!$A$12:$J$67,MATCH(C257,M_User!$D$12:$D$67,0),5),"UNMAPPED")</f>
        <v>MOS</v>
      </c>
      <c r="F257" s="101" t="s">
        <v>225</v>
      </c>
      <c r="G257" s="76" t="str">
        <f>IFERROR(INDEX(M_SKU!$A$18:$J$57,MATCH(F257,M_SKU!$B$18:$B$57,0),1),"UNKNOWN SKU")</f>
        <v>Kilimanjaro Drinking Water 18900 ML</v>
      </c>
      <c r="H257" s="101" t="s">
        <v>574</v>
      </c>
      <c r="I257" s="102">
        <f>SUMIF(T_Load!$U$9:$U$439,B257,T_Load!$O$9:$O$439)</f>
        <v>11</v>
      </c>
      <c r="J257" s="102">
        <f>SUMIF(T_Sales!$O$9:$O$1164,B257,T_Sales!$L$9:$L$1164)</f>
        <v>10</v>
      </c>
      <c r="K257" s="103">
        <f t="shared" si="3"/>
        <v>1</v>
      </c>
      <c r="L257" s="80">
        <v>46179</v>
      </c>
      <c r="M257" s="78" t="s">
        <v>1883</v>
      </c>
    </row>
    <row r="258" spans="1:13" ht="15" customHeight="1" x14ac:dyDescent="0.3">
      <c r="A258" s="60" t="s">
        <v>2378</v>
      </c>
      <c r="B258" s="97" t="s">
        <v>2379</v>
      </c>
      <c r="C258" s="63" t="s">
        <v>427</v>
      </c>
      <c r="D258" s="66" t="str">
        <f>IFERROR(INDEX(M_User!$A$12:$J$67,MATCH(C258,M_User!$D$12:$D$67,0),3),"UNMAPPED")</f>
        <v>Piniel Julius Singo</v>
      </c>
      <c r="E258" s="65" t="str">
        <f>IFERROR(INDEX(M_User!$A$12:$J$67,MATCH(C258,M_User!$D$12:$D$67,0),5),"UNMAPPED")</f>
        <v>MOS</v>
      </c>
      <c r="F258" s="63" t="s">
        <v>229</v>
      </c>
      <c r="G258" s="66" t="str">
        <f>IFERROR(INDEX(M_SKU!$A$18:$J$57,MATCH(F258,M_SKU!$B$18:$B$57,0),1),"UNKNOWN SKU")</f>
        <v>Coke Pet 500ML ( x12)</v>
      </c>
      <c r="H258" s="63" t="s">
        <v>520</v>
      </c>
      <c r="I258" s="98">
        <f>SUMIF(T_Load!$U$9:$U$439,B258,T_Load!$O$9:$O$439)</f>
        <v>10</v>
      </c>
      <c r="J258" s="98">
        <f>SUMIF(T_Sales!$O$9:$O$1164,B258,T_Sales!$L$9:$L$1164)</f>
        <v>8</v>
      </c>
      <c r="K258" s="99">
        <f t="shared" si="3"/>
        <v>2</v>
      </c>
      <c r="L258" s="62">
        <v>46179</v>
      </c>
      <c r="M258" s="68" t="s">
        <v>1883</v>
      </c>
    </row>
    <row r="259" spans="1:13" ht="15" customHeight="1" x14ac:dyDescent="0.3">
      <c r="A259" s="70" t="s">
        <v>2380</v>
      </c>
      <c r="B259" s="100" t="s">
        <v>2381</v>
      </c>
      <c r="C259" s="101" t="s">
        <v>427</v>
      </c>
      <c r="D259" s="76" t="str">
        <f>IFERROR(INDEX(M_User!$A$12:$J$67,MATCH(C259,M_User!$D$12:$D$67,0),3),"UNMAPPED")</f>
        <v>Piniel Julius Singo</v>
      </c>
      <c r="E259" s="75" t="str">
        <f>IFERROR(INDEX(M_User!$A$12:$J$67,MATCH(C259,M_User!$D$12:$D$67,0),5),"UNMAPPED")</f>
        <v>MOS</v>
      </c>
      <c r="F259" s="101" t="s">
        <v>232</v>
      </c>
      <c r="G259" s="76" t="str">
        <f>IFERROR(INDEX(M_SKU!$A$18:$J$57,MATCH(F259,M_SKU!$B$18:$B$57,0),1),"UNKNOWN SKU")</f>
        <v>Sprite Pet 500ML (x 12)</v>
      </c>
      <c r="H259" s="101" t="s">
        <v>522</v>
      </c>
      <c r="I259" s="102">
        <f>SUMIF(T_Load!$U$9:$U$439,B259,T_Load!$O$9:$O$439)</f>
        <v>2</v>
      </c>
      <c r="J259" s="102">
        <f>SUMIF(T_Sales!$O$9:$O$1164,B259,T_Sales!$L$9:$L$1164)</f>
        <v>2</v>
      </c>
      <c r="K259" s="103">
        <f t="shared" si="3"/>
        <v>0</v>
      </c>
      <c r="L259" s="80">
        <v>46179</v>
      </c>
      <c r="M259" s="78" t="s">
        <v>1883</v>
      </c>
    </row>
    <row r="260" spans="1:13" ht="15" customHeight="1" x14ac:dyDescent="0.3">
      <c r="A260" s="60" t="s">
        <v>2382</v>
      </c>
      <c r="B260" s="97" t="s">
        <v>2383</v>
      </c>
      <c r="C260" s="63" t="s">
        <v>427</v>
      </c>
      <c r="D260" s="66" t="str">
        <f>IFERROR(INDEX(M_User!$A$12:$J$67,MATCH(C260,M_User!$D$12:$D$67,0),3),"UNMAPPED")</f>
        <v>Piniel Julius Singo</v>
      </c>
      <c r="E260" s="65" t="str">
        <f>IFERROR(INDEX(M_User!$A$12:$J$67,MATCH(C260,M_User!$D$12:$D$67,0),5),"UNMAPPED")</f>
        <v>MOS</v>
      </c>
      <c r="F260" s="63" t="s">
        <v>234</v>
      </c>
      <c r="G260" s="66" t="str">
        <f>IFERROR(INDEX(M_SKU!$A$18:$J$57,MATCH(F260,M_SKU!$B$18:$B$57,0),1),"UNKNOWN SKU")</f>
        <v>Fanta Orange Pet 500ML ( x 12)</v>
      </c>
      <c r="H260" s="63" t="s">
        <v>523</v>
      </c>
      <c r="I260" s="98">
        <f>SUMIF(T_Load!$U$9:$U$439,B260,T_Load!$O$9:$O$439)</f>
        <v>8</v>
      </c>
      <c r="J260" s="98">
        <f>SUMIF(T_Sales!$O$9:$O$1164,B260,T_Sales!$L$9:$L$1164)</f>
        <v>7</v>
      </c>
      <c r="K260" s="99">
        <f t="shared" si="3"/>
        <v>1</v>
      </c>
      <c r="L260" s="62">
        <v>46179</v>
      </c>
      <c r="M260" s="68" t="s">
        <v>1883</v>
      </c>
    </row>
    <row r="261" spans="1:13" ht="15" customHeight="1" x14ac:dyDescent="0.3">
      <c r="A261" s="70" t="s">
        <v>2384</v>
      </c>
      <c r="B261" s="100" t="s">
        <v>2385</v>
      </c>
      <c r="C261" s="101" t="s">
        <v>427</v>
      </c>
      <c r="D261" s="76" t="str">
        <f>IFERROR(INDEX(M_User!$A$12:$J$67,MATCH(C261,M_User!$D$12:$D$67,0),3),"UNMAPPED")</f>
        <v>Piniel Julius Singo</v>
      </c>
      <c r="E261" s="75" t="str">
        <f>IFERROR(INDEX(M_User!$A$12:$J$67,MATCH(C261,M_User!$D$12:$D$67,0),5),"UNMAPPED")</f>
        <v>MOS</v>
      </c>
      <c r="F261" s="101" t="s">
        <v>236</v>
      </c>
      <c r="G261" s="76" t="str">
        <f>IFERROR(INDEX(M_SKU!$A$18:$J$57,MATCH(F261,M_SKU!$B$18:$B$57,0),1),"UNKNOWN SKU")</f>
        <v>Fanta Passion Pet 500ML ( x12)</v>
      </c>
      <c r="H261" s="101" t="s">
        <v>524</v>
      </c>
      <c r="I261" s="102">
        <f>SUMIF(T_Load!$U$9:$U$439,B261,T_Load!$O$9:$O$439)</f>
        <v>4</v>
      </c>
      <c r="J261" s="102">
        <f>SUMIF(T_Sales!$O$9:$O$1164,B261,T_Sales!$L$9:$L$1164)</f>
        <v>3</v>
      </c>
      <c r="K261" s="103">
        <f t="shared" si="3"/>
        <v>1</v>
      </c>
      <c r="L261" s="80">
        <v>46179</v>
      </c>
      <c r="M261" s="78" t="s">
        <v>1883</v>
      </c>
    </row>
    <row r="262" spans="1:13" ht="15" customHeight="1" x14ac:dyDescent="0.3">
      <c r="A262" s="60" t="s">
        <v>2386</v>
      </c>
      <c r="B262" s="97" t="s">
        <v>2387</v>
      </c>
      <c r="C262" s="63" t="s">
        <v>427</v>
      </c>
      <c r="D262" s="66" t="str">
        <f>IFERROR(INDEX(M_User!$A$12:$J$67,MATCH(C262,M_User!$D$12:$D$67,0),3),"UNMAPPED")</f>
        <v>Piniel Julius Singo</v>
      </c>
      <c r="E262" s="65" t="str">
        <f>IFERROR(INDEX(M_User!$A$12:$J$67,MATCH(C262,M_User!$D$12:$D$67,0),5),"UNMAPPED")</f>
        <v>MOS</v>
      </c>
      <c r="F262" s="63" t="s">
        <v>242</v>
      </c>
      <c r="G262" s="66" t="str">
        <f>IFERROR(INDEX(M_SKU!$A$18:$J$57,MATCH(F262,M_SKU!$B$18:$B$57,0),1),"UNKNOWN SKU")</f>
        <v>Stoney Tangawizi Pet 500 ml ( x12)</v>
      </c>
      <c r="H262" s="63" t="s">
        <v>525</v>
      </c>
      <c r="I262" s="98">
        <f>SUMIF(T_Load!$U$9:$U$439,B262,T_Load!$O$9:$O$439)</f>
        <v>1</v>
      </c>
      <c r="J262" s="98">
        <f>SUMIF(T_Sales!$O$9:$O$1164,B262,T_Sales!$L$9:$L$1164)</f>
        <v>1</v>
      </c>
      <c r="K262" s="99">
        <f t="shared" si="3"/>
        <v>0</v>
      </c>
      <c r="L262" s="62">
        <v>46179</v>
      </c>
      <c r="M262" s="68" t="s">
        <v>1883</v>
      </c>
    </row>
    <row r="263" spans="1:13" ht="15" customHeight="1" x14ac:dyDescent="0.3">
      <c r="A263" s="70" t="s">
        <v>2388</v>
      </c>
      <c r="B263" s="100" t="s">
        <v>2389</v>
      </c>
      <c r="C263" s="101" t="s">
        <v>427</v>
      </c>
      <c r="D263" s="76" t="str">
        <f>IFERROR(INDEX(M_User!$A$12:$J$67,MATCH(C263,M_User!$D$12:$D$67,0),3),"UNMAPPED")</f>
        <v>Piniel Julius Singo</v>
      </c>
      <c r="E263" s="75" t="str">
        <f>IFERROR(INDEX(M_User!$A$12:$J$67,MATCH(C263,M_User!$D$12:$D$67,0),5),"UNMAPPED")</f>
        <v>MOS</v>
      </c>
      <c r="F263" s="101" t="s">
        <v>244</v>
      </c>
      <c r="G263" s="76" t="str">
        <f>IFERROR(INDEX(M_SKU!$A$18:$J$57,MATCH(F263,M_SKU!$B$18:$B$57,0),1),"UNKNOWN SKU")</f>
        <v>Sparletta Pinenut Pet 500 ml ( x12)</v>
      </c>
      <c r="H263" s="101" t="s">
        <v>526</v>
      </c>
      <c r="I263" s="102">
        <f>SUMIF(T_Load!$U$9:$U$439,B263,T_Load!$O$9:$O$439)</f>
        <v>2</v>
      </c>
      <c r="J263" s="102">
        <f>SUMIF(T_Sales!$O$9:$O$1164,B263,T_Sales!$L$9:$L$1164)</f>
        <v>2</v>
      </c>
      <c r="K263" s="103">
        <f t="shared" si="3"/>
        <v>0</v>
      </c>
      <c r="L263" s="80">
        <v>46179</v>
      </c>
      <c r="M263" s="78" t="s">
        <v>1883</v>
      </c>
    </row>
    <row r="264" spans="1:13" ht="15" customHeight="1" x14ac:dyDescent="0.3">
      <c r="A264" s="60" t="s">
        <v>2390</v>
      </c>
      <c r="B264" s="97" t="s">
        <v>2391</v>
      </c>
      <c r="C264" s="63" t="s">
        <v>424</v>
      </c>
      <c r="D264" s="66" t="str">
        <f>IFERROR(INDEX(M_User!$A$12:$J$67,MATCH(C264,M_User!$D$12:$D$67,0),3),"UNMAPPED")</f>
        <v>Raymond P Sangawe</v>
      </c>
      <c r="E264" s="65" t="str">
        <f>IFERROR(INDEX(M_User!$A$12:$J$67,MATCH(C264,M_User!$D$12:$D$67,0),5),"UNMAPPED")</f>
        <v>MOS</v>
      </c>
      <c r="F264" s="63" t="s">
        <v>170</v>
      </c>
      <c r="G264" s="66" t="str">
        <f>IFERROR(INDEX(M_SKU!$A$18:$J$57,MATCH(F264,M_SKU!$B$18:$B$57,0),1),"UNKNOWN SKU")</f>
        <v>Coke RGB 350ml</v>
      </c>
      <c r="H264" s="63" t="s">
        <v>530</v>
      </c>
      <c r="I264" s="98">
        <f>SUMIF(T_Load!$U$9:$U$439,B264,T_Load!$O$9:$O$439)</f>
        <v>60</v>
      </c>
      <c r="J264" s="98">
        <f>SUMIF(T_Sales!$O$9:$O$1164,B264,T_Sales!$L$9:$L$1164)</f>
        <v>49.207387065013805</v>
      </c>
      <c r="K264" s="99">
        <f t="shared" si="3"/>
        <v>10.792612934986195</v>
      </c>
      <c r="L264" s="62">
        <v>46179</v>
      </c>
      <c r="M264" s="68" t="s">
        <v>1883</v>
      </c>
    </row>
    <row r="265" spans="1:13" ht="15" customHeight="1" x14ac:dyDescent="0.3">
      <c r="A265" s="70" t="s">
        <v>2392</v>
      </c>
      <c r="B265" s="100" t="s">
        <v>2393</v>
      </c>
      <c r="C265" s="101" t="s">
        <v>424</v>
      </c>
      <c r="D265" s="76" t="str">
        <f>IFERROR(INDEX(M_User!$A$12:$J$67,MATCH(C265,M_User!$D$12:$D$67,0),3),"UNMAPPED")</f>
        <v>Raymond P Sangawe</v>
      </c>
      <c r="E265" s="75" t="str">
        <f>IFERROR(INDEX(M_User!$A$12:$J$67,MATCH(C265,M_User!$D$12:$D$67,0),5),"UNMAPPED")</f>
        <v>MOS</v>
      </c>
      <c r="F265" s="101" t="s">
        <v>178</v>
      </c>
      <c r="G265" s="76" t="str">
        <f>IFERROR(INDEX(M_SKU!$A$18:$J$57,MATCH(F265,M_SKU!$B$18:$B$57,0),1),"UNKNOWN SKU")</f>
        <v>Fanta Orange RGB 350ml</v>
      </c>
      <c r="H265" s="101" t="s">
        <v>531</v>
      </c>
      <c r="I265" s="102">
        <f>SUMIF(T_Load!$U$9:$U$439,B265,T_Load!$O$9:$O$439)</f>
        <v>20</v>
      </c>
      <c r="J265" s="102">
        <f>SUMIF(T_Sales!$O$9:$O$1164,B265,T_Sales!$L$9:$L$1164)</f>
        <v>16.5153449276293</v>
      </c>
      <c r="K265" s="103">
        <f t="shared" si="3"/>
        <v>3.4846550723706997</v>
      </c>
      <c r="L265" s="80">
        <v>46179</v>
      </c>
      <c r="M265" s="78" t="s">
        <v>1883</v>
      </c>
    </row>
    <row r="266" spans="1:13" ht="15" customHeight="1" x14ac:dyDescent="0.3">
      <c r="A266" s="60" t="s">
        <v>2394</v>
      </c>
      <c r="B266" s="97" t="s">
        <v>2395</v>
      </c>
      <c r="C266" s="63" t="s">
        <v>424</v>
      </c>
      <c r="D266" s="66" t="str">
        <f>IFERROR(INDEX(M_User!$A$12:$J$67,MATCH(C266,M_User!$D$12:$D$67,0),3),"UNMAPPED")</f>
        <v>Raymond P Sangawe</v>
      </c>
      <c r="E266" s="65" t="str">
        <f>IFERROR(INDEX(M_User!$A$12:$J$67,MATCH(C266,M_User!$D$12:$D$67,0),5),"UNMAPPED")</f>
        <v>MOS</v>
      </c>
      <c r="F266" s="63" t="s">
        <v>181</v>
      </c>
      <c r="G266" s="66" t="str">
        <f>IFERROR(INDEX(M_SKU!$A$18:$J$57,MATCH(F266,M_SKU!$B$18:$B$57,0),1),"UNKNOWN SKU")</f>
        <v>Fanta Passion RGB 350ml</v>
      </c>
      <c r="H266" s="63" t="s">
        <v>550</v>
      </c>
      <c r="I266" s="98">
        <f>SUMIF(T_Load!$U$9:$U$439,B266,T_Load!$O$9:$O$439)</f>
        <v>10</v>
      </c>
      <c r="J266" s="98">
        <f>SUMIF(T_Sales!$O$9:$O$1164,B266,T_Sales!$L$9:$L$1164)</f>
        <v>8.6998985731043206</v>
      </c>
      <c r="K266" s="99">
        <f t="shared" ref="K266:K329" si="4">I266-J266</f>
        <v>1.3001014268956794</v>
      </c>
      <c r="L266" s="62">
        <v>46179</v>
      </c>
      <c r="M266" s="68" t="s">
        <v>1883</v>
      </c>
    </row>
    <row r="267" spans="1:13" ht="15" customHeight="1" x14ac:dyDescent="0.3">
      <c r="A267" s="70" t="s">
        <v>2396</v>
      </c>
      <c r="B267" s="100" t="s">
        <v>2397</v>
      </c>
      <c r="C267" s="101" t="s">
        <v>424</v>
      </c>
      <c r="D267" s="76" t="str">
        <f>IFERROR(INDEX(M_User!$A$12:$J$67,MATCH(C267,M_User!$D$12:$D$67,0),3),"UNMAPPED")</f>
        <v>Raymond P Sangawe</v>
      </c>
      <c r="E267" s="75" t="str">
        <f>IFERROR(INDEX(M_User!$A$12:$J$67,MATCH(C267,M_User!$D$12:$D$67,0),5),"UNMAPPED")</f>
        <v>MOS</v>
      </c>
      <c r="F267" s="101" t="s">
        <v>183</v>
      </c>
      <c r="G267" s="76" t="str">
        <f>IFERROR(INDEX(M_SKU!$A$18:$J$57,MATCH(F267,M_SKU!$B$18:$B$57,0),1),"UNKNOWN SKU")</f>
        <v>Fanta Pineapple RGB 350ml</v>
      </c>
      <c r="H267" s="101" t="s">
        <v>533</v>
      </c>
      <c r="I267" s="102">
        <f>SUMIF(T_Load!$U$9:$U$439,B267,T_Load!$O$9:$O$439)</f>
        <v>10</v>
      </c>
      <c r="J267" s="102">
        <f>SUMIF(T_Sales!$O$9:$O$1164,B267,T_Sales!$L$9:$L$1164)</f>
        <v>8.2356430252932888</v>
      </c>
      <c r="K267" s="103">
        <f t="shared" si="4"/>
        <v>1.7643569747067112</v>
      </c>
      <c r="L267" s="80">
        <v>46179</v>
      </c>
      <c r="M267" s="78" t="s">
        <v>1883</v>
      </c>
    </row>
    <row r="268" spans="1:13" ht="15" customHeight="1" x14ac:dyDescent="0.3">
      <c r="A268" s="60" t="s">
        <v>2398</v>
      </c>
      <c r="B268" s="97" t="s">
        <v>2399</v>
      </c>
      <c r="C268" s="63" t="s">
        <v>424</v>
      </c>
      <c r="D268" s="66" t="str">
        <f>IFERROR(INDEX(M_User!$A$12:$J$67,MATCH(C268,M_User!$D$12:$D$67,0),3),"UNMAPPED")</f>
        <v>Raymond P Sangawe</v>
      </c>
      <c r="E268" s="65" t="str">
        <f>IFERROR(INDEX(M_User!$A$12:$J$67,MATCH(C268,M_User!$D$12:$D$67,0),5),"UNMAPPED")</f>
        <v>MOS</v>
      </c>
      <c r="F268" s="63" t="s">
        <v>185</v>
      </c>
      <c r="G268" s="66" t="str">
        <f>IFERROR(INDEX(M_SKU!$A$18:$J$57,MATCH(F268,M_SKU!$B$18:$B$57,0),1),"UNKNOWN SKU")</f>
        <v>Fanta Fruit Blast RGB 350 ml</v>
      </c>
      <c r="H268" s="63" t="s">
        <v>534</v>
      </c>
      <c r="I268" s="98">
        <f>SUMIF(T_Load!$U$9:$U$439,B268,T_Load!$O$9:$O$439)</f>
        <v>2</v>
      </c>
      <c r="J268" s="98">
        <f>SUMIF(T_Sales!$O$9:$O$1164,B268,T_Sales!$L$9:$L$1164)</f>
        <v>1.6890147393377299</v>
      </c>
      <c r="K268" s="99">
        <f t="shared" si="4"/>
        <v>0.31098526066227006</v>
      </c>
      <c r="L268" s="62">
        <v>46179</v>
      </c>
      <c r="M268" s="68" t="s">
        <v>1883</v>
      </c>
    </row>
    <row r="269" spans="1:13" ht="15" customHeight="1" x14ac:dyDescent="0.3">
      <c r="A269" s="70" t="s">
        <v>2400</v>
      </c>
      <c r="B269" s="100" t="s">
        <v>2401</v>
      </c>
      <c r="C269" s="101" t="s">
        <v>424</v>
      </c>
      <c r="D269" s="76" t="str">
        <f>IFERROR(INDEX(M_User!$A$12:$J$67,MATCH(C269,M_User!$D$12:$D$67,0),3),"UNMAPPED")</f>
        <v>Raymond P Sangawe</v>
      </c>
      <c r="E269" s="75" t="str">
        <f>IFERROR(INDEX(M_User!$A$12:$J$67,MATCH(C269,M_User!$D$12:$D$67,0),5),"UNMAPPED")</f>
        <v>MOS</v>
      </c>
      <c r="F269" s="101" t="s">
        <v>187</v>
      </c>
      <c r="G269" s="76" t="str">
        <f>IFERROR(INDEX(M_SKU!$A$18:$J$57,MATCH(F269,M_SKU!$B$18:$B$57,0),1),"UNKNOWN SKU")</f>
        <v>Sprite 350ml</v>
      </c>
      <c r="H269" s="101" t="s">
        <v>558</v>
      </c>
      <c r="I269" s="102">
        <f>SUMIF(T_Load!$U$9:$U$439,B269,T_Load!$O$9:$O$439)</f>
        <v>10</v>
      </c>
      <c r="J269" s="102">
        <f>SUMIF(T_Sales!$O$9:$O$1164,B269,T_Sales!$L$9:$L$1164)</f>
        <v>8.5224581650260394</v>
      </c>
      <c r="K269" s="103">
        <f t="shared" si="4"/>
        <v>1.4775418349739606</v>
      </c>
      <c r="L269" s="80">
        <v>46179</v>
      </c>
      <c r="M269" s="78" t="s">
        <v>1883</v>
      </c>
    </row>
    <row r="270" spans="1:13" ht="15" customHeight="1" x14ac:dyDescent="0.3">
      <c r="A270" s="60" t="s">
        <v>2402</v>
      </c>
      <c r="B270" s="97" t="s">
        <v>2403</v>
      </c>
      <c r="C270" s="63" t="s">
        <v>424</v>
      </c>
      <c r="D270" s="66" t="str">
        <f>IFERROR(INDEX(M_User!$A$12:$J$67,MATCH(C270,M_User!$D$12:$D$67,0),3),"UNMAPPED")</f>
        <v>Raymond P Sangawe</v>
      </c>
      <c r="E270" s="65" t="str">
        <f>IFERROR(INDEX(M_User!$A$12:$J$67,MATCH(C270,M_User!$D$12:$D$67,0),5),"UNMAPPED")</f>
        <v>MOS</v>
      </c>
      <c r="F270" s="63" t="s">
        <v>190</v>
      </c>
      <c r="G270" s="66" t="str">
        <f>IFERROR(INDEX(M_SKU!$A$18:$J$57,MATCH(F270,M_SKU!$B$18:$B$57,0),1),"UNKNOWN SKU")</f>
        <v>Stoney Tangawizi RGB 350ml</v>
      </c>
      <c r="H270" s="63" t="s">
        <v>536</v>
      </c>
      <c r="I270" s="98">
        <f>SUMIF(T_Load!$U$9:$U$439,B270,T_Load!$O$9:$O$439)</f>
        <v>3</v>
      </c>
      <c r="J270" s="98">
        <f>SUMIF(T_Sales!$O$9:$O$1164,B270,T_Sales!$L$9:$L$1164)</f>
        <v>2.7463077385603998</v>
      </c>
      <c r="K270" s="99">
        <f t="shared" si="4"/>
        <v>0.25369226143960022</v>
      </c>
      <c r="L270" s="62">
        <v>46179</v>
      </c>
      <c r="M270" s="68" t="s">
        <v>1883</v>
      </c>
    </row>
    <row r="271" spans="1:13" ht="15" customHeight="1" x14ac:dyDescent="0.3">
      <c r="A271" s="70" t="s">
        <v>2404</v>
      </c>
      <c r="B271" s="100" t="s">
        <v>2405</v>
      </c>
      <c r="C271" s="101" t="s">
        <v>424</v>
      </c>
      <c r="D271" s="76" t="str">
        <f>IFERROR(INDEX(M_User!$A$12:$J$67,MATCH(C271,M_User!$D$12:$D$67,0),3),"UNMAPPED")</f>
        <v>Raymond P Sangawe</v>
      </c>
      <c r="E271" s="75" t="str">
        <f>IFERROR(INDEX(M_User!$A$12:$J$67,MATCH(C271,M_User!$D$12:$D$67,0),5),"UNMAPPED")</f>
        <v>MOS</v>
      </c>
      <c r="F271" s="101" t="s">
        <v>193</v>
      </c>
      <c r="G271" s="76" t="str">
        <f>IFERROR(INDEX(M_SKU!$A$18:$J$57,MATCH(F271,M_SKU!$B$18:$B$57,0),1),"UNKNOWN SKU")</f>
        <v>Sparletta Pinenut RGB 350ml</v>
      </c>
      <c r="H271" s="101" t="s">
        <v>537</v>
      </c>
      <c r="I271" s="102">
        <f>SUMIF(T_Load!$U$9:$U$439,B271,T_Load!$O$9:$O$439)</f>
        <v>3</v>
      </c>
      <c r="J271" s="102">
        <f>SUMIF(T_Sales!$O$9:$O$1164,B271,T_Sales!$L$9:$L$1164)</f>
        <v>2.2777096604794638</v>
      </c>
      <c r="K271" s="103">
        <f t="shared" si="4"/>
        <v>0.72229033952053623</v>
      </c>
      <c r="L271" s="80">
        <v>46179</v>
      </c>
      <c r="M271" s="78" t="s">
        <v>1883</v>
      </c>
    </row>
    <row r="272" spans="1:13" ht="15" customHeight="1" x14ac:dyDescent="0.3">
      <c r="A272" s="60" t="s">
        <v>2406</v>
      </c>
      <c r="B272" s="97" t="s">
        <v>2407</v>
      </c>
      <c r="C272" s="63" t="s">
        <v>424</v>
      </c>
      <c r="D272" s="66" t="str">
        <f>IFERROR(INDEX(M_User!$A$12:$J$67,MATCH(C272,M_User!$D$12:$D$67,0),3),"UNMAPPED")</f>
        <v>Raymond P Sangawe</v>
      </c>
      <c r="E272" s="65" t="str">
        <f>IFERROR(INDEX(M_User!$A$12:$J$67,MATCH(C272,M_User!$D$12:$D$67,0),5),"UNMAPPED")</f>
        <v>MOS</v>
      </c>
      <c r="F272" s="63" t="s">
        <v>196</v>
      </c>
      <c r="G272" s="66" t="str">
        <f>IFERROR(INDEX(M_SKU!$A$18:$J$57,MATCH(F272,M_SKU!$B$18:$B$57,0),1),"UNKNOWN SKU")</f>
        <v>Krest Bitter Lemon RGB 300ml</v>
      </c>
      <c r="H272" s="63" t="s">
        <v>538</v>
      </c>
      <c r="I272" s="98">
        <f>SUMIF(T_Load!$U$9:$U$439,B272,T_Load!$O$9:$O$439)</f>
        <v>2</v>
      </c>
      <c r="J272" s="98">
        <f>SUMIF(T_Sales!$O$9:$O$1164,B272,T_Sales!$L$9:$L$1164)</f>
        <v>1.6037671612279509</v>
      </c>
      <c r="K272" s="99">
        <f t="shared" si="4"/>
        <v>0.39623283877204907</v>
      </c>
      <c r="L272" s="62">
        <v>46179</v>
      </c>
      <c r="M272" s="68" t="s">
        <v>1883</v>
      </c>
    </row>
    <row r="273" spans="1:13" ht="15" customHeight="1" x14ac:dyDescent="0.3">
      <c r="A273" s="70" t="s">
        <v>2408</v>
      </c>
      <c r="B273" s="100" t="s">
        <v>2409</v>
      </c>
      <c r="C273" s="101" t="s">
        <v>424</v>
      </c>
      <c r="D273" s="76" t="str">
        <f>IFERROR(INDEX(M_User!$A$12:$J$67,MATCH(C273,M_User!$D$12:$D$67,0),3),"UNMAPPED")</f>
        <v>Raymond P Sangawe</v>
      </c>
      <c r="E273" s="75" t="str">
        <f>IFERROR(INDEX(M_User!$A$12:$J$67,MATCH(C273,M_User!$D$12:$D$67,0),5),"UNMAPPED")</f>
        <v>MOS</v>
      </c>
      <c r="F273" s="101" t="s">
        <v>199</v>
      </c>
      <c r="G273" s="76" t="str">
        <f>IFERROR(INDEX(M_SKU!$A$18:$J$57,MATCH(F273,M_SKU!$B$18:$B$57,0),1),"UNKNOWN SKU")</f>
        <v>Krest Club Soda RGB 300ml</v>
      </c>
      <c r="H273" s="101" t="s">
        <v>539</v>
      </c>
      <c r="I273" s="102">
        <f>SUMIF(T_Load!$U$9:$U$439,B273,T_Load!$O$9:$O$439)</f>
        <v>2</v>
      </c>
      <c r="J273" s="102">
        <f>SUMIF(T_Sales!$O$9:$O$1164,B273,T_Sales!$L$9:$L$1164)</f>
        <v>1.5827204929591661</v>
      </c>
      <c r="K273" s="103">
        <f t="shared" si="4"/>
        <v>0.41727950704083394</v>
      </c>
      <c r="L273" s="80">
        <v>46179</v>
      </c>
      <c r="M273" s="78" t="s">
        <v>1883</v>
      </c>
    </row>
    <row r="274" spans="1:13" ht="15" customHeight="1" x14ac:dyDescent="0.3">
      <c r="A274" s="60" t="s">
        <v>2410</v>
      </c>
      <c r="B274" s="97" t="s">
        <v>2411</v>
      </c>
      <c r="C274" s="63" t="s">
        <v>424</v>
      </c>
      <c r="D274" s="66" t="str">
        <f>IFERROR(INDEX(M_User!$A$12:$J$67,MATCH(C274,M_User!$D$12:$D$67,0),3),"UNMAPPED")</f>
        <v>Raymond P Sangawe</v>
      </c>
      <c r="E274" s="65" t="str">
        <f>IFERROR(INDEX(M_User!$A$12:$J$67,MATCH(C274,M_User!$D$12:$D$67,0),5),"UNMAPPED")</f>
        <v>MOS</v>
      </c>
      <c r="F274" s="63" t="s">
        <v>201</v>
      </c>
      <c r="G274" s="66" t="str">
        <f>IFERROR(INDEX(M_SKU!$A$18:$J$57,MATCH(F274,M_SKU!$B$18:$B$57,0),1),"UNKNOWN SKU")</f>
        <v>Krest Tonic Water RGB 300ml</v>
      </c>
      <c r="H274" s="63" t="s">
        <v>540</v>
      </c>
      <c r="I274" s="98">
        <f>SUMIF(T_Load!$U$9:$U$439,B274,T_Load!$O$9:$O$439)</f>
        <v>2</v>
      </c>
      <c r="J274" s="98">
        <f>SUMIF(T_Sales!$O$9:$O$1164,B274,T_Sales!$L$9:$L$1164)</f>
        <v>1.7239676006372049</v>
      </c>
      <c r="K274" s="99">
        <f t="shared" si="4"/>
        <v>0.27603239936279511</v>
      </c>
      <c r="L274" s="62">
        <v>46179</v>
      </c>
      <c r="M274" s="68" t="s">
        <v>1883</v>
      </c>
    </row>
    <row r="275" spans="1:13" ht="15" customHeight="1" x14ac:dyDescent="0.3">
      <c r="A275" s="70" t="s">
        <v>2412</v>
      </c>
      <c r="B275" s="100" t="s">
        <v>2413</v>
      </c>
      <c r="C275" s="101" t="s">
        <v>424</v>
      </c>
      <c r="D275" s="76" t="str">
        <f>IFERROR(INDEX(M_User!$A$12:$J$67,MATCH(C275,M_User!$D$12:$D$67,0),3),"UNMAPPED")</f>
        <v>Raymond P Sangawe</v>
      </c>
      <c r="E275" s="75" t="str">
        <f>IFERROR(INDEX(M_User!$A$12:$J$67,MATCH(C275,M_User!$D$12:$D$67,0),5),"UNMAPPED")</f>
        <v>MOS</v>
      </c>
      <c r="F275" s="101" t="s">
        <v>203</v>
      </c>
      <c r="G275" s="76" t="str">
        <f>IFERROR(INDEX(M_SKU!$A$18:$J$57,MATCH(F275,M_SKU!$B$18:$B$57,0),1),"UNKNOWN SKU")</f>
        <v>Krest Ginger Ale RGB 300ml</v>
      </c>
      <c r="H275" s="101" t="s">
        <v>541</v>
      </c>
      <c r="I275" s="102">
        <f>SUMIF(T_Load!$U$9:$U$439,B275,T_Load!$O$9:$O$439)</f>
        <v>2</v>
      </c>
      <c r="J275" s="102">
        <f>SUMIF(T_Sales!$O$9:$O$1164,B275,T_Sales!$L$9:$L$1164)</f>
        <v>1.7255251385409998</v>
      </c>
      <c r="K275" s="103">
        <f t="shared" si="4"/>
        <v>0.27447486145900024</v>
      </c>
      <c r="L275" s="80">
        <v>46179</v>
      </c>
      <c r="M275" s="78" t="s">
        <v>1883</v>
      </c>
    </row>
    <row r="276" spans="1:13" ht="15" customHeight="1" x14ac:dyDescent="0.3">
      <c r="A276" s="60" t="s">
        <v>2414</v>
      </c>
      <c r="B276" s="97" t="s">
        <v>2415</v>
      </c>
      <c r="C276" s="63" t="s">
        <v>424</v>
      </c>
      <c r="D276" s="66" t="str">
        <f>IFERROR(INDEX(M_User!$A$12:$J$67,MATCH(C276,M_User!$D$12:$D$67,0),3),"UNMAPPED")</f>
        <v>Raymond P Sangawe</v>
      </c>
      <c r="E276" s="65" t="str">
        <f>IFERROR(INDEX(M_User!$A$12:$J$67,MATCH(C276,M_User!$D$12:$D$67,0),5),"UNMAPPED")</f>
        <v>MOS</v>
      </c>
      <c r="F276" s="63" t="s">
        <v>209</v>
      </c>
      <c r="G276" s="66" t="str">
        <f>IFERROR(INDEX(M_SKU!$A$18:$J$57,MATCH(F276,M_SKU!$B$18:$B$57,0),1),"UNKNOWN SKU")</f>
        <v>Sparletta Red Apple RGB 350ml</v>
      </c>
      <c r="H276" s="63" t="s">
        <v>542</v>
      </c>
      <c r="I276" s="98">
        <f>SUMIF(T_Load!$U$9:$U$439,B276,T_Load!$O$9:$O$439)</f>
        <v>2</v>
      </c>
      <c r="J276" s="98">
        <f>SUMIF(T_Sales!$O$9:$O$1164,B276,T_Sales!$L$9:$L$1164)</f>
        <v>1.591821603154123</v>
      </c>
      <c r="K276" s="99">
        <f t="shared" si="4"/>
        <v>0.40817839684587698</v>
      </c>
      <c r="L276" s="62">
        <v>46179</v>
      </c>
      <c r="M276" s="68" t="s">
        <v>1883</v>
      </c>
    </row>
    <row r="277" spans="1:13" ht="15" customHeight="1" x14ac:dyDescent="0.3">
      <c r="A277" s="70" t="s">
        <v>2416</v>
      </c>
      <c r="B277" s="100" t="s">
        <v>2417</v>
      </c>
      <c r="C277" s="101" t="s">
        <v>424</v>
      </c>
      <c r="D277" s="76" t="str">
        <f>IFERROR(INDEX(M_User!$A$12:$J$67,MATCH(C277,M_User!$D$12:$D$67,0),3),"UNMAPPED")</f>
        <v>Raymond P Sangawe</v>
      </c>
      <c r="E277" s="75" t="str">
        <f>IFERROR(INDEX(M_User!$A$12:$J$67,MATCH(C277,M_User!$D$12:$D$67,0),5),"UNMAPPED")</f>
        <v>MOS</v>
      </c>
      <c r="F277" s="101" t="s">
        <v>211</v>
      </c>
      <c r="G277" s="76" t="str">
        <f>IFERROR(INDEX(M_SKU!$A$18:$J$57,MATCH(F277,M_SKU!$B$18:$B$57,0),1),"UNKNOWN SKU")</f>
        <v>KNMW 500ml</v>
      </c>
      <c r="H277" s="101" t="s">
        <v>543</v>
      </c>
      <c r="I277" s="102">
        <f>SUMIF(T_Load!$U$9:$U$439,B277,T_Load!$O$9:$O$439)</f>
        <v>30</v>
      </c>
      <c r="J277" s="102">
        <f>SUMIF(T_Sales!$O$9:$O$1164,B277,T_Sales!$L$9:$L$1164)</f>
        <v>24</v>
      </c>
      <c r="K277" s="103">
        <f t="shared" si="4"/>
        <v>6</v>
      </c>
      <c r="L277" s="80">
        <v>46179</v>
      </c>
      <c r="M277" s="78" t="s">
        <v>1883</v>
      </c>
    </row>
    <row r="278" spans="1:13" ht="15" customHeight="1" x14ac:dyDescent="0.3">
      <c r="A278" s="60" t="s">
        <v>2418</v>
      </c>
      <c r="B278" s="97" t="s">
        <v>2419</v>
      </c>
      <c r="C278" s="63" t="s">
        <v>424</v>
      </c>
      <c r="D278" s="66" t="str">
        <f>IFERROR(INDEX(M_User!$A$12:$J$67,MATCH(C278,M_User!$D$12:$D$67,0),3),"UNMAPPED")</f>
        <v>Raymond P Sangawe</v>
      </c>
      <c r="E278" s="65" t="str">
        <f>IFERROR(INDEX(M_User!$A$12:$J$67,MATCH(C278,M_User!$D$12:$D$67,0),5),"UNMAPPED")</f>
        <v>MOS</v>
      </c>
      <c r="F278" s="63" t="s">
        <v>217</v>
      </c>
      <c r="G278" s="66" t="str">
        <f>IFERROR(INDEX(M_SKU!$A$18:$J$57,MATCH(F278,M_SKU!$B$18:$B$57,0),1),"UNKNOWN SKU")</f>
        <v>KNMW 1500ml</v>
      </c>
      <c r="H278" s="63" t="s">
        <v>551</v>
      </c>
      <c r="I278" s="98">
        <f>SUMIF(T_Load!$U$9:$U$439,B278,T_Load!$O$9:$O$439)</f>
        <v>90</v>
      </c>
      <c r="J278" s="98">
        <f>SUMIF(T_Sales!$O$9:$O$1164,B278,T_Sales!$L$9:$L$1164)</f>
        <v>68</v>
      </c>
      <c r="K278" s="99">
        <f t="shared" si="4"/>
        <v>22</v>
      </c>
      <c r="L278" s="62">
        <v>46179</v>
      </c>
      <c r="M278" s="68" t="s">
        <v>1883</v>
      </c>
    </row>
    <row r="279" spans="1:13" ht="15" customHeight="1" x14ac:dyDescent="0.3">
      <c r="A279" s="70" t="s">
        <v>2420</v>
      </c>
      <c r="B279" s="100" t="s">
        <v>2421</v>
      </c>
      <c r="C279" s="101" t="s">
        <v>424</v>
      </c>
      <c r="D279" s="76" t="str">
        <f>IFERROR(INDEX(M_User!$A$12:$J$67,MATCH(C279,M_User!$D$12:$D$67,0),3),"UNMAPPED")</f>
        <v>Raymond P Sangawe</v>
      </c>
      <c r="E279" s="75" t="str">
        <f>IFERROR(INDEX(M_User!$A$12:$J$67,MATCH(C279,M_User!$D$12:$D$67,0),5),"UNMAPPED")</f>
        <v>MOS</v>
      </c>
      <c r="F279" s="101" t="s">
        <v>229</v>
      </c>
      <c r="G279" s="76" t="str">
        <f>IFERROR(INDEX(M_SKU!$A$18:$J$57,MATCH(F279,M_SKU!$B$18:$B$57,0),1),"UNKNOWN SKU")</f>
        <v>Coke Pet 500ML ( x12)</v>
      </c>
      <c r="H279" s="101" t="s">
        <v>520</v>
      </c>
      <c r="I279" s="102">
        <f>SUMIF(T_Load!$U$9:$U$439,B279,T_Load!$O$9:$O$439)</f>
        <v>30</v>
      </c>
      <c r="J279" s="102">
        <f>SUMIF(T_Sales!$O$9:$O$1164,B279,T_Sales!$L$9:$L$1164)</f>
        <v>26</v>
      </c>
      <c r="K279" s="103">
        <f t="shared" si="4"/>
        <v>4</v>
      </c>
      <c r="L279" s="80">
        <v>46179</v>
      </c>
      <c r="M279" s="78" t="s">
        <v>1883</v>
      </c>
    </row>
    <row r="280" spans="1:13" ht="15" customHeight="1" x14ac:dyDescent="0.3">
      <c r="A280" s="60" t="s">
        <v>2422</v>
      </c>
      <c r="B280" s="97" t="s">
        <v>2423</v>
      </c>
      <c r="C280" s="63" t="s">
        <v>424</v>
      </c>
      <c r="D280" s="66" t="str">
        <f>IFERROR(INDEX(M_User!$A$12:$J$67,MATCH(C280,M_User!$D$12:$D$67,0),3),"UNMAPPED")</f>
        <v>Raymond P Sangawe</v>
      </c>
      <c r="E280" s="65" t="str">
        <f>IFERROR(INDEX(M_User!$A$12:$J$67,MATCH(C280,M_User!$D$12:$D$67,0),5),"UNMAPPED")</f>
        <v>MOS</v>
      </c>
      <c r="F280" s="63" t="s">
        <v>232</v>
      </c>
      <c r="G280" s="66" t="str">
        <f>IFERROR(INDEX(M_SKU!$A$18:$J$57,MATCH(F280,M_SKU!$B$18:$B$57,0),1),"UNKNOWN SKU")</f>
        <v>Sprite Pet 500ML (x 12)</v>
      </c>
      <c r="H280" s="63" t="s">
        <v>522</v>
      </c>
      <c r="I280" s="98">
        <f>SUMIF(T_Load!$U$9:$U$439,B280,T_Load!$O$9:$O$439)</f>
        <v>5</v>
      </c>
      <c r="J280" s="98">
        <f>SUMIF(T_Sales!$O$9:$O$1164,B280,T_Sales!$L$9:$L$1164)</f>
        <v>4</v>
      </c>
      <c r="K280" s="99">
        <f t="shared" si="4"/>
        <v>1</v>
      </c>
      <c r="L280" s="62">
        <v>46179</v>
      </c>
      <c r="M280" s="68" t="s">
        <v>1883</v>
      </c>
    </row>
    <row r="281" spans="1:13" ht="15" customHeight="1" x14ac:dyDescent="0.3">
      <c r="A281" s="70" t="s">
        <v>2424</v>
      </c>
      <c r="B281" s="100" t="s">
        <v>2425</v>
      </c>
      <c r="C281" s="101" t="s">
        <v>424</v>
      </c>
      <c r="D281" s="76" t="str">
        <f>IFERROR(INDEX(M_User!$A$12:$J$67,MATCH(C281,M_User!$D$12:$D$67,0),3),"UNMAPPED")</f>
        <v>Raymond P Sangawe</v>
      </c>
      <c r="E281" s="75" t="str">
        <f>IFERROR(INDEX(M_User!$A$12:$J$67,MATCH(C281,M_User!$D$12:$D$67,0),5),"UNMAPPED")</f>
        <v>MOS</v>
      </c>
      <c r="F281" s="101" t="s">
        <v>234</v>
      </c>
      <c r="G281" s="76" t="str">
        <f>IFERROR(INDEX(M_SKU!$A$18:$J$57,MATCH(F281,M_SKU!$B$18:$B$57,0),1),"UNKNOWN SKU")</f>
        <v>Fanta Orange Pet 500ML ( x 12)</v>
      </c>
      <c r="H281" s="101" t="s">
        <v>523</v>
      </c>
      <c r="I281" s="102">
        <f>SUMIF(T_Load!$U$9:$U$439,B281,T_Load!$O$9:$O$439)</f>
        <v>15</v>
      </c>
      <c r="J281" s="102">
        <f>SUMIF(T_Sales!$O$9:$O$1164,B281,T_Sales!$L$9:$L$1164)</f>
        <v>13</v>
      </c>
      <c r="K281" s="103">
        <f t="shared" si="4"/>
        <v>2</v>
      </c>
      <c r="L281" s="80">
        <v>46179</v>
      </c>
      <c r="M281" s="78" t="s">
        <v>1883</v>
      </c>
    </row>
    <row r="282" spans="1:13" ht="15" customHeight="1" x14ac:dyDescent="0.3">
      <c r="A282" s="60" t="s">
        <v>2426</v>
      </c>
      <c r="B282" s="97" t="s">
        <v>2427</v>
      </c>
      <c r="C282" s="63" t="s">
        <v>424</v>
      </c>
      <c r="D282" s="66" t="str">
        <f>IFERROR(INDEX(M_User!$A$12:$J$67,MATCH(C282,M_User!$D$12:$D$67,0),3),"UNMAPPED")</f>
        <v>Raymond P Sangawe</v>
      </c>
      <c r="E282" s="65" t="str">
        <f>IFERROR(INDEX(M_User!$A$12:$J$67,MATCH(C282,M_User!$D$12:$D$67,0),5),"UNMAPPED")</f>
        <v>MOS</v>
      </c>
      <c r="F282" s="63" t="s">
        <v>236</v>
      </c>
      <c r="G282" s="66" t="str">
        <f>IFERROR(INDEX(M_SKU!$A$18:$J$57,MATCH(F282,M_SKU!$B$18:$B$57,0),1),"UNKNOWN SKU")</f>
        <v>Fanta Passion Pet 500ML ( x12)</v>
      </c>
      <c r="H282" s="63" t="s">
        <v>524</v>
      </c>
      <c r="I282" s="98">
        <f>SUMIF(T_Load!$U$9:$U$439,B282,T_Load!$O$9:$O$439)</f>
        <v>5</v>
      </c>
      <c r="J282" s="98">
        <f>SUMIF(T_Sales!$O$9:$O$1164,B282,T_Sales!$L$9:$L$1164)</f>
        <v>4</v>
      </c>
      <c r="K282" s="99">
        <f t="shared" si="4"/>
        <v>1</v>
      </c>
      <c r="L282" s="62">
        <v>46179</v>
      </c>
      <c r="M282" s="68" t="s">
        <v>1883</v>
      </c>
    </row>
    <row r="283" spans="1:13" ht="15" customHeight="1" x14ac:dyDescent="0.3">
      <c r="A283" s="70" t="s">
        <v>2428</v>
      </c>
      <c r="B283" s="100" t="s">
        <v>2429</v>
      </c>
      <c r="C283" s="101" t="s">
        <v>424</v>
      </c>
      <c r="D283" s="76" t="str">
        <f>IFERROR(INDEX(M_User!$A$12:$J$67,MATCH(C283,M_User!$D$12:$D$67,0),3),"UNMAPPED")</f>
        <v>Raymond P Sangawe</v>
      </c>
      <c r="E283" s="75" t="str">
        <f>IFERROR(INDEX(M_User!$A$12:$J$67,MATCH(C283,M_User!$D$12:$D$67,0),5),"UNMAPPED")</f>
        <v>MOS</v>
      </c>
      <c r="F283" s="101" t="s">
        <v>242</v>
      </c>
      <c r="G283" s="76" t="str">
        <f>IFERROR(INDEX(M_SKU!$A$18:$J$57,MATCH(F283,M_SKU!$B$18:$B$57,0),1),"UNKNOWN SKU")</f>
        <v>Stoney Tangawizi Pet 500 ml ( x12)</v>
      </c>
      <c r="H283" s="101" t="s">
        <v>525</v>
      </c>
      <c r="I283" s="102">
        <f>SUMIF(T_Load!$U$9:$U$439,B283,T_Load!$O$9:$O$439)</f>
        <v>3</v>
      </c>
      <c r="J283" s="102">
        <f>SUMIF(T_Sales!$O$9:$O$1164,B283,T_Sales!$L$9:$L$1164)</f>
        <v>3</v>
      </c>
      <c r="K283" s="103">
        <f t="shared" si="4"/>
        <v>0</v>
      </c>
      <c r="L283" s="80">
        <v>46179</v>
      </c>
      <c r="M283" s="78" t="s">
        <v>1883</v>
      </c>
    </row>
    <row r="284" spans="1:13" ht="15" customHeight="1" x14ac:dyDescent="0.3">
      <c r="A284" s="60" t="s">
        <v>2430</v>
      </c>
      <c r="B284" s="97" t="s">
        <v>2431</v>
      </c>
      <c r="C284" s="63" t="s">
        <v>424</v>
      </c>
      <c r="D284" s="66" t="str">
        <f>IFERROR(INDEX(M_User!$A$12:$J$67,MATCH(C284,M_User!$D$12:$D$67,0),3),"UNMAPPED")</f>
        <v>Raymond P Sangawe</v>
      </c>
      <c r="E284" s="65" t="str">
        <f>IFERROR(INDEX(M_User!$A$12:$J$67,MATCH(C284,M_User!$D$12:$D$67,0),5),"UNMAPPED")</f>
        <v>MOS</v>
      </c>
      <c r="F284" s="63" t="s">
        <v>244</v>
      </c>
      <c r="G284" s="66" t="str">
        <f>IFERROR(INDEX(M_SKU!$A$18:$J$57,MATCH(F284,M_SKU!$B$18:$B$57,0),1),"UNKNOWN SKU")</f>
        <v>Sparletta Pinenut Pet 500 ml ( x12)</v>
      </c>
      <c r="H284" s="63" t="s">
        <v>526</v>
      </c>
      <c r="I284" s="98">
        <f>SUMIF(T_Load!$U$9:$U$439,B284,T_Load!$O$9:$O$439)</f>
        <v>2</v>
      </c>
      <c r="J284" s="98">
        <f>SUMIF(T_Sales!$O$9:$O$1164,B284,T_Sales!$L$9:$L$1164)</f>
        <v>2</v>
      </c>
      <c r="K284" s="99">
        <f t="shared" si="4"/>
        <v>0</v>
      </c>
      <c r="L284" s="62">
        <v>46179</v>
      </c>
      <c r="M284" s="68" t="s">
        <v>1883</v>
      </c>
    </row>
    <row r="285" spans="1:13" ht="15" customHeight="1" x14ac:dyDescent="0.3">
      <c r="A285" s="70" t="s">
        <v>2432</v>
      </c>
      <c r="B285" s="100" t="s">
        <v>2433</v>
      </c>
      <c r="C285" s="101" t="s">
        <v>424</v>
      </c>
      <c r="D285" s="76" t="str">
        <f>IFERROR(INDEX(M_User!$A$12:$J$67,MATCH(C285,M_User!$D$12:$D$67,0),3),"UNMAPPED")</f>
        <v>Raymond P Sangawe</v>
      </c>
      <c r="E285" s="75" t="str">
        <f>IFERROR(INDEX(M_User!$A$12:$J$67,MATCH(C285,M_User!$D$12:$D$67,0),5),"UNMAPPED")</f>
        <v>MOS</v>
      </c>
      <c r="F285" s="101" t="s">
        <v>252</v>
      </c>
      <c r="G285" s="76" t="str">
        <f>IFERROR(INDEX(M_SKU!$A$18:$J$57,MATCH(F285,M_SKU!$B$18:$B$57,0),1),"UNKNOWN SKU")</f>
        <v>Sprite Zero Pet 300ML (x 12)</v>
      </c>
      <c r="H285" s="101" t="s">
        <v>545</v>
      </c>
      <c r="I285" s="102">
        <f>SUMIF(T_Load!$U$9:$U$439,B285,T_Load!$O$9:$O$439)</f>
        <v>2</v>
      </c>
      <c r="J285" s="102">
        <f>SUMIF(T_Sales!$O$9:$O$1164,B285,T_Sales!$L$9:$L$1164)</f>
        <v>2</v>
      </c>
      <c r="K285" s="103">
        <f t="shared" si="4"/>
        <v>0</v>
      </c>
      <c r="L285" s="80">
        <v>46179</v>
      </c>
      <c r="M285" s="78" t="s">
        <v>1883</v>
      </c>
    </row>
    <row r="286" spans="1:13" ht="15" customHeight="1" x14ac:dyDescent="0.3">
      <c r="A286" s="60" t="s">
        <v>2434</v>
      </c>
      <c r="B286" s="97" t="s">
        <v>2435</v>
      </c>
      <c r="C286" s="63" t="s">
        <v>424</v>
      </c>
      <c r="D286" s="66" t="str">
        <f>IFERROR(INDEX(M_User!$A$12:$J$67,MATCH(C286,M_User!$D$12:$D$67,0),3),"UNMAPPED")</f>
        <v>Raymond P Sangawe</v>
      </c>
      <c r="E286" s="65" t="str">
        <f>IFERROR(INDEX(M_User!$A$12:$J$67,MATCH(C286,M_User!$D$12:$D$67,0),5),"UNMAPPED")</f>
        <v>MOS</v>
      </c>
      <c r="F286" s="63" t="s">
        <v>254</v>
      </c>
      <c r="G286" s="66" t="str">
        <f>IFERROR(INDEX(M_SKU!$A$18:$J$57,MATCH(F286,M_SKU!$B$18:$B$57,0),1),"UNKNOWN SKU")</f>
        <v>Fanta Zero Pet 300ML (x 12)</v>
      </c>
      <c r="H286" s="63" t="s">
        <v>546</v>
      </c>
      <c r="I286" s="98">
        <f>SUMIF(T_Load!$U$9:$U$439,B286,T_Load!$O$9:$O$439)</f>
        <v>2</v>
      </c>
      <c r="J286" s="98">
        <f>SUMIF(T_Sales!$O$9:$O$1164,B286,T_Sales!$L$9:$L$1164)</f>
        <v>2</v>
      </c>
      <c r="K286" s="99">
        <f t="shared" si="4"/>
        <v>0</v>
      </c>
      <c r="L286" s="62">
        <v>46179</v>
      </c>
      <c r="M286" s="68" t="s">
        <v>1883</v>
      </c>
    </row>
    <row r="287" spans="1:13" ht="15" customHeight="1" x14ac:dyDescent="0.3">
      <c r="A287" s="70" t="s">
        <v>2436</v>
      </c>
      <c r="B287" s="100" t="s">
        <v>2437</v>
      </c>
      <c r="C287" s="101" t="s">
        <v>424</v>
      </c>
      <c r="D287" s="76" t="str">
        <f>IFERROR(INDEX(M_User!$A$12:$J$67,MATCH(C287,M_User!$D$12:$D$67,0),3),"UNMAPPED")</f>
        <v>Raymond P Sangawe</v>
      </c>
      <c r="E287" s="75" t="str">
        <f>IFERROR(INDEX(M_User!$A$12:$J$67,MATCH(C287,M_User!$D$12:$D$67,0),5),"UNMAPPED")</f>
        <v>MOS</v>
      </c>
      <c r="F287" s="101" t="s">
        <v>261</v>
      </c>
      <c r="G287" s="76" t="str">
        <f>IFERROR(INDEX(M_SKU!$A$18:$J$57,MATCH(F287,M_SKU!$B$18:$B$57,0),1),"UNKNOWN SKU")</f>
        <v>Sparletta Pine Apple Pet 300ML (x 12)</v>
      </c>
      <c r="H287" s="101" t="s">
        <v>547</v>
      </c>
      <c r="I287" s="102">
        <f>SUMIF(T_Load!$U$9:$U$439,B287,T_Load!$O$9:$O$439)</f>
        <v>2</v>
      </c>
      <c r="J287" s="102">
        <f>SUMIF(T_Sales!$O$9:$O$1164,B287,T_Sales!$L$9:$L$1164)</f>
        <v>2</v>
      </c>
      <c r="K287" s="103">
        <f t="shared" si="4"/>
        <v>0</v>
      </c>
      <c r="L287" s="80">
        <v>46179</v>
      </c>
      <c r="M287" s="78" t="s">
        <v>1883</v>
      </c>
    </row>
    <row r="288" spans="1:13" ht="15" customHeight="1" x14ac:dyDescent="0.3">
      <c r="A288" s="60" t="s">
        <v>2438</v>
      </c>
      <c r="B288" s="97" t="s">
        <v>2439</v>
      </c>
      <c r="C288" s="63" t="s">
        <v>370</v>
      </c>
      <c r="D288" s="66" t="str">
        <f>IFERROR(INDEX(M_User!$A$12:$J$67,MATCH(C288,M_User!$D$12:$D$67,0),3),"UNMAPPED")</f>
        <v>Zawadi Jastin Laizer</v>
      </c>
      <c r="E288" s="65" t="str">
        <f>IFERROR(INDEX(M_User!$A$12:$J$67,MATCH(C288,M_User!$D$12:$D$67,0),5),"UNMAPPED")</f>
        <v>MOS</v>
      </c>
      <c r="F288" s="63" t="s">
        <v>170</v>
      </c>
      <c r="G288" s="66" t="str">
        <f>IFERROR(INDEX(M_SKU!$A$18:$J$57,MATCH(F288,M_SKU!$B$18:$B$57,0),1),"UNKNOWN SKU")</f>
        <v>Coke RGB 350ml</v>
      </c>
      <c r="H288" s="63" t="s">
        <v>530</v>
      </c>
      <c r="I288" s="98">
        <f>SUMIF(T_Load!$U$9:$U$439,B288,T_Load!$O$9:$O$439)</f>
        <v>80</v>
      </c>
      <c r="J288" s="98">
        <f>SUMIF(T_Sales!$O$9:$O$1164,B288,T_Sales!$L$9:$L$1164)</f>
        <v>61.143587156707795</v>
      </c>
      <c r="K288" s="99">
        <f t="shared" si="4"/>
        <v>18.856412843292205</v>
      </c>
      <c r="L288" s="62">
        <v>46179</v>
      </c>
      <c r="M288" s="68" t="s">
        <v>1883</v>
      </c>
    </row>
    <row r="289" spans="1:13" ht="15" customHeight="1" x14ac:dyDescent="0.3">
      <c r="A289" s="70" t="s">
        <v>2440</v>
      </c>
      <c r="B289" s="100" t="s">
        <v>2441</v>
      </c>
      <c r="C289" s="101" t="s">
        <v>370</v>
      </c>
      <c r="D289" s="76" t="str">
        <f>IFERROR(INDEX(M_User!$A$12:$J$67,MATCH(C289,M_User!$D$12:$D$67,0),3),"UNMAPPED")</f>
        <v>Zawadi Jastin Laizer</v>
      </c>
      <c r="E289" s="75" t="str">
        <f>IFERROR(INDEX(M_User!$A$12:$J$67,MATCH(C289,M_User!$D$12:$D$67,0),5),"UNMAPPED")</f>
        <v>MOS</v>
      </c>
      <c r="F289" s="101" t="s">
        <v>178</v>
      </c>
      <c r="G289" s="76" t="str">
        <f>IFERROR(INDEX(M_SKU!$A$18:$J$57,MATCH(F289,M_SKU!$B$18:$B$57,0),1),"UNKNOWN SKU")</f>
        <v>Fanta Orange RGB 350ml</v>
      </c>
      <c r="H289" s="101" t="s">
        <v>531</v>
      </c>
      <c r="I289" s="102">
        <f>SUMIF(T_Load!$U$9:$U$439,B289,T_Load!$O$9:$O$439)</f>
        <v>35</v>
      </c>
      <c r="J289" s="102">
        <f>SUMIF(T_Sales!$O$9:$O$1164,B289,T_Sales!$L$9:$L$1164)</f>
        <v>29.339292744966698</v>
      </c>
      <c r="K289" s="103">
        <f t="shared" si="4"/>
        <v>5.6607072550333015</v>
      </c>
      <c r="L289" s="80">
        <v>46179</v>
      </c>
      <c r="M289" s="78" t="s">
        <v>1883</v>
      </c>
    </row>
    <row r="290" spans="1:13" ht="15" customHeight="1" x14ac:dyDescent="0.3">
      <c r="A290" s="60" t="s">
        <v>2442</v>
      </c>
      <c r="B290" s="97" t="s">
        <v>2443</v>
      </c>
      <c r="C290" s="63" t="s">
        <v>370</v>
      </c>
      <c r="D290" s="66" t="str">
        <f>IFERROR(INDEX(M_User!$A$12:$J$67,MATCH(C290,M_User!$D$12:$D$67,0),3),"UNMAPPED")</f>
        <v>Zawadi Jastin Laizer</v>
      </c>
      <c r="E290" s="65" t="str">
        <f>IFERROR(INDEX(M_User!$A$12:$J$67,MATCH(C290,M_User!$D$12:$D$67,0),5),"UNMAPPED")</f>
        <v>MOS</v>
      </c>
      <c r="F290" s="63" t="s">
        <v>181</v>
      </c>
      <c r="G290" s="66" t="str">
        <f>IFERROR(INDEX(M_SKU!$A$18:$J$57,MATCH(F290,M_SKU!$B$18:$B$57,0),1),"UNKNOWN SKU")</f>
        <v>Fanta Passion RGB 350ml</v>
      </c>
      <c r="H290" s="63" t="s">
        <v>550</v>
      </c>
      <c r="I290" s="98">
        <f>SUMIF(T_Load!$U$9:$U$439,B290,T_Load!$O$9:$O$439)</f>
        <v>10</v>
      </c>
      <c r="J290" s="98">
        <f>SUMIF(T_Sales!$O$9:$O$1164,B290,T_Sales!$L$9:$L$1164)</f>
        <v>8.4159572745051392</v>
      </c>
      <c r="K290" s="99">
        <f t="shared" si="4"/>
        <v>1.5840427254948608</v>
      </c>
      <c r="L290" s="62">
        <v>46179</v>
      </c>
      <c r="M290" s="68" t="s">
        <v>1883</v>
      </c>
    </row>
    <row r="291" spans="1:13" ht="15" customHeight="1" x14ac:dyDescent="0.3">
      <c r="A291" s="70" t="s">
        <v>2444</v>
      </c>
      <c r="B291" s="100" t="s">
        <v>2445</v>
      </c>
      <c r="C291" s="101" t="s">
        <v>370</v>
      </c>
      <c r="D291" s="76" t="str">
        <f>IFERROR(INDEX(M_User!$A$12:$J$67,MATCH(C291,M_User!$D$12:$D$67,0),3),"UNMAPPED")</f>
        <v>Zawadi Jastin Laizer</v>
      </c>
      <c r="E291" s="75" t="str">
        <f>IFERROR(INDEX(M_User!$A$12:$J$67,MATCH(C291,M_User!$D$12:$D$67,0),5),"UNMAPPED")</f>
        <v>MOS</v>
      </c>
      <c r="F291" s="101" t="s">
        <v>183</v>
      </c>
      <c r="G291" s="76" t="str">
        <f>IFERROR(INDEX(M_SKU!$A$18:$J$57,MATCH(F291,M_SKU!$B$18:$B$57,0),1),"UNKNOWN SKU")</f>
        <v>Fanta Pineapple RGB 350ml</v>
      </c>
      <c r="H291" s="101" t="s">
        <v>533</v>
      </c>
      <c r="I291" s="102">
        <f>SUMIF(T_Load!$U$9:$U$439,B291,T_Load!$O$9:$O$439)</f>
        <v>15</v>
      </c>
      <c r="J291" s="102">
        <f>SUMIF(T_Sales!$O$9:$O$1164,B291,T_Sales!$L$9:$L$1164)</f>
        <v>11.595897655027461</v>
      </c>
      <c r="K291" s="103">
        <f t="shared" si="4"/>
        <v>3.4041023449725394</v>
      </c>
      <c r="L291" s="80">
        <v>46179</v>
      </c>
      <c r="M291" s="78" t="s">
        <v>1883</v>
      </c>
    </row>
    <row r="292" spans="1:13" ht="15" customHeight="1" x14ac:dyDescent="0.3">
      <c r="A292" s="60" t="s">
        <v>2446</v>
      </c>
      <c r="B292" s="97" t="s">
        <v>2447</v>
      </c>
      <c r="C292" s="63" t="s">
        <v>370</v>
      </c>
      <c r="D292" s="66" t="str">
        <f>IFERROR(INDEX(M_User!$A$12:$J$67,MATCH(C292,M_User!$D$12:$D$67,0),3),"UNMAPPED")</f>
        <v>Zawadi Jastin Laizer</v>
      </c>
      <c r="E292" s="65" t="str">
        <f>IFERROR(INDEX(M_User!$A$12:$J$67,MATCH(C292,M_User!$D$12:$D$67,0),5),"UNMAPPED")</f>
        <v>MOS</v>
      </c>
      <c r="F292" s="63" t="s">
        <v>185</v>
      </c>
      <c r="G292" s="66" t="str">
        <f>IFERROR(INDEX(M_SKU!$A$18:$J$57,MATCH(F292,M_SKU!$B$18:$B$57,0),1),"UNKNOWN SKU")</f>
        <v>Fanta Fruit Blast RGB 350 ml</v>
      </c>
      <c r="H292" s="63" t="s">
        <v>534</v>
      </c>
      <c r="I292" s="98">
        <f>SUMIF(T_Load!$U$9:$U$439,B292,T_Load!$O$9:$O$439)</f>
        <v>5</v>
      </c>
      <c r="J292" s="98">
        <f>SUMIF(T_Sales!$O$9:$O$1164,B292,T_Sales!$L$9:$L$1164)</f>
        <v>3.8698562804858101</v>
      </c>
      <c r="K292" s="99">
        <f t="shared" si="4"/>
        <v>1.1301437195141899</v>
      </c>
      <c r="L292" s="62">
        <v>46179</v>
      </c>
      <c r="M292" s="68" t="s">
        <v>1883</v>
      </c>
    </row>
    <row r="293" spans="1:13" ht="15" customHeight="1" x14ac:dyDescent="0.3">
      <c r="A293" s="70" t="s">
        <v>2448</v>
      </c>
      <c r="B293" s="100" t="s">
        <v>2449</v>
      </c>
      <c r="C293" s="101" t="s">
        <v>370</v>
      </c>
      <c r="D293" s="76" t="str">
        <f>IFERROR(INDEX(M_User!$A$12:$J$67,MATCH(C293,M_User!$D$12:$D$67,0),3),"UNMAPPED")</f>
        <v>Zawadi Jastin Laizer</v>
      </c>
      <c r="E293" s="75" t="str">
        <f>IFERROR(INDEX(M_User!$A$12:$J$67,MATCH(C293,M_User!$D$12:$D$67,0),5),"UNMAPPED")</f>
        <v>MOS</v>
      </c>
      <c r="F293" s="101" t="s">
        <v>187</v>
      </c>
      <c r="G293" s="76" t="str">
        <f>IFERROR(INDEX(M_SKU!$A$18:$J$57,MATCH(F293,M_SKU!$B$18:$B$57,0),1),"UNKNOWN SKU")</f>
        <v>Sprite 350ml</v>
      </c>
      <c r="H293" s="101" t="s">
        <v>535</v>
      </c>
      <c r="I293" s="102">
        <f>SUMIF(T_Load!$U$9:$U$439,B293,T_Load!$O$9:$O$439)</f>
        <v>15</v>
      </c>
      <c r="J293" s="102">
        <f>SUMIF(T_Sales!$O$9:$O$1164,B293,T_Sales!$L$9:$L$1164)</f>
        <v>11.615747611587341</v>
      </c>
      <c r="K293" s="103">
        <f t="shared" si="4"/>
        <v>3.3842523884126585</v>
      </c>
      <c r="L293" s="80">
        <v>46179</v>
      </c>
      <c r="M293" s="78" t="s">
        <v>1883</v>
      </c>
    </row>
    <row r="294" spans="1:13" ht="15" customHeight="1" x14ac:dyDescent="0.3">
      <c r="A294" s="60" t="s">
        <v>2450</v>
      </c>
      <c r="B294" s="97" t="s">
        <v>2451</v>
      </c>
      <c r="C294" s="63" t="s">
        <v>370</v>
      </c>
      <c r="D294" s="66" t="str">
        <f>IFERROR(INDEX(M_User!$A$12:$J$67,MATCH(C294,M_User!$D$12:$D$67,0),3),"UNMAPPED")</f>
        <v>Zawadi Jastin Laizer</v>
      </c>
      <c r="E294" s="65" t="str">
        <f>IFERROR(INDEX(M_User!$A$12:$J$67,MATCH(C294,M_User!$D$12:$D$67,0),5),"UNMAPPED")</f>
        <v>MOS</v>
      </c>
      <c r="F294" s="63" t="s">
        <v>190</v>
      </c>
      <c r="G294" s="66" t="str">
        <f>IFERROR(INDEX(M_SKU!$A$18:$J$57,MATCH(F294,M_SKU!$B$18:$B$57,0),1),"UNKNOWN SKU")</f>
        <v>Stoney Tangawizi RGB 350ml</v>
      </c>
      <c r="H294" s="63" t="s">
        <v>536</v>
      </c>
      <c r="I294" s="98">
        <f>SUMIF(T_Load!$U$9:$U$439,B294,T_Load!$O$9:$O$439)</f>
        <v>5</v>
      </c>
      <c r="J294" s="98">
        <f>SUMIF(T_Sales!$O$9:$O$1164,B294,T_Sales!$L$9:$L$1164)</f>
        <v>4.1775461033881447</v>
      </c>
      <c r="K294" s="99">
        <f t="shared" si="4"/>
        <v>0.82245389661185531</v>
      </c>
      <c r="L294" s="62">
        <v>46179</v>
      </c>
      <c r="M294" s="68" t="s">
        <v>1883</v>
      </c>
    </row>
    <row r="295" spans="1:13" ht="15" customHeight="1" x14ac:dyDescent="0.3">
      <c r="A295" s="70" t="s">
        <v>2452</v>
      </c>
      <c r="B295" s="100" t="s">
        <v>2453</v>
      </c>
      <c r="C295" s="101" t="s">
        <v>370</v>
      </c>
      <c r="D295" s="76" t="str">
        <f>IFERROR(INDEX(M_User!$A$12:$J$67,MATCH(C295,M_User!$D$12:$D$67,0),3),"UNMAPPED")</f>
        <v>Zawadi Jastin Laizer</v>
      </c>
      <c r="E295" s="75" t="str">
        <f>IFERROR(INDEX(M_User!$A$12:$J$67,MATCH(C295,M_User!$D$12:$D$67,0),5),"UNMAPPED")</f>
        <v>MOS</v>
      </c>
      <c r="F295" s="101" t="s">
        <v>193</v>
      </c>
      <c r="G295" s="76" t="str">
        <f>IFERROR(INDEX(M_SKU!$A$18:$J$57,MATCH(F295,M_SKU!$B$18:$B$57,0),1),"UNKNOWN SKU")</f>
        <v>Sparletta Pinenut RGB 350ml</v>
      </c>
      <c r="H295" s="101" t="s">
        <v>537</v>
      </c>
      <c r="I295" s="102">
        <f>SUMIF(T_Load!$U$9:$U$439,B295,T_Load!$O$9:$O$439)</f>
        <v>5</v>
      </c>
      <c r="J295" s="102">
        <f>SUMIF(T_Sales!$O$9:$O$1164,B295,T_Sales!$L$9:$L$1164)</f>
        <v>4.23179987596638</v>
      </c>
      <c r="K295" s="103">
        <f t="shared" si="4"/>
        <v>0.76820012403362004</v>
      </c>
      <c r="L295" s="80">
        <v>46179</v>
      </c>
      <c r="M295" s="78" t="s">
        <v>1883</v>
      </c>
    </row>
    <row r="296" spans="1:13" ht="15" customHeight="1" x14ac:dyDescent="0.3">
      <c r="A296" s="60" t="s">
        <v>2454</v>
      </c>
      <c r="B296" s="97" t="s">
        <v>2455</v>
      </c>
      <c r="C296" s="63" t="s">
        <v>370</v>
      </c>
      <c r="D296" s="66" t="str">
        <f>IFERROR(INDEX(M_User!$A$12:$J$67,MATCH(C296,M_User!$D$12:$D$67,0),3),"UNMAPPED")</f>
        <v>Zawadi Jastin Laizer</v>
      </c>
      <c r="E296" s="65" t="str">
        <f>IFERROR(INDEX(M_User!$A$12:$J$67,MATCH(C296,M_User!$D$12:$D$67,0),5),"UNMAPPED")</f>
        <v>MOS</v>
      </c>
      <c r="F296" s="63" t="s">
        <v>196</v>
      </c>
      <c r="G296" s="66" t="str">
        <f>IFERROR(INDEX(M_SKU!$A$18:$J$57,MATCH(F296,M_SKU!$B$18:$B$57,0),1),"UNKNOWN SKU")</f>
        <v>Krest Bitter Lemon RGB 300ml</v>
      </c>
      <c r="H296" s="63" t="s">
        <v>538</v>
      </c>
      <c r="I296" s="98">
        <f>SUMIF(T_Load!$U$9:$U$439,B296,T_Load!$O$9:$O$439)</f>
        <v>4</v>
      </c>
      <c r="J296" s="98">
        <f>SUMIF(T_Sales!$O$9:$O$1164,B296,T_Sales!$L$9:$L$1164)</f>
        <v>3.4443037198762592</v>
      </c>
      <c r="K296" s="99">
        <f t="shared" si="4"/>
        <v>0.55569628012374084</v>
      </c>
      <c r="L296" s="62">
        <v>46179</v>
      </c>
      <c r="M296" s="68" t="s">
        <v>1883</v>
      </c>
    </row>
    <row r="297" spans="1:13" ht="15" customHeight="1" x14ac:dyDescent="0.3">
      <c r="A297" s="70" t="s">
        <v>2456</v>
      </c>
      <c r="B297" s="100" t="s">
        <v>2457</v>
      </c>
      <c r="C297" s="101" t="s">
        <v>370</v>
      </c>
      <c r="D297" s="76" t="str">
        <f>IFERROR(INDEX(M_User!$A$12:$J$67,MATCH(C297,M_User!$D$12:$D$67,0),3),"UNMAPPED")</f>
        <v>Zawadi Jastin Laizer</v>
      </c>
      <c r="E297" s="75" t="str">
        <f>IFERROR(INDEX(M_User!$A$12:$J$67,MATCH(C297,M_User!$D$12:$D$67,0),5),"UNMAPPED")</f>
        <v>MOS</v>
      </c>
      <c r="F297" s="101" t="s">
        <v>199</v>
      </c>
      <c r="G297" s="76" t="str">
        <f>IFERROR(INDEX(M_SKU!$A$18:$J$57,MATCH(F297,M_SKU!$B$18:$B$57,0),1),"UNKNOWN SKU")</f>
        <v>Krest Club Soda RGB 300ml</v>
      </c>
      <c r="H297" s="101" t="s">
        <v>539</v>
      </c>
      <c r="I297" s="102">
        <f>SUMIF(T_Load!$U$9:$U$439,B297,T_Load!$O$9:$O$439)</f>
        <v>4</v>
      </c>
      <c r="J297" s="102">
        <f>SUMIF(T_Sales!$O$9:$O$1164,B297,T_Sales!$L$9:$L$1164)</f>
        <v>3.3230616108766302</v>
      </c>
      <c r="K297" s="103">
        <f t="shared" si="4"/>
        <v>0.67693838912336979</v>
      </c>
      <c r="L297" s="80">
        <v>46179</v>
      </c>
      <c r="M297" s="78" t="s">
        <v>1883</v>
      </c>
    </row>
    <row r="298" spans="1:13" ht="15" customHeight="1" x14ac:dyDescent="0.3">
      <c r="A298" s="60" t="s">
        <v>2458</v>
      </c>
      <c r="B298" s="97" t="s">
        <v>2459</v>
      </c>
      <c r="C298" s="63" t="s">
        <v>370</v>
      </c>
      <c r="D298" s="66" t="str">
        <f>IFERROR(INDEX(M_User!$A$12:$J$67,MATCH(C298,M_User!$D$12:$D$67,0),3),"UNMAPPED")</f>
        <v>Zawadi Jastin Laizer</v>
      </c>
      <c r="E298" s="65" t="str">
        <f>IFERROR(INDEX(M_User!$A$12:$J$67,MATCH(C298,M_User!$D$12:$D$67,0),5),"UNMAPPED")</f>
        <v>MOS</v>
      </c>
      <c r="F298" s="63" t="s">
        <v>201</v>
      </c>
      <c r="G298" s="66" t="str">
        <f>IFERROR(INDEX(M_SKU!$A$18:$J$57,MATCH(F298,M_SKU!$B$18:$B$57,0),1),"UNKNOWN SKU")</f>
        <v>Krest Tonic Water RGB 300ml</v>
      </c>
      <c r="H298" s="63" t="s">
        <v>540</v>
      </c>
      <c r="I298" s="98">
        <f>SUMIF(T_Load!$U$9:$U$439,B298,T_Load!$O$9:$O$439)</f>
        <v>4</v>
      </c>
      <c r="J298" s="98">
        <f>SUMIF(T_Sales!$O$9:$O$1164,B298,T_Sales!$L$9:$L$1164)</f>
        <v>3.4907287853427031</v>
      </c>
      <c r="K298" s="99">
        <f t="shared" si="4"/>
        <v>0.50927121465729686</v>
      </c>
      <c r="L298" s="62">
        <v>46179</v>
      </c>
      <c r="M298" s="68" t="s">
        <v>1883</v>
      </c>
    </row>
    <row r="299" spans="1:13" ht="15" customHeight="1" x14ac:dyDescent="0.3">
      <c r="A299" s="70" t="s">
        <v>2460</v>
      </c>
      <c r="B299" s="100" t="s">
        <v>2461</v>
      </c>
      <c r="C299" s="101" t="s">
        <v>370</v>
      </c>
      <c r="D299" s="76" t="str">
        <f>IFERROR(INDEX(M_User!$A$12:$J$67,MATCH(C299,M_User!$D$12:$D$67,0),3),"UNMAPPED")</f>
        <v>Zawadi Jastin Laizer</v>
      </c>
      <c r="E299" s="75" t="str">
        <f>IFERROR(INDEX(M_User!$A$12:$J$67,MATCH(C299,M_User!$D$12:$D$67,0),5),"UNMAPPED")</f>
        <v>MOS</v>
      </c>
      <c r="F299" s="101" t="s">
        <v>203</v>
      </c>
      <c r="G299" s="76" t="str">
        <f>IFERROR(INDEX(M_SKU!$A$18:$J$57,MATCH(F299,M_SKU!$B$18:$B$57,0),1),"UNKNOWN SKU")</f>
        <v>Krest Ginger Ale RGB 300ml</v>
      </c>
      <c r="H299" s="101" t="s">
        <v>541</v>
      </c>
      <c r="I299" s="102">
        <f>SUMIF(T_Load!$U$9:$U$439,B299,T_Load!$O$9:$O$439)</f>
        <v>4</v>
      </c>
      <c r="J299" s="102">
        <f>SUMIF(T_Sales!$O$9:$O$1164,B299,T_Sales!$L$9:$L$1164)</f>
        <v>3.5228430655132259</v>
      </c>
      <c r="K299" s="103">
        <f t="shared" si="4"/>
        <v>0.4771569344867741</v>
      </c>
      <c r="L299" s="80">
        <v>46179</v>
      </c>
      <c r="M299" s="78" t="s">
        <v>1883</v>
      </c>
    </row>
    <row r="300" spans="1:13" ht="15" customHeight="1" x14ac:dyDescent="0.3">
      <c r="A300" s="60" t="s">
        <v>2462</v>
      </c>
      <c r="B300" s="97" t="s">
        <v>2463</v>
      </c>
      <c r="C300" s="63" t="s">
        <v>370</v>
      </c>
      <c r="D300" s="66" t="str">
        <f>IFERROR(INDEX(M_User!$A$12:$J$67,MATCH(C300,M_User!$D$12:$D$67,0),3),"UNMAPPED")</f>
        <v>Zawadi Jastin Laizer</v>
      </c>
      <c r="E300" s="65" t="str">
        <f>IFERROR(INDEX(M_User!$A$12:$J$67,MATCH(C300,M_User!$D$12:$D$67,0),5),"UNMAPPED")</f>
        <v>MOS</v>
      </c>
      <c r="F300" s="63" t="s">
        <v>209</v>
      </c>
      <c r="G300" s="66" t="str">
        <f>IFERROR(INDEX(M_SKU!$A$18:$J$57,MATCH(F300,M_SKU!$B$18:$B$57,0),1),"UNKNOWN SKU")</f>
        <v>Sparletta Red Apple RGB 350ml</v>
      </c>
      <c r="H300" s="63" t="s">
        <v>542</v>
      </c>
      <c r="I300" s="98">
        <f>SUMIF(T_Load!$U$9:$U$439,B300,T_Load!$O$9:$O$439)</f>
        <v>2</v>
      </c>
      <c r="J300" s="98">
        <f>SUMIF(T_Sales!$O$9:$O$1164,B300,T_Sales!$L$9:$L$1164)</f>
        <v>1.6349680630555801</v>
      </c>
      <c r="K300" s="99">
        <f t="shared" si="4"/>
        <v>0.36503193694441993</v>
      </c>
      <c r="L300" s="62">
        <v>46179</v>
      </c>
      <c r="M300" s="68" t="s">
        <v>1883</v>
      </c>
    </row>
    <row r="301" spans="1:13" ht="15" customHeight="1" x14ac:dyDescent="0.3">
      <c r="A301" s="70" t="s">
        <v>2464</v>
      </c>
      <c r="B301" s="100" t="s">
        <v>2465</v>
      </c>
      <c r="C301" s="101" t="s">
        <v>370</v>
      </c>
      <c r="D301" s="76" t="str">
        <f>IFERROR(INDEX(M_User!$A$12:$J$67,MATCH(C301,M_User!$D$12:$D$67,0),3),"UNMAPPED")</f>
        <v>Zawadi Jastin Laizer</v>
      </c>
      <c r="E301" s="75" t="str">
        <f>IFERROR(INDEX(M_User!$A$12:$J$67,MATCH(C301,M_User!$D$12:$D$67,0),5),"UNMAPPED")</f>
        <v>MOS</v>
      </c>
      <c r="F301" s="101" t="s">
        <v>211</v>
      </c>
      <c r="G301" s="76" t="str">
        <f>IFERROR(INDEX(M_SKU!$A$18:$J$57,MATCH(F301,M_SKU!$B$18:$B$57,0),1),"UNKNOWN SKU")</f>
        <v>KNMW 500ml</v>
      </c>
      <c r="H301" s="101" t="s">
        <v>543</v>
      </c>
      <c r="I301" s="102">
        <f>SUMIF(T_Load!$U$9:$U$439,B301,T_Load!$O$9:$O$439)</f>
        <v>50</v>
      </c>
      <c r="J301" s="102">
        <f>SUMIF(T_Sales!$O$9:$O$1164,B301,T_Sales!$L$9:$L$1164)</f>
        <v>42</v>
      </c>
      <c r="K301" s="103">
        <f t="shared" si="4"/>
        <v>8</v>
      </c>
      <c r="L301" s="80">
        <v>46179</v>
      </c>
      <c r="M301" s="78" t="s">
        <v>1883</v>
      </c>
    </row>
    <row r="302" spans="1:13" ht="15" customHeight="1" x14ac:dyDescent="0.3">
      <c r="A302" s="60" t="s">
        <v>2466</v>
      </c>
      <c r="B302" s="97" t="s">
        <v>2467</v>
      </c>
      <c r="C302" s="63" t="s">
        <v>370</v>
      </c>
      <c r="D302" s="66" t="str">
        <f>IFERROR(INDEX(M_User!$A$12:$J$67,MATCH(C302,M_User!$D$12:$D$67,0),3),"UNMAPPED")</f>
        <v>Zawadi Jastin Laizer</v>
      </c>
      <c r="E302" s="65" t="str">
        <f>IFERROR(INDEX(M_User!$A$12:$J$67,MATCH(C302,M_User!$D$12:$D$67,0),5),"UNMAPPED")</f>
        <v>MOS</v>
      </c>
      <c r="F302" s="63" t="s">
        <v>217</v>
      </c>
      <c r="G302" s="66" t="str">
        <f>IFERROR(INDEX(M_SKU!$A$18:$J$57,MATCH(F302,M_SKU!$B$18:$B$57,0),1),"UNKNOWN SKU")</f>
        <v>KNMW 1500ml</v>
      </c>
      <c r="H302" s="63" t="s">
        <v>551</v>
      </c>
      <c r="I302" s="98">
        <f>SUMIF(T_Load!$U$9:$U$439,B302,T_Load!$O$9:$O$439)</f>
        <v>90</v>
      </c>
      <c r="J302" s="98">
        <f>SUMIF(T_Sales!$O$9:$O$1164,B302,T_Sales!$L$9:$L$1164)</f>
        <v>71</v>
      </c>
      <c r="K302" s="99">
        <f t="shared" si="4"/>
        <v>19</v>
      </c>
      <c r="L302" s="62">
        <v>46179</v>
      </c>
      <c r="M302" s="68" t="s">
        <v>1883</v>
      </c>
    </row>
    <row r="303" spans="1:13" ht="15" customHeight="1" x14ac:dyDescent="0.3">
      <c r="A303" s="70" t="s">
        <v>2468</v>
      </c>
      <c r="B303" s="100" t="s">
        <v>2469</v>
      </c>
      <c r="C303" s="101" t="s">
        <v>370</v>
      </c>
      <c r="D303" s="76" t="str">
        <f>IFERROR(INDEX(M_User!$A$12:$J$67,MATCH(C303,M_User!$D$12:$D$67,0),3),"UNMAPPED")</f>
        <v>Zawadi Jastin Laizer</v>
      </c>
      <c r="E303" s="75" t="str">
        <f>IFERROR(INDEX(M_User!$A$12:$J$67,MATCH(C303,M_User!$D$12:$D$67,0),5),"UNMAPPED")</f>
        <v>MOS</v>
      </c>
      <c r="F303" s="101" t="s">
        <v>222</v>
      </c>
      <c r="G303" s="76" t="str">
        <f>IFERROR(INDEX(M_SKU!$A$18:$J$57,MATCH(F303,M_SKU!$B$18:$B$57,0),1),"UNKNOWN SKU")</f>
        <v>Kilimanjaro Drinking Water 12000 ML</v>
      </c>
      <c r="H303" s="101" t="s">
        <v>566</v>
      </c>
      <c r="I303" s="102">
        <f>SUMIF(T_Load!$U$9:$U$439,B303,T_Load!$O$9:$O$439)</f>
        <v>6</v>
      </c>
      <c r="J303" s="102">
        <f>SUMIF(T_Sales!$O$9:$O$1164,B303,T_Sales!$L$9:$L$1164)</f>
        <v>5</v>
      </c>
      <c r="K303" s="103">
        <f t="shared" si="4"/>
        <v>1</v>
      </c>
      <c r="L303" s="80">
        <v>46179</v>
      </c>
      <c r="M303" s="78" t="s">
        <v>1883</v>
      </c>
    </row>
    <row r="304" spans="1:13" ht="15" customHeight="1" x14ac:dyDescent="0.3">
      <c r="A304" s="60" t="s">
        <v>2470</v>
      </c>
      <c r="B304" s="97" t="s">
        <v>2471</v>
      </c>
      <c r="C304" s="63" t="s">
        <v>370</v>
      </c>
      <c r="D304" s="66" t="str">
        <f>IFERROR(INDEX(M_User!$A$12:$J$67,MATCH(C304,M_User!$D$12:$D$67,0),3),"UNMAPPED")</f>
        <v>Zawadi Jastin Laizer</v>
      </c>
      <c r="E304" s="65" t="str">
        <f>IFERROR(INDEX(M_User!$A$12:$J$67,MATCH(C304,M_User!$D$12:$D$67,0),5),"UNMAPPED")</f>
        <v>MOS</v>
      </c>
      <c r="F304" s="63" t="s">
        <v>225</v>
      </c>
      <c r="G304" s="66" t="str">
        <f>IFERROR(INDEX(M_SKU!$A$18:$J$57,MATCH(F304,M_SKU!$B$18:$B$57,0),1),"UNKNOWN SKU")</f>
        <v>Kilimanjaro Drinking Water 18900 ML</v>
      </c>
      <c r="H304" s="63" t="s">
        <v>567</v>
      </c>
      <c r="I304" s="98">
        <f>SUMIF(T_Load!$U$9:$U$439,B304,T_Load!$O$9:$O$439)</f>
        <v>12</v>
      </c>
      <c r="J304" s="98">
        <f>SUMIF(T_Sales!$O$9:$O$1164,B304,T_Sales!$L$9:$L$1164)</f>
        <v>10</v>
      </c>
      <c r="K304" s="99">
        <f t="shared" si="4"/>
        <v>2</v>
      </c>
      <c r="L304" s="62">
        <v>46179</v>
      </c>
      <c r="M304" s="68" t="s">
        <v>1883</v>
      </c>
    </row>
    <row r="305" spans="1:13" ht="15" customHeight="1" x14ac:dyDescent="0.3">
      <c r="A305" s="70" t="s">
        <v>2472</v>
      </c>
      <c r="B305" s="100" t="s">
        <v>2473</v>
      </c>
      <c r="C305" s="101" t="s">
        <v>370</v>
      </c>
      <c r="D305" s="76" t="str">
        <f>IFERROR(INDEX(M_User!$A$12:$J$67,MATCH(C305,M_User!$D$12:$D$67,0),3),"UNMAPPED")</f>
        <v>Zawadi Jastin Laizer</v>
      </c>
      <c r="E305" s="75" t="str">
        <f>IFERROR(INDEX(M_User!$A$12:$J$67,MATCH(C305,M_User!$D$12:$D$67,0),5),"UNMAPPED")</f>
        <v>MOS</v>
      </c>
      <c r="F305" s="101" t="s">
        <v>229</v>
      </c>
      <c r="G305" s="76" t="str">
        <f>IFERROR(INDEX(M_SKU!$A$18:$J$57,MATCH(F305,M_SKU!$B$18:$B$57,0),1),"UNKNOWN SKU")</f>
        <v>Coke Pet 500ML ( x12)</v>
      </c>
      <c r="H305" s="101" t="s">
        <v>520</v>
      </c>
      <c r="I305" s="102">
        <f>SUMIF(T_Load!$U$9:$U$439,B305,T_Load!$O$9:$O$439)</f>
        <v>20</v>
      </c>
      <c r="J305" s="102">
        <f>SUMIF(T_Sales!$O$9:$O$1164,B305,T_Sales!$L$9:$L$1164)</f>
        <v>18</v>
      </c>
      <c r="K305" s="103">
        <f t="shared" si="4"/>
        <v>2</v>
      </c>
      <c r="L305" s="80">
        <v>46179</v>
      </c>
      <c r="M305" s="78" t="s">
        <v>1883</v>
      </c>
    </row>
    <row r="306" spans="1:13" ht="15" customHeight="1" x14ac:dyDescent="0.3">
      <c r="A306" s="60" t="s">
        <v>2474</v>
      </c>
      <c r="B306" s="97" t="s">
        <v>2475</v>
      </c>
      <c r="C306" s="63" t="s">
        <v>370</v>
      </c>
      <c r="D306" s="66" t="str">
        <f>IFERROR(INDEX(M_User!$A$12:$J$67,MATCH(C306,M_User!$D$12:$D$67,0),3),"UNMAPPED")</f>
        <v>Zawadi Jastin Laizer</v>
      </c>
      <c r="E306" s="65" t="str">
        <f>IFERROR(INDEX(M_User!$A$12:$J$67,MATCH(C306,M_User!$D$12:$D$67,0),5),"UNMAPPED")</f>
        <v>MOS</v>
      </c>
      <c r="F306" s="63" t="s">
        <v>232</v>
      </c>
      <c r="G306" s="66" t="str">
        <f>IFERROR(INDEX(M_SKU!$A$18:$J$57,MATCH(F306,M_SKU!$B$18:$B$57,0),1),"UNKNOWN SKU")</f>
        <v>Sprite Pet 500ML (x 12)</v>
      </c>
      <c r="H306" s="63" t="s">
        <v>522</v>
      </c>
      <c r="I306" s="98">
        <f>SUMIF(T_Load!$U$9:$U$439,B306,T_Load!$O$9:$O$439)</f>
        <v>5</v>
      </c>
      <c r="J306" s="98">
        <f>SUMIF(T_Sales!$O$9:$O$1164,B306,T_Sales!$L$9:$L$1164)</f>
        <v>4</v>
      </c>
      <c r="K306" s="99">
        <f t="shared" si="4"/>
        <v>1</v>
      </c>
      <c r="L306" s="62">
        <v>46179</v>
      </c>
      <c r="M306" s="68" t="s">
        <v>1883</v>
      </c>
    </row>
    <row r="307" spans="1:13" ht="15" customHeight="1" x14ac:dyDescent="0.3">
      <c r="A307" s="70" t="s">
        <v>2476</v>
      </c>
      <c r="B307" s="100" t="s">
        <v>2477</v>
      </c>
      <c r="C307" s="101" t="s">
        <v>370</v>
      </c>
      <c r="D307" s="76" t="str">
        <f>IFERROR(INDEX(M_User!$A$12:$J$67,MATCH(C307,M_User!$D$12:$D$67,0),3),"UNMAPPED")</f>
        <v>Zawadi Jastin Laizer</v>
      </c>
      <c r="E307" s="75" t="str">
        <f>IFERROR(INDEX(M_User!$A$12:$J$67,MATCH(C307,M_User!$D$12:$D$67,0),5),"UNMAPPED")</f>
        <v>MOS</v>
      </c>
      <c r="F307" s="101" t="s">
        <v>234</v>
      </c>
      <c r="G307" s="76" t="str">
        <f>IFERROR(INDEX(M_SKU!$A$18:$J$57,MATCH(F307,M_SKU!$B$18:$B$57,0),1),"UNKNOWN SKU")</f>
        <v>Fanta Orange Pet 500ML ( x 12)</v>
      </c>
      <c r="H307" s="101" t="s">
        <v>523</v>
      </c>
      <c r="I307" s="102">
        <f>SUMIF(T_Load!$U$9:$U$439,B307,T_Load!$O$9:$O$439)</f>
        <v>20</v>
      </c>
      <c r="J307" s="102">
        <f>SUMIF(T_Sales!$O$9:$O$1164,B307,T_Sales!$L$9:$L$1164)</f>
        <v>16</v>
      </c>
      <c r="K307" s="103">
        <f t="shared" si="4"/>
        <v>4</v>
      </c>
      <c r="L307" s="80">
        <v>46179</v>
      </c>
      <c r="M307" s="78" t="s">
        <v>1883</v>
      </c>
    </row>
    <row r="308" spans="1:13" ht="15" customHeight="1" x14ac:dyDescent="0.3">
      <c r="A308" s="60" t="s">
        <v>2478</v>
      </c>
      <c r="B308" s="97" t="s">
        <v>2479</v>
      </c>
      <c r="C308" s="63" t="s">
        <v>370</v>
      </c>
      <c r="D308" s="66" t="str">
        <f>IFERROR(INDEX(M_User!$A$12:$J$67,MATCH(C308,M_User!$D$12:$D$67,0),3),"UNMAPPED")</f>
        <v>Zawadi Jastin Laizer</v>
      </c>
      <c r="E308" s="65" t="str">
        <f>IFERROR(INDEX(M_User!$A$12:$J$67,MATCH(C308,M_User!$D$12:$D$67,0),5),"UNMAPPED")</f>
        <v>MOS</v>
      </c>
      <c r="F308" s="63" t="s">
        <v>236</v>
      </c>
      <c r="G308" s="66" t="str">
        <f>IFERROR(INDEX(M_SKU!$A$18:$J$57,MATCH(F308,M_SKU!$B$18:$B$57,0),1),"UNKNOWN SKU")</f>
        <v>Fanta Passion Pet 500ML ( x12)</v>
      </c>
      <c r="H308" s="63" t="s">
        <v>524</v>
      </c>
      <c r="I308" s="98">
        <f>SUMIF(T_Load!$U$9:$U$439,B308,T_Load!$O$9:$O$439)</f>
        <v>5</v>
      </c>
      <c r="J308" s="98">
        <f>SUMIF(T_Sales!$O$9:$O$1164,B308,T_Sales!$L$9:$L$1164)</f>
        <v>4</v>
      </c>
      <c r="K308" s="99">
        <f t="shared" si="4"/>
        <v>1</v>
      </c>
      <c r="L308" s="62">
        <v>46179</v>
      </c>
      <c r="M308" s="68" t="s">
        <v>1883</v>
      </c>
    </row>
    <row r="309" spans="1:13" ht="15" customHeight="1" x14ac:dyDescent="0.3">
      <c r="A309" s="70" t="s">
        <v>2480</v>
      </c>
      <c r="B309" s="100" t="s">
        <v>2481</v>
      </c>
      <c r="C309" s="101" t="s">
        <v>370</v>
      </c>
      <c r="D309" s="76" t="str">
        <f>IFERROR(INDEX(M_User!$A$12:$J$67,MATCH(C309,M_User!$D$12:$D$67,0),3),"UNMAPPED")</f>
        <v>Zawadi Jastin Laizer</v>
      </c>
      <c r="E309" s="75" t="str">
        <f>IFERROR(INDEX(M_User!$A$12:$J$67,MATCH(C309,M_User!$D$12:$D$67,0),5),"UNMAPPED")</f>
        <v>MOS</v>
      </c>
      <c r="F309" s="101" t="s">
        <v>242</v>
      </c>
      <c r="G309" s="76" t="str">
        <f>IFERROR(INDEX(M_SKU!$A$18:$J$57,MATCH(F309,M_SKU!$B$18:$B$57,0),1),"UNKNOWN SKU")</f>
        <v>Stoney Tangawizi Pet 500 ml ( x12)</v>
      </c>
      <c r="H309" s="101" t="s">
        <v>525</v>
      </c>
      <c r="I309" s="102">
        <f>SUMIF(T_Load!$U$9:$U$439,B309,T_Load!$O$9:$O$439)</f>
        <v>3</v>
      </c>
      <c r="J309" s="102">
        <f>SUMIF(T_Sales!$O$9:$O$1164,B309,T_Sales!$L$9:$L$1164)</f>
        <v>3</v>
      </c>
      <c r="K309" s="103">
        <f t="shared" si="4"/>
        <v>0</v>
      </c>
      <c r="L309" s="80">
        <v>46179</v>
      </c>
      <c r="M309" s="78" t="s">
        <v>1883</v>
      </c>
    </row>
    <row r="310" spans="1:13" ht="15" customHeight="1" x14ac:dyDescent="0.3">
      <c r="A310" s="60" t="s">
        <v>2482</v>
      </c>
      <c r="B310" s="97" t="s">
        <v>2483</v>
      </c>
      <c r="C310" s="63" t="s">
        <v>370</v>
      </c>
      <c r="D310" s="66" t="str">
        <f>IFERROR(INDEX(M_User!$A$12:$J$67,MATCH(C310,M_User!$D$12:$D$67,0),3),"UNMAPPED")</f>
        <v>Zawadi Jastin Laizer</v>
      </c>
      <c r="E310" s="65" t="str">
        <f>IFERROR(INDEX(M_User!$A$12:$J$67,MATCH(C310,M_User!$D$12:$D$67,0),5),"UNMAPPED")</f>
        <v>MOS</v>
      </c>
      <c r="F310" s="63" t="s">
        <v>244</v>
      </c>
      <c r="G310" s="66" t="str">
        <f>IFERROR(INDEX(M_SKU!$A$18:$J$57,MATCH(F310,M_SKU!$B$18:$B$57,0),1),"UNKNOWN SKU")</f>
        <v>Sparletta Pinenut Pet 500 ml ( x12)</v>
      </c>
      <c r="H310" s="63" t="s">
        <v>526</v>
      </c>
      <c r="I310" s="98">
        <f>SUMIF(T_Load!$U$9:$U$439,B310,T_Load!$O$9:$O$439)</f>
        <v>3</v>
      </c>
      <c r="J310" s="98">
        <f>SUMIF(T_Sales!$O$9:$O$1164,B310,T_Sales!$L$9:$L$1164)</f>
        <v>2</v>
      </c>
      <c r="K310" s="99">
        <f t="shared" si="4"/>
        <v>1</v>
      </c>
      <c r="L310" s="62">
        <v>46179</v>
      </c>
      <c r="M310" s="68" t="s">
        <v>1883</v>
      </c>
    </row>
    <row r="311" spans="1:13" ht="15" customHeight="1" x14ac:dyDescent="0.3">
      <c r="A311" s="70" t="s">
        <v>2484</v>
      </c>
      <c r="B311" s="100" t="s">
        <v>2485</v>
      </c>
      <c r="C311" s="101" t="s">
        <v>370</v>
      </c>
      <c r="D311" s="76" t="str">
        <f>IFERROR(INDEX(M_User!$A$12:$J$67,MATCH(C311,M_User!$D$12:$D$67,0),3),"UNMAPPED")</f>
        <v>Zawadi Jastin Laizer</v>
      </c>
      <c r="E311" s="75" t="str">
        <f>IFERROR(INDEX(M_User!$A$12:$J$67,MATCH(C311,M_User!$D$12:$D$67,0),5),"UNMAPPED")</f>
        <v>MOS</v>
      </c>
      <c r="F311" s="101" t="s">
        <v>252</v>
      </c>
      <c r="G311" s="76" t="str">
        <f>IFERROR(INDEX(M_SKU!$A$18:$J$57,MATCH(F311,M_SKU!$B$18:$B$57,0),1),"UNKNOWN SKU")</f>
        <v>Sprite Zero Pet 300ML (x 12)</v>
      </c>
      <c r="H311" s="101" t="s">
        <v>545</v>
      </c>
      <c r="I311" s="102">
        <f>SUMIF(T_Load!$U$9:$U$439,B311,T_Load!$O$9:$O$439)</f>
        <v>2</v>
      </c>
      <c r="J311" s="102">
        <f>SUMIF(T_Sales!$O$9:$O$1164,B311,T_Sales!$L$9:$L$1164)</f>
        <v>2</v>
      </c>
      <c r="K311" s="103">
        <f t="shared" si="4"/>
        <v>0</v>
      </c>
      <c r="L311" s="80">
        <v>46179</v>
      </c>
      <c r="M311" s="78" t="s">
        <v>1883</v>
      </c>
    </row>
    <row r="312" spans="1:13" ht="15" customHeight="1" x14ac:dyDescent="0.3">
      <c r="A312" s="60" t="s">
        <v>2486</v>
      </c>
      <c r="B312" s="97" t="s">
        <v>2487</v>
      </c>
      <c r="C312" s="63" t="s">
        <v>370</v>
      </c>
      <c r="D312" s="66" t="str">
        <f>IFERROR(INDEX(M_User!$A$12:$J$67,MATCH(C312,M_User!$D$12:$D$67,0),3),"UNMAPPED")</f>
        <v>Zawadi Jastin Laizer</v>
      </c>
      <c r="E312" s="65" t="str">
        <f>IFERROR(INDEX(M_User!$A$12:$J$67,MATCH(C312,M_User!$D$12:$D$67,0),5),"UNMAPPED")</f>
        <v>MOS</v>
      </c>
      <c r="F312" s="63" t="s">
        <v>254</v>
      </c>
      <c r="G312" s="66" t="str">
        <f>IFERROR(INDEX(M_SKU!$A$18:$J$57,MATCH(F312,M_SKU!$B$18:$B$57,0),1),"UNKNOWN SKU")</f>
        <v>Fanta Zero Pet 300ML (x 12)</v>
      </c>
      <c r="H312" s="63" t="s">
        <v>546</v>
      </c>
      <c r="I312" s="98">
        <f>SUMIF(T_Load!$U$9:$U$439,B312,T_Load!$O$9:$O$439)</f>
        <v>2</v>
      </c>
      <c r="J312" s="98">
        <f>SUMIF(T_Sales!$O$9:$O$1164,B312,T_Sales!$L$9:$L$1164)</f>
        <v>2</v>
      </c>
      <c r="K312" s="99">
        <f t="shared" si="4"/>
        <v>0</v>
      </c>
      <c r="L312" s="62">
        <v>46179</v>
      </c>
      <c r="M312" s="68" t="s">
        <v>1883</v>
      </c>
    </row>
    <row r="313" spans="1:13" ht="15" customHeight="1" x14ac:dyDescent="0.3">
      <c r="A313" s="70" t="s">
        <v>2488</v>
      </c>
      <c r="B313" s="100" t="s">
        <v>2489</v>
      </c>
      <c r="C313" s="101" t="s">
        <v>370</v>
      </c>
      <c r="D313" s="76" t="str">
        <f>IFERROR(INDEX(M_User!$A$12:$J$67,MATCH(C313,M_User!$D$12:$D$67,0),3),"UNMAPPED")</f>
        <v>Zawadi Jastin Laizer</v>
      </c>
      <c r="E313" s="75" t="str">
        <f>IFERROR(INDEX(M_User!$A$12:$J$67,MATCH(C313,M_User!$D$12:$D$67,0),5),"UNMAPPED")</f>
        <v>MOS</v>
      </c>
      <c r="F313" s="101" t="s">
        <v>261</v>
      </c>
      <c r="G313" s="76" t="str">
        <f>IFERROR(INDEX(M_SKU!$A$18:$J$57,MATCH(F313,M_SKU!$B$18:$B$57,0),1),"UNKNOWN SKU")</f>
        <v>Sparletta Pine Apple Pet 300ML (x 12)</v>
      </c>
      <c r="H313" s="101" t="s">
        <v>547</v>
      </c>
      <c r="I313" s="102">
        <f>SUMIF(T_Load!$U$9:$U$439,B313,T_Load!$O$9:$O$439)</f>
        <v>5</v>
      </c>
      <c r="J313" s="102">
        <f>SUMIF(T_Sales!$O$9:$O$1164,B313,T_Sales!$L$9:$L$1164)</f>
        <v>4</v>
      </c>
      <c r="K313" s="103">
        <f t="shared" si="4"/>
        <v>1</v>
      </c>
      <c r="L313" s="80">
        <v>46179</v>
      </c>
      <c r="M313" s="78" t="s">
        <v>1883</v>
      </c>
    </row>
    <row r="314" spans="1:13" ht="15" customHeight="1" x14ac:dyDescent="0.3">
      <c r="A314" s="60" t="s">
        <v>2490</v>
      </c>
      <c r="B314" s="97" t="s">
        <v>2491</v>
      </c>
      <c r="C314" s="63" t="s">
        <v>361</v>
      </c>
      <c r="D314" s="66" t="str">
        <f>IFERROR(INDEX(M_User!$A$12:$J$67,MATCH(C314,M_User!$D$12:$D$67,0),3),"UNMAPPED")</f>
        <v>Masunga Mwala Ramadhani</v>
      </c>
      <c r="E314" s="65" t="str">
        <f>IFERROR(INDEX(M_User!$A$12:$J$67,MATCH(C314,M_User!$D$12:$D$67,0),5),"UNMAPPED")</f>
        <v>MOS</v>
      </c>
      <c r="F314" s="63" t="s">
        <v>170</v>
      </c>
      <c r="G314" s="66" t="str">
        <f>IFERROR(INDEX(M_SKU!$A$18:$J$57,MATCH(F314,M_SKU!$B$18:$B$57,0),1),"UNKNOWN SKU")</f>
        <v>Coke RGB 350ml</v>
      </c>
      <c r="H314" s="63" t="s">
        <v>529</v>
      </c>
      <c r="I314" s="98">
        <f>SUMIF(T_Load!$U$9:$U$439,B314,T_Load!$O$9:$O$439)</f>
        <v>11.71</v>
      </c>
      <c r="J314" s="98">
        <f>SUMIF(T_Sales!$O$9:$O$1164,B314,T_Sales!$L$9:$L$1164)</f>
        <v>10.55370700210938</v>
      </c>
      <c r="K314" s="99">
        <f t="shared" si="4"/>
        <v>1.1562929978906205</v>
      </c>
      <c r="L314" s="62">
        <v>46179</v>
      </c>
      <c r="M314" s="68" t="s">
        <v>1883</v>
      </c>
    </row>
    <row r="315" spans="1:13" ht="15" customHeight="1" x14ac:dyDescent="0.3">
      <c r="A315" s="70" t="s">
        <v>2492</v>
      </c>
      <c r="B315" s="100" t="s">
        <v>2493</v>
      </c>
      <c r="C315" s="101" t="s">
        <v>361</v>
      </c>
      <c r="D315" s="76" t="str">
        <f>IFERROR(INDEX(M_User!$A$12:$J$67,MATCH(C315,M_User!$D$12:$D$67,0),3),"UNMAPPED")</f>
        <v>Masunga Mwala Ramadhani</v>
      </c>
      <c r="E315" s="75" t="str">
        <f>IFERROR(INDEX(M_User!$A$12:$J$67,MATCH(C315,M_User!$D$12:$D$67,0),5),"UNMAPPED")</f>
        <v>MOS</v>
      </c>
      <c r="F315" s="101" t="s">
        <v>170</v>
      </c>
      <c r="G315" s="76" t="str">
        <f>IFERROR(INDEX(M_SKU!$A$18:$J$57,MATCH(F315,M_SKU!$B$18:$B$57,0),1),"UNKNOWN SKU")</f>
        <v>Coke RGB 350ml</v>
      </c>
      <c r="H315" s="101" t="s">
        <v>585</v>
      </c>
      <c r="I315" s="102">
        <f>SUMIF(T_Load!$U$9:$U$439,B315,T_Load!$O$9:$O$439)</f>
        <v>48.29</v>
      </c>
      <c r="J315" s="102">
        <f>SUMIF(T_Sales!$O$9:$O$1164,B315,T_Sales!$L$9:$L$1164)</f>
        <v>37.836930470470804</v>
      </c>
      <c r="K315" s="103">
        <f t="shared" si="4"/>
        <v>10.453069529529195</v>
      </c>
      <c r="L315" s="80">
        <v>46179</v>
      </c>
      <c r="M315" s="78" t="s">
        <v>1883</v>
      </c>
    </row>
    <row r="316" spans="1:13" ht="15" customHeight="1" x14ac:dyDescent="0.3">
      <c r="A316" s="60" t="s">
        <v>2494</v>
      </c>
      <c r="B316" s="97" t="s">
        <v>2495</v>
      </c>
      <c r="C316" s="63" t="s">
        <v>361</v>
      </c>
      <c r="D316" s="66" t="str">
        <f>IFERROR(INDEX(M_User!$A$12:$J$67,MATCH(C316,M_User!$D$12:$D$67,0),3),"UNMAPPED")</f>
        <v>Masunga Mwala Ramadhani</v>
      </c>
      <c r="E316" s="65" t="str">
        <f>IFERROR(INDEX(M_User!$A$12:$J$67,MATCH(C316,M_User!$D$12:$D$67,0),5),"UNMAPPED")</f>
        <v>MOS</v>
      </c>
      <c r="F316" s="63" t="s">
        <v>178</v>
      </c>
      <c r="G316" s="66" t="str">
        <f>IFERROR(INDEX(M_SKU!$A$18:$J$57,MATCH(F316,M_SKU!$B$18:$B$57,0),1),"UNKNOWN SKU")</f>
        <v>Fanta Orange RGB 350ml</v>
      </c>
      <c r="H316" s="63" t="s">
        <v>531</v>
      </c>
      <c r="I316" s="98">
        <f>SUMIF(T_Load!$U$9:$U$439,B316,T_Load!$O$9:$O$439)</f>
        <v>35</v>
      </c>
      <c r="J316" s="98">
        <f>SUMIF(T_Sales!$O$9:$O$1164,B316,T_Sales!$L$9:$L$1164)</f>
        <v>29.743796867611</v>
      </c>
      <c r="K316" s="99">
        <f t="shared" si="4"/>
        <v>5.2562031323890004</v>
      </c>
      <c r="L316" s="62">
        <v>46179</v>
      </c>
      <c r="M316" s="68" t="s">
        <v>1883</v>
      </c>
    </row>
    <row r="317" spans="1:13" ht="15" customHeight="1" x14ac:dyDescent="0.3">
      <c r="A317" s="70" t="s">
        <v>2496</v>
      </c>
      <c r="B317" s="100" t="s">
        <v>2497</v>
      </c>
      <c r="C317" s="101" t="s">
        <v>361</v>
      </c>
      <c r="D317" s="76" t="str">
        <f>IFERROR(INDEX(M_User!$A$12:$J$67,MATCH(C317,M_User!$D$12:$D$67,0),3),"UNMAPPED")</f>
        <v>Masunga Mwala Ramadhani</v>
      </c>
      <c r="E317" s="75" t="str">
        <f>IFERROR(INDEX(M_User!$A$12:$J$67,MATCH(C317,M_User!$D$12:$D$67,0),5),"UNMAPPED")</f>
        <v>MOS</v>
      </c>
      <c r="F317" s="101" t="s">
        <v>181</v>
      </c>
      <c r="G317" s="76" t="str">
        <f>IFERROR(INDEX(M_SKU!$A$18:$J$57,MATCH(F317,M_SKU!$B$18:$B$57,0),1),"UNKNOWN SKU")</f>
        <v>Fanta Passion RGB 350ml</v>
      </c>
      <c r="H317" s="101" t="s">
        <v>550</v>
      </c>
      <c r="I317" s="102">
        <f>SUMIF(T_Load!$U$9:$U$439,B317,T_Load!$O$9:$O$439)</f>
        <v>10</v>
      </c>
      <c r="J317" s="102">
        <f>SUMIF(T_Sales!$O$9:$O$1164,B317,T_Sales!$L$9:$L$1164)</f>
        <v>9.0774076925315104</v>
      </c>
      <c r="K317" s="103">
        <f t="shared" si="4"/>
        <v>0.92259230746848964</v>
      </c>
      <c r="L317" s="80">
        <v>46179</v>
      </c>
      <c r="M317" s="78" t="s">
        <v>1883</v>
      </c>
    </row>
    <row r="318" spans="1:13" ht="15" customHeight="1" x14ac:dyDescent="0.3">
      <c r="A318" s="60" t="s">
        <v>2498</v>
      </c>
      <c r="B318" s="97" t="s">
        <v>2499</v>
      </c>
      <c r="C318" s="63" t="s">
        <v>361</v>
      </c>
      <c r="D318" s="66" t="str">
        <f>IFERROR(INDEX(M_User!$A$12:$J$67,MATCH(C318,M_User!$D$12:$D$67,0),3),"UNMAPPED")</f>
        <v>Masunga Mwala Ramadhani</v>
      </c>
      <c r="E318" s="65" t="str">
        <f>IFERROR(INDEX(M_User!$A$12:$J$67,MATCH(C318,M_User!$D$12:$D$67,0),5),"UNMAPPED")</f>
        <v>MOS</v>
      </c>
      <c r="F318" s="63" t="s">
        <v>183</v>
      </c>
      <c r="G318" s="66" t="str">
        <f>IFERROR(INDEX(M_SKU!$A$18:$J$57,MATCH(F318,M_SKU!$B$18:$B$57,0),1),"UNKNOWN SKU")</f>
        <v>Fanta Pineapple RGB 350ml</v>
      </c>
      <c r="H318" s="63" t="s">
        <v>533</v>
      </c>
      <c r="I318" s="98">
        <f>SUMIF(T_Load!$U$9:$U$439,B318,T_Load!$O$9:$O$439)</f>
        <v>15</v>
      </c>
      <c r="J318" s="98">
        <f>SUMIF(T_Sales!$O$9:$O$1164,B318,T_Sales!$L$9:$L$1164)</f>
        <v>12.546334968094071</v>
      </c>
      <c r="K318" s="99">
        <f t="shared" si="4"/>
        <v>2.4536650319059294</v>
      </c>
      <c r="L318" s="62">
        <v>46179</v>
      </c>
      <c r="M318" s="68" t="s">
        <v>1883</v>
      </c>
    </row>
    <row r="319" spans="1:13" ht="15" customHeight="1" x14ac:dyDescent="0.3">
      <c r="A319" s="70" t="s">
        <v>2500</v>
      </c>
      <c r="B319" s="100" t="s">
        <v>2501</v>
      </c>
      <c r="C319" s="101" t="s">
        <v>361</v>
      </c>
      <c r="D319" s="76" t="str">
        <f>IFERROR(INDEX(M_User!$A$12:$J$67,MATCH(C319,M_User!$D$12:$D$67,0),3),"UNMAPPED")</f>
        <v>Masunga Mwala Ramadhani</v>
      </c>
      <c r="E319" s="75" t="str">
        <f>IFERROR(INDEX(M_User!$A$12:$J$67,MATCH(C319,M_User!$D$12:$D$67,0),5),"UNMAPPED")</f>
        <v>MOS</v>
      </c>
      <c r="F319" s="101" t="s">
        <v>185</v>
      </c>
      <c r="G319" s="76" t="str">
        <f>IFERROR(INDEX(M_SKU!$A$18:$J$57,MATCH(F319,M_SKU!$B$18:$B$57,0),1),"UNKNOWN SKU")</f>
        <v>Fanta Fruit Blast RGB 350 ml</v>
      </c>
      <c r="H319" s="101" t="s">
        <v>534</v>
      </c>
      <c r="I319" s="102">
        <f>SUMIF(T_Load!$U$9:$U$439,B319,T_Load!$O$9:$O$439)</f>
        <v>6</v>
      </c>
      <c r="J319" s="102">
        <f>SUMIF(T_Sales!$O$9:$O$1164,B319,T_Sales!$L$9:$L$1164)</f>
        <v>5.3904709949725902</v>
      </c>
      <c r="K319" s="103">
        <f t="shared" si="4"/>
        <v>0.60952900502740981</v>
      </c>
      <c r="L319" s="80">
        <v>46179</v>
      </c>
      <c r="M319" s="78" t="s">
        <v>1883</v>
      </c>
    </row>
    <row r="320" spans="1:13" ht="15" customHeight="1" x14ac:dyDescent="0.3">
      <c r="A320" s="60" t="s">
        <v>2502</v>
      </c>
      <c r="B320" s="97" t="s">
        <v>2503</v>
      </c>
      <c r="C320" s="63" t="s">
        <v>361</v>
      </c>
      <c r="D320" s="66" t="str">
        <f>IFERROR(INDEX(M_User!$A$12:$J$67,MATCH(C320,M_User!$D$12:$D$67,0),3),"UNMAPPED")</f>
        <v>Masunga Mwala Ramadhani</v>
      </c>
      <c r="E320" s="65" t="str">
        <f>IFERROR(INDEX(M_User!$A$12:$J$67,MATCH(C320,M_User!$D$12:$D$67,0),5),"UNMAPPED")</f>
        <v>MOS</v>
      </c>
      <c r="F320" s="63" t="s">
        <v>187</v>
      </c>
      <c r="G320" s="66" t="str">
        <f>IFERROR(INDEX(M_SKU!$A$18:$J$57,MATCH(F320,M_SKU!$B$18:$B$57,0),1),"UNKNOWN SKU")</f>
        <v>Sprite 350ml</v>
      </c>
      <c r="H320" s="63" t="s">
        <v>535</v>
      </c>
      <c r="I320" s="98">
        <f>SUMIF(T_Load!$U$9:$U$439,B320,T_Load!$O$9:$O$439)</f>
        <v>13</v>
      </c>
      <c r="J320" s="98">
        <f>SUMIF(T_Sales!$O$9:$O$1164,B320,T_Sales!$L$9:$L$1164)</f>
        <v>10.97916039024026</v>
      </c>
      <c r="K320" s="99">
        <f t="shared" si="4"/>
        <v>2.0208396097597401</v>
      </c>
      <c r="L320" s="62">
        <v>46179</v>
      </c>
      <c r="M320" s="68" t="s">
        <v>1883</v>
      </c>
    </row>
    <row r="321" spans="1:13" ht="15" customHeight="1" x14ac:dyDescent="0.3">
      <c r="A321" s="70" t="s">
        <v>2504</v>
      </c>
      <c r="B321" s="100" t="s">
        <v>2505</v>
      </c>
      <c r="C321" s="101" t="s">
        <v>361</v>
      </c>
      <c r="D321" s="76" t="str">
        <f>IFERROR(INDEX(M_User!$A$12:$J$67,MATCH(C321,M_User!$D$12:$D$67,0),3),"UNMAPPED")</f>
        <v>Masunga Mwala Ramadhani</v>
      </c>
      <c r="E321" s="75" t="str">
        <f>IFERROR(INDEX(M_User!$A$12:$J$67,MATCH(C321,M_User!$D$12:$D$67,0),5),"UNMAPPED")</f>
        <v>MOS</v>
      </c>
      <c r="F321" s="101" t="s">
        <v>190</v>
      </c>
      <c r="G321" s="76" t="str">
        <f>IFERROR(INDEX(M_SKU!$A$18:$J$57,MATCH(F321,M_SKU!$B$18:$B$57,0),1),"UNKNOWN SKU")</f>
        <v>Stoney Tangawizi RGB 350ml</v>
      </c>
      <c r="H321" s="101" t="s">
        <v>536</v>
      </c>
      <c r="I321" s="102">
        <f>SUMIF(T_Load!$U$9:$U$439,B321,T_Load!$O$9:$O$439)</f>
        <v>6</v>
      </c>
      <c r="J321" s="102">
        <f>SUMIF(T_Sales!$O$9:$O$1164,B321,T_Sales!$L$9:$L$1164)</f>
        <v>4.9513292322030509</v>
      </c>
      <c r="K321" s="103">
        <f t="shared" si="4"/>
        <v>1.0486707677969491</v>
      </c>
      <c r="L321" s="80">
        <v>46179</v>
      </c>
      <c r="M321" s="78" t="s">
        <v>1883</v>
      </c>
    </row>
    <row r="322" spans="1:13" ht="15" customHeight="1" x14ac:dyDescent="0.3">
      <c r="A322" s="60" t="s">
        <v>2506</v>
      </c>
      <c r="B322" s="97" t="s">
        <v>2507</v>
      </c>
      <c r="C322" s="63" t="s">
        <v>361</v>
      </c>
      <c r="D322" s="66" t="str">
        <f>IFERROR(INDEX(M_User!$A$12:$J$67,MATCH(C322,M_User!$D$12:$D$67,0),3),"UNMAPPED")</f>
        <v>Masunga Mwala Ramadhani</v>
      </c>
      <c r="E322" s="65" t="str">
        <f>IFERROR(INDEX(M_User!$A$12:$J$67,MATCH(C322,M_User!$D$12:$D$67,0),5),"UNMAPPED")</f>
        <v>MOS</v>
      </c>
      <c r="F322" s="63" t="s">
        <v>193</v>
      </c>
      <c r="G322" s="66" t="str">
        <f>IFERROR(INDEX(M_SKU!$A$18:$J$57,MATCH(F322,M_SKU!$B$18:$B$57,0),1),"UNKNOWN SKU")</f>
        <v>Sparletta Pinenut RGB 350ml</v>
      </c>
      <c r="H322" s="63" t="s">
        <v>537</v>
      </c>
      <c r="I322" s="98">
        <f>SUMIF(T_Load!$U$9:$U$439,B322,T_Load!$O$9:$O$439)</f>
        <v>6</v>
      </c>
      <c r="J322" s="98">
        <f>SUMIF(T_Sales!$O$9:$O$1164,B322,T_Sales!$L$9:$L$1164)</f>
        <v>4.9282241957410697</v>
      </c>
      <c r="K322" s="99">
        <f t="shared" si="4"/>
        <v>1.0717758042589303</v>
      </c>
      <c r="L322" s="62">
        <v>46179</v>
      </c>
      <c r="M322" s="68" t="s">
        <v>1883</v>
      </c>
    </row>
    <row r="323" spans="1:13" ht="15" customHeight="1" x14ac:dyDescent="0.3">
      <c r="A323" s="70" t="s">
        <v>2508</v>
      </c>
      <c r="B323" s="100" t="s">
        <v>2509</v>
      </c>
      <c r="C323" s="101" t="s">
        <v>361</v>
      </c>
      <c r="D323" s="76" t="str">
        <f>IFERROR(INDEX(M_User!$A$12:$J$67,MATCH(C323,M_User!$D$12:$D$67,0),3),"UNMAPPED")</f>
        <v>Masunga Mwala Ramadhani</v>
      </c>
      <c r="E323" s="75" t="str">
        <f>IFERROR(INDEX(M_User!$A$12:$J$67,MATCH(C323,M_User!$D$12:$D$67,0),5),"UNMAPPED")</f>
        <v>MOS</v>
      </c>
      <c r="F323" s="101" t="s">
        <v>196</v>
      </c>
      <c r="G323" s="76" t="str">
        <f>IFERROR(INDEX(M_SKU!$A$18:$J$57,MATCH(F323,M_SKU!$B$18:$B$57,0),1),"UNKNOWN SKU")</f>
        <v>Krest Bitter Lemon RGB 300ml</v>
      </c>
      <c r="H323" s="101" t="s">
        <v>538</v>
      </c>
      <c r="I323" s="102">
        <f>SUMIF(T_Load!$U$9:$U$439,B323,T_Load!$O$9:$O$439)</f>
        <v>4</v>
      </c>
      <c r="J323" s="102">
        <f>SUMIF(T_Sales!$O$9:$O$1164,B323,T_Sales!$L$9:$L$1164)</f>
        <v>3.4532305059609003</v>
      </c>
      <c r="K323" s="103">
        <f t="shared" si="4"/>
        <v>0.54676949403909969</v>
      </c>
      <c r="L323" s="80">
        <v>46179</v>
      </c>
      <c r="M323" s="78" t="s">
        <v>1883</v>
      </c>
    </row>
    <row r="324" spans="1:13" ht="15" customHeight="1" x14ac:dyDescent="0.3">
      <c r="A324" s="60" t="s">
        <v>2510</v>
      </c>
      <c r="B324" s="97" t="s">
        <v>2511</v>
      </c>
      <c r="C324" s="63" t="s">
        <v>361</v>
      </c>
      <c r="D324" s="66" t="str">
        <f>IFERROR(INDEX(M_User!$A$12:$J$67,MATCH(C324,M_User!$D$12:$D$67,0),3),"UNMAPPED")</f>
        <v>Masunga Mwala Ramadhani</v>
      </c>
      <c r="E324" s="65" t="str">
        <f>IFERROR(INDEX(M_User!$A$12:$J$67,MATCH(C324,M_User!$D$12:$D$67,0),5),"UNMAPPED")</f>
        <v>MOS</v>
      </c>
      <c r="F324" s="63" t="s">
        <v>199</v>
      </c>
      <c r="G324" s="66" t="str">
        <f>IFERROR(INDEX(M_SKU!$A$18:$J$57,MATCH(F324,M_SKU!$B$18:$B$57,0),1),"UNKNOWN SKU")</f>
        <v>Krest Club Soda RGB 300ml</v>
      </c>
      <c r="H324" s="63" t="s">
        <v>539</v>
      </c>
      <c r="I324" s="98">
        <f>SUMIF(T_Load!$U$9:$U$439,B324,T_Load!$O$9:$O$439)</f>
        <v>4</v>
      </c>
      <c r="J324" s="98">
        <f>SUMIF(T_Sales!$O$9:$O$1164,B324,T_Sales!$L$9:$L$1164)</f>
        <v>3.1283695686262121</v>
      </c>
      <c r="K324" s="99">
        <f t="shared" si="4"/>
        <v>0.87163043137378793</v>
      </c>
      <c r="L324" s="62">
        <v>46179</v>
      </c>
      <c r="M324" s="68" t="s">
        <v>1883</v>
      </c>
    </row>
    <row r="325" spans="1:13" ht="15" customHeight="1" x14ac:dyDescent="0.3">
      <c r="A325" s="70" t="s">
        <v>2512</v>
      </c>
      <c r="B325" s="100" t="s">
        <v>2513</v>
      </c>
      <c r="C325" s="101" t="s">
        <v>361</v>
      </c>
      <c r="D325" s="76" t="str">
        <f>IFERROR(INDEX(M_User!$A$12:$J$67,MATCH(C325,M_User!$D$12:$D$67,0),3),"UNMAPPED")</f>
        <v>Masunga Mwala Ramadhani</v>
      </c>
      <c r="E325" s="75" t="str">
        <f>IFERROR(INDEX(M_User!$A$12:$J$67,MATCH(C325,M_User!$D$12:$D$67,0),5),"UNMAPPED")</f>
        <v>MOS</v>
      </c>
      <c r="F325" s="101" t="s">
        <v>201</v>
      </c>
      <c r="G325" s="76" t="str">
        <f>IFERROR(INDEX(M_SKU!$A$18:$J$57,MATCH(F325,M_SKU!$B$18:$B$57,0),1),"UNKNOWN SKU")</f>
        <v>Krest Tonic Water RGB 300ml</v>
      </c>
      <c r="H325" s="101" t="s">
        <v>540</v>
      </c>
      <c r="I325" s="102">
        <f>SUMIF(T_Load!$U$9:$U$439,B325,T_Load!$O$9:$O$439)</f>
        <v>5</v>
      </c>
      <c r="J325" s="102">
        <f>SUMIF(T_Sales!$O$9:$O$1164,B325,T_Sales!$L$9:$L$1164)</f>
        <v>4.4140955940046593</v>
      </c>
      <c r="K325" s="103">
        <f t="shared" si="4"/>
        <v>0.58590440599534066</v>
      </c>
      <c r="L325" s="80">
        <v>46179</v>
      </c>
      <c r="M325" s="78" t="s">
        <v>1883</v>
      </c>
    </row>
    <row r="326" spans="1:13" ht="15" customHeight="1" x14ac:dyDescent="0.3">
      <c r="A326" s="60" t="s">
        <v>2514</v>
      </c>
      <c r="B326" s="97" t="s">
        <v>2515</v>
      </c>
      <c r="C326" s="63" t="s">
        <v>361</v>
      </c>
      <c r="D326" s="66" t="str">
        <f>IFERROR(INDEX(M_User!$A$12:$J$67,MATCH(C326,M_User!$D$12:$D$67,0),3),"UNMAPPED")</f>
        <v>Masunga Mwala Ramadhani</v>
      </c>
      <c r="E326" s="65" t="str">
        <f>IFERROR(INDEX(M_User!$A$12:$J$67,MATCH(C326,M_User!$D$12:$D$67,0),5),"UNMAPPED")</f>
        <v>MOS</v>
      </c>
      <c r="F326" s="63" t="s">
        <v>203</v>
      </c>
      <c r="G326" s="66" t="str">
        <f>IFERROR(INDEX(M_SKU!$A$18:$J$57,MATCH(F326,M_SKU!$B$18:$B$57,0),1),"UNKNOWN SKU")</f>
        <v>Krest Ginger Ale RGB 300ml</v>
      </c>
      <c r="H326" s="63" t="s">
        <v>541</v>
      </c>
      <c r="I326" s="98">
        <f>SUMIF(T_Load!$U$9:$U$439,B326,T_Load!$O$9:$O$439)</f>
        <v>4</v>
      </c>
      <c r="J326" s="98">
        <f>SUMIF(T_Sales!$O$9:$O$1164,B326,T_Sales!$L$9:$L$1164)</f>
        <v>3.3039484091063098</v>
      </c>
      <c r="K326" s="99">
        <f t="shared" si="4"/>
        <v>0.69605159089369018</v>
      </c>
      <c r="L326" s="62">
        <v>46179</v>
      </c>
      <c r="M326" s="68" t="s">
        <v>1883</v>
      </c>
    </row>
    <row r="327" spans="1:13" ht="15" customHeight="1" x14ac:dyDescent="0.3">
      <c r="A327" s="70" t="s">
        <v>2516</v>
      </c>
      <c r="B327" s="100" t="s">
        <v>2517</v>
      </c>
      <c r="C327" s="101" t="s">
        <v>361</v>
      </c>
      <c r="D327" s="76" t="str">
        <f>IFERROR(INDEX(M_User!$A$12:$J$67,MATCH(C327,M_User!$D$12:$D$67,0),3),"UNMAPPED")</f>
        <v>Masunga Mwala Ramadhani</v>
      </c>
      <c r="E327" s="75" t="str">
        <f>IFERROR(INDEX(M_User!$A$12:$J$67,MATCH(C327,M_User!$D$12:$D$67,0),5),"UNMAPPED")</f>
        <v>MOS</v>
      </c>
      <c r="F327" s="101" t="s">
        <v>209</v>
      </c>
      <c r="G327" s="76" t="str">
        <f>IFERROR(INDEX(M_SKU!$A$18:$J$57,MATCH(F327,M_SKU!$B$18:$B$57,0),1),"UNKNOWN SKU")</f>
        <v>Sparletta Red Apple RGB 350ml</v>
      </c>
      <c r="H327" s="101" t="s">
        <v>542</v>
      </c>
      <c r="I327" s="102">
        <f>SUMIF(T_Load!$U$9:$U$439,B327,T_Load!$O$9:$O$439)</f>
        <v>2</v>
      </c>
      <c r="J327" s="102">
        <f>SUMIF(T_Sales!$O$9:$O$1164,B327,T_Sales!$L$9:$L$1164)</f>
        <v>1.74230206905133</v>
      </c>
      <c r="K327" s="103">
        <f t="shared" si="4"/>
        <v>0.25769793094867</v>
      </c>
      <c r="L327" s="80">
        <v>46179</v>
      </c>
      <c r="M327" s="78" t="s">
        <v>1883</v>
      </c>
    </row>
    <row r="328" spans="1:13" ht="15" customHeight="1" x14ac:dyDescent="0.3">
      <c r="A328" s="60" t="s">
        <v>2518</v>
      </c>
      <c r="B328" s="97" t="s">
        <v>2519</v>
      </c>
      <c r="C328" s="63" t="s">
        <v>361</v>
      </c>
      <c r="D328" s="66" t="str">
        <f>IFERROR(INDEX(M_User!$A$12:$J$67,MATCH(C328,M_User!$D$12:$D$67,0),3),"UNMAPPED")</f>
        <v>Masunga Mwala Ramadhani</v>
      </c>
      <c r="E328" s="65" t="str">
        <f>IFERROR(INDEX(M_User!$A$12:$J$67,MATCH(C328,M_User!$D$12:$D$67,0),5),"UNMAPPED")</f>
        <v>MOS</v>
      </c>
      <c r="F328" s="63" t="s">
        <v>211</v>
      </c>
      <c r="G328" s="66" t="str">
        <f>IFERROR(INDEX(M_SKU!$A$18:$J$57,MATCH(F328,M_SKU!$B$18:$B$57,0),1),"UNKNOWN SKU")</f>
        <v>KNMW 500ml</v>
      </c>
      <c r="H328" s="63" t="s">
        <v>543</v>
      </c>
      <c r="I328" s="98">
        <f>SUMIF(T_Load!$U$9:$U$439,B328,T_Load!$O$9:$O$439)</f>
        <v>80</v>
      </c>
      <c r="J328" s="98">
        <f>SUMIF(T_Sales!$O$9:$O$1164,B328,T_Sales!$L$9:$L$1164)</f>
        <v>71</v>
      </c>
      <c r="K328" s="99">
        <f t="shared" si="4"/>
        <v>9</v>
      </c>
      <c r="L328" s="62">
        <v>46179</v>
      </c>
      <c r="M328" s="68" t="s">
        <v>1883</v>
      </c>
    </row>
    <row r="329" spans="1:13" ht="15" customHeight="1" x14ac:dyDescent="0.3">
      <c r="A329" s="70" t="s">
        <v>2520</v>
      </c>
      <c r="B329" s="100" t="s">
        <v>2521</v>
      </c>
      <c r="C329" s="101" t="s">
        <v>361</v>
      </c>
      <c r="D329" s="76" t="str">
        <f>IFERROR(INDEX(M_User!$A$12:$J$67,MATCH(C329,M_User!$D$12:$D$67,0),3),"UNMAPPED")</f>
        <v>Masunga Mwala Ramadhani</v>
      </c>
      <c r="E329" s="75" t="str">
        <f>IFERROR(INDEX(M_User!$A$12:$J$67,MATCH(C329,M_User!$D$12:$D$67,0),5),"UNMAPPED")</f>
        <v>MOS</v>
      </c>
      <c r="F329" s="101" t="s">
        <v>217</v>
      </c>
      <c r="G329" s="76" t="str">
        <f>IFERROR(INDEX(M_SKU!$A$18:$J$57,MATCH(F329,M_SKU!$B$18:$B$57,0),1),"UNKNOWN SKU")</f>
        <v>KNMW 1500ml</v>
      </c>
      <c r="H329" s="101" t="s">
        <v>551</v>
      </c>
      <c r="I329" s="102">
        <f>SUMIF(T_Load!$U$9:$U$439,B329,T_Load!$O$9:$O$439)</f>
        <v>180</v>
      </c>
      <c r="J329" s="102">
        <f>SUMIF(T_Sales!$O$9:$O$1164,B329,T_Sales!$L$9:$L$1164)</f>
        <v>135</v>
      </c>
      <c r="K329" s="103">
        <f t="shared" si="4"/>
        <v>45</v>
      </c>
      <c r="L329" s="80">
        <v>46179</v>
      </c>
      <c r="M329" s="78" t="s">
        <v>1883</v>
      </c>
    </row>
    <row r="330" spans="1:13" ht="15" customHeight="1" x14ac:dyDescent="0.3">
      <c r="A330" s="60" t="s">
        <v>2522</v>
      </c>
      <c r="B330" s="97" t="s">
        <v>2523</v>
      </c>
      <c r="C330" s="63" t="s">
        <v>361</v>
      </c>
      <c r="D330" s="66" t="str">
        <f>IFERROR(INDEX(M_User!$A$12:$J$67,MATCH(C330,M_User!$D$12:$D$67,0),3),"UNMAPPED")</f>
        <v>Masunga Mwala Ramadhani</v>
      </c>
      <c r="E330" s="65" t="str">
        <f>IFERROR(INDEX(M_User!$A$12:$J$67,MATCH(C330,M_User!$D$12:$D$67,0),5),"UNMAPPED")</f>
        <v>MOS</v>
      </c>
      <c r="F330" s="63" t="s">
        <v>229</v>
      </c>
      <c r="G330" s="66" t="str">
        <f>IFERROR(INDEX(M_SKU!$A$18:$J$57,MATCH(F330,M_SKU!$B$18:$B$57,0),1),"UNKNOWN SKU")</f>
        <v>Coke Pet 500ML ( x12)</v>
      </c>
      <c r="H330" s="63" t="s">
        <v>520</v>
      </c>
      <c r="I330" s="98">
        <f>SUMIF(T_Load!$U$9:$U$439,B330,T_Load!$O$9:$O$439)</f>
        <v>65</v>
      </c>
      <c r="J330" s="98">
        <f>SUMIF(T_Sales!$O$9:$O$1164,B330,T_Sales!$L$9:$L$1164)</f>
        <v>54</v>
      </c>
      <c r="K330" s="99">
        <f t="shared" ref="K330:K393" si="5">I330-J330</f>
        <v>11</v>
      </c>
      <c r="L330" s="62">
        <v>46179</v>
      </c>
      <c r="M330" s="68" t="s">
        <v>1883</v>
      </c>
    </row>
    <row r="331" spans="1:13" ht="15" customHeight="1" x14ac:dyDescent="0.3">
      <c r="A331" s="70" t="s">
        <v>2524</v>
      </c>
      <c r="B331" s="100" t="s">
        <v>2525</v>
      </c>
      <c r="C331" s="101" t="s">
        <v>361</v>
      </c>
      <c r="D331" s="76" t="str">
        <f>IFERROR(INDEX(M_User!$A$12:$J$67,MATCH(C331,M_User!$D$12:$D$67,0),3),"UNMAPPED")</f>
        <v>Masunga Mwala Ramadhani</v>
      </c>
      <c r="E331" s="75" t="str">
        <f>IFERROR(INDEX(M_User!$A$12:$J$67,MATCH(C331,M_User!$D$12:$D$67,0),5),"UNMAPPED")</f>
        <v>MOS</v>
      </c>
      <c r="F331" s="101" t="s">
        <v>232</v>
      </c>
      <c r="G331" s="76" t="str">
        <f>IFERROR(INDEX(M_SKU!$A$18:$J$57,MATCH(F331,M_SKU!$B$18:$B$57,0),1),"UNKNOWN SKU")</f>
        <v>Sprite Pet 500ML (x 12)</v>
      </c>
      <c r="H331" s="101" t="s">
        <v>522</v>
      </c>
      <c r="I331" s="102">
        <f>SUMIF(T_Load!$U$9:$U$439,B331,T_Load!$O$9:$O$439)</f>
        <v>10</v>
      </c>
      <c r="J331" s="102">
        <f>SUMIF(T_Sales!$O$9:$O$1164,B331,T_Sales!$L$9:$L$1164)</f>
        <v>8</v>
      </c>
      <c r="K331" s="103">
        <f t="shared" si="5"/>
        <v>2</v>
      </c>
      <c r="L331" s="80">
        <v>46179</v>
      </c>
      <c r="M331" s="78" t="s">
        <v>1883</v>
      </c>
    </row>
    <row r="332" spans="1:13" ht="15" customHeight="1" x14ac:dyDescent="0.3">
      <c r="A332" s="60" t="s">
        <v>2526</v>
      </c>
      <c r="B332" s="97" t="s">
        <v>2527</v>
      </c>
      <c r="C332" s="63" t="s">
        <v>361</v>
      </c>
      <c r="D332" s="66" t="str">
        <f>IFERROR(INDEX(M_User!$A$12:$J$67,MATCH(C332,M_User!$D$12:$D$67,0),3),"UNMAPPED")</f>
        <v>Masunga Mwala Ramadhani</v>
      </c>
      <c r="E332" s="65" t="str">
        <f>IFERROR(INDEX(M_User!$A$12:$J$67,MATCH(C332,M_User!$D$12:$D$67,0),5),"UNMAPPED")</f>
        <v>MOS</v>
      </c>
      <c r="F332" s="63" t="s">
        <v>234</v>
      </c>
      <c r="G332" s="66" t="str">
        <f>IFERROR(INDEX(M_SKU!$A$18:$J$57,MATCH(F332,M_SKU!$B$18:$B$57,0),1),"UNKNOWN SKU")</f>
        <v>Fanta Orange Pet 500ML ( x 12)</v>
      </c>
      <c r="H332" s="63" t="s">
        <v>523</v>
      </c>
      <c r="I332" s="98">
        <f>SUMIF(T_Load!$U$9:$U$439,B332,T_Load!$O$9:$O$439)</f>
        <v>35</v>
      </c>
      <c r="J332" s="98">
        <f>SUMIF(T_Sales!$O$9:$O$1164,B332,T_Sales!$L$9:$L$1164)</f>
        <v>32</v>
      </c>
      <c r="K332" s="99">
        <f t="shared" si="5"/>
        <v>3</v>
      </c>
      <c r="L332" s="62">
        <v>46179</v>
      </c>
      <c r="M332" s="68" t="s">
        <v>1883</v>
      </c>
    </row>
    <row r="333" spans="1:13" ht="15" customHeight="1" x14ac:dyDescent="0.3">
      <c r="A333" s="70" t="s">
        <v>2528</v>
      </c>
      <c r="B333" s="100" t="s">
        <v>2529</v>
      </c>
      <c r="C333" s="101" t="s">
        <v>361</v>
      </c>
      <c r="D333" s="76" t="str">
        <f>IFERROR(INDEX(M_User!$A$12:$J$67,MATCH(C333,M_User!$D$12:$D$67,0),3),"UNMAPPED")</f>
        <v>Masunga Mwala Ramadhani</v>
      </c>
      <c r="E333" s="75" t="str">
        <f>IFERROR(INDEX(M_User!$A$12:$J$67,MATCH(C333,M_User!$D$12:$D$67,0),5),"UNMAPPED")</f>
        <v>MOS</v>
      </c>
      <c r="F333" s="101" t="s">
        <v>236</v>
      </c>
      <c r="G333" s="76" t="str">
        <f>IFERROR(INDEX(M_SKU!$A$18:$J$57,MATCH(F333,M_SKU!$B$18:$B$57,0),1),"UNKNOWN SKU")</f>
        <v>Fanta Passion Pet 500ML ( x12)</v>
      </c>
      <c r="H333" s="101" t="s">
        <v>524</v>
      </c>
      <c r="I333" s="102">
        <f>SUMIF(T_Load!$U$9:$U$439,B333,T_Load!$O$9:$O$439)</f>
        <v>10</v>
      </c>
      <c r="J333" s="102">
        <f>SUMIF(T_Sales!$O$9:$O$1164,B333,T_Sales!$L$9:$L$1164)</f>
        <v>8</v>
      </c>
      <c r="K333" s="103">
        <f t="shared" si="5"/>
        <v>2</v>
      </c>
      <c r="L333" s="80">
        <v>46179</v>
      </c>
      <c r="M333" s="78" t="s">
        <v>1883</v>
      </c>
    </row>
    <row r="334" spans="1:13" ht="15" customHeight="1" x14ac:dyDescent="0.3">
      <c r="A334" s="60" t="s">
        <v>2530</v>
      </c>
      <c r="B334" s="97" t="s">
        <v>2531</v>
      </c>
      <c r="C334" s="63" t="s">
        <v>361</v>
      </c>
      <c r="D334" s="66" t="str">
        <f>IFERROR(INDEX(M_User!$A$12:$J$67,MATCH(C334,M_User!$D$12:$D$67,0),3),"UNMAPPED")</f>
        <v>Masunga Mwala Ramadhani</v>
      </c>
      <c r="E334" s="65" t="str">
        <f>IFERROR(INDEX(M_User!$A$12:$J$67,MATCH(C334,M_User!$D$12:$D$67,0),5),"UNMAPPED")</f>
        <v>MOS</v>
      </c>
      <c r="F334" s="63" t="s">
        <v>242</v>
      </c>
      <c r="G334" s="66" t="str">
        <f>IFERROR(INDEX(M_SKU!$A$18:$J$57,MATCH(F334,M_SKU!$B$18:$B$57,0),1),"UNKNOWN SKU")</f>
        <v>Stoney Tangawizi Pet 500 ml ( x12)</v>
      </c>
      <c r="H334" s="63" t="s">
        <v>525</v>
      </c>
      <c r="I334" s="98">
        <f>SUMIF(T_Load!$U$9:$U$439,B334,T_Load!$O$9:$O$439)</f>
        <v>6</v>
      </c>
      <c r="J334" s="98">
        <f>SUMIF(T_Sales!$O$9:$O$1164,B334,T_Sales!$L$9:$L$1164)</f>
        <v>5</v>
      </c>
      <c r="K334" s="99">
        <f t="shared" si="5"/>
        <v>1</v>
      </c>
      <c r="L334" s="62">
        <v>46179</v>
      </c>
      <c r="M334" s="68" t="s">
        <v>1883</v>
      </c>
    </row>
    <row r="335" spans="1:13" ht="15" customHeight="1" x14ac:dyDescent="0.3">
      <c r="A335" s="70" t="s">
        <v>2532</v>
      </c>
      <c r="B335" s="100" t="s">
        <v>2533</v>
      </c>
      <c r="C335" s="101" t="s">
        <v>361</v>
      </c>
      <c r="D335" s="76" t="str">
        <f>IFERROR(INDEX(M_User!$A$12:$J$67,MATCH(C335,M_User!$D$12:$D$67,0),3),"UNMAPPED")</f>
        <v>Masunga Mwala Ramadhani</v>
      </c>
      <c r="E335" s="75" t="str">
        <f>IFERROR(INDEX(M_User!$A$12:$J$67,MATCH(C335,M_User!$D$12:$D$67,0),5),"UNMAPPED")</f>
        <v>MOS</v>
      </c>
      <c r="F335" s="101" t="s">
        <v>244</v>
      </c>
      <c r="G335" s="76" t="str">
        <f>IFERROR(INDEX(M_SKU!$A$18:$J$57,MATCH(F335,M_SKU!$B$18:$B$57,0),1),"UNKNOWN SKU")</f>
        <v>Sparletta Pinenut Pet 500 ml ( x12)</v>
      </c>
      <c r="H335" s="101" t="s">
        <v>526</v>
      </c>
      <c r="I335" s="102">
        <f>SUMIF(T_Load!$U$9:$U$439,B335,T_Load!$O$9:$O$439)</f>
        <v>6</v>
      </c>
      <c r="J335" s="102">
        <f>SUMIF(T_Sales!$O$9:$O$1164,B335,T_Sales!$L$9:$L$1164)</f>
        <v>5</v>
      </c>
      <c r="K335" s="103">
        <f t="shared" si="5"/>
        <v>1</v>
      </c>
      <c r="L335" s="80">
        <v>46179</v>
      </c>
      <c r="M335" s="78" t="s">
        <v>1883</v>
      </c>
    </row>
    <row r="336" spans="1:13" ht="15" customHeight="1" x14ac:dyDescent="0.3">
      <c r="A336" s="60" t="s">
        <v>2534</v>
      </c>
      <c r="B336" s="97" t="s">
        <v>2535</v>
      </c>
      <c r="C336" s="63" t="s">
        <v>361</v>
      </c>
      <c r="D336" s="66" t="str">
        <f>IFERROR(INDEX(M_User!$A$12:$J$67,MATCH(C336,M_User!$D$12:$D$67,0),3),"UNMAPPED")</f>
        <v>Masunga Mwala Ramadhani</v>
      </c>
      <c r="E336" s="65" t="str">
        <f>IFERROR(INDEX(M_User!$A$12:$J$67,MATCH(C336,M_User!$D$12:$D$67,0),5),"UNMAPPED")</f>
        <v>MOS</v>
      </c>
      <c r="F336" s="63" t="s">
        <v>252</v>
      </c>
      <c r="G336" s="66" t="str">
        <f>IFERROR(INDEX(M_SKU!$A$18:$J$57,MATCH(F336,M_SKU!$B$18:$B$57,0),1),"UNKNOWN SKU")</f>
        <v>Sprite Zero Pet 300ML (x 12)</v>
      </c>
      <c r="H336" s="63" t="s">
        <v>545</v>
      </c>
      <c r="I336" s="98">
        <f>SUMIF(T_Load!$U$9:$U$439,B336,T_Load!$O$9:$O$439)</f>
        <v>5</v>
      </c>
      <c r="J336" s="98">
        <f>SUMIF(T_Sales!$O$9:$O$1164,B336,T_Sales!$L$9:$L$1164)</f>
        <v>5</v>
      </c>
      <c r="K336" s="99">
        <f t="shared" si="5"/>
        <v>0</v>
      </c>
      <c r="L336" s="62">
        <v>46179</v>
      </c>
      <c r="M336" s="68" t="s">
        <v>1883</v>
      </c>
    </row>
    <row r="337" spans="1:13" ht="15" customHeight="1" x14ac:dyDescent="0.3">
      <c r="A337" s="70" t="s">
        <v>2536</v>
      </c>
      <c r="B337" s="100" t="s">
        <v>2537</v>
      </c>
      <c r="C337" s="101" t="s">
        <v>361</v>
      </c>
      <c r="D337" s="76" t="str">
        <f>IFERROR(INDEX(M_User!$A$12:$J$67,MATCH(C337,M_User!$D$12:$D$67,0),3),"UNMAPPED")</f>
        <v>Masunga Mwala Ramadhani</v>
      </c>
      <c r="E337" s="75" t="str">
        <f>IFERROR(INDEX(M_User!$A$12:$J$67,MATCH(C337,M_User!$D$12:$D$67,0),5),"UNMAPPED")</f>
        <v>MOS</v>
      </c>
      <c r="F337" s="101" t="s">
        <v>254</v>
      </c>
      <c r="G337" s="76" t="str">
        <f>IFERROR(INDEX(M_SKU!$A$18:$J$57,MATCH(F337,M_SKU!$B$18:$B$57,0),1),"UNKNOWN SKU")</f>
        <v>Fanta Zero Pet 300ML (x 12)</v>
      </c>
      <c r="H337" s="101" t="s">
        <v>546</v>
      </c>
      <c r="I337" s="102">
        <f>SUMIF(T_Load!$U$9:$U$439,B337,T_Load!$O$9:$O$439)</f>
        <v>5</v>
      </c>
      <c r="J337" s="102">
        <f>SUMIF(T_Sales!$O$9:$O$1164,B337,T_Sales!$L$9:$L$1164)</f>
        <v>4</v>
      </c>
      <c r="K337" s="103">
        <f t="shared" si="5"/>
        <v>1</v>
      </c>
      <c r="L337" s="80">
        <v>46179</v>
      </c>
      <c r="M337" s="78" t="s">
        <v>1883</v>
      </c>
    </row>
    <row r="338" spans="1:13" ht="15" customHeight="1" x14ac:dyDescent="0.3">
      <c r="A338" s="60" t="s">
        <v>2538</v>
      </c>
      <c r="B338" s="97" t="s">
        <v>2539</v>
      </c>
      <c r="C338" s="63" t="s">
        <v>361</v>
      </c>
      <c r="D338" s="66" t="str">
        <f>IFERROR(INDEX(M_User!$A$12:$J$67,MATCH(C338,M_User!$D$12:$D$67,0),3),"UNMAPPED")</f>
        <v>Masunga Mwala Ramadhani</v>
      </c>
      <c r="E338" s="65" t="str">
        <f>IFERROR(INDEX(M_User!$A$12:$J$67,MATCH(C338,M_User!$D$12:$D$67,0),5),"UNMAPPED")</f>
        <v>MOS</v>
      </c>
      <c r="F338" s="63" t="s">
        <v>261</v>
      </c>
      <c r="G338" s="66" t="str">
        <f>IFERROR(INDEX(M_SKU!$A$18:$J$57,MATCH(F338,M_SKU!$B$18:$B$57,0),1),"UNKNOWN SKU")</f>
        <v>Sparletta Pine Apple Pet 300ML (x 12)</v>
      </c>
      <c r="H338" s="63" t="s">
        <v>547</v>
      </c>
      <c r="I338" s="98">
        <f>SUMIF(T_Load!$U$9:$U$439,B338,T_Load!$O$9:$O$439)</f>
        <v>10</v>
      </c>
      <c r="J338" s="98">
        <f>SUMIF(T_Sales!$O$9:$O$1164,B338,T_Sales!$L$9:$L$1164)</f>
        <v>8</v>
      </c>
      <c r="K338" s="99">
        <f t="shared" si="5"/>
        <v>2</v>
      </c>
      <c r="L338" s="62">
        <v>46179</v>
      </c>
      <c r="M338" s="68" t="s">
        <v>1883</v>
      </c>
    </row>
    <row r="339" spans="1:13" ht="15" customHeight="1" x14ac:dyDescent="0.3">
      <c r="A339" s="70" t="s">
        <v>2540</v>
      </c>
      <c r="B339" s="100" t="s">
        <v>2541</v>
      </c>
      <c r="C339" s="101" t="s">
        <v>562</v>
      </c>
      <c r="D339" s="76" t="str">
        <f>IFERROR(INDEX(M_User!$A$12:$J$67,MATCH(C339,M_User!$D$12:$D$67,0),3),"UNMAPPED")</f>
        <v>UNMAPPED</v>
      </c>
      <c r="E339" s="75" t="str">
        <f>IFERROR(INDEX(M_User!$A$12:$J$67,MATCH(C339,M_User!$D$12:$D$67,0),5),"UNMAPPED")</f>
        <v>UNMAPPED</v>
      </c>
      <c r="F339" s="101" t="s">
        <v>170</v>
      </c>
      <c r="G339" s="76" t="str">
        <f>IFERROR(INDEX(M_SKU!$A$18:$J$57,MATCH(F339,M_SKU!$B$18:$B$57,0),1),"UNKNOWN SKU")</f>
        <v>Coke RGB 350ml</v>
      </c>
      <c r="H339" s="101" t="s">
        <v>530</v>
      </c>
      <c r="I339" s="102">
        <f>SUMIF(T_Load!$U$9:$U$439,B339,T_Load!$O$9:$O$439)</f>
        <v>40</v>
      </c>
      <c r="J339" s="102">
        <f>SUMIF(T_Sales!$O$9:$O$1164,B339,T_Sales!$L$9:$L$1164)</f>
        <v>0</v>
      </c>
      <c r="K339" s="103">
        <f t="shared" si="5"/>
        <v>40</v>
      </c>
      <c r="L339" s="80">
        <v>46179</v>
      </c>
      <c r="M339" s="104" t="s">
        <v>2542</v>
      </c>
    </row>
    <row r="340" spans="1:13" ht="15" customHeight="1" x14ac:dyDescent="0.3">
      <c r="A340" s="60" t="s">
        <v>2543</v>
      </c>
      <c r="B340" s="97" t="s">
        <v>2544</v>
      </c>
      <c r="C340" s="63" t="s">
        <v>562</v>
      </c>
      <c r="D340" s="66" t="str">
        <f>IFERROR(INDEX(M_User!$A$12:$J$67,MATCH(C340,M_User!$D$12:$D$67,0),3),"UNMAPPED")</f>
        <v>UNMAPPED</v>
      </c>
      <c r="E340" s="65" t="str">
        <f>IFERROR(INDEX(M_User!$A$12:$J$67,MATCH(C340,M_User!$D$12:$D$67,0),5),"UNMAPPED")</f>
        <v>UNMAPPED</v>
      </c>
      <c r="F340" s="63" t="s">
        <v>178</v>
      </c>
      <c r="G340" s="66" t="str">
        <f>IFERROR(INDEX(M_SKU!$A$18:$J$57,MATCH(F340,M_SKU!$B$18:$B$57,0),1),"UNKNOWN SKU")</f>
        <v>Fanta Orange RGB 350ml</v>
      </c>
      <c r="H340" s="63" t="s">
        <v>531</v>
      </c>
      <c r="I340" s="98">
        <f>SUMIF(T_Load!$U$9:$U$439,B340,T_Load!$O$9:$O$439)</f>
        <v>15</v>
      </c>
      <c r="J340" s="98">
        <f>SUMIF(T_Sales!$O$9:$O$1164,B340,T_Sales!$L$9:$L$1164)</f>
        <v>0</v>
      </c>
      <c r="K340" s="99">
        <f t="shared" si="5"/>
        <v>15</v>
      </c>
      <c r="L340" s="62">
        <v>46179</v>
      </c>
      <c r="M340" s="105" t="s">
        <v>2542</v>
      </c>
    </row>
    <row r="341" spans="1:13" ht="15" customHeight="1" x14ac:dyDescent="0.3">
      <c r="A341" s="70" t="s">
        <v>2545</v>
      </c>
      <c r="B341" s="100" t="s">
        <v>2546</v>
      </c>
      <c r="C341" s="101" t="s">
        <v>562</v>
      </c>
      <c r="D341" s="76" t="str">
        <f>IFERROR(INDEX(M_User!$A$12:$J$67,MATCH(C341,M_User!$D$12:$D$67,0),3),"UNMAPPED")</f>
        <v>UNMAPPED</v>
      </c>
      <c r="E341" s="75" t="str">
        <f>IFERROR(INDEX(M_User!$A$12:$J$67,MATCH(C341,M_User!$D$12:$D$67,0),5),"UNMAPPED")</f>
        <v>UNMAPPED</v>
      </c>
      <c r="F341" s="101" t="s">
        <v>181</v>
      </c>
      <c r="G341" s="76" t="str">
        <f>IFERROR(INDEX(M_SKU!$A$18:$J$57,MATCH(F341,M_SKU!$B$18:$B$57,0),1),"UNKNOWN SKU")</f>
        <v>Fanta Passion RGB 350ml</v>
      </c>
      <c r="H341" s="101" t="s">
        <v>550</v>
      </c>
      <c r="I341" s="102">
        <f>SUMIF(T_Load!$U$9:$U$439,B341,T_Load!$O$9:$O$439)</f>
        <v>7</v>
      </c>
      <c r="J341" s="102">
        <f>SUMIF(T_Sales!$O$9:$O$1164,B341,T_Sales!$L$9:$L$1164)</f>
        <v>0</v>
      </c>
      <c r="K341" s="103">
        <f t="shared" si="5"/>
        <v>7</v>
      </c>
      <c r="L341" s="80">
        <v>46179</v>
      </c>
      <c r="M341" s="104" t="s">
        <v>2542</v>
      </c>
    </row>
    <row r="342" spans="1:13" ht="15" customHeight="1" x14ac:dyDescent="0.3">
      <c r="A342" s="60" t="s">
        <v>2547</v>
      </c>
      <c r="B342" s="97" t="s">
        <v>2548</v>
      </c>
      <c r="C342" s="63" t="s">
        <v>562</v>
      </c>
      <c r="D342" s="66" t="str">
        <f>IFERROR(INDEX(M_User!$A$12:$J$67,MATCH(C342,M_User!$D$12:$D$67,0),3),"UNMAPPED")</f>
        <v>UNMAPPED</v>
      </c>
      <c r="E342" s="65" t="str">
        <f>IFERROR(INDEX(M_User!$A$12:$J$67,MATCH(C342,M_User!$D$12:$D$67,0),5),"UNMAPPED")</f>
        <v>UNMAPPED</v>
      </c>
      <c r="F342" s="63" t="s">
        <v>183</v>
      </c>
      <c r="G342" s="66" t="str">
        <f>IFERROR(INDEX(M_SKU!$A$18:$J$57,MATCH(F342,M_SKU!$B$18:$B$57,0),1),"UNKNOWN SKU")</f>
        <v>Fanta Pineapple RGB 350ml</v>
      </c>
      <c r="H342" s="63" t="s">
        <v>533</v>
      </c>
      <c r="I342" s="98">
        <f>SUMIF(T_Load!$U$9:$U$439,B342,T_Load!$O$9:$O$439)</f>
        <v>7</v>
      </c>
      <c r="J342" s="98">
        <f>SUMIF(T_Sales!$O$9:$O$1164,B342,T_Sales!$L$9:$L$1164)</f>
        <v>0</v>
      </c>
      <c r="K342" s="99">
        <f t="shared" si="5"/>
        <v>7</v>
      </c>
      <c r="L342" s="62">
        <v>46179</v>
      </c>
      <c r="M342" s="105" t="s">
        <v>2542</v>
      </c>
    </row>
    <row r="343" spans="1:13" ht="15" customHeight="1" x14ac:dyDescent="0.3">
      <c r="A343" s="70" t="s">
        <v>2549</v>
      </c>
      <c r="B343" s="100" t="s">
        <v>2550</v>
      </c>
      <c r="C343" s="101" t="s">
        <v>562</v>
      </c>
      <c r="D343" s="76" t="str">
        <f>IFERROR(INDEX(M_User!$A$12:$J$67,MATCH(C343,M_User!$D$12:$D$67,0),3),"UNMAPPED")</f>
        <v>UNMAPPED</v>
      </c>
      <c r="E343" s="75" t="str">
        <f>IFERROR(INDEX(M_User!$A$12:$J$67,MATCH(C343,M_User!$D$12:$D$67,0),5),"UNMAPPED")</f>
        <v>UNMAPPED</v>
      </c>
      <c r="F343" s="101" t="s">
        <v>185</v>
      </c>
      <c r="G343" s="76" t="str">
        <f>IFERROR(INDEX(M_SKU!$A$18:$J$57,MATCH(F343,M_SKU!$B$18:$B$57,0),1),"UNKNOWN SKU")</f>
        <v>Fanta Fruit Blast RGB 350 ml</v>
      </c>
      <c r="H343" s="101" t="s">
        <v>534</v>
      </c>
      <c r="I343" s="102">
        <f>SUMIF(T_Load!$U$9:$U$439,B343,T_Load!$O$9:$O$439)</f>
        <v>5</v>
      </c>
      <c r="J343" s="102">
        <f>SUMIF(T_Sales!$O$9:$O$1164,B343,T_Sales!$L$9:$L$1164)</f>
        <v>0</v>
      </c>
      <c r="K343" s="103">
        <f t="shared" si="5"/>
        <v>5</v>
      </c>
      <c r="L343" s="80">
        <v>46179</v>
      </c>
      <c r="M343" s="104" t="s">
        <v>2542</v>
      </c>
    </row>
    <row r="344" spans="1:13" ht="15" customHeight="1" x14ac:dyDescent="0.3">
      <c r="A344" s="60" t="s">
        <v>2551</v>
      </c>
      <c r="B344" s="97" t="s">
        <v>2552</v>
      </c>
      <c r="C344" s="63" t="s">
        <v>562</v>
      </c>
      <c r="D344" s="66" t="str">
        <f>IFERROR(INDEX(M_User!$A$12:$J$67,MATCH(C344,M_User!$D$12:$D$67,0),3),"UNMAPPED")</f>
        <v>UNMAPPED</v>
      </c>
      <c r="E344" s="65" t="str">
        <f>IFERROR(INDEX(M_User!$A$12:$J$67,MATCH(C344,M_User!$D$12:$D$67,0),5),"UNMAPPED")</f>
        <v>UNMAPPED</v>
      </c>
      <c r="F344" s="63" t="s">
        <v>187</v>
      </c>
      <c r="G344" s="66" t="str">
        <f>IFERROR(INDEX(M_SKU!$A$18:$J$57,MATCH(F344,M_SKU!$B$18:$B$57,0),1),"UNKNOWN SKU")</f>
        <v>Sprite 350ml</v>
      </c>
      <c r="H344" s="63" t="s">
        <v>535</v>
      </c>
      <c r="I344" s="98">
        <f>SUMIF(T_Load!$U$9:$U$439,B344,T_Load!$O$9:$O$439)</f>
        <v>7</v>
      </c>
      <c r="J344" s="98">
        <f>SUMIF(T_Sales!$O$9:$O$1164,B344,T_Sales!$L$9:$L$1164)</f>
        <v>0</v>
      </c>
      <c r="K344" s="99">
        <f t="shared" si="5"/>
        <v>7</v>
      </c>
      <c r="L344" s="62">
        <v>46179</v>
      </c>
      <c r="M344" s="105" t="s">
        <v>2542</v>
      </c>
    </row>
    <row r="345" spans="1:13" ht="15" customHeight="1" x14ac:dyDescent="0.3">
      <c r="A345" s="70" t="s">
        <v>2553</v>
      </c>
      <c r="B345" s="100" t="s">
        <v>2554</v>
      </c>
      <c r="C345" s="101" t="s">
        <v>562</v>
      </c>
      <c r="D345" s="76" t="str">
        <f>IFERROR(INDEX(M_User!$A$12:$J$67,MATCH(C345,M_User!$D$12:$D$67,0),3),"UNMAPPED")</f>
        <v>UNMAPPED</v>
      </c>
      <c r="E345" s="75" t="str">
        <f>IFERROR(INDEX(M_User!$A$12:$J$67,MATCH(C345,M_User!$D$12:$D$67,0),5),"UNMAPPED")</f>
        <v>UNMAPPED</v>
      </c>
      <c r="F345" s="101" t="s">
        <v>190</v>
      </c>
      <c r="G345" s="76" t="str">
        <f>IFERROR(INDEX(M_SKU!$A$18:$J$57,MATCH(F345,M_SKU!$B$18:$B$57,0),1),"UNKNOWN SKU")</f>
        <v>Stoney Tangawizi RGB 350ml</v>
      </c>
      <c r="H345" s="101" t="s">
        <v>536</v>
      </c>
      <c r="I345" s="102">
        <f>SUMIF(T_Load!$U$9:$U$439,B345,T_Load!$O$9:$O$439)</f>
        <v>5</v>
      </c>
      <c r="J345" s="102">
        <f>SUMIF(T_Sales!$O$9:$O$1164,B345,T_Sales!$L$9:$L$1164)</f>
        <v>0</v>
      </c>
      <c r="K345" s="103">
        <f t="shared" si="5"/>
        <v>5</v>
      </c>
      <c r="L345" s="80">
        <v>46179</v>
      </c>
      <c r="M345" s="104" t="s">
        <v>2542</v>
      </c>
    </row>
    <row r="346" spans="1:13" ht="15" customHeight="1" x14ac:dyDescent="0.3">
      <c r="A346" s="60" t="s">
        <v>2555</v>
      </c>
      <c r="B346" s="97" t="s">
        <v>2556</v>
      </c>
      <c r="C346" s="63" t="s">
        <v>562</v>
      </c>
      <c r="D346" s="66" t="str">
        <f>IFERROR(INDEX(M_User!$A$12:$J$67,MATCH(C346,M_User!$D$12:$D$67,0),3),"UNMAPPED")</f>
        <v>UNMAPPED</v>
      </c>
      <c r="E346" s="65" t="str">
        <f>IFERROR(INDEX(M_User!$A$12:$J$67,MATCH(C346,M_User!$D$12:$D$67,0),5),"UNMAPPED")</f>
        <v>UNMAPPED</v>
      </c>
      <c r="F346" s="63" t="s">
        <v>193</v>
      </c>
      <c r="G346" s="66" t="str">
        <f>IFERROR(INDEX(M_SKU!$A$18:$J$57,MATCH(F346,M_SKU!$B$18:$B$57,0),1),"UNKNOWN SKU")</f>
        <v>Sparletta Pinenut RGB 350ml</v>
      </c>
      <c r="H346" s="63" t="s">
        <v>537</v>
      </c>
      <c r="I346" s="98">
        <f>SUMIF(T_Load!$U$9:$U$439,B346,T_Load!$O$9:$O$439)</f>
        <v>5</v>
      </c>
      <c r="J346" s="98">
        <f>SUMIF(T_Sales!$O$9:$O$1164,B346,T_Sales!$L$9:$L$1164)</f>
        <v>0</v>
      </c>
      <c r="K346" s="99">
        <f t="shared" si="5"/>
        <v>5</v>
      </c>
      <c r="L346" s="62">
        <v>46179</v>
      </c>
      <c r="M346" s="105" t="s">
        <v>2542</v>
      </c>
    </row>
    <row r="347" spans="1:13" ht="15" customHeight="1" x14ac:dyDescent="0.3">
      <c r="A347" s="70" t="s">
        <v>2557</v>
      </c>
      <c r="B347" s="100" t="s">
        <v>2558</v>
      </c>
      <c r="C347" s="101" t="s">
        <v>562</v>
      </c>
      <c r="D347" s="76" t="str">
        <f>IFERROR(INDEX(M_User!$A$12:$J$67,MATCH(C347,M_User!$D$12:$D$67,0),3),"UNMAPPED")</f>
        <v>UNMAPPED</v>
      </c>
      <c r="E347" s="75" t="str">
        <f>IFERROR(INDEX(M_User!$A$12:$J$67,MATCH(C347,M_User!$D$12:$D$67,0),5),"UNMAPPED")</f>
        <v>UNMAPPED</v>
      </c>
      <c r="F347" s="101" t="s">
        <v>196</v>
      </c>
      <c r="G347" s="76" t="str">
        <f>IFERROR(INDEX(M_SKU!$A$18:$J$57,MATCH(F347,M_SKU!$B$18:$B$57,0),1),"UNKNOWN SKU")</f>
        <v>Krest Bitter Lemon RGB 300ml</v>
      </c>
      <c r="H347" s="101" t="s">
        <v>538</v>
      </c>
      <c r="I347" s="102">
        <f>SUMIF(T_Load!$U$9:$U$439,B347,T_Load!$O$9:$O$439)</f>
        <v>3</v>
      </c>
      <c r="J347" s="102">
        <f>SUMIF(T_Sales!$O$9:$O$1164,B347,T_Sales!$L$9:$L$1164)</f>
        <v>0</v>
      </c>
      <c r="K347" s="103">
        <f t="shared" si="5"/>
        <v>3</v>
      </c>
      <c r="L347" s="80">
        <v>46179</v>
      </c>
      <c r="M347" s="104" t="s">
        <v>2542</v>
      </c>
    </row>
    <row r="348" spans="1:13" ht="15" customHeight="1" x14ac:dyDescent="0.3">
      <c r="A348" s="60" t="s">
        <v>2559</v>
      </c>
      <c r="B348" s="97" t="s">
        <v>2560</v>
      </c>
      <c r="C348" s="63" t="s">
        <v>562</v>
      </c>
      <c r="D348" s="66" t="str">
        <f>IFERROR(INDEX(M_User!$A$12:$J$67,MATCH(C348,M_User!$D$12:$D$67,0),3),"UNMAPPED")</f>
        <v>UNMAPPED</v>
      </c>
      <c r="E348" s="65" t="str">
        <f>IFERROR(INDEX(M_User!$A$12:$J$67,MATCH(C348,M_User!$D$12:$D$67,0),5),"UNMAPPED")</f>
        <v>UNMAPPED</v>
      </c>
      <c r="F348" s="63" t="s">
        <v>199</v>
      </c>
      <c r="G348" s="66" t="str">
        <f>IFERROR(INDEX(M_SKU!$A$18:$J$57,MATCH(F348,M_SKU!$B$18:$B$57,0),1),"UNKNOWN SKU")</f>
        <v>Krest Club Soda RGB 300ml</v>
      </c>
      <c r="H348" s="63" t="s">
        <v>539</v>
      </c>
      <c r="I348" s="98">
        <f>SUMIF(T_Load!$U$9:$U$439,B348,T_Load!$O$9:$O$439)</f>
        <v>3</v>
      </c>
      <c r="J348" s="98">
        <f>SUMIF(T_Sales!$O$9:$O$1164,B348,T_Sales!$L$9:$L$1164)</f>
        <v>0</v>
      </c>
      <c r="K348" s="99">
        <f t="shared" si="5"/>
        <v>3</v>
      </c>
      <c r="L348" s="62">
        <v>46179</v>
      </c>
      <c r="M348" s="105" t="s">
        <v>2542</v>
      </c>
    </row>
    <row r="349" spans="1:13" ht="15" customHeight="1" x14ac:dyDescent="0.3">
      <c r="A349" s="70" t="s">
        <v>2561</v>
      </c>
      <c r="B349" s="100" t="s">
        <v>2562</v>
      </c>
      <c r="C349" s="101" t="s">
        <v>562</v>
      </c>
      <c r="D349" s="76" t="str">
        <f>IFERROR(INDEX(M_User!$A$12:$J$67,MATCH(C349,M_User!$D$12:$D$67,0),3),"UNMAPPED")</f>
        <v>UNMAPPED</v>
      </c>
      <c r="E349" s="75" t="str">
        <f>IFERROR(INDEX(M_User!$A$12:$J$67,MATCH(C349,M_User!$D$12:$D$67,0),5),"UNMAPPED")</f>
        <v>UNMAPPED</v>
      </c>
      <c r="F349" s="101" t="s">
        <v>201</v>
      </c>
      <c r="G349" s="76" t="str">
        <f>IFERROR(INDEX(M_SKU!$A$18:$J$57,MATCH(F349,M_SKU!$B$18:$B$57,0),1),"UNKNOWN SKU")</f>
        <v>Krest Tonic Water RGB 300ml</v>
      </c>
      <c r="H349" s="101" t="s">
        <v>540</v>
      </c>
      <c r="I349" s="102">
        <f>SUMIF(T_Load!$U$9:$U$439,B349,T_Load!$O$9:$O$439)</f>
        <v>3</v>
      </c>
      <c r="J349" s="102">
        <f>SUMIF(T_Sales!$O$9:$O$1164,B349,T_Sales!$L$9:$L$1164)</f>
        <v>0</v>
      </c>
      <c r="K349" s="103">
        <f t="shared" si="5"/>
        <v>3</v>
      </c>
      <c r="L349" s="80">
        <v>46179</v>
      </c>
      <c r="M349" s="104" t="s">
        <v>2542</v>
      </c>
    </row>
    <row r="350" spans="1:13" ht="15" customHeight="1" x14ac:dyDescent="0.3">
      <c r="A350" s="60" t="s">
        <v>2563</v>
      </c>
      <c r="B350" s="97" t="s">
        <v>2564</v>
      </c>
      <c r="C350" s="63" t="s">
        <v>562</v>
      </c>
      <c r="D350" s="66" t="str">
        <f>IFERROR(INDEX(M_User!$A$12:$J$67,MATCH(C350,M_User!$D$12:$D$67,0),3),"UNMAPPED")</f>
        <v>UNMAPPED</v>
      </c>
      <c r="E350" s="65" t="str">
        <f>IFERROR(INDEX(M_User!$A$12:$J$67,MATCH(C350,M_User!$D$12:$D$67,0),5),"UNMAPPED")</f>
        <v>UNMAPPED</v>
      </c>
      <c r="F350" s="63" t="s">
        <v>203</v>
      </c>
      <c r="G350" s="66" t="str">
        <f>IFERROR(INDEX(M_SKU!$A$18:$J$57,MATCH(F350,M_SKU!$B$18:$B$57,0),1),"UNKNOWN SKU")</f>
        <v>Krest Ginger Ale RGB 300ml</v>
      </c>
      <c r="H350" s="63" t="s">
        <v>541</v>
      </c>
      <c r="I350" s="98">
        <f>SUMIF(T_Load!$U$9:$U$439,B350,T_Load!$O$9:$O$439)</f>
        <v>3</v>
      </c>
      <c r="J350" s="98">
        <f>SUMIF(T_Sales!$O$9:$O$1164,B350,T_Sales!$L$9:$L$1164)</f>
        <v>0</v>
      </c>
      <c r="K350" s="99">
        <f t="shared" si="5"/>
        <v>3</v>
      </c>
      <c r="L350" s="62">
        <v>46179</v>
      </c>
      <c r="M350" s="105" t="s">
        <v>2542</v>
      </c>
    </row>
    <row r="351" spans="1:13" ht="15" customHeight="1" x14ac:dyDescent="0.3">
      <c r="A351" s="70" t="s">
        <v>2565</v>
      </c>
      <c r="B351" s="100" t="s">
        <v>2566</v>
      </c>
      <c r="C351" s="101" t="s">
        <v>562</v>
      </c>
      <c r="D351" s="76" t="str">
        <f>IFERROR(INDEX(M_User!$A$12:$J$67,MATCH(C351,M_User!$D$12:$D$67,0),3),"UNMAPPED")</f>
        <v>UNMAPPED</v>
      </c>
      <c r="E351" s="75" t="str">
        <f>IFERROR(INDEX(M_User!$A$12:$J$67,MATCH(C351,M_User!$D$12:$D$67,0),5),"UNMAPPED")</f>
        <v>UNMAPPED</v>
      </c>
      <c r="F351" s="101" t="s">
        <v>209</v>
      </c>
      <c r="G351" s="76" t="str">
        <f>IFERROR(INDEX(M_SKU!$A$18:$J$57,MATCH(F351,M_SKU!$B$18:$B$57,0),1),"UNKNOWN SKU")</f>
        <v>Sparletta Red Apple RGB 350ml</v>
      </c>
      <c r="H351" s="101" t="s">
        <v>542</v>
      </c>
      <c r="I351" s="102">
        <f>SUMIF(T_Load!$U$9:$U$439,B351,T_Load!$O$9:$O$439)</f>
        <v>2</v>
      </c>
      <c r="J351" s="102">
        <f>SUMIF(T_Sales!$O$9:$O$1164,B351,T_Sales!$L$9:$L$1164)</f>
        <v>0</v>
      </c>
      <c r="K351" s="103">
        <f t="shared" si="5"/>
        <v>2</v>
      </c>
      <c r="L351" s="80">
        <v>46179</v>
      </c>
      <c r="M351" s="104" t="s">
        <v>2542</v>
      </c>
    </row>
    <row r="352" spans="1:13" ht="15" customHeight="1" x14ac:dyDescent="0.3">
      <c r="A352" s="60" t="s">
        <v>2567</v>
      </c>
      <c r="B352" s="97" t="s">
        <v>2568</v>
      </c>
      <c r="C352" s="63" t="s">
        <v>562</v>
      </c>
      <c r="D352" s="66" t="str">
        <f>IFERROR(INDEX(M_User!$A$12:$J$67,MATCH(C352,M_User!$D$12:$D$67,0),3),"UNMAPPED")</f>
        <v>UNMAPPED</v>
      </c>
      <c r="E352" s="65" t="str">
        <f>IFERROR(INDEX(M_User!$A$12:$J$67,MATCH(C352,M_User!$D$12:$D$67,0),5),"UNMAPPED")</f>
        <v>UNMAPPED</v>
      </c>
      <c r="F352" s="63" t="s">
        <v>211</v>
      </c>
      <c r="G352" s="66" t="str">
        <f>IFERROR(INDEX(M_SKU!$A$18:$J$57,MATCH(F352,M_SKU!$B$18:$B$57,0),1),"UNKNOWN SKU")</f>
        <v>KNMW 500ml</v>
      </c>
      <c r="H352" s="63" t="s">
        <v>543</v>
      </c>
      <c r="I352" s="98">
        <f>SUMIF(T_Load!$U$9:$U$439,B352,T_Load!$O$9:$O$439)</f>
        <v>50</v>
      </c>
      <c r="J352" s="98">
        <f>SUMIF(T_Sales!$O$9:$O$1164,B352,T_Sales!$L$9:$L$1164)</f>
        <v>0</v>
      </c>
      <c r="K352" s="99">
        <f t="shared" si="5"/>
        <v>50</v>
      </c>
      <c r="L352" s="62">
        <v>46179</v>
      </c>
      <c r="M352" s="105" t="s">
        <v>2542</v>
      </c>
    </row>
    <row r="353" spans="1:13" ht="15" customHeight="1" x14ac:dyDescent="0.3">
      <c r="A353" s="70" t="s">
        <v>2569</v>
      </c>
      <c r="B353" s="100" t="s">
        <v>2570</v>
      </c>
      <c r="C353" s="101" t="s">
        <v>562</v>
      </c>
      <c r="D353" s="76" t="str">
        <f>IFERROR(INDEX(M_User!$A$12:$J$67,MATCH(C353,M_User!$D$12:$D$67,0),3),"UNMAPPED")</f>
        <v>UNMAPPED</v>
      </c>
      <c r="E353" s="75" t="str">
        <f>IFERROR(INDEX(M_User!$A$12:$J$67,MATCH(C353,M_User!$D$12:$D$67,0),5),"UNMAPPED")</f>
        <v>UNMAPPED</v>
      </c>
      <c r="F353" s="101" t="s">
        <v>217</v>
      </c>
      <c r="G353" s="76" t="str">
        <f>IFERROR(INDEX(M_SKU!$A$18:$J$57,MATCH(F353,M_SKU!$B$18:$B$57,0),1),"UNKNOWN SKU")</f>
        <v>KNMW 1500ml</v>
      </c>
      <c r="H353" s="101" t="s">
        <v>551</v>
      </c>
      <c r="I353" s="102">
        <f>SUMIF(T_Load!$U$9:$U$439,B353,T_Load!$O$9:$O$439)</f>
        <v>90</v>
      </c>
      <c r="J353" s="102">
        <f>SUMIF(T_Sales!$O$9:$O$1164,B353,T_Sales!$L$9:$L$1164)</f>
        <v>0</v>
      </c>
      <c r="K353" s="103">
        <f t="shared" si="5"/>
        <v>90</v>
      </c>
      <c r="L353" s="80">
        <v>46179</v>
      </c>
      <c r="M353" s="104" t="s">
        <v>2542</v>
      </c>
    </row>
    <row r="354" spans="1:13" ht="15" customHeight="1" x14ac:dyDescent="0.3">
      <c r="A354" s="60" t="s">
        <v>2571</v>
      </c>
      <c r="B354" s="97" t="s">
        <v>2572</v>
      </c>
      <c r="C354" s="63" t="s">
        <v>562</v>
      </c>
      <c r="D354" s="66" t="str">
        <f>IFERROR(INDEX(M_User!$A$12:$J$67,MATCH(C354,M_User!$D$12:$D$67,0),3),"UNMAPPED")</f>
        <v>UNMAPPED</v>
      </c>
      <c r="E354" s="65" t="str">
        <f>IFERROR(INDEX(M_User!$A$12:$J$67,MATCH(C354,M_User!$D$12:$D$67,0),5),"UNMAPPED")</f>
        <v>UNMAPPED</v>
      </c>
      <c r="F354" s="63" t="s">
        <v>229</v>
      </c>
      <c r="G354" s="66" t="str">
        <f>IFERROR(INDEX(M_SKU!$A$18:$J$57,MATCH(F354,M_SKU!$B$18:$B$57,0),1),"UNKNOWN SKU")</f>
        <v>Coke Pet 500ML ( x12)</v>
      </c>
      <c r="H354" s="63" t="s">
        <v>520</v>
      </c>
      <c r="I354" s="98">
        <f>SUMIF(T_Load!$U$9:$U$439,B354,T_Load!$O$9:$O$439)</f>
        <v>20</v>
      </c>
      <c r="J354" s="98">
        <f>SUMIF(T_Sales!$O$9:$O$1164,B354,T_Sales!$L$9:$L$1164)</f>
        <v>0</v>
      </c>
      <c r="K354" s="99">
        <f t="shared" si="5"/>
        <v>20</v>
      </c>
      <c r="L354" s="62">
        <v>46179</v>
      </c>
      <c r="M354" s="105" t="s">
        <v>2542</v>
      </c>
    </row>
    <row r="355" spans="1:13" ht="15" customHeight="1" x14ac:dyDescent="0.3">
      <c r="A355" s="70" t="s">
        <v>2573</v>
      </c>
      <c r="B355" s="100" t="s">
        <v>2574</v>
      </c>
      <c r="C355" s="101" t="s">
        <v>562</v>
      </c>
      <c r="D355" s="76" t="str">
        <f>IFERROR(INDEX(M_User!$A$12:$J$67,MATCH(C355,M_User!$D$12:$D$67,0),3),"UNMAPPED")</f>
        <v>UNMAPPED</v>
      </c>
      <c r="E355" s="75" t="str">
        <f>IFERROR(INDEX(M_User!$A$12:$J$67,MATCH(C355,M_User!$D$12:$D$67,0),5),"UNMAPPED")</f>
        <v>UNMAPPED</v>
      </c>
      <c r="F355" s="101" t="s">
        <v>232</v>
      </c>
      <c r="G355" s="76" t="str">
        <f>IFERROR(INDEX(M_SKU!$A$18:$J$57,MATCH(F355,M_SKU!$B$18:$B$57,0),1),"UNKNOWN SKU")</f>
        <v>Sprite Pet 500ML (x 12)</v>
      </c>
      <c r="H355" s="101" t="s">
        <v>522</v>
      </c>
      <c r="I355" s="102">
        <f>SUMIF(T_Load!$U$9:$U$439,B355,T_Load!$O$9:$O$439)</f>
        <v>10</v>
      </c>
      <c r="J355" s="102">
        <f>SUMIF(T_Sales!$O$9:$O$1164,B355,T_Sales!$L$9:$L$1164)</f>
        <v>0</v>
      </c>
      <c r="K355" s="103">
        <f t="shared" si="5"/>
        <v>10</v>
      </c>
      <c r="L355" s="80">
        <v>46179</v>
      </c>
      <c r="M355" s="104" t="s">
        <v>2542</v>
      </c>
    </row>
    <row r="356" spans="1:13" ht="15" customHeight="1" x14ac:dyDescent="0.3">
      <c r="A356" s="60" t="s">
        <v>2575</v>
      </c>
      <c r="B356" s="97" t="s">
        <v>2576</v>
      </c>
      <c r="C356" s="63" t="s">
        <v>562</v>
      </c>
      <c r="D356" s="66" t="str">
        <f>IFERROR(INDEX(M_User!$A$12:$J$67,MATCH(C356,M_User!$D$12:$D$67,0),3),"UNMAPPED")</f>
        <v>UNMAPPED</v>
      </c>
      <c r="E356" s="65" t="str">
        <f>IFERROR(INDEX(M_User!$A$12:$J$67,MATCH(C356,M_User!$D$12:$D$67,0),5),"UNMAPPED")</f>
        <v>UNMAPPED</v>
      </c>
      <c r="F356" s="63" t="s">
        <v>234</v>
      </c>
      <c r="G356" s="66" t="str">
        <f>IFERROR(INDEX(M_SKU!$A$18:$J$57,MATCH(F356,M_SKU!$B$18:$B$57,0),1),"UNKNOWN SKU")</f>
        <v>Fanta Orange Pet 500ML ( x 12)</v>
      </c>
      <c r="H356" s="63" t="s">
        <v>523</v>
      </c>
      <c r="I356" s="98">
        <f>SUMIF(T_Load!$U$9:$U$439,B356,T_Load!$O$9:$O$439)</f>
        <v>10</v>
      </c>
      <c r="J356" s="98">
        <f>SUMIF(T_Sales!$O$9:$O$1164,B356,T_Sales!$L$9:$L$1164)</f>
        <v>0</v>
      </c>
      <c r="K356" s="99">
        <f t="shared" si="5"/>
        <v>10</v>
      </c>
      <c r="L356" s="62">
        <v>46179</v>
      </c>
      <c r="M356" s="105" t="s">
        <v>2542</v>
      </c>
    </row>
    <row r="357" spans="1:13" ht="15" customHeight="1" x14ac:dyDescent="0.3">
      <c r="A357" s="70" t="s">
        <v>2577</v>
      </c>
      <c r="B357" s="100" t="s">
        <v>2578</v>
      </c>
      <c r="C357" s="101" t="s">
        <v>562</v>
      </c>
      <c r="D357" s="76" t="str">
        <f>IFERROR(INDEX(M_User!$A$12:$J$67,MATCH(C357,M_User!$D$12:$D$67,0),3),"UNMAPPED")</f>
        <v>UNMAPPED</v>
      </c>
      <c r="E357" s="75" t="str">
        <f>IFERROR(INDEX(M_User!$A$12:$J$67,MATCH(C357,M_User!$D$12:$D$67,0),5),"UNMAPPED")</f>
        <v>UNMAPPED</v>
      </c>
      <c r="F357" s="101" t="s">
        <v>236</v>
      </c>
      <c r="G357" s="76" t="str">
        <f>IFERROR(INDEX(M_SKU!$A$18:$J$57,MATCH(F357,M_SKU!$B$18:$B$57,0),1),"UNKNOWN SKU")</f>
        <v>Fanta Passion Pet 500ML ( x12)</v>
      </c>
      <c r="H357" s="101" t="s">
        <v>524</v>
      </c>
      <c r="I357" s="102">
        <f>SUMIF(T_Load!$U$9:$U$439,B357,T_Load!$O$9:$O$439)</f>
        <v>10</v>
      </c>
      <c r="J357" s="102">
        <f>SUMIF(T_Sales!$O$9:$O$1164,B357,T_Sales!$L$9:$L$1164)</f>
        <v>0</v>
      </c>
      <c r="K357" s="103">
        <f t="shared" si="5"/>
        <v>10</v>
      </c>
      <c r="L357" s="80">
        <v>46179</v>
      </c>
      <c r="M357" s="104" t="s">
        <v>2542</v>
      </c>
    </row>
    <row r="358" spans="1:13" ht="15" customHeight="1" x14ac:dyDescent="0.3">
      <c r="A358" s="60" t="s">
        <v>2579</v>
      </c>
      <c r="B358" s="97" t="s">
        <v>2580</v>
      </c>
      <c r="C358" s="63" t="s">
        <v>562</v>
      </c>
      <c r="D358" s="66" t="str">
        <f>IFERROR(INDEX(M_User!$A$12:$J$67,MATCH(C358,M_User!$D$12:$D$67,0),3),"UNMAPPED")</f>
        <v>UNMAPPED</v>
      </c>
      <c r="E358" s="65" t="str">
        <f>IFERROR(INDEX(M_User!$A$12:$J$67,MATCH(C358,M_User!$D$12:$D$67,0),5),"UNMAPPED")</f>
        <v>UNMAPPED</v>
      </c>
      <c r="F358" s="63" t="s">
        <v>242</v>
      </c>
      <c r="G358" s="66" t="str">
        <f>IFERROR(INDEX(M_SKU!$A$18:$J$57,MATCH(F358,M_SKU!$B$18:$B$57,0),1),"UNKNOWN SKU")</f>
        <v>Stoney Tangawizi Pet 500 ml ( x12)</v>
      </c>
      <c r="H358" s="63" t="s">
        <v>525</v>
      </c>
      <c r="I358" s="98">
        <f>SUMIF(T_Load!$U$9:$U$439,B358,T_Load!$O$9:$O$439)</f>
        <v>5</v>
      </c>
      <c r="J358" s="98">
        <f>SUMIF(T_Sales!$O$9:$O$1164,B358,T_Sales!$L$9:$L$1164)</f>
        <v>0</v>
      </c>
      <c r="K358" s="99">
        <f t="shared" si="5"/>
        <v>5</v>
      </c>
      <c r="L358" s="62">
        <v>46179</v>
      </c>
      <c r="M358" s="105" t="s">
        <v>2542</v>
      </c>
    </row>
    <row r="359" spans="1:13" ht="15" customHeight="1" x14ac:dyDescent="0.3">
      <c r="A359" s="70" t="s">
        <v>2581</v>
      </c>
      <c r="B359" s="100" t="s">
        <v>2582</v>
      </c>
      <c r="C359" s="101" t="s">
        <v>562</v>
      </c>
      <c r="D359" s="76" t="str">
        <f>IFERROR(INDEX(M_User!$A$12:$J$67,MATCH(C359,M_User!$D$12:$D$67,0),3),"UNMAPPED")</f>
        <v>UNMAPPED</v>
      </c>
      <c r="E359" s="75" t="str">
        <f>IFERROR(INDEX(M_User!$A$12:$J$67,MATCH(C359,M_User!$D$12:$D$67,0),5),"UNMAPPED")</f>
        <v>UNMAPPED</v>
      </c>
      <c r="F359" s="101" t="s">
        <v>244</v>
      </c>
      <c r="G359" s="76" t="str">
        <f>IFERROR(INDEX(M_SKU!$A$18:$J$57,MATCH(F359,M_SKU!$B$18:$B$57,0),1),"UNKNOWN SKU")</f>
        <v>Sparletta Pinenut Pet 500 ml ( x12)</v>
      </c>
      <c r="H359" s="101" t="s">
        <v>526</v>
      </c>
      <c r="I359" s="102">
        <f>SUMIF(T_Load!$U$9:$U$439,B359,T_Load!$O$9:$O$439)</f>
        <v>5</v>
      </c>
      <c r="J359" s="102">
        <f>SUMIF(T_Sales!$O$9:$O$1164,B359,T_Sales!$L$9:$L$1164)</f>
        <v>0</v>
      </c>
      <c r="K359" s="103">
        <f t="shared" si="5"/>
        <v>5</v>
      </c>
      <c r="L359" s="80">
        <v>46179</v>
      </c>
      <c r="M359" s="104" t="s">
        <v>2542</v>
      </c>
    </row>
    <row r="360" spans="1:13" ht="15" customHeight="1" x14ac:dyDescent="0.3">
      <c r="A360" s="60" t="s">
        <v>2583</v>
      </c>
      <c r="B360" s="97" t="s">
        <v>2584</v>
      </c>
      <c r="C360" s="63" t="s">
        <v>562</v>
      </c>
      <c r="D360" s="66" t="str">
        <f>IFERROR(INDEX(M_User!$A$12:$J$67,MATCH(C360,M_User!$D$12:$D$67,0),3),"UNMAPPED")</f>
        <v>UNMAPPED</v>
      </c>
      <c r="E360" s="65" t="str">
        <f>IFERROR(INDEX(M_User!$A$12:$J$67,MATCH(C360,M_User!$D$12:$D$67,0),5),"UNMAPPED")</f>
        <v>UNMAPPED</v>
      </c>
      <c r="F360" s="63" t="s">
        <v>252</v>
      </c>
      <c r="G360" s="66" t="str">
        <f>IFERROR(INDEX(M_SKU!$A$18:$J$57,MATCH(F360,M_SKU!$B$18:$B$57,0),1),"UNKNOWN SKU")</f>
        <v>Sprite Zero Pet 300ML (x 12)</v>
      </c>
      <c r="H360" s="63" t="s">
        <v>545</v>
      </c>
      <c r="I360" s="98">
        <f>SUMIF(T_Load!$U$9:$U$439,B360,T_Load!$O$9:$O$439)</f>
        <v>5</v>
      </c>
      <c r="J360" s="98">
        <f>SUMIF(T_Sales!$O$9:$O$1164,B360,T_Sales!$L$9:$L$1164)</f>
        <v>0</v>
      </c>
      <c r="K360" s="99">
        <f t="shared" si="5"/>
        <v>5</v>
      </c>
      <c r="L360" s="62">
        <v>46179</v>
      </c>
      <c r="M360" s="105" t="s">
        <v>2542</v>
      </c>
    </row>
    <row r="361" spans="1:13" ht="15" customHeight="1" x14ac:dyDescent="0.3">
      <c r="A361" s="70" t="s">
        <v>2585</v>
      </c>
      <c r="B361" s="100" t="s">
        <v>2586</v>
      </c>
      <c r="C361" s="101" t="s">
        <v>562</v>
      </c>
      <c r="D361" s="76" t="str">
        <f>IFERROR(INDEX(M_User!$A$12:$J$67,MATCH(C361,M_User!$D$12:$D$67,0),3),"UNMAPPED")</f>
        <v>UNMAPPED</v>
      </c>
      <c r="E361" s="75" t="str">
        <f>IFERROR(INDEX(M_User!$A$12:$J$67,MATCH(C361,M_User!$D$12:$D$67,0),5),"UNMAPPED")</f>
        <v>UNMAPPED</v>
      </c>
      <c r="F361" s="101" t="s">
        <v>256</v>
      </c>
      <c r="G361" s="76" t="str">
        <f>IFERROR(INDEX(M_SKU!$A$18:$J$57,MATCH(F361,M_SKU!$B$18:$B$57,0),1),"UNKNOWN SKU")</f>
        <v>Sparletta Red Apple Pet 300ML(x 12)</v>
      </c>
      <c r="H361" s="101" t="s">
        <v>555</v>
      </c>
      <c r="I361" s="102">
        <f>SUMIF(T_Load!$U$9:$U$439,B361,T_Load!$O$9:$O$439)</f>
        <v>5</v>
      </c>
      <c r="J361" s="102">
        <f>SUMIF(T_Sales!$O$9:$O$1164,B361,T_Sales!$L$9:$L$1164)</f>
        <v>0</v>
      </c>
      <c r="K361" s="103">
        <f t="shared" si="5"/>
        <v>5</v>
      </c>
      <c r="L361" s="80">
        <v>46179</v>
      </c>
      <c r="M361" s="104" t="s">
        <v>2542</v>
      </c>
    </row>
    <row r="362" spans="1:13" ht="15" customHeight="1" x14ac:dyDescent="0.3">
      <c r="A362" s="60" t="s">
        <v>2587</v>
      </c>
      <c r="B362" s="97" t="s">
        <v>2588</v>
      </c>
      <c r="C362" s="63" t="s">
        <v>562</v>
      </c>
      <c r="D362" s="66" t="str">
        <f>IFERROR(INDEX(M_User!$A$12:$J$67,MATCH(C362,M_User!$D$12:$D$67,0),3),"UNMAPPED")</f>
        <v>UNMAPPED</v>
      </c>
      <c r="E362" s="65" t="str">
        <f>IFERROR(INDEX(M_User!$A$12:$J$67,MATCH(C362,M_User!$D$12:$D$67,0),5),"UNMAPPED")</f>
        <v>UNMAPPED</v>
      </c>
      <c r="F362" s="63" t="s">
        <v>261</v>
      </c>
      <c r="G362" s="66" t="str">
        <f>IFERROR(INDEX(M_SKU!$A$18:$J$57,MATCH(F362,M_SKU!$B$18:$B$57,0),1),"UNKNOWN SKU")</f>
        <v>Sparletta Pine Apple Pet 300ML (x 12)</v>
      </c>
      <c r="H362" s="63" t="s">
        <v>547</v>
      </c>
      <c r="I362" s="98">
        <f>SUMIF(T_Load!$U$9:$U$439,B362,T_Load!$O$9:$O$439)</f>
        <v>5</v>
      </c>
      <c r="J362" s="98">
        <f>SUMIF(T_Sales!$O$9:$O$1164,B362,T_Sales!$L$9:$L$1164)</f>
        <v>0</v>
      </c>
      <c r="K362" s="99">
        <f t="shared" si="5"/>
        <v>5</v>
      </c>
      <c r="L362" s="62">
        <v>46179</v>
      </c>
      <c r="M362" s="105" t="s">
        <v>2542</v>
      </c>
    </row>
    <row r="363" spans="1:13" ht="15" customHeight="1" x14ac:dyDescent="0.3">
      <c r="A363" s="70" t="s">
        <v>2589</v>
      </c>
      <c r="B363" s="100" t="s">
        <v>2590</v>
      </c>
      <c r="C363" s="101" t="s">
        <v>415</v>
      </c>
      <c r="D363" s="76" t="str">
        <f>IFERROR(INDEX(M_User!$A$12:$J$67,MATCH(C363,M_User!$D$12:$D$67,0),3),"UNMAPPED")</f>
        <v>Joyline J Lyimo</v>
      </c>
      <c r="E363" s="75" t="str">
        <f>IFERROR(INDEX(M_User!$A$12:$J$67,MATCH(C363,M_User!$D$12:$D$67,0),5),"UNMAPPED")</f>
        <v>MOS</v>
      </c>
      <c r="F363" s="101" t="s">
        <v>170</v>
      </c>
      <c r="G363" s="76" t="str">
        <f>IFERROR(INDEX(M_SKU!$A$18:$J$57,MATCH(F363,M_SKU!$B$18:$B$57,0),1),"UNKNOWN SKU")</f>
        <v>Coke RGB 350ml</v>
      </c>
      <c r="H363" s="101" t="s">
        <v>585</v>
      </c>
      <c r="I363" s="102">
        <f>SUMIF(T_Load!$U$9:$U$439,B363,T_Load!$O$9:$O$439)</f>
        <v>67</v>
      </c>
      <c r="J363" s="102">
        <f>SUMIF(T_Sales!$O$9:$O$1164,B363,T_Sales!$L$9:$L$1164)</f>
        <v>65.345325233888005</v>
      </c>
      <c r="K363" s="103">
        <f t="shared" si="5"/>
        <v>1.6546747661119952</v>
      </c>
      <c r="L363" s="80">
        <v>46179</v>
      </c>
      <c r="M363" s="78" t="s">
        <v>1883</v>
      </c>
    </row>
    <row r="364" spans="1:13" ht="15" customHeight="1" x14ac:dyDescent="0.3">
      <c r="A364" s="60" t="s">
        <v>2591</v>
      </c>
      <c r="B364" s="97" t="s">
        <v>2592</v>
      </c>
      <c r="C364" s="63" t="s">
        <v>415</v>
      </c>
      <c r="D364" s="66" t="str">
        <f>IFERROR(INDEX(M_User!$A$12:$J$67,MATCH(C364,M_User!$D$12:$D$67,0),3),"UNMAPPED")</f>
        <v>Joyline J Lyimo</v>
      </c>
      <c r="E364" s="65" t="str">
        <f>IFERROR(INDEX(M_User!$A$12:$J$67,MATCH(C364,M_User!$D$12:$D$67,0),5),"UNMAPPED")</f>
        <v>MOS</v>
      </c>
      <c r="F364" s="63" t="s">
        <v>178</v>
      </c>
      <c r="G364" s="66" t="str">
        <f>IFERROR(INDEX(M_SKU!$A$18:$J$57,MATCH(F364,M_SKU!$B$18:$B$57,0),1),"UNKNOWN SKU")</f>
        <v>Fanta Orange RGB 350ml</v>
      </c>
      <c r="H364" s="63" t="s">
        <v>531</v>
      </c>
      <c r="I364" s="98">
        <f>SUMIF(T_Load!$U$9:$U$439,B364,T_Load!$O$9:$O$439)</f>
        <v>25</v>
      </c>
      <c r="J364" s="98">
        <f>SUMIF(T_Sales!$O$9:$O$1164,B364,T_Sales!$L$9:$L$1164)</f>
        <v>25.6287490523267</v>
      </c>
      <c r="K364" s="99">
        <f t="shared" si="5"/>
        <v>-0.62874905232670031</v>
      </c>
      <c r="L364" s="62">
        <v>46179</v>
      </c>
      <c r="M364" s="68" t="s">
        <v>1883</v>
      </c>
    </row>
    <row r="365" spans="1:13" ht="15" customHeight="1" x14ac:dyDescent="0.3">
      <c r="A365" s="70" t="s">
        <v>2593</v>
      </c>
      <c r="B365" s="100" t="s">
        <v>2594</v>
      </c>
      <c r="C365" s="101" t="s">
        <v>415</v>
      </c>
      <c r="D365" s="76" t="str">
        <f>IFERROR(INDEX(M_User!$A$12:$J$67,MATCH(C365,M_User!$D$12:$D$67,0),3),"UNMAPPED")</f>
        <v>Joyline J Lyimo</v>
      </c>
      <c r="E365" s="75" t="str">
        <f>IFERROR(INDEX(M_User!$A$12:$J$67,MATCH(C365,M_User!$D$12:$D$67,0),5),"UNMAPPED")</f>
        <v>MOS</v>
      </c>
      <c r="F365" s="101" t="s">
        <v>181</v>
      </c>
      <c r="G365" s="76" t="str">
        <f>IFERROR(INDEX(M_SKU!$A$18:$J$57,MATCH(F365,M_SKU!$B$18:$B$57,0),1),"UNKNOWN SKU")</f>
        <v>Fanta Passion RGB 350ml</v>
      </c>
      <c r="H365" s="101" t="s">
        <v>550</v>
      </c>
      <c r="I365" s="102">
        <f>SUMIF(T_Load!$U$9:$U$439,B365,T_Load!$O$9:$O$439)</f>
        <v>8</v>
      </c>
      <c r="J365" s="102">
        <f>SUMIF(T_Sales!$O$9:$O$1164,B365,T_Sales!$L$9:$L$1164)</f>
        <v>7.7386370585266198</v>
      </c>
      <c r="K365" s="103">
        <f t="shared" si="5"/>
        <v>0.26136294147338024</v>
      </c>
      <c r="L365" s="80">
        <v>46179</v>
      </c>
      <c r="M365" s="78" t="s">
        <v>1883</v>
      </c>
    </row>
    <row r="366" spans="1:13" ht="15" customHeight="1" x14ac:dyDescent="0.3">
      <c r="A366" s="60" t="s">
        <v>2595</v>
      </c>
      <c r="B366" s="97" t="s">
        <v>2596</v>
      </c>
      <c r="C366" s="63" t="s">
        <v>415</v>
      </c>
      <c r="D366" s="66" t="str">
        <f>IFERROR(INDEX(M_User!$A$12:$J$67,MATCH(C366,M_User!$D$12:$D$67,0),3),"UNMAPPED")</f>
        <v>Joyline J Lyimo</v>
      </c>
      <c r="E366" s="65" t="str">
        <f>IFERROR(INDEX(M_User!$A$12:$J$67,MATCH(C366,M_User!$D$12:$D$67,0),5),"UNMAPPED")</f>
        <v>MOS</v>
      </c>
      <c r="F366" s="63" t="s">
        <v>183</v>
      </c>
      <c r="G366" s="66" t="str">
        <f>IFERROR(INDEX(M_SKU!$A$18:$J$57,MATCH(F366,M_SKU!$B$18:$B$57,0),1),"UNKNOWN SKU")</f>
        <v>Fanta Pineapple RGB 350ml</v>
      </c>
      <c r="H366" s="63" t="s">
        <v>533</v>
      </c>
      <c r="I366" s="98">
        <f>SUMIF(T_Load!$U$9:$U$439,B366,T_Load!$O$9:$O$439)</f>
        <v>12</v>
      </c>
      <c r="J366" s="98">
        <f>SUMIF(T_Sales!$O$9:$O$1164,B366,T_Sales!$L$9:$L$1164)</f>
        <v>12.520242185307008</v>
      </c>
      <c r="K366" s="99">
        <f t="shared" si="5"/>
        <v>-0.5202421853070085</v>
      </c>
      <c r="L366" s="62">
        <v>46179</v>
      </c>
      <c r="M366" s="68" t="s">
        <v>1883</v>
      </c>
    </row>
    <row r="367" spans="1:13" ht="15" customHeight="1" x14ac:dyDescent="0.3">
      <c r="A367" s="70" t="s">
        <v>2597</v>
      </c>
      <c r="B367" s="100" t="s">
        <v>2598</v>
      </c>
      <c r="C367" s="101" t="s">
        <v>415</v>
      </c>
      <c r="D367" s="76" t="str">
        <f>IFERROR(INDEX(M_User!$A$12:$J$67,MATCH(C367,M_User!$D$12:$D$67,0),3),"UNMAPPED")</f>
        <v>Joyline J Lyimo</v>
      </c>
      <c r="E367" s="75" t="str">
        <f>IFERROR(INDEX(M_User!$A$12:$J$67,MATCH(C367,M_User!$D$12:$D$67,0),5),"UNMAPPED")</f>
        <v>MOS</v>
      </c>
      <c r="F367" s="101" t="s">
        <v>185</v>
      </c>
      <c r="G367" s="76" t="str">
        <f>IFERROR(INDEX(M_SKU!$A$18:$J$57,MATCH(F367,M_SKU!$B$18:$B$57,0),1),"UNKNOWN SKU")</f>
        <v>Fanta Fruit Blast RGB 350 ml</v>
      </c>
      <c r="H367" s="101" t="s">
        <v>534</v>
      </c>
      <c r="I367" s="102">
        <f>SUMIF(T_Load!$U$9:$U$439,B367,T_Load!$O$9:$O$439)</f>
        <v>3</v>
      </c>
      <c r="J367" s="102">
        <f>SUMIF(T_Sales!$O$9:$O$1164,B367,T_Sales!$L$9:$L$1164)</f>
        <v>2.9874739937534995</v>
      </c>
      <c r="K367" s="103">
        <f t="shared" si="5"/>
        <v>1.2526006246500465E-2</v>
      </c>
      <c r="L367" s="80">
        <v>46179</v>
      </c>
      <c r="M367" s="78" t="s">
        <v>1883</v>
      </c>
    </row>
    <row r="368" spans="1:13" ht="15" customHeight="1" x14ac:dyDescent="0.3">
      <c r="A368" s="60" t="s">
        <v>2599</v>
      </c>
      <c r="B368" s="97" t="s">
        <v>2600</v>
      </c>
      <c r="C368" s="63" t="s">
        <v>415</v>
      </c>
      <c r="D368" s="66" t="str">
        <f>IFERROR(INDEX(M_User!$A$12:$J$67,MATCH(C368,M_User!$D$12:$D$67,0),3),"UNMAPPED")</f>
        <v>Joyline J Lyimo</v>
      </c>
      <c r="E368" s="65" t="str">
        <f>IFERROR(INDEX(M_User!$A$12:$J$67,MATCH(C368,M_User!$D$12:$D$67,0),5),"UNMAPPED")</f>
        <v>MOS</v>
      </c>
      <c r="F368" s="63" t="s">
        <v>187</v>
      </c>
      <c r="G368" s="66" t="str">
        <f>IFERROR(INDEX(M_SKU!$A$18:$J$57,MATCH(F368,M_SKU!$B$18:$B$57,0),1),"UNKNOWN SKU")</f>
        <v>Sprite 350ml</v>
      </c>
      <c r="H368" s="63" t="s">
        <v>535</v>
      </c>
      <c r="I368" s="98">
        <f>SUMIF(T_Load!$U$9:$U$439,B368,T_Load!$O$9:$O$439)</f>
        <v>15</v>
      </c>
      <c r="J368" s="98">
        <f>SUMIF(T_Sales!$O$9:$O$1164,B368,T_Sales!$L$9:$L$1164)</f>
        <v>15.323689945581229</v>
      </c>
      <c r="K368" s="99">
        <f t="shared" si="5"/>
        <v>-0.32368994558122921</v>
      </c>
      <c r="L368" s="62">
        <v>46179</v>
      </c>
      <c r="M368" s="68" t="s">
        <v>1883</v>
      </c>
    </row>
    <row r="369" spans="1:13" ht="15" customHeight="1" x14ac:dyDescent="0.3">
      <c r="A369" s="70" t="s">
        <v>2601</v>
      </c>
      <c r="B369" s="100" t="s">
        <v>2602</v>
      </c>
      <c r="C369" s="101" t="s">
        <v>415</v>
      </c>
      <c r="D369" s="76" t="str">
        <f>IFERROR(INDEX(M_User!$A$12:$J$67,MATCH(C369,M_User!$D$12:$D$67,0),3),"UNMAPPED")</f>
        <v>Joyline J Lyimo</v>
      </c>
      <c r="E369" s="75" t="str">
        <f>IFERROR(INDEX(M_User!$A$12:$J$67,MATCH(C369,M_User!$D$12:$D$67,0),5),"UNMAPPED")</f>
        <v>MOS</v>
      </c>
      <c r="F369" s="101" t="s">
        <v>190</v>
      </c>
      <c r="G369" s="76" t="str">
        <f>IFERROR(INDEX(M_SKU!$A$18:$J$57,MATCH(F369,M_SKU!$B$18:$B$57,0),1),"UNKNOWN SKU")</f>
        <v>Stoney Tangawizi RGB 350ml</v>
      </c>
      <c r="H369" s="101" t="s">
        <v>536</v>
      </c>
      <c r="I369" s="102">
        <f>SUMIF(T_Load!$U$9:$U$439,B369,T_Load!$O$9:$O$439)</f>
        <v>3</v>
      </c>
      <c r="J369" s="102">
        <f>SUMIF(T_Sales!$O$9:$O$1164,B369,T_Sales!$L$9:$L$1164)</f>
        <v>2.9357029411675799</v>
      </c>
      <c r="K369" s="103">
        <f t="shared" si="5"/>
        <v>6.4297058832420095E-2</v>
      </c>
      <c r="L369" s="80">
        <v>46179</v>
      </c>
      <c r="M369" s="78" t="s">
        <v>1883</v>
      </c>
    </row>
    <row r="370" spans="1:13" ht="15" customHeight="1" x14ac:dyDescent="0.3">
      <c r="A370" s="60" t="s">
        <v>2603</v>
      </c>
      <c r="B370" s="97" t="s">
        <v>2604</v>
      </c>
      <c r="C370" s="63" t="s">
        <v>415</v>
      </c>
      <c r="D370" s="66" t="str">
        <f>IFERROR(INDEX(M_User!$A$12:$J$67,MATCH(C370,M_User!$D$12:$D$67,0),3),"UNMAPPED")</f>
        <v>Joyline J Lyimo</v>
      </c>
      <c r="E370" s="65" t="str">
        <f>IFERROR(INDEX(M_User!$A$12:$J$67,MATCH(C370,M_User!$D$12:$D$67,0),5),"UNMAPPED")</f>
        <v>MOS</v>
      </c>
      <c r="F370" s="63" t="s">
        <v>193</v>
      </c>
      <c r="G370" s="66" t="str">
        <f>IFERROR(INDEX(M_SKU!$A$18:$J$57,MATCH(F370,M_SKU!$B$18:$B$57,0),1),"UNKNOWN SKU")</f>
        <v>Sparletta Pinenut RGB 350ml</v>
      </c>
      <c r="H370" s="63" t="s">
        <v>537</v>
      </c>
      <c r="I370" s="98">
        <f>SUMIF(T_Load!$U$9:$U$439,B370,T_Load!$O$9:$O$439)</f>
        <v>3</v>
      </c>
      <c r="J370" s="98">
        <f>SUMIF(T_Sales!$O$9:$O$1164,B370,T_Sales!$L$9:$L$1164)</f>
        <v>2.9223257795159099</v>
      </c>
      <c r="K370" s="99">
        <f t="shared" si="5"/>
        <v>7.7674220484090117E-2</v>
      </c>
      <c r="L370" s="62">
        <v>46179</v>
      </c>
      <c r="M370" s="68" t="s">
        <v>1883</v>
      </c>
    </row>
    <row r="371" spans="1:13" ht="15" customHeight="1" x14ac:dyDescent="0.3">
      <c r="A371" s="70" t="s">
        <v>2605</v>
      </c>
      <c r="B371" s="100" t="s">
        <v>2606</v>
      </c>
      <c r="C371" s="101" t="s">
        <v>415</v>
      </c>
      <c r="D371" s="76" t="str">
        <f>IFERROR(INDEX(M_User!$A$12:$J$67,MATCH(C371,M_User!$D$12:$D$67,0),3),"UNMAPPED")</f>
        <v>Joyline J Lyimo</v>
      </c>
      <c r="E371" s="75" t="str">
        <f>IFERROR(INDEX(M_User!$A$12:$J$67,MATCH(C371,M_User!$D$12:$D$67,0),5),"UNMAPPED")</f>
        <v>MOS</v>
      </c>
      <c r="F371" s="101" t="s">
        <v>196</v>
      </c>
      <c r="G371" s="76" t="str">
        <f>IFERROR(INDEX(M_SKU!$A$18:$J$57,MATCH(F371,M_SKU!$B$18:$B$57,0),1),"UNKNOWN SKU")</f>
        <v>Krest Bitter Lemon RGB 300ml</v>
      </c>
      <c r="H371" s="101" t="s">
        <v>538</v>
      </c>
      <c r="I371" s="102">
        <f>SUMIF(T_Load!$U$9:$U$439,B371,T_Load!$O$9:$O$439)</f>
        <v>2</v>
      </c>
      <c r="J371" s="102">
        <f>SUMIF(T_Sales!$O$9:$O$1164,B371,T_Sales!$L$9:$L$1164)</f>
        <v>1.9344894454211721</v>
      </c>
      <c r="K371" s="103">
        <f t="shared" si="5"/>
        <v>6.5510554578827929E-2</v>
      </c>
      <c r="L371" s="80">
        <v>46179</v>
      </c>
      <c r="M371" s="78" t="s">
        <v>1883</v>
      </c>
    </row>
    <row r="372" spans="1:13" ht="15" customHeight="1" x14ac:dyDescent="0.3">
      <c r="A372" s="60" t="s">
        <v>2607</v>
      </c>
      <c r="B372" s="97" t="s">
        <v>2608</v>
      </c>
      <c r="C372" s="63" t="s">
        <v>415</v>
      </c>
      <c r="D372" s="66" t="str">
        <f>IFERROR(INDEX(M_User!$A$12:$J$67,MATCH(C372,M_User!$D$12:$D$67,0),3),"UNMAPPED")</f>
        <v>Joyline J Lyimo</v>
      </c>
      <c r="E372" s="65" t="str">
        <f>IFERROR(INDEX(M_User!$A$12:$J$67,MATCH(C372,M_User!$D$12:$D$67,0),5),"UNMAPPED")</f>
        <v>MOS</v>
      </c>
      <c r="F372" s="63" t="s">
        <v>199</v>
      </c>
      <c r="G372" s="66" t="str">
        <f>IFERROR(INDEX(M_SKU!$A$18:$J$57,MATCH(F372,M_SKU!$B$18:$B$57,0),1),"UNKNOWN SKU")</f>
        <v>Krest Club Soda RGB 300ml</v>
      </c>
      <c r="H372" s="63" t="s">
        <v>539</v>
      </c>
      <c r="I372" s="98">
        <f>SUMIF(T_Load!$U$9:$U$439,B372,T_Load!$O$9:$O$439)</f>
        <v>2</v>
      </c>
      <c r="J372" s="98">
        <f>SUMIF(T_Sales!$O$9:$O$1164,B372,T_Sales!$L$9:$L$1164)</f>
        <v>1.9042360914696601</v>
      </c>
      <c r="K372" s="99">
        <f t="shared" si="5"/>
        <v>9.5763908530339892E-2</v>
      </c>
      <c r="L372" s="62">
        <v>46179</v>
      </c>
      <c r="M372" s="68" t="s">
        <v>1883</v>
      </c>
    </row>
    <row r="373" spans="1:13" ht="15" customHeight="1" x14ac:dyDescent="0.3">
      <c r="A373" s="70" t="s">
        <v>2609</v>
      </c>
      <c r="B373" s="100" t="s">
        <v>2610</v>
      </c>
      <c r="C373" s="101" t="s">
        <v>415</v>
      </c>
      <c r="D373" s="76" t="str">
        <f>IFERROR(INDEX(M_User!$A$12:$J$67,MATCH(C373,M_User!$D$12:$D$67,0),3),"UNMAPPED")</f>
        <v>Joyline J Lyimo</v>
      </c>
      <c r="E373" s="75" t="str">
        <f>IFERROR(INDEX(M_User!$A$12:$J$67,MATCH(C373,M_User!$D$12:$D$67,0),5),"UNMAPPED")</f>
        <v>MOS</v>
      </c>
      <c r="F373" s="101" t="s">
        <v>201</v>
      </c>
      <c r="G373" s="76" t="str">
        <f>IFERROR(INDEX(M_SKU!$A$18:$J$57,MATCH(F373,M_SKU!$B$18:$B$57,0),1),"UNKNOWN SKU")</f>
        <v>Krest Tonic Water RGB 300ml</v>
      </c>
      <c r="H373" s="101" t="s">
        <v>540</v>
      </c>
      <c r="I373" s="102">
        <f>SUMIF(T_Load!$U$9:$U$439,B373,T_Load!$O$9:$O$439)</f>
        <v>2</v>
      </c>
      <c r="J373" s="102">
        <f>SUMIF(T_Sales!$O$9:$O$1164,B373,T_Sales!$L$9:$L$1164)</f>
        <v>1.966624695920282</v>
      </c>
      <c r="K373" s="103">
        <f t="shared" si="5"/>
        <v>3.3375304079718005E-2</v>
      </c>
      <c r="L373" s="80">
        <v>46179</v>
      </c>
      <c r="M373" s="78" t="s">
        <v>1883</v>
      </c>
    </row>
    <row r="374" spans="1:13" ht="15" customHeight="1" x14ac:dyDescent="0.3">
      <c r="A374" s="60" t="s">
        <v>2611</v>
      </c>
      <c r="B374" s="97" t="s">
        <v>2612</v>
      </c>
      <c r="C374" s="63" t="s">
        <v>415</v>
      </c>
      <c r="D374" s="66" t="str">
        <f>IFERROR(INDEX(M_User!$A$12:$J$67,MATCH(C374,M_User!$D$12:$D$67,0),3),"UNMAPPED")</f>
        <v>Joyline J Lyimo</v>
      </c>
      <c r="E374" s="65" t="str">
        <f>IFERROR(INDEX(M_User!$A$12:$J$67,MATCH(C374,M_User!$D$12:$D$67,0),5),"UNMAPPED")</f>
        <v>MOS</v>
      </c>
      <c r="F374" s="63" t="s">
        <v>203</v>
      </c>
      <c r="G374" s="66" t="str">
        <f>IFERROR(INDEX(M_SKU!$A$18:$J$57,MATCH(F374,M_SKU!$B$18:$B$57,0),1),"UNKNOWN SKU")</f>
        <v>Krest Ginger Ale RGB 300ml</v>
      </c>
      <c r="H374" s="63" t="s">
        <v>541</v>
      </c>
      <c r="I374" s="98">
        <f>SUMIF(T_Load!$U$9:$U$439,B374,T_Load!$O$9:$O$439)</f>
        <v>2</v>
      </c>
      <c r="J374" s="98">
        <f>SUMIF(T_Sales!$O$9:$O$1164,B374,T_Sales!$L$9:$L$1164)</f>
        <v>1.9632625399673449</v>
      </c>
      <c r="K374" s="99">
        <f t="shared" si="5"/>
        <v>3.67374600326551E-2</v>
      </c>
      <c r="L374" s="62">
        <v>46179</v>
      </c>
      <c r="M374" s="68" t="s">
        <v>1883</v>
      </c>
    </row>
    <row r="375" spans="1:13" ht="15" customHeight="1" x14ac:dyDescent="0.3">
      <c r="A375" s="70" t="s">
        <v>2613</v>
      </c>
      <c r="B375" s="100" t="s">
        <v>2614</v>
      </c>
      <c r="C375" s="101" t="s">
        <v>415</v>
      </c>
      <c r="D375" s="76" t="str">
        <f>IFERROR(INDEX(M_User!$A$12:$J$67,MATCH(C375,M_User!$D$12:$D$67,0),3),"UNMAPPED")</f>
        <v>Joyline J Lyimo</v>
      </c>
      <c r="E375" s="75" t="str">
        <f>IFERROR(INDEX(M_User!$A$12:$J$67,MATCH(C375,M_User!$D$12:$D$67,0),5),"UNMAPPED")</f>
        <v>MOS</v>
      </c>
      <c r="F375" s="101" t="s">
        <v>211</v>
      </c>
      <c r="G375" s="76" t="str">
        <f>IFERROR(INDEX(M_SKU!$A$18:$J$57,MATCH(F375,M_SKU!$B$18:$B$57,0),1),"UNKNOWN SKU")</f>
        <v>KNMW 500ml</v>
      </c>
      <c r="H375" s="101" t="s">
        <v>543</v>
      </c>
      <c r="I375" s="102">
        <f>SUMIF(T_Load!$U$9:$U$439,B375,T_Load!$O$9:$O$439)</f>
        <v>120</v>
      </c>
      <c r="J375" s="102">
        <f>SUMIF(T_Sales!$O$9:$O$1164,B375,T_Sales!$L$9:$L$1164)</f>
        <v>118</v>
      </c>
      <c r="K375" s="103">
        <f t="shared" si="5"/>
        <v>2</v>
      </c>
      <c r="L375" s="80">
        <v>46179</v>
      </c>
      <c r="M375" s="78" t="s">
        <v>1883</v>
      </c>
    </row>
    <row r="376" spans="1:13" ht="15" customHeight="1" x14ac:dyDescent="0.3">
      <c r="A376" s="60" t="s">
        <v>2615</v>
      </c>
      <c r="B376" s="97" t="s">
        <v>2616</v>
      </c>
      <c r="C376" s="63" t="s">
        <v>415</v>
      </c>
      <c r="D376" s="66" t="str">
        <f>IFERROR(INDEX(M_User!$A$12:$J$67,MATCH(C376,M_User!$D$12:$D$67,0),3),"UNMAPPED")</f>
        <v>Joyline J Lyimo</v>
      </c>
      <c r="E376" s="65" t="str">
        <f>IFERROR(INDEX(M_User!$A$12:$J$67,MATCH(C376,M_User!$D$12:$D$67,0),5),"UNMAPPED")</f>
        <v>MOS</v>
      </c>
      <c r="F376" s="63" t="s">
        <v>217</v>
      </c>
      <c r="G376" s="66" t="str">
        <f>IFERROR(INDEX(M_SKU!$A$18:$J$57,MATCH(F376,M_SKU!$B$18:$B$57,0),1),"UNKNOWN SKU")</f>
        <v>KNMW 1500ml</v>
      </c>
      <c r="H376" s="63" t="s">
        <v>551</v>
      </c>
      <c r="I376" s="98">
        <f>SUMIF(T_Load!$U$9:$U$439,B376,T_Load!$O$9:$O$439)</f>
        <v>90</v>
      </c>
      <c r="J376" s="98">
        <f>SUMIF(T_Sales!$O$9:$O$1164,B376,T_Sales!$L$9:$L$1164)</f>
        <v>93</v>
      </c>
      <c r="K376" s="99">
        <f t="shared" si="5"/>
        <v>-3</v>
      </c>
      <c r="L376" s="62">
        <v>46179</v>
      </c>
      <c r="M376" s="68" t="s">
        <v>1883</v>
      </c>
    </row>
    <row r="377" spans="1:13" ht="15" customHeight="1" x14ac:dyDescent="0.3">
      <c r="A377" s="70" t="s">
        <v>2617</v>
      </c>
      <c r="B377" s="100" t="s">
        <v>2618</v>
      </c>
      <c r="C377" s="101" t="s">
        <v>415</v>
      </c>
      <c r="D377" s="76" t="str">
        <f>IFERROR(INDEX(M_User!$A$12:$J$67,MATCH(C377,M_User!$D$12:$D$67,0),3),"UNMAPPED")</f>
        <v>Joyline J Lyimo</v>
      </c>
      <c r="E377" s="75" t="str">
        <f>IFERROR(INDEX(M_User!$A$12:$J$67,MATCH(C377,M_User!$D$12:$D$67,0),5),"UNMAPPED")</f>
        <v>MOS</v>
      </c>
      <c r="F377" s="101" t="s">
        <v>229</v>
      </c>
      <c r="G377" s="76" t="str">
        <f>IFERROR(INDEX(M_SKU!$A$18:$J$57,MATCH(F377,M_SKU!$B$18:$B$57,0),1),"UNKNOWN SKU")</f>
        <v>Coke Pet 500ML ( x12)</v>
      </c>
      <c r="H377" s="101" t="s">
        <v>520</v>
      </c>
      <c r="I377" s="102">
        <f>SUMIF(T_Load!$U$9:$U$439,B377,T_Load!$O$9:$O$439)</f>
        <v>70</v>
      </c>
      <c r="J377" s="102">
        <f>SUMIF(T_Sales!$O$9:$O$1164,B377,T_Sales!$L$9:$L$1164)</f>
        <v>73</v>
      </c>
      <c r="K377" s="103">
        <f t="shared" si="5"/>
        <v>-3</v>
      </c>
      <c r="L377" s="80">
        <v>46179</v>
      </c>
      <c r="M377" s="78" t="s">
        <v>1883</v>
      </c>
    </row>
    <row r="378" spans="1:13" ht="15" customHeight="1" x14ac:dyDescent="0.3">
      <c r="A378" s="60" t="s">
        <v>2619</v>
      </c>
      <c r="B378" s="97" t="s">
        <v>2620</v>
      </c>
      <c r="C378" s="63" t="s">
        <v>415</v>
      </c>
      <c r="D378" s="66" t="str">
        <f>IFERROR(INDEX(M_User!$A$12:$J$67,MATCH(C378,M_User!$D$12:$D$67,0),3),"UNMAPPED")</f>
        <v>Joyline J Lyimo</v>
      </c>
      <c r="E378" s="65" t="str">
        <f>IFERROR(INDEX(M_User!$A$12:$J$67,MATCH(C378,M_User!$D$12:$D$67,0),5),"UNMAPPED")</f>
        <v>MOS</v>
      </c>
      <c r="F378" s="63" t="s">
        <v>232</v>
      </c>
      <c r="G378" s="66" t="str">
        <f>IFERROR(INDEX(M_SKU!$A$18:$J$57,MATCH(F378,M_SKU!$B$18:$B$57,0),1),"UNKNOWN SKU")</f>
        <v>Sprite Pet 500ML (x 12)</v>
      </c>
      <c r="H378" s="63" t="s">
        <v>522</v>
      </c>
      <c r="I378" s="98">
        <f>SUMIF(T_Load!$U$9:$U$439,B378,T_Load!$O$9:$O$439)</f>
        <v>15</v>
      </c>
      <c r="J378" s="98">
        <f>SUMIF(T_Sales!$O$9:$O$1164,B378,T_Sales!$L$9:$L$1164)</f>
        <v>15</v>
      </c>
      <c r="K378" s="99">
        <f t="shared" si="5"/>
        <v>0</v>
      </c>
      <c r="L378" s="62">
        <v>46179</v>
      </c>
      <c r="M378" s="68" t="s">
        <v>1883</v>
      </c>
    </row>
    <row r="379" spans="1:13" ht="15" customHeight="1" x14ac:dyDescent="0.3">
      <c r="A379" s="70" t="s">
        <v>2621</v>
      </c>
      <c r="B379" s="100" t="s">
        <v>2622</v>
      </c>
      <c r="C379" s="101" t="s">
        <v>415</v>
      </c>
      <c r="D379" s="76" t="str">
        <f>IFERROR(INDEX(M_User!$A$12:$J$67,MATCH(C379,M_User!$D$12:$D$67,0),3),"UNMAPPED")</f>
        <v>Joyline J Lyimo</v>
      </c>
      <c r="E379" s="75" t="str">
        <f>IFERROR(INDEX(M_User!$A$12:$J$67,MATCH(C379,M_User!$D$12:$D$67,0),5),"UNMAPPED")</f>
        <v>MOS</v>
      </c>
      <c r="F379" s="101" t="s">
        <v>234</v>
      </c>
      <c r="G379" s="76" t="str">
        <f>IFERROR(INDEX(M_SKU!$A$18:$J$57,MATCH(F379,M_SKU!$B$18:$B$57,0),1),"UNKNOWN SKU")</f>
        <v>Fanta Orange Pet 500ML ( x 12)</v>
      </c>
      <c r="H379" s="101" t="s">
        <v>523</v>
      </c>
      <c r="I379" s="102">
        <f>SUMIF(T_Load!$U$9:$U$439,B379,T_Load!$O$9:$O$439)</f>
        <v>40</v>
      </c>
      <c r="J379" s="102">
        <f>SUMIF(T_Sales!$O$9:$O$1164,B379,T_Sales!$L$9:$L$1164)</f>
        <v>38</v>
      </c>
      <c r="K379" s="103">
        <f t="shared" si="5"/>
        <v>2</v>
      </c>
      <c r="L379" s="80">
        <v>46179</v>
      </c>
      <c r="M379" s="78" t="s">
        <v>1883</v>
      </c>
    </row>
    <row r="380" spans="1:13" ht="15" customHeight="1" x14ac:dyDescent="0.3">
      <c r="A380" s="60" t="s">
        <v>2623</v>
      </c>
      <c r="B380" s="97" t="s">
        <v>2624</v>
      </c>
      <c r="C380" s="63" t="s">
        <v>415</v>
      </c>
      <c r="D380" s="66" t="str">
        <f>IFERROR(INDEX(M_User!$A$12:$J$67,MATCH(C380,M_User!$D$12:$D$67,0),3),"UNMAPPED")</f>
        <v>Joyline J Lyimo</v>
      </c>
      <c r="E380" s="65" t="str">
        <f>IFERROR(INDEX(M_User!$A$12:$J$67,MATCH(C380,M_User!$D$12:$D$67,0),5),"UNMAPPED")</f>
        <v>MOS</v>
      </c>
      <c r="F380" s="63" t="s">
        <v>236</v>
      </c>
      <c r="G380" s="66" t="str">
        <f>IFERROR(INDEX(M_SKU!$A$18:$J$57,MATCH(F380,M_SKU!$B$18:$B$57,0),1),"UNKNOWN SKU")</f>
        <v>Fanta Passion Pet 500ML ( x12)</v>
      </c>
      <c r="H380" s="63" t="s">
        <v>524</v>
      </c>
      <c r="I380" s="98">
        <f>SUMIF(T_Load!$U$9:$U$439,B380,T_Load!$O$9:$O$439)</f>
        <v>15</v>
      </c>
      <c r="J380" s="98">
        <f>SUMIF(T_Sales!$O$9:$O$1164,B380,T_Sales!$L$9:$L$1164)</f>
        <v>15</v>
      </c>
      <c r="K380" s="99">
        <f t="shared" si="5"/>
        <v>0</v>
      </c>
      <c r="L380" s="62">
        <v>46179</v>
      </c>
      <c r="M380" s="68" t="s">
        <v>1883</v>
      </c>
    </row>
    <row r="381" spans="1:13" ht="15" customHeight="1" x14ac:dyDescent="0.3">
      <c r="A381" s="70" t="s">
        <v>2625</v>
      </c>
      <c r="B381" s="100" t="s">
        <v>2626</v>
      </c>
      <c r="C381" s="101" t="s">
        <v>415</v>
      </c>
      <c r="D381" s="76" t="str">
        <f>IFERROR(INDEX(M_User!$A$12:$J$67,MATCH(C381,M_User!$D$12:$D$67,0),3),"UNMAPPED")</f>
        <v>Joyline J Lyimo</v>
      </c>
      <c r="E381" s="75" t="str">
        <f>IFERROR(INDEX(M_User!$A$12:$J$67,MATCH(C381,M_User!$D$12:$D$67,0),5),"UNMAPPED")</f>
        <v>MOS</v>
      </c>
      <c r="F381" s="101" t="s">
        <v>242</v>
      </c>
      <c r="G381" s="76" t="str">
        <f>IFERROR(INDEX(M_SKU!$A$18:$J$57,MATCH(F381,M_SKU!$B$18:$B$57,0),1),"UNKNOWN SKU")</f>
        <v>Stoney Tangawizi Pet 500 ml ( x12)</v>
      </c>
      <c r="H381" s="101" t="s">
        <v>525</v>
      </c>
      <c r="I381" s="102">
        <f>SUMIF(T_Load!$U$9:$U$439,B381,T_Load!$O$9:$O$439)</f>
        <v>5</v>
      </c>
      <c r="J381" s="102">
        <f>SUMIF(T_Sales!$O$9:$O$1164,B381,T_Sales!$L$9:$L$1164)</f>
        <v>5</v>
      </c>
      <c r="K381" s="103">
        <f t="shared" si="5"/>
        <v>0</v>
      </c>
      <c r="L381" s="80">
        <v>46179</v>
      </c>
      <c r="M381" s="78" t="s">
        <v>1883</v>
      </c>
    </row>
    <row r="382" spans="1:13" ht="15" customHeight="1" x14ac:dyDescent="0.3">
      <c r="A382" s="60" t="s">
        <v>2627</v>
      </c>
      <c r="B382" s="97" t="s">
        <v>2628</v>
      </c>
      <c r="C382" s="63" t="s">
        <v>415</v>
      </c>
      <c r="D382" s="66" t="str">
        <f>IFERROR(INDEX(M_User!$A$12:$J$67,MATCH(C382,M_User!$D$12:$D$67,0),3),"UNMAPPED")</f>
        <v>Joyline J Lyimo</v>
      </c>
      <c r="E382" s="65" t="str">
        <f>IFERROR(INDEX(M_User!$A$12:$J$67,MATCH(C382,M_User!$D$12:$D$67,0),5),"UNMAPPED")</f>
        <v>MOS</v>
      </c>
      <c r="F382" s="63" t="s">
        <v>244</v>
      </c>
      <c r="G382" s="66" t="str">
        <f>IFERROR(INDEX(M_SKU!$A$18:$J$57,MATCH(F382,M_SKU!$B$18:$B$57,0),1),"UNKNOWN SKU")</f>
        <v>Sparletta Pinenut Pet 500 ml ( x12)</v>
      </c>
      <c r="H382" s="63" t="s">
        <v>526</v>
      </c>
      <c r="I382" s="98">
        <f>SUMIF(T_Load!$U$9:$U$439,B382,T_Load!$O$9:$O$439)</f>
        <v>5</v>
      </c>
      <c r="J382" s="98">
        <f>SUMIF(T_Sales!$O$9:$O$1164,B382,T_Sales!$L$9:$L$1164)</f>
        <v>5</v>
      </c>
      <c r="K382" s="99">
        <f t="shared" si="5"/>
        <v>0</v>
      </c>
      <c r="L382" s="62">
        <v>46179</v>
      </c>
      <c r="M382" s="68" t="s">
        <v>1883</v>
      </c>
    </row>
    <row r="383" spans="1:13" ht="15" customHeight="1" x14ac:dyDescent="0.3">
      <c r="A383" s="70" t="s">
        <v>2629</v>
      </c>
      <c r="B383" s="100" t="s">
        <v>2630</v>
      </c>
      <c r="C383" s="101" t="s">
        <v>415</v>
      </c>
      <c r="D383" s="76" t="str">
        <f>IFERROR(INDEX(M_User!$A$12:$J$67,MATCH(C383,M_User!$D$12:$D$67,0),3),"UNMAPPED")</f>
        <v>Joyline J Lyimo</v>
      </c>
      <c r="E383" s="75" t="str">
        <f>IFERROR(INDEX(M_User!$A$12:$J$67,MATCH(C383,M_User!$D$12:$D$67,0),5),"UNMAPPED")</f>
        <v>MOS</v>
      </c>
      <c r="F383" s="101" t="s">
        <v>252</v>
      </c>
      <c r="G383" s="76" t="str">
        <f>IFERROR(INDEX(M_SKU!$A$18:$J$57,MATCH(F383,M_SKU!$B$18:$B$57,0),1),"UNKNOWN SKU")</f>
        <v>Sprite Zero Pet 300ML (x 12)</v>
      </c>
      <c r="H383" s="101" t="s">
        <v>545</v>
      </c>
      <c r="I383" s="102">
        <f>SUMIF(T_Load!$U$9:$U$439,B383,T_Load!$O$9:$O$439)</f>
        <v>5</v>
      </c>
      <c r="J383" s="102">
        <f>SUMIF(T_Sales!$O$9:$O$1164,B383,T_Sales!$L$9:$L$1164)</f>
        <v>5</v>
      </c>
      <c r="K383" s="103">
        <f t="shared" si="5"/>
        <v>0</v>
      </c>
      <c r="L383" s="80">
        <v>46179</v>
      </c>
      <c r="M383" s="78" t="s">
        <v>1883</v>
      </c>
    </row>
    <row r="384" spans="1:13" ht="15" customHeight="1" x14ac:dyDescent="0.3">
      <c r="A384" s="60" t="s">
        <v>2631</v>
      </c>
      <c r="B384" s="97" t="s">
        <v>2632</v>
      </c>
      <c r="C384" s="63" t="s">
        <v>415</v>
      </c>
      <c r="D384" s="66" t="str">
        <f>IFERROR(INDEX(M_User!$A$12:$J$67,MATCH(C384,M_User!$D$12:$D$67,0),3),"UNMAPPED")</f>
        <v>Joyline J Lyimo</v>
      </c>
      <c r="E384" s="65" t="str">
        <f>IFERROR(INDEX(M_User!$A$12:$J$67,MATCH(C384,M_User!$D$12:$D$67,0),5),"UNMAPPED")</f>
        <v>MOS</v>
      </c>
      <c r="F384" s="63" t="s">
        <v>254</v>
      </c>
      <c r="G384" s="66" t="str">
        <f>IFERROR(INDEX(M_SKU!$A$18:$J$57,MATCH(F384,M_SKU!$B$18:$B$57,0),1),"UNKNOWN SKU")</f>
        <v>Fanta Zero Pet 300ML (x 12)</v>
      </c>
      <c r="H384" s="63" t="s">
        <v>546</v>
      </c>
      <c r="I384" s="98">
        <f>SUMIF(T_Load!$U$9:$U$439,B384,T_Load!$O$9:$O$439)</f>
        <v>5</v>
      </c>
      <c r="J384" s="98">
        <f>SUMIF(T_Sales!$O$9:$O$1164,B384,T_Sales!$L$9:$L$1164)</f>
        <v>5</v>
      </c>
      <c r="K384" s="99">
        <f t="shared" si="5"/>
        <v>0</v>
      </c>
      <c r="L384" s="62">
        <v>46179</v>
      </c>
      <c r="M384" s="68" t="s">
        <v>1883</v>
      </c>
    </row>
    <row r="385" spans="1:13" ht="15" customHeight="1" x14ac:dyDescent="0.3">
      <c r="A385" s="70" t="s">
        <v>2633</v>
      </c>
      <c r="B385" s="100" t="s">
        <v>2634</v>
      </c>
      <c r="C385" s="101" t="s">
        <v>415</v>
      </c>
      <c r="D385" s="76" t="str">
        <f>IFERROR(INDEX(M_User!$A$12:$J$67,MATCH(C385,M_User!$D$12:$D$67,0),3),"UNMAPPED")</f>
        <v>Joyline J Lyimo</v>
      </c>
      <c r="E385" s="75" t="str">
        <f>IFERROR(INDEX(M_User!$A$12:$J$67,MATCH(C385,M_User!$D$12:$D$67,0),5),"UNMAPPED")</f>
        <v>MOS</v>
      </c>
      <c r="F385" s="101" t="s">
        <v>261</v>
      </c>
      <c r="G385" s="76" t="str">
        <f>IFERROR(INDEX(M_SKU!$A$18:$J$57,MATCH(F385,M_SKU!$B$18:$B$57,0),1),"UNKNOWN SKU")</f>
        <v>Sparletta Pine Apple Pet 300ML (x 12)</v>
      </c>
      <c r="H385" s="101" t="s">
        <v>547</v>
      </c>
      <c r="I385" s="102">
        <f>SUMIF(T_Load!$U$9:$U$439,B385,T_Load!$O$9:$O$439)</f>
        <v>20</v>
      </c>
      <c r="J385" s="102">
        <f>SUMIF(T_Sales!$O$9:$O$1164,B385,T_Sales!$L$9:$L$1164)</f>
        <v>20</v>
      </c>
      <c r="K385" s="103">
        <f t="shared" si="5"/>
        <v>0</v>
      </c>
      <c r="L385" s="80">
        <v>46179</v>
      </c>
      <c r="M385" s="78" t="s">
        <v>1883</v>
      </c>
    </row>
    <row r="386" spans="1:13" ht="15" customHeight="1" x14ac:dyDescent="0.3">
      <c r="A386" s="60" t="s">
        <v>2635</v>
      </c>
      <c r="B386" s="97" t="s">
        <v>2636</v>
      </c>
      <c r="C386" s="63" t="s">
        <v>401</v>
      </c>
      <c r="D386" s="66" t="str">
        <f>IFERROR(INDEX(M_User!$A$12:$J$67,MATCH(C386,M_User!$D$12:$D$67,0),3),"UNMAPPED")</f>
        <v>Alice Jonathan Mfuru</v>
      </c>
      <c r="E386" s="65" t="str">
        <f>IFERROR(INDEX(M_User!$A$12:$J$67,MATCH(C386,M_User!$D$12:$D$67,0),5),"UNMAPPED")</f>
        <v>MOS</v>
      </c>
      <c r="F386" s="63" t="s">
        <v>170</v>
      </c>
      <c r="G386" s="66" t="str">
        <f>IFERROR(INDEX(M_SKU!$A$18:$J$57,MATCH(F386,M_SKU!$B$18:$B$57,0),1),"UNKNOWN SKU")</f>
        <v>Coke RGB 350ml</v>
      </c>
      <c r="H386" s="63" t="s">
        <v>530</v>
      </c>
      <c r="I386" s="98">
        <f>SUMIF(T_Load!$U$9:$U$439,B386,T_Load!$O$9:$O$439)</f>
        <v>65</v>
      </c>
      <c r="J386" s="98">
        <f>SUMIF(T_Sales!$O$9:$O$1164,B386,T_Sales!$L$9:$L$1164)</f>
        <v>58.570090999357106</v>
      </c>
      <c r="K386" s="99">
        <f t="shared" si="5"/>
        <v>6.4299090006428941</v>
      </c>
      <c r="L386" s="62">
        <v>46179</v>
      </c>
      <c r="M386" s="68" t="s">
        <v>1883</v>
      </c>
    </row>
    <row r="387" spans="1:13" ht="15" customHeight="1" x14ac:dyDescent="0.3">
      <c r="A387" s="70" t="s">
        <v>2637</v>
      </c>
      <c r="B387" s="100" t="s">
        <v>2638</v>
      </c>
      <c r="C387" s="101" t="s">
        <v>401</v>
      </c>
      <c r="D387" s="76" t="str">
        <f>IFERROR(INDEX(M_User!$A$12:$J$67,MATCH(C387,M_User!$D$12:$D$67,0),3),"UNMAPPED")</f>
        <v>Alice Jonathan Mfuru</v>
      </c>
      <c r="E387" s="75" t="str">
        <f>IFERROR(INDEX(M_User!$A$12:$J$67,MATCH(C387,M_User!$D$12:$D$67,0),5),"UNMAPPED")</f>
        <v>MOS</v>
      </c>
      <c r="F387" s="101" t="s">
        <v>178</v>
      </c>
      <c r="G387" s="76" t="str">
        <f>IFERROR(INDEX(M_SKU!$A$18:$J$57,MATCH(F387,M_SKU!$B$18:$B$57,0),1),"UNKNOWN SKU")</f>
        <v>Fanta Orange RGB 350ml</v>
      </c>
      <c r="H387" s="101" t="s">
        <v>531</v>
      </c>
      <c r="I387" s="102">
        <f>SUMIF(T_Load!$U$9:$U$439,B387,T_Load!$O$9:$O$439)</f>
        <v>15</v>
      </c>
      <c r="J387" s="102">
        <f>SUMIF(T_Sales!$O$9:$O$1164,B387,T_Sales!$L$9:$L$1164)</f>
        <v>13.641339277444569</v>
      </c>
      <c r="K387" s="103">
        <f t="shared" si="5"/>
        <v>1.358660722555431</v>
      </c>
      <c r="L387" s="80">
        <v>46179</v>
      </c>
      <c r="M387" s="78" t="s">
        <v>1883</v>
      </c>
    </row>
    <row r="388" spans="1:13" ht="15" customHeight="1" x14ac:dyDescent="0.3">
      <c r="A388" s="60" t="s">
        <v>2639</v>
      </c>
      <c r="B388" s="97" t="s">
        <v>2640</v>
      </c>
      <c r="C388" s="63" t="s">
        <v>401</v>
      </c>
      <c r="D388" s="66" t="str">
        <f>IFERROR(INDEX(M_User!$A$12:$J$67,MATCH(C388,M_User!$D$12:$D$67,0),3),"UNMAPPED")</f>
        <v>Alice Jonathan Mfuru</v>
      </c>
      <c r="E388" s="65" t="str">
        <f>IFERROR(INDEX(M_User!$A$12:$J$67,MATCH(C388,M_User!$D$12:$D$67,0),5),"UNMAPPED")</f>
        <v>MOS</v>
      </c>
      <c r="F388" s="63" t="s">
        <v>181</v>
      </c>
      <c r="G388" s="66" t="str">
        <f>IFERROR(INDEX(M_SKU!$A$18:$J$57,MATCH(F388,M_SKU!$B$18:$B$57,0),1),"UNKNOWN SKU")</f>
        <v>Fanta Passion RGB 350ml</v>
      </c>
      <c r="H388" s="63" t="s">
        <v>550</v>
      </c>
      <c r="I388" s="98">
        <f>SUMIF(T_Load!$U$9:$U$439,B388,T_Load!$O$9:$O$439)</f>
        <v>8</v>
      </c>
      <c r="J388" s="98">
        <f>SUMIF(T_Sales!$O$9:$O$1164,B388,T_Sales!$L$9:$L$1164)</f>
        <v>6.5269874953417606</v>
      </c>
      <c r="K388" s="99">
        <f t="shared" si="5"/>
        <v>1.4730125046582394</v>
      </c>
      <c r="L388" s="62">
        <v>46179</v>
      </c>
      <c r="M388" s="68" t="s">
        <v>1883</v>
      </c>
    </row>
    <row r="389" spans="1:13" ht="15" customHeight="1" x14ac:dyDescent="0.3">
      <c r="A389" s="70" t="s">
        <v>2641</v>
      </c>
      <c r="B389" s="100" t="s">
        <v>2642</v>
      </c>
      <c r="C389" s="101" t="s">
        <v>401</v>
      </c>
      <c r="D389" s="76" t="str">
        <f>IFERROR(INDEX(M_User!$A$12:$J$67,MATCH(C389,M_User!$D$12:$D$67,0),3),"UNMAPPED")</f>
        <v>Alice Jonathan Mfuru</v>
      </c>
      <c r="E389" s="75" t="str">
        <f>IFERROR(INDEX(M_User!$A$12:$J$67,MATCH(C389,M_User!$D$12:$D$67,0),5),"UNMAPPED")</f>
        <v>MOS</v>
      </c>
      <c r="F389" s="101" t="s">
        <v>183</v>
      </c>
      <c r="G389" s="76" t="str">
        <f>IFERROR(INDEX(M_SKU!$A$18:$J$57,MATCH(F389,M_SKU!$B$18:$B$57,0),1),"UNKNOWN SKU")</f>
        <v>Fanta Pineapple RGB 350ml</v>
      </c>
      <c r="H389" s="101" t="s">
        <v>533</v>
      </c>
      <c r="I389" s="102">
        <f>SUMIF(T_Load!$U$9:$U$439,B389,T_Load!$O$9:$O$439)</f>
        <v>8</v>
      </c>
      <c r="J389" s="102">
        <f>SUMIF(T_Sales!$O$9:$O$1164,B389,T_Sales!$L$9:$L$1164)</f>
        <v>6.7465688075401697</v>
      </c>
      <c r="K389" s="103">
        <f t="shared" si="5"/>
        <v>1.2534311924598303</v>
      </c>
      <c r="L389" s="80">
        <v>46179</v>
      </c>
      <c r="M389" s="78" t="s">
        <v>1883</v>
      </c>
    </row>
    <row r="390" spans="1:13" ht="15" customHeight="1" x14ac:dyDescent="0.3">
      <c r="A390" s="60" t="s">
        <v>2643</v>
      </c>
      <c r="B390" s="97" t="s">
        <v>2644</v>
      </c>
      <c r="C390" s="63" t="s">
        <v>401</v>
      </c>
      <c r="D390" s="66" t="str">
        <f>IFERROR(INDEX(M_User!$A$12:$J$67,MATCH(C390,M_User!$D$12:$D$67,0),3),"UNMAPPED")</f>
        <v>Alice Jonathan Mfuru</v>
      </c>
      <c r="E390" s="65" t="str">
        <f>IFERROR(INDEX(M_User!$A$12:$J$67,MATCH(C390,M_User!$D$12:$D$67,0),5),"UNMAPPED")</f>
        <v>MOS</v>
      </c>
      <c r="F390" s="63" t="s">
        <v>185</v>
      </c>
      <c r="G390" s="66" t="str">
        <f>IFERROR(INDEX(M_SKU!$A$18:$J$57,MATCH(F390,M_SKU!$B$18:$B$57,0),1),"UNKNOWN SKU")</f>
        <v>Fanta Fruit Blast RGB 350 ml</v>
      </c>
      <c r="H390" s="63" t="s">
        <v>534</v>
      </c>
      <c r="I390" s="98">
        <f>SUMIF(T_Load!$U$9:$U$439,B390,T_Load!$O$9:$O$439)</f>
        <v>3</v>
      </c>
      <c r="J390" s="98">
        <f>SUMIF(T_Sales!$O$9:$O$1164,B390,T_Sales!$L$9:$L$1164)</f>
        <v>2.6078892832600391</v>
      </c>
      <c r="K390" s="99">
        <f t="shared" si="5"/>
        <v>0.3921107167399609</v>
      </c>
      <c r="L390" s="62">
        <v>46179</v>
      </c>
      <c r="M390" s="68" t="s">
        <v>1883</v>
      </c>
    </row>
    <row r="391" spans="1:13" ht="15" customHeight="1" x14ac:dyDescent="0.3">
      <c r="A391" s="70" t="s">
        <v>2645</v>
      </c>
      <c r="B391" s="100" t="s">
        <v>2646</v>
      </c>
      <c r="C391" s="101" t="s">
        <v>401</v>
      </c>
      <c r="D391" s="76" t="str">
        <f>IFERROR(INDEX(M_User!$A$12:$J$67,MATCH(C391,M_User!$D$12:$D$67,0),3),"UNMAPPED")</f>
        <v>Alice Jonathan Mfuru</v>
      </c>
      <c r="E391" s="75" t="str">
        <f>IFERROR(INDEX(M_User!$A$12:$J$67,MATCH(C391,M_User!$D$12:$D$67,0),5),"UNMAPPED")</f>
        <v>MOS</v>
      </c>
      <c r="F391" s="101" t="s">
        <v>187</v>
      </c>
      <c r="G391" s="76" t="str">
        <f>IFERROR(INDEX(M_SKU!$A$18:$J$57,MATCH(F391,M_SKU!$B$18:$B$57,0),1),"UNKNOWN SKU")</f>
        <v>Sprite 350ml</v>
      </c>
      <c r="H391" s="101" t="s">
        <v>535</v>
      </c>
      <c r="I391" s="102">
        <f>SUMIF(T_Load!$U$9:$U$439,B391,T_Load!$O$9:$O$439)</f>
        <v>8</v>
      </c>
      <c r="J391" s="102">
        <f>SUMIF(T_Sales!$O$9:$O$1164,B391,T_Sales!$L$9:$L$1164)</f>
        <v>6.8907688492917494</v>
      </c>
      <c r="K391" s="103">
        <f t="shared" si="5"/>
        <v>1.1092311507082506</v>
      </c>
      <c r="L391" s="80">
        <v>46179</v>
      </c>
      <c r="M391" s="78" t="s">
        <v>1883</v>
      </c>
    </row>
    <row r="392" spans="1:13" ht="15" customHeight="1" x14ac:dyDescent="0.3">
      <c r="A392" s="60" t="s">
        <v>2647</v>
      </c>
      <c r="B392" s="97" t="s">
        <v>2648</v>
      </c>
      <c r="C392" s="63" t="s">
        <v>401</v>
      </c>
      <c r="D392" s="66" t="str">
        <f>IFERROR(INDEX(M_User!$A$12:$J$67,MATCH(C392,M_User!$D$12:$D$67,0),3),"UNMAPPED")</f>
        <v>Alice Jonathan Mfuru</v>
      </c>
      <c r="E392" s="65" t="str">
        <f>IFERROR(INDEX(M_User!$A$12:$J$67,MATCH(C392,M_User!$D$12:$D$67,0),5),"UNMAPPED")</f>
        <v>MOS</v>
      </c>
      <c r="F392" s="63" t="s">
        <v>190</v>
      </c>
      <c r="G392" s="66" t="str">
        <f>IFERROR(INDEX(M_SKU!$A$18:$J$57,MATCH(F392,M_SKU!$B$18:$B$57,0),1),"UNKNOWN SKU")</f>
        <v>Stoney Tangawizi RGB 350ml</v>
      </c>
      <c r="H392" s="63" t="s">
        <v>536</v>
      </c>
      <c r="I392" s="98">
        <f>SUMIF(T_Load!$U$9:$U$439,B392,T_Load!$O$9:$O$439)</f>
        <v>2</v>
      </c>
      <c r="J392" s="98">
        <f>SUMIF(T_Sales!$O$9:$O$1164,B392,T_Sales!$L$9:$L$1164)</f>
        <v>1.5810103545598002</v>
      </c>
      <c r="K392" s="99">
        <f t="shared" si="5"/>
        <v>0.41898964544019979</v>
      </c>
      <c r="L392" s="62">
        <v>46179</v>
      </c>
      <c r="M392" s="68" t="s">
        <v>1883</v>
      </c>
    </row>
    <row r="393" spans="1:13" ht="15" customHeight="1" x14ac:dyDescent="0.3">
      <c r="A393" s="70" t="s">
        <v>2649</v>
      </c>
      <c r="B393" s="100" t="s">
        <v>2650</v>
      </c>
      <c r="C393" s="101" t="s">
        <v>401</v>
      </c>
      <c r="D393" s="76" t="str">
        <f>IFERROR(INDEX(M_User!$A$12:$J$67,MATCH(C393,M_User!$D$12:$D$67,0),3),"UNMAPPED")</f>
        <v>Alice Jonathan Mfuru</v>
      </c>
      <c r="E393" s="75" t="str">
        <f>IFERROR(INDEX(M_User!$A$12:$J$67,MATCH(C393,M_User!$D$12:$D$67,0),5),"UNMAPPED")</f>
        <v>MOS</v>
      </c>
      <c r="F393" s="101" t="s">
        <v>193</v>
      </c>
      <c r="G393" s="76" t="str">
        <f>IFERROR(INDEX(M_SKU!$A$18:$J$57,MATCH(F393,M_SKU!$B$18:$B$57,0),1),"UNKNOWN SKU")</f>
        <v>Sparletta Pinenut RGB 350ml</v>
      </c>
      <c r="H393" s="101" t="s">
        <v>537</v>
      </c>
      <c r="I393" s="102">
        <f>SUMIF(T_Load!$U$9:$U$439,B393,T_Load!$O$9:$O$439)</f>
        <v>2</v>
      </c>
      <c r="J393" s="102">
        <f>SUMIF(T_Sales!$O$9:$O$1164,B393,T_Sales!$L$9:$L$1164)</f>
        <v>1.8073711176171228</v>
      </c>
      <c r="K393" s="103">
        <f t="shared" si="5"/>
        <v>0.19262888238287723</v>
      </c>
      <c r="L393" s="80">
        <v>46179</v>
      </c>
      <c r="M393" s="78" t="s">
        <v>1883</v>
      </c>
    </row>
    <row r="394" spans="1:13" ht="15" customHeight="1" x14ac:dyDescent="0.3">
      <c r="A394" s="60" t="s">
        <v>2651</v>
      </c>
      <c r="B394" s="97" t="s">
        <v>2652</v>
      </c>
      <c r="C394" s="63" t="s">
        <v>401</v>
      </c>
      <c r="D394" s="66" t="str">
        <f>IFERROR(INDEX(M_User!$A$12:$J$67,MATCH(C394,M_User!$D$12:$D$67,0),3),"UNMAPPED")</f>
        <v>Alice Jonathan Mfuru</v>
      </c>
      <c r="E394" s="65" t="str">
        <f>IFERROR(INDEX(M_User!$A$12:$J$67,MATCH(C394,M_User!$D$12:$D$67,0),5),"UNMAPPED")</f>
        <v>MOS</v>
      </c>
      <c r="F394" s="63" t="s">
        <v>209</v>
      </c>
      <c r="G394" s="66" t="str">
        <f>IFERROR(INDEX(M_SKU!$A$18:$J$57,MATCH(F394,M_SKU!$B$18:$B$57,0),1),"UNKNOWN SKU")</f>
        <v>Sparletta Red Apple RGB 350ml</v>
      </c>
      <c r="H394" s="63" t="s">
        <v>542</v>
      </c>
      <c r="I394" s="98">
        <f>SUMIF(T_Load!$U$9:$U$439,B394,T_Load!$O$9:$O$439)</f>
        <v>2</v>
      </c>
      <c r="J394" s="98">
        <f>SUMIF(T_Sales!$O$9:$O$1164,B394,T_Sales!$L$9:$L$1164)</f>
        <v>1.6817421466194828</v>
      </c>
      <c r="K394" s="99">
        <f t="shared" ref="K394:K433" si="6">I394-J394</f>
        <v>0.31825785338051715</v>
      </c>
      <c r="L394" s="62">
        <v>46179</v>
      </c>
      <c r="M394" s="68" t="s">
        <v>1883</v>
      </c>
    </row>
    <row r="395" spans="1:13" ht="15" customHeight="1" x14ac:dyDescent="0.3">
      <c r="A395" s="70" t="s">
        <v>2653</v>
      </c>
      <c r="B395" s="100" t="s">
        <v>2654</v>
      </c>
      <c r="C395" s="101" t="s">
        <v>401</v>
      </c>
      <c r="D395" s="76" t="str">
        <f>IFERROR(INDEX(M_User!$A$12:$J$67,MATCH(C395,M_User!$D$12:$D$67,0),3),"UNMAPPED")</f>
        <v>Alice Jonathan Mfuru</v>
      </c>
      <c r="E395" s="75" t="str">
        <f>IFERROR(INDEX(M_User!$A$12:$J$67,MATCH(C395,M_User!$D$12:$D$67,0),5),"UNMAPPED")</f>
        <v>MOS</v>
      </c>
      <c r="F395" s="101" t="s">
        <v>211</v>
      </c>
      <c r="G395" s="76" t="str">
        <f>IFERROR(INDEX(M_SKU!$A$18:$J$57,MATCH(F395,M_SKU!$B$18:$B$57,0),1),"UNKNOWN SKU")</f>
        <v>KNMW 500ml</v>
      </c>
      <c r="H395" s="101" t="s">
        <v>543</v>
      </c>
      <c r="I395" s="102">
        <f>SUMIF(T_Load!$U$9:$U$439,B395,T_Load!$O$9:$O$439)</f>
        <v>20</v>
      </c>
      <c r="J395" s="102">
        <f>SUMIF(T_Sales!$O$9:$O$1164,B395,T_Sales!$L$9:$L$1164)</f>
        <v>18</v>
      </c>
      <c r="K395" s="103">
        <f t="shared" si="6"/>
        <v>2</v>
      </c>
      <c r="L395" s="80">
        <v>46179</v>
      </c>
      <c r="M395" s="78" t="s">
        <v>1883</v>
      </c>
    </row>
    <row r="396" spans="1:13" ht="15" customHeight="1" x14ac:dyDescent="0.3">
      <c r="A396" s="60" t="s">
        <v>2655</v>
      </c>
      <c r="B396" s="97" t="s">
        <v>2656</v>
      </c>
      <c r="C396" s="63" t="s">
        <v>401</v>
      </c>
      <c r="D396" s="66" t="str">
        <f>IFERROR(INDEX(M_User!$A$12:$J$67,MATCH(C396,M_User!$D$12:$D$67,0),3),"UNMAPPED")</f>
        <v>Alice Jonathan Mfuru</v>
      </c>
      <c r="E396" s="65" t="str">
        <f>IFERROR(INDEX(M_User!$A$12:$J$67,MATCH(C396,M_User!$D$12:$D$67,0),5),"UNMAPPED")</f>
        <v>MOS</v>
      </c>
      <c r="F396" s="63" t="s">
        <v>217</v>
      </c>
      <c r="G396" s="66" t="str">
        <f>IFERROR(INDEX(M_SKU!$A$18:$J$57,MATCH(F396,M_SKU!$B$18:$B$57,0),1),"UNKNOWN SKU")</f>
        <v>KNMW 1500ml</v>
      </c>
      <c r="H396" s="63" t="s">
        <v>551</v>
      </c>
      <c r="I396" s="98">
        <f>SUMIF(T_Load!$U$9:$U$439,B396,T_Load!$O$9:$O$439)</f>
        <v>90</v>
      </c>
      <c r="J396" s="98">
        <f>SUMIF(T_Sales!$O$9:$O$1164,B396,T_Sales!$L$9:$L$1164)</f>
        <v>69</v>
      </c>
      <c r="K396" s="99">
        <f t="shared" si="6"/>
        <v>21</v>
      </c>
      <c r="L396" s="62">
        <v>46179</v>
      </c>
      <c r="M396" s="68" t="s">
        <v>1883</v>
      </c>
    </row>
    <row r="397" spans="1:13" ht="15" customHeight="1" x14ac:dyDescent="0.3">
      <c r="A397" s="70" t="s">
        <v>2657</v>
      </c>
      <c r="B397" s="100" t="s">
        <v>2658</v>
      </c>
      <c r="C397" s="101" t="s">
        <v>401</v>
      </c>
      <c r="D397" s="76" t="str">
        <f>IFERROR(INDEX(M_User!$A$12:$J$67,MATCH(C397,M_User!$D$12:$D$67,0),3),"UNMAPPED")</f>
        <v>Alice Jonathan Mfuru</v>
      </c>
      <c r="E397" s="75" t="str">
        <f>IFERROR(INDEX(M_User!$A$12:$J$67,MATCH(C397,M_User!$D$12:$D$67,0),5),"UNMAPPED")</f>
        <v>MOS</v>
      </c>
      <c r="F397" s="101" t="s">
        <v>222</v>
      </c>
      <c r="G397" s="76" t="str">
        <f>IFERROR(INDEX(M_SKU!$A$18:$J$57,MATCH(F397,M_SKU!$B$18:$B$57,0),1),"UNKNOWN SKU")</f>
        <v>Kilimanjaro Drinking Water 12000 ML</v>
      </c>
      <c r="H397" s="101" t="s">
        <v>566</v>
      </c>
      <c r="I397" s="102">
        <f>SUMIF(T_Load!$U$9:$U$439,B397,T_Load!$O$9:$O$439)</f>
        <v>5</v>
      </c>
      <c r="J397" s="102">
        <f>SUMIF(T_Sales!$O$9:$O$1164,B397,T_Sales!$L$9:$L$1164)</f>
        <v>4</v>
      </c>
      <c r="K397" s="103">
        <f t="shared" si="6"/>
        <v>1</v>
      </c>
      <c r="L397" s="80">
        <v>46179</v>
      </c>
      <c r="M397" s="78" t="s">
        <v>1883</v>
      </c>
    </row>
    <row r="398" spans="1:13" ht="15" customHeight="1" x14ac:dyDescent="0.3">
      <c r="A398" s="60" t="s">
        <v>2659</v>
      </c>
      <c r="B398" s="97" t="s">
        <v>2660</v>
      </c>
      <c r="C398" s="63" t="s">
        <v>401</v>
      </c>
      <c r="D398" s="66" t="str">
        <f>IFERROR(INDEX(M_User!$A$12:$J$67,MATCH(C398,M_User!$D$12:$D$67,0),3),"UNMAPPED")</f>
        <v>Alice Jonathan Mfuru</v>
      </c>
      <c r="E398" s="65" t="str">
        <f>IFERROR(INDEX(M_User!$A$12:$J$67,MATCH(C398,M_User!$D$12:$D$67,0),5),"UNMAPPED")</f>
        <v>MOS</v>
      </c>
      <c r="F398" s="63" t="s">
        <v>225</v>
      </c>
      <c r="G398" s="66" t="str">
        <f>IFERROR(INDEX(M_SKU!$A$18:$J$57,MATCH(F398,M_SKU!$B$18:$B$57,0),1),"UNKNOWN SKU")</f>
        <v>Kilimanjaro Drinking Water 18900 ML</v>
      </c>
      <c r="H398" s="63" t="s">
        <v>567</v>
      </c>
      <c r="I398" s="98">
        <f>SUMIF(T_Load!$U$9:$U$439,B398,T_Load!$O$9:$O$439)</f>
        <v>5</v>
      </c>
      <c r="J398" s="98">
        <f>SUMIF(T_Sales!$O$9:$O$1164,B398,T_Sales!$L$9:$L$1164)</f>
        <v>4</v>
      </c>
      <c r="K398" s="99">
        <f t="shared" si="6"/>
        <v>1</v>
      </c>
      <c r="L398" s="62">
        <v>46179</v>
      </c>
      <c r="M398" s="68" t="s">
        <v>1883</v>
      </c>
    </row>
    <row r="399" spans="1:13" ht="15" customHeight="1" x14ac:dyDescent="0.3">
      <c r="A399" s="70" t="s">
        <v>2661</v>
      </c>
      <c r="B399" s="100" t="s">
        <v>2662</v>
      </c>
      <c r="C399" s="101" t="s">
        <v>401</v>
      </c>
      <c r="D399" s="76" t="str">
        <f>IFERROR(INDEX(M_User!$A$12:$J$67,MATCH(C399,M_User!$D$12:$D$67,0),3),"UNMAPPED")</f>
        <v>Alice Jonathan Mfuru</v>
      </c>
      <c r="E399" s="75" t="str">
        <f>IFERROR(INDEX(M_User!$A$12:$J$67,MATCH(C399,M_User!$D$12:$D$67,0),5),"UNMAPPED")</f>
        <v>MOS</v>
      </c>
      <c r="F399" s="101" t="s">
        <v>229</v>
      </c>
      <c r="G399" s="76" t="str">
        <f>IFERROR(INDEX(M_SKU!$A$18:$J$57,MATCH(F399,M_SKU!$B$18:$B$57,0),1),"UNKNOWN SKU")</f>
        <v>Coke Pet 500ML ( x12)</v>
      </c>
      <c r="H399" s="101" t="s">
        <v>520</v>
      </c>
      <c r="I399" s="102">
        <f>SUMIF(T_Load!$U$9:$U$439,B399,T_Load!$O$9:$O$439)</f>
        <v>70</v>
      </c>
      <c r="J399" s="102">
        <f>SUMIF(T_Sales!$O$9:$O$1164,B399,T_Sales!$L$9:$L$1164)</f>
        <v>58</v>
      </c>
      <c r="K399" s="103">
        <f t="shared" si="6"/>
        <v>12</v>
      </c>
      <c r="L399" s="80">
        <v>46179</v>
      </c>
      <c r="M399" s="78" t="s">
        <v>1883</v>
      </c>
    </row>
    <row r="400" spans="1:13" ht="15" customHeight="1" x14ac:dyDescent="0.3">
      <c r="A400" s="60" t="s">
        <v>2663</v>
      </c>
      <c r="B400" s="97" t="s">
        <v>2664</v>
      </c>
      <c r="C400" s="63" t="s">
        <v>401</v>
      </c>
      <c r="D400" s="66" t="str">
        <f>IFERROR(INDEX(M_User!$A$12:$J$67,MATCH(C400,M_User!$D$12:$D$67,0),3),"UNMAPPED")</f>
        <v>Alice Jonathan Mfuru</v>
      </c>
      <c r="E400" s="65" t="str">
        <f>IFERROR(INDEX(M_User!$A$12:$J$67,MATCH(C400,M_User!$D$12:$D$67,0),5),"UNMAPPED")</f>
        <v>MOS</v>
      </c>
      <c r="F400" s="63" t="s">
        <v>232</v>
      </c>
      <c r="G400" s="66" t="str">
        <f>IFERROR(INDEX(M_SKU!$A$18:$J$57,MATCH(F400,M_SKU!$B$18:$B$57,0),1),"UNKNOWN SKU")</f>
        <v>Sprite Pet 500ML (x 12)</v>
      </c>
      <c r="H400" s="63" t="s">
        <v>522</v>
      </c>
      <c r="I400" s="98">
        <f>SUMIF(T_Load!$U$9:$U$439,B400,T_Load!$O$9:$O$439)</f>
        <v>15</v>
      </c>
      <c r="J400" s="98">
        <f>SUMIF(T_Sales!$O$9:$O$1164,B400,T_Sales!$L$9:$L$1164)</f>
        <v>12</v>
      </c>
      <c r="K400" s="99">
        <f t="shared" si="6"/>
        <v>3</v>
      </c>
      <c r="L400" s="62">
        <v>46179</v>
      </c>
      <c r="M400" s="68" t="s">
        <v>1883</v>
      </c>
    </row>
    <row r="401" spans="1:13" ht="15" customHeight="1" x14ac:dyDescent="0.3">
      <c r="A401" s="70" t="s">
        <v>2665</v>
      </c>
      <c r="B401" s="100" t="s">
        <v>2666</v>
      </c>
      <c r="C401" s="101" t="s">
        <v>401</v>
      </c>
      <c r="D401" s="76" t="str">
        <f>IFERROR(INDEX(M_User!$A$12:$J$67,MATCH(C401,M_User!$D$12:$D$67,0),3),"UNMAPPED")</f>
        <v>Alice Jonathan Mfuru</v>
      </c>
      <c r="E401" s="75" t="str">
        <f>IFERROR(INDEX(M_User!$A$12:$J$67,MATCH(C401,M_User!$D$12:$D$67,0),5),"UNMAPPED")</f>
        <v>MOS</v>
      </c>
      <c r="F401" s="101" t="s">
        <v>234</v>
      </c>
      <c r="G401" s="76" t="str">
        <f>IFERROR(INDEX(M_SKU!$A$18:$J$57,MATCH(F401,M_SKU!$B$18:$B$57,0),1),"UNKNOWN SKU")</f>
        <v>Fanta Orange Pet 500ML ( x 12)</v>
      </c>
      <c r="H401" s="101" t="s">
        <v>523</v>
      </c>
      <c r="I401" s="102">
        <f>SUMIF(T_Load!$U$9:$U$439,B401,T_Load!$O$9:$O$439)</f>
        <v>40</v>
      </c>
      <c r="J401" s="102">
        <f>SUMIF(T_Sales!$O$9:$O$1164,B401,T_Sales!$L$9:$L$1164)</f>
        <v>34</v>
      </c>
      <c r="K401" s="103">
        <f t="shared" si="6"/>
        <v>6</v>
      </c>
      <c r="L401" s="80">
        <v>46179</v>
      </c>
      <c r="M401" s="78" t="s">
        <v>1883</v>
      </c>
    </row>
    <row r="402" spans="1:13" ht="15" customHeight="1" x14ac:dyDescent="0.3">
      <c r="A402" s="60" t="s">
        <v>2667</v>
      </c>
      <c r="B402" s="97" t="s">
        <v>2668</v>
      </c>
      <c r="C402" s="63" t="s">
        <v>401</v>
      </c>
      <c r="D402" s="66" t="str">
        <f>IFERROR(INDEX(M_User!$A$12:$J$67,MATCH(C402,M_User!$D$12:$D$67,0),3),"UNMAPPED")</f>
        <v>Alice Jonathan Mfuru</v>
      </c>
      <c r="E402" s="65" t="str">
        <f>IFERROR(INDEX(M_User!$A$12:$J$67,MATCH(C402,M_User!$D$12:$D$67,0),5),"UNMAPPED")</f>
        <v>MOS</v>
      </c>
      <c r="F402" s="63" t="s">
        <v>236</v>
      </c>
      <c r="G402" s="66" t="str">
        <f>IFERROR(INDEX(M_SKU!$A$18:$J$57,MATCH(F402,M_SKU!$B$18:$B$57,0),1),"UNKNOWN SKU")</f>
        <v>Fanta Passion Pet 500ML ( x12)</v>
      </c>
      <c r="H402" s="63" t="s">
        <v>524</v>
      </c>
      <c r="I402" s="98">
        <f>SUMIF(T_Load!$U$9:$U$439,B402,T_Load!$O$9:$O$439)</f>
        <v>15</v>
      </c>
      <c r="J402" s="98">
        <f>SUMIF(T_Sales!$O$9:$O$1164,B402,T_Sales!$L$9:$L$1164)</f>
        <v>14</v>
      </c>
      <c r="K402" s="99">
        <f t="shared" si="6"/>
        <v>1</v>
      </c>
      <c r="L402" s="62">
        <v>46179</v>
      </c>
      <c r="M402" s="68" t="s">
        <v>1883</v>
      </c>
    </row>
    <row r="403" spans="1:13" ht="15" customHeight="1" x14ac:dyDescent="0.3">
      <c r="A403" s="70" t="s">
        <v>2669</v>
      </c>
      <c r="B403" s="100" t="s">
        <v>2670</v>
      </c>
      <c r="C403" s="101" t="s">
        <v>401</v>
      </c>
      <c r="D403" s="76" t="str">
        <f>IFERROR(INDEX(M_User!$A$12:$J$67,MATCH(C403,M_User!$D$12:$D$67,0),3),"UNMAPPED")</f>
        <v>Alice Jonathan Mfuru</v>
      </c>
      <c r="E403" s="75" t="str">
        <f>IFERROR(INDEX(M_User!$A$12:$J$67,MATCH(C403,M_User!$D$12:$D$67,0),5),"UNMAPPED")</f>
        <v>MOS</v>
      </c>
      <c r="F403" s="101" t="s">
        <v>242</v>
      </c>
      <c r="G403" s="76" t="str">
        <f>IFERROR(INDEX(M_SKU!$A$18:$J$57,MATCH(F403,M_SKU!$B$18:$B$57,0),1),"UNKNOWN SKU")</f>
        <v>Stoney Tangawizi Pet 500 ml ( x12)</v>
      </c>
      <c r="H403" s="101" t="s">
        <v>525</v>
      </c>
      <c r="I403" s="102">
        <f>SUMIF(T_Load!$U$9:$U$439,B403,T_Load!$O$9:$O$439)</f>
        <v>5</v>
      </c>
      <c r="J403" s="102">
        <f>SUMIF(T_Sales!$O$9:$O$1164,B403,T_Sales!$L$9:$L$1164)</f>
        <v>4</v>
      </c>
      <c r="K403" s="103">
        <f t="shared" si="6"/>
        <v>1</v>
      </c>
      <c r="L403" s="80">
        <v>46179</v>
      </c>
      <c r="M403" s="78" t="s">
        <v>1883</v>
      </c>
    </row>
    <row r="404" spans="1:13" ht="15" customHeight="1" x14ac:dyDescent="0.3">
      <c r="A404" s="60" t="s">
        <v>2671</v>
      </c>
      <c r="B404" s="97" t="s">
        <v>2672</v>
      </c>
      <c r="C404" s="63" t="s">
        <v>401</v>
      </c>
      <c r="D404" s="66" t="str">
        <f>IFERROR(INDEX(M_User!$A$12:$J$67,MATCH(C404,M_User!$D$12:$D$67,0),3),"UNMAPPED")</f>
        <v>Alice Jonathan Mfuru</v>
      </c>
      <c r="E404" s="65" t="str">
        <f>IFERROR(INDEX(M_User!$A$12:$J$67,MATCH(C404,M_User!$D$12:$D$67,0),5),"UNMAPPED")</f>
        <v>MOS</v>
      </c>
      <c r="F404" s="63" t="s">
        <v>244</v>
      </c>
      <c r="G404" s="66" t="str">
        <f>IFERROR(INDEX(M_SKU!$A$18:$J$57,MATCH(F404,M_SKU!$B$18:$B$57,0),1),"UNKNOWN SKU")</f>
        <v>Sparletta Pinenut Pet 500 ml ( x12)</v>
      </c>
      <c r="H404" s="63" t="s">
        <v>526</v>
      </c>
      <c r="I404" s="98">
        <f>SUMIF(T_Load!$U$9:$U$439,B404,T_Load!$O$9:$O$439)</f>
        <v>5</v>
      </c>
      <c r="J404" s="98">
        <f>SUMIF(T_Sales!$O$9:$O$1164,B404,T_Sales!$L$9:$L$1164)</f>
        <v>5</v>
      </c>
      <c r="K404" s="99">
        <f t="shared" si="6"/>
        <v>0</v>
      </c>
      <c r="L404" s="62">
        <v>46179</v>
      </c>
      <c r="M404" s="68" t="s">
        <v>1883</v>
      </c>
    </row>
    <row r="405" spans="1:13" ht="15" customHeight="1" x14ac:dyDescent="0.3">
      <c r="A405" s="70" t="s">
        <v>2673</v>
      </c>
      <c r="B405" s="100" t="s">
        <v>2674</v>
      </c>
      <c r="C405" s="101" t="s">
        <v>350</v>
      </c>
      <c r="D405" s="76" t="str">
        <f>IFERROR(INDEX(M_User!$A$12:$J$67,MATCH(C405,M_User!$D$12:$D$67,0),3),"UNMAPPED")</f>
        <v>Samson Felix Ngowi</v>
      </c>
      <c r="E405" s="75" t="str">
        <f>IFERROR(INDEX(M_User!$A$12:$J$67,MATCH(C405,M_User!$D$12:$D$67,0),5),"UNMAPPED")</f>
        <v>MOS</v>
      </c>
      <c r="F405" s="101" t="s">
        <v>170</v>
      </c>
      <c r="G405" s="76" t="str">
        <f>IFERROR(INDEX(M_SKU!$A$18:$J$57,MATCH(F405,M_SKU!$B$18:$B$57,0),1),"UNKNOWN SKU")</f>
        <v>Coke RGB 350ml</v>
      </c>
      <c r="H405" s="101" t="s">
        <v>530</v>
      </c>
      <c r="I405" s="102">
        <f>SUMIF(T_Load!$U$9:$U$439,B405,T_Load!$O$9:$O$439)</f>
        <v>45</v>
      </c>
      <c r="J405" s="102">
        <f>SUMIF(T_Sales!$O$9:$O$1164,B405,T_Sales!$L$9:$L$1164)</f>
        <v>37.320930241866868</v>
      </c>
      <c r="K405" s="103">
        <f t="shared" si="6"/>
        <v>7.6790697581331315</v>
      </c>
      <c r="L405" s="80">
        <v>46179</v>
      </c>
      <c r="M405" s="78" t="s">
        <v>1883</v>
      </c>
    </row>
    <row r="406" spans="1:13" ht="15" customHeight="1" x14ac:dyDescent="0.3">
      <c r="A406" s="60" t="s">
        <v>2675</v>
      </c>
      <c r="B406" s="97" t="s">
        <v>2676</v>
      </c>
      <c r="C406" s="63" t="s">
        <v>350</v>
      </c>
      <c r="D406" s="66" t="str">
        <f>IFERROR(INDEX(M_User!$A$12:$J$67,MATCH(C406,M_User!$D$12:$D$67,0),3),"UNMAPPED")</f>
        <v>Samson Felix Ngowi</v>
      </c>
      <c r="E406" s="65" t="str">
        <f>IFERROR(INDEX(M_User!$A$12:$J$67,MATCH(C406,M_User!$D$12:$D$67,0),5),"UNMAPPED")</f>
        <v>MOS</v>
      </c>
      <c r="F406" s="63" t="s">
        <v>170</v>
      </c>
      <c r="G406" s="66" t="str">
        <f>IFERROR(INDEX(M_SKU!$A$18:$J$57,MATCH(F406,M_SKU!$B$18:$B$57,0),1),"UNKNOWN SKU")</f>
        <v>Coke RGB 350ml</v>
      </c>
      <c r="H406" s="63" t="s">
        <v>585</v>
      </c>
      <c r="I406" s="98">
        <f>SUMIF(T_Load!$U$9:$U$439,B406,T_Load!$O$9:$O$439)</f>
        <v>8</v>
      </c>
      <c r="J406" s="98">
        <f>SUMIF(T_Sales!$O$9:$O$1164,B406,T_Sales!$L$9:$L$1164)</f>
        <v>7.2685942112459507</v>
      </c>
      <c r="K406" s="99">
        <f t="shared" si="6"/>
        <v>0.73140578875404927</v>
      </c>
      <c r="L406" s="62">
        <v>46179</v>
      </c>
      <c r="M406" s="68" t="s">
        <v>1883</v>
      </c>
    </row>
    <row r="407" spans="1:13" ht="15" customHeight="1" x14ac:dyDescent="0.3">
      <c r="A407" s="70" t="s">
        <v>2677</v>
      </c>
      <c r="B407" s="100" t="s">
        <v>2678</v>
      </c>
      <c r="C407" s="101" t="s">
        <v>350</v>
      </c>
      <c r="D407" s="76" t="str">
        <f>IFERROR(INDEX(M_User!$A$12:$J$67,MATCH(C407,M_User!$D$12:$D$67,0),3),"UNMAPPED")</f>
        <v>Samson Felix Ngowi</v>
      </c>
      <c r="E407" s="75" t="str">
        <f>IFERROR(INDEX(M_User!$A$12:$J$67,MATCH(C407,M_User!$D$12:$D$67,0),5),"UNMAPPED")</f>
        <v>MOS</v>
      </c>
      <c r="F407" s="101" t="s">
        <v>178</v>
      </c>
      <c r="G407" s="76" t="str">
        <f>IFERROR(INDEX(M_SKU!$A$18:$J$57,MATCH(F407,M_SKU!$B$18:$B$57,0),1),"UNKNOWN SKU")</f>
        <v>Fanta Orange RGB 350ml</v>
      </c>
      <c r="H407" s="101" t="s">
        <v>590</v>
      </c>
      <c r="I407" s="102">
        <f>SUMIF(T_Load!$U$9:$U$439,B407,T_Load!$O$9:$O$439)</f>
        <v>2</v>
      </c>
      <c r="J407" s="102">
        <f>SUMIF(T_Sales!$O$9:$O$1164,B407,T_Sales!$L$9:$L$1164)</f>
        <v>1.756299254882169</v>
      </c>
      <c r="K407" s="103">
        <f t="shared" si="6"/>
        <v>0.24370074511783102</v>
      </c>
      <c r="L407" s="80">
        <v>46179</v>
      </c>
      <c r="M407" s="78" t="s">
        <v>1883</v>
      </c>
    </row>
    <row r="408" spans="1:13" ht="15" customHeight="1" x14ac:dyDescent="0.3">
      <c r="A408" s="60" t="s">
        <v>2679</v>
      </c>
      <c r="B408" s="97" t="s">
        <v>2680</v>
      </c>
      <c r="C408" s="63" t="s">
        <v>350</v>
      </c>
      <c r="D408" s="66" t="str">
        <f>IFERROR(INDEX(M_User!$A$12:$J$67,MATCH(C408,M_User!$D$12:$D$67,0),3),"UNMAPPED")</f>
        <v>Samson Felix Ngowi</v>
      </c>
      <c r="E408" s="65" t="str">
        <f>IFERROR(INDEX(M_User!$A$12:$J$67,MATCH(C408,M_User!$D$12:$D$67,0),5),"UNMAPPED")</f>
        <v>MOS</v>
      </c>
      <c r="F408" s="63" t="s">
        <v>178</v>
      </c>
      <c r="G408" s="66" t="str">
        <f>IFERROR(INDEX(M_SKU!$A$18:$J$57,MATCH(F408,M_SKU!$B$18:$B$57,0),1),"UNKNOWN SKU")</f>
        <v>Fanta Orange RGB 350ml</v>
      </c>
      <c r="H408" s="63" t="s">
        <v>531</v>
      </c>
      <c r="I408" s="98">
        <f>SUMIF(T_Load!$U$9:$U$439,B408,T_Load!$O$9:$O$439)</f>
        <v>18</v>
      </c>
      <c r="J408" s="98">
        <f>SUMIF(T_Sales!$O$9:$O$1164,B408,T_Sales!$L$9:$L$1164)</f>
        <v>15.353868359154839</v>
      </c>
      <c r="K408" s="99">
        <f t="shared" si="6"/>
        <v>2.6461316408451605</v>
      </c>
      <c r="L408" s="62">
        <v>46179</v>
      </c>
      <c r="M408" s="68" t="s">
        <v>1883</v>
      </c>
    </row>
    <row r="409" spans="1:13" ht="15" customHeight="1" x14ac:dyDescent="0.3">
      <c r="A409" s="70" t="s">
        <v>2681</v>
      </c>
      <c r="B409" s="100" t="s">
        <v>2682</v>
      </c>
      <c r="C409" s="101" t="s">
        <v>350</v>
      </c>
      <c r="D409" s="76" t="str">
        <f>IFERROR(INDEX(M_User!$A$12:$J$67,MATCH(C409,M_User!$D$12:$D$67,0),3),"UNMAPPED")</f>
        <v>Samson Felix Ngowi</v>
      </c>
      <c r="E409" s="75" t="str">
        <f>IFERROR(INDEX(M_User!$A$12:$J$67,MATCH(C409,M_User!$D$12:$D$67,0),5),"UNMAPPED")</f>
        <v>MOS</v>
      </c>
      <c r="F409" s="101" t="s">
        <v>181</v>
      </c>
      <c r="G409" s="76" t="str">
        <f>IFERROR(INDEX(M_SKU!$A$18:$J$57,MATCH(F409,M_SKU!$B$18:$B$57,0),1),"UNKNOWN SKU")</f>
        <v>Fanta Passion RGB 350ml</v>
      </c>
      <c r="H409" s="101" t="s">
        <v>550</v>
      </c>
      <c r="I409" s="102">
        <f>SUMIF(T_Load!$U$9:$U$439,B409,T_Load!$O$9:$O$439)</f>
        <v>8</v>
      </c>
      <c r="J409" s="102">
        <f>SUMIF(T_Sales!$O$9:$O$1164,B409,T_Sales!$L$9:$L$1164)</f>
        <v>6.5061756448190895</v>
      </c>
      <c r="K409" s="103">
        <f t="shared" si="6"/>
        <v>1.4938243551809105</v>
      </c>
      <c r="L409" s="80">
        <v>46179</v>
      </c>
      <c r="M409" s="78" t="s">
        <v>1883</v>
      </c>
    </row>
    <row r="410" spans="1:13" ht="15" customHeight="1" x14ac:dyDescent="0.3">
      <c r="A410" s="60" t="s">
        <v>2683</v>
      </c>
      <c r="B410" s="97" t="s">
        <v>2684</v>
      </c>
      <c r="C410" s="63" t="s">
        <v>350</v>
      </c>
      <c r="D410" s="66" t="str">
        <f>IFERROR(INDEX(M_User!$A$12:$J$67,MATCH(C410,M_User!$D$12:$D$67,0),3),"UNMAPPED")</f>
        <v>Samson Felix Ngowi</v>
      </c>
      <c r="E410" s="65" t="str">
        <f>IFERROR(INDEX(M_User!$A$12:$J$67,MATCH(C410,M_User!$D$12:$D$67,0),5),"UNMAPPED")</f>
        <v>MOS</v>
      </c>
      <c r="F410" s="63" t="s">
        <v>181</v>
      </c>
      <c r="G410" s="66" t="str">
        <f>IFERROR(INDEX(M_SKU!$A$18:$J$57,MATCH(F410,M_SKU!$B$18:$B$57,0),1),"UNKNOWN SKU")</f>
        <v>Fanta Passion RGB 350ml</v>
      </c>
      <c r="H410" s="63" t="s">
        <v>532</v>
      </c>
      <c r="I410" s="98">
        <f>SUMIF(T_Load!$U$9:$U$439,B410,T_Load!$O$9:$O$439)</f>
        <v>2</v>
      </c>
      <c r="J410" s="98">
        <f>SUMIF(T_Sales!$O$9:$O$1164,B410,T_Sales!$L$9:$L$1164)</f>
        <v>1.832919513245425</v>
      </c>
      <c r="K410" s="99">
        <f t="shared" si="6"/>
        <v>0.16708048675457499</v>
      </c>
      <c r="L410" s="62">
        <v>46179</v>
      </c>
      <c r="M410" s="68" t="s">
        <v>1883</v>
      </c>
    </row>
    <row r="411" spans="1:13" ht="15" customHeight="1" x14ac:dyDescent="0.3">
      <c r="A411" s="70" t="s">
        <v>2685</v>
      </c>
      <c r="B411" s="100" t="s">
        <v>2686</v>
      </c>
      <c r="C411" s="101" t="s">
        <v>350</v>
      </c>
      <c r="D411" s="76" t="str">
        <f>IFERROR(INDEX(M_User!$A$12:$J$67,MATCH(C411,M_User!$D$12:$D$67,0),3),"UNMAPPED")</f>
        <v>Samson Felix Ngowi</v>
      </c>
      <c r="E411" s="75" t="str">
        <f>IFERROR(INDEX(M_User!$A$12:$J$67,MATCH(C411,M_User!$D$12:$D$67,0),5),"UNMAPPED")</f>
        <v>MOS</v>
      </c>
      <c r="F411" s="101" t="s">
        <v>183</v>
      </c>
      <c r="G411" s="76" t="str">
        <f>IFERROR(INDEX(M_SKU!$A$18:$J$57,MATCH(F411,M_SKU!$B$18:$B$57,0),1),"UNKNOWN SKU")</f>
        <v>Fanta Pineapple RGB 350ml</v>
      </c>
      <c r="H411" s="101" t="s">
        <v>533</v>
      </c>
      <c r="I411" s="102">
        <f>SUMIF(T_Load!$U$9:$U$439,B411,T_Load!$O$9:$O$439)</f>
        <v>10</v>
      </c>
      <c r="J411" s="102">
        <f>SUMIF(T_Sales!$O$9:$O$1164,B411,T_Sales!$L$9:$L$1164)</f>
        <v>8.1669531342071675</v>
      </c>
      <c r="K411" s="103">
        <f t="shared" si="6"/>
        <v>1.8330468657928325</v>
      </c>
      <c r="L411" s="80">
        <v>46179</v>
      </c>
      <c r="M411" s="78" t="s">
        <v>1883</v>
      </c>
    </row>
    <row r="412" spans="1:13" ht="15" customHeight="1" x14ac:dyDescent="0.3">
      <c r="A412" s="60" t="s">
        <v>2687</v>
      </c>
      <c r="B412" s="97" t="s">
        <v>2688</v>
      </c>
      <c r="C412" s="63" t="s">
        <v>350</v>
      </c>
      <c r="D412" s="66" t="str">
        <f>IFERROR(INDEX(M_User!$A$12:$J$67,MATCH(C412,M_User!$D$12:$D$67,0),3),"UNMAPPED")</f>
        <v>Samson Felix Ngowi</v>
      </c>
      <c r="E412" s="65" t="str">
        <f>IFERROR(INDEX(M_User!$A$12:$J$67,MATCH(C412,M_User!$D$12:$D$67,0),5),"UNMAPPED")</f>
        <v>MOS</v>
      </c>
      <c r="F412" s="63" t="s">
        <v>185</v>
      </c>
      <c r="G412" s="66" t="str">
        <f>IFERROR(INDEX(M_SKU!$A$18:$J$57,MATCH(F412,M_SKU!$B$18:$B$57,0),1),"UNKNOWN SKU")</f>
        <v>Fanta Fruit Blast RGB 350 ml</v>
      </c>
      <c r="H412" s="63" t="s">
        <v>534</v>
      </c>
      <c r="I412" s="98">
        <f>SUMIF(T_Load!$U$9:$U$439,B412,T_Load!$O$9:$O$439)</f>
        <v>4</v>
      </c>
      <c r="J412" s="98">
        <f>SUMIF(T_Sales!$O$9:$O$1164,B412,T_Sales!$L$9:$L$1164)</f>
        <v>3.676286028791083</v>
      </c>
      <c r="K412" s="99">
        <f t="shared" si="6"/>
        <v>0.32371397120891698</v>
      </c>
      <c r="L412" s="62">
        <v>46179</v>
      </c>
      <c r="M412" s="68" t="s">
        <v>1883</v>
      </c>
    </row>
    <row r="413" spans="1:13" ht="15" customHeight="1" x14ac:dyDescent="0.3">
      <c r="A413" s="70" t="s">
        <v>2689</v>
      </c>
      <c r="B413" s="100" t="s">
        <v>2690</v>
      </c>
      <c r="C413" s="101" t="s">
        <v>350</v>
      </c>
      <c r="D413" s="76" t="str">
        <f>IFERROR(INDEX(M_User!$A$12:$J$67,MATCH(C413,M_User!$D$12:$D$67,0),3),"UNMAPPED")</f>
        <v>Samson Felix Ngowi</v>
      </c>
      <c r="E413" s="75" t="str">
        <f>IFERROR(INDEX(M_User!$A$12:$J$67,MATCH(C413,M_User!$D$12:$D$67,0),5),"UNMAPPED")</f>
        <v>MOS</v>
      </c>
      <c r="F413" s="101" t="s">
        <v>187</v>
      </c>
      <c r="G413" s="76" t="str">
        <f>IFERROR(INDEX(M_SKU!$A$18:$J$57,MATCH(F413,M_SKU!$B$18:$B$57,0),1),"UNKNOWN SKU")</f>
        <v>Sprite 350ml</v>
      </c>
      <c r="H413" s="101" t="s">
        <v>535</v>
      </c>
      <c r="I413" s="102">
        <f>SUMIF(T_Load!$U$9:$U$439,B413,T_Load!$O$9:$O$439)</f>
        <v>10</v>
      </c>
      <c r="J413" s="102">
        <f>SUMIF(T_Sales!$O$9:$O$1164,B413,T_Sales!$L$9:$L$1164)</f>
        <v>8.5483226465309787</v>
      </c>
      <c r="K413" s="103">
        <f t="shared" si="6"/>
        <v>1.4516773534690213</v>
      </c>
      <c r="L413" s="80">
        <v>46179</v>
      </c>
      <c r="M413" s="78" t="s">
        <v>1883</v>
      </c>
    </row>
    <row r="414" spans="1:13" ht="15" customHeight="1" x14ac:dyDescent="0.3">
      <c r="A414" s="60" t="s">
        <v>2691</v>
      </c>
      <c r="B414" s="97" t="s">
        <v>2692</v>
      </c>
      <c r="C414" s="63" t="s">
        <v>350</v>
      </c>
      <c r="D414" s="66" t="str">
        <f>IFERROR(INDEX(M_User!$A$12:$J$67,MATCH(C414,M_User!$D$12:$D$67,0),3),"UNMAPPED")</f>
        <v>Samson Felix Ngowi</v>
      </c>
      <c r="E414" s="65" t="str">
        <f>IFERROR(INDEX(M_User!$A$12:$J$67,MATCH(C414,M_User!$D$12:$D$67,0),5),"UNMAPPED")</f>
        <v>MOS</v>
      </c>
      <c r="F414" s="63" t="s">
        <v>190</v>
      </c>
      <c r="G414" s="66" t="str">
        <f>IFERROR(INDEX(M_SKU!$A$18:$J$57,MATCH(F414,M_SKU!$B$18:$B$57,0),1),"UNKNOWN SKU")</f>
        <v>Stoney Tangawizi RGB 350ml</v>
      </c>
      <c r="H414" s="63" t="s">
        <v>536</v>
      </c>
      <c r="I414" s="98">
        <f>SUMIF(T_Load!$U$9:$U$439,B414,T_Load!$O$9:$O$439)</f>
        <v>4</v>
      </c>
      <c r="J414" s="98">
        <f>SUMIF(T_Sales!$O$9:$O$1164,B414,T_Sales!$L$9:$L$1164)</f>
        <v>3.2175972277790548</v>
      </c>
      <c r="K414" s="99">
        <f t="shared" si="6"/>
        <v>0.78240277222094523</v>
      </c>
      <c r="L414" s="62">
        <v>46179</v>
      </c>
      <c r="M414" s="68" t="s">
        <v>1883</v>
      </c>
    </row>
    <row r="415" spans="1:13" ht="15" customHeight="1" x14ac:dyDescent="0.3">
      <c r="A415" s="70" t="s">
        <v>2693</v>
      </c>
      <c r="B415" s="100" t="s">
        <v>2694</v>
      </c>
      <c r="C415" s="101" t="s">
        <v>350</v>
      </c>
      <c r="D415" s="76" t="str">
        <f>IFERROR(INDEX(M_User!$A$12:$J$67,MATCH(C415,M_User!$D$12:$D$67,0),3),"UNMAPPED")</f>
        <v>Samson Felix Ngowi</v>
      </c>
      <c r="E415" s="75" t="str">
        <f>IFERROR(INDEX(M_User!$A$12:$J$67,MATCH(C415,M_User!$D$12:$D$67,0),5),"UNMAPPED")</f>
        <v>MOS</v>
      </c>
      <c r="F415" s="101" t="s">
        <v>193</v>
      </c>
      <c r="G415" s="76" t="str">
        <f>IFERROR(INDEX(M_SKU!$A$18:$J$57,MATCH(F415,M_SKU!$B$18:$B$57,0),1),"UNKNOWN SKU")</f>
        <v>Sparletta Pinenut RGB 350ml</v>
      </c>
      <c r="H415" s="101" t="s">
        <v>591</v>
      </c>
      <c r="I415" s="102">
        <f>SUMIF(T_Load!$U$9:$U$439,B415,T_Load!$O$9:$O$439)</f>
        <v>1</v>
      </c>
      <c r="J415" s="102">
        <f>SUMIF(T_Sales!$O$9:$O$1164,B415,T_Sales!$L$9:$L$1164)</f>
        <v>0.76984389982558799</v>
      </c>
      <c r="K415" s="103">
        <f t="shared" si="6"/>
        <v>0.23015610017441201</v>
      </c>
      <c r="L415" s="80">
        <v>46179</v>
      </c>
      <c r="M415" s="78" t="s">
        <v>1883</v>
      </c>
    </row>
    <row r="416" spans="1:13" ht="15" customHeight="1" x14ac:dyDescent="0.3">
      <c r="A416" s="60" t="s">
        <v>2695</v>
      </c>
      <c r="B416" s="97" t="s">
        <v>2696</v>
      </c>
      <c r="C416" s="63" t="s">
        <v>350</v>
      </c>
      <c r="D416" s="66" t="str">
        <f>IFERROR(INDEX(M_User!$A$12:$J$67,MATCH(C416,M_User!$D$12:$D$67,0),3),"UNMAPPED")</f>
        <v>Samson Felix Ngowi</v>
      </c>
      <c r="E416" s="65" t="str">
        <f>IFERROR(INDEX(M_User!$A$12:$J$67,MATCH(C416,M_User!$D$12:$D$67,0),5),"UNMAPPED")</f>
        <v>MOS</v>
      </c>
      <c r="F416" s="63" t="s">
        <v>193</v>
      </c>
      <c r="G416" s="66" t="str">
        <f>IFERROR(INDEX(M_SKU!$A$18:$J$57,MATCH(F416,M_SKU!$B$18:$B$57,0),1),"UNKNOWN SKU")</f>
        <v>Sparletta Pinenut RGB 350ml</v>
      </c>
      <c r="H416" s="63" t="s">
        <v>580</v>
      </c>
      <c r="I416" s="98">
        <f>SUMIF(T_Load!$U$9:$U$439,B416,T_Load!$O$9:$O$439)</f>
        <v>3</v>
      </c>
      <c r="J416" s="98">
        <f>SUMIF(T_Sales!$O$9:$O$1164,B416,T_Sales!$L$9:$L$1164)</f>
        <v>2.7018154910611392</v>
      </c>
      <c r="K416" s="99">
        <f t="shared" si="6"/>
        <v>0.29818450893886084</v>
      </c>
      <c r="L416" s="62">
        <v>46179</v>
      </c>
      <c r="M416" s="68" t="s">
        <v>1883</v>
      </c>
    </row>
    <row r="417" spans="1:13" ht="15" customHeight="1" x14ac:dyDescent="0.3">
      <c r="A417" s="70" t="s">
        <v>2697</v>
      </c>
      <c r="B417" s="100" t="s">
        <v>2698</v>
      </c>
      <c r="C417" s="101" t="s">
        <v>350</v>
      </c>
      <c r="D417" s="76" t="str">
        <f>IFERROR(INDEX(M_User!$A$12:$J$67,MATCH(C417,M_User!$D$12:$D$67,0),3),"UNMAPPED")</f>
        <v>Samson Felix Ngowi</v>
      </c>
      <c r="E417" s="75" t="str">
        <f>IFERROR(INDEX(M_User!$A$12:$J$67,MATCH(C417,M_User!$D$12:$D$67,0),5),"UNMAPPED")</f>
        <v>MOS</v>
      </c>
      <c r="F417" s="101" t="s">
        <v>196</v>
      </c>
      <c r="G417" s="76" t="str">
        <f>IFERROR(INDEX(M_SKU!$A$18:$J$57,MATCH(F417,M_SKU!$B$18:$B$57,0),1),"UNKNOWN SKU")</f>
        <v>Krest Bitter Lemon RGB 300ml</v>
      </c>
      <c r="H417" s="101" t="s">
        <v>538</v>
      </c>
      <c r="I417" s="102">
        <f>SUMIF(T_Load!$U$9:$U$439,B417,T_Load!$O$9:$O$439)</f>
        <v>3</v>
      </c>
      <c r="J417" s="102">
        <f>SUMIF(T_Sales!$O$9:$O$1164,B417,T_Sales!$L$9:$L$1164)</f>
        <v>2.3596776548645719</v>
      </c>
      <c r="K417" s="103">
        <f t="shared" si="6"/>
        <v>0.64032234513542807</v>
      </c>
      <c r="L417" s="80">
        <v>46179</v>
      </c>
      <c r="M417" s="78" t="s">
        <v>1883</v>
      </c>
    </row>
    <row r="418" spans="1:13" ht="15" customHeight="1" x14ac:dyDescent="0.3">
      <c r="A418" s="60" t="s">
        <v>2699</v>
      </c>
      <c r="B418" s="97" t="s">
        <v>2700</v>
      </c>
      <c r="C418" s="63" t="s">
        <v>350</v>
      </c>
      <c r="D418" s="66" t="str">
        <f>IFERROR(INDEX(M_User!$A$12:$J$67,MATCH(C418,M_User!$D$12:$D$67,0),3),"UNMAPPED")</f>
        <v>Samson Felix Ngowi</v>
      </c>
      <c r="E418" s="65" t="str">
        <f>IFERROR(INDEX(M_User!$A$12:$J$67,MATCH(C418,M_User!$D$12:$D$67,0),5),"UNMAPPED")</f>
        <v>MOS</v>
      </c>
      <c r="F418" s="63" t="s">
        <v>199</v>
      </c>
      <c r="G418" s="66" t="str">
        <f>IFERROR(INDEX(M_SKU!$A$18:$J$57,MATCH(F418,M_SKU!$B$18:$B$57,0),1),"UNKNOWN SKU")</f>
        <v>Krest Club Soda RGB 300ml</v>
      </c>
      <c r="H418" s="63" t="s">
        <v>592</v>
      </c>
      <c r="I418" s="98">
        <f>SUMIF(T_Load!$U$9:$U$439,B418,T_Load!$O$9:$O$439)</f>
        <v>1</v>
      </c>
      <c r="J418" s="98">
        <f>SUMIF(T_Sales!$O$9:$O$1164,B418,T_Sales!$L$9:$L$1164)</f>
        <v>0.83804901522485398</v>
      </c>
      <c r="K418" s="99">
        <f t="shared" si="6"/>
        <v>0.16195098477514602</v>
      </c>
      <c r="L418" s="62">
        <v>46179</v>
      </c>
      <c r="M418" s="68" t="s">
        <v>1883</v>
      </c>
    </row>
    <row r="419" spans="1:13" ht="15" customHeight="1" x14ac:dyDescent="0.3">
      <c r="A419" s="70" t="s">
        <v>2701</v>
      </c>
      <c r="B419" s="100" t="s">
        <v>2702</v>
      </c>
      <c r="C419" s="101" t="s">
        <v>350</v>
      </c>
      <c r="D419" s="76" t="str">
        <f>IFERROR(INDEX(M_User!$A$12:$J$67,MATCH(C419,M_User!$D$12:$D$67,0),3),"UNMAPPED")</f>
        <v>Samson Felix Ngowi</v>
      </c>
      <c r="E419" s="75" t="str">
        <f>IFERROR(INDEX(M_User!$A$12:$J$67,MATCH(C419,M_User!$D$12:$D$67,0),5),"UNMAPPED")</f>
        <v>MOS</v>
      </c>
      <c r="F419" s="101" t="s">
        <v>199</v>
      </c>
      <c r="G419" s="76" t="str">
        <f>IFERROR(INDEX(M_SKU!$A$18:$J$57,MATCH(F419,M_SKU!$B$18:$B$57,0),1),"UNKNOWN SKU")</f>
        <v>Krest Club Soda RGB 300ml</v>
      </c>
      <c r="H419" s="101" t="s">
        <v>539</v>
      </c>
      <c r="I419" s="102">
        <f>SUMIF(T_Load!$U$9:$U$439,B419,T_Load!$O$9:$O$439)</f>
        <v>2</v>
      </c>
      <c r="J419" s="102">
        <f>SUMIF(T_Sales!$O$9:$O$1164,B419,T_Sales!$L$9:$L$1164)</f>
        <v>1.7174486669725089</v>
      </c>
      <c r="K419" s="103">
        <f t="shared" si="6"/>
        <v>0.28255133302749114</v>
      </c>
      <c r="L419" s="80">
        <v>46179</v>
      </c>
      <c r="M419" s="78" t="s">
        <v>1883</v>
      </c>
    </row>
    <row r="420" spans="1:13" ht="15" customHeight="1" x14ac:dyDescent="0.3">
      <c r="A420" s="60" t="s">
        <v>2703</v>
      </c>
      <c r="B420" s="97" t="s">
        <v>2704</v>
      </c>
      <c r="C420" s="63" t="s">
        <v>350</v>
      </c>
      <c r="D420" s="66" t="str">
        <f>IFERROR(INDEX(M_User!$A$12:$J$67,MATCH(C420,M_User!$D$12:$D$67,0),3),"UNMAPPED")</f>
        <v>Samson Felix Ngowi</v>
      </c>
      <c r="E420" s="65" t="str">
        <f>IFERROR(INDEX(M_User!$A$12:$J$67,MATCH(C420,M_User!$D$12:$D$67,0),5),"UNMAPPED")</f>
        <v>MOS</v>
      </c>
      <c r="F420" s="63" t="s">
        <v>201</v>
      </c>
      <c r="G420" s="66" t="str">
        <f>IFERROR(INDEX(M_SKU!$A$18:$J$57,MATCH(F420,M_SKU!$B$18:$B$57,0),1),"UNKNOWN SKU")</f>
        <v>Krest Tonic Water RGB 300ml</v>
      </c>
      <c r="H420" s="63" t="s">
        <v>540</v>
      </c>
      <c r="I420" s="98">
        <f>SUMIF(T_Load!$U$9:$U$439,B420,T_Load!$O$9:$O$439)</f>
        <v>3</v>
      </c>
      <c r="J420" s="98">
        <f>SUMIF(T_Sales!$O$9:$O$1164,B420,T_Sales!$L$9:$L$1164)</f>
        <v>2.6744006806243852</v>
      </c>
      <c r="K420" s="99">
        <f t="shared" si="6"/>
        <v>0.32559931937561482</v>
      </c>
      <c r="L420" s="62">
        <v>46179</v>
      </c>
      <c r="M420" s="68" t="s">
        <v>1883</v>
      </c>
    </row>
    <row r="421" spans="1:13" ht="15" customHeight="1" x14ac:dyDescent="0.3">
      <c r="A421" s="70" t="s">
        <v>2705</v>
      </c>
      <c r="B421" s="100" t="s">
        <v>2706</v>
      </c>
      <c r="C421" s="101" t="s">
        <v>350</v>
      </c>
      <c r="D421" s="76" t="str">
        <f>IFERROR(INDEX(M_User!$A$12:$J$67,MATCH(C421,M_User!$D$12:$D$67,0),3),"UNMAPPED")</f>
        <v>Samson Felix Ngowi</v>
      </c>
      <c r="E421" s="75" t="str">
        <f>IFERROR(INDEX(M_User!$A$12:$J$67,MATCH(C421,M_User!$D$12:$D$67,0),5),"UNMAPPED")</f>
        <v>MOS</v>
      </c>
      <c r="F421" s="101" t="s">
        <v>203</v>
      </c>
      <c r="G421" s="76" t="str">
        <f>IFERROR(INDEX(M_SKU!$A$18:$J$57,MATCH(F421,M_SKU!$B$18:$B$57,0),1),"UNKNOWN SKU")</f>
        <v>Krest Ginger Ale RGB 300ml</v>
      </c>
      <c r="H421" s="101" t="s">
        <v>541</v>
      </c>
      <c r="I421" s="102">
        <f>SUMIF(T_Load!$U$9:$U$439,B421,T_Load!$O$9:$O$439)</f>
        <v>3</v>
      </c>
      <c r="J421" s="102">
        <f>SUMIF(T_Sales!$O$9:$O$1164,B421,T_Sales!$L$9:$L$1164)</f>
        <v>2.5737506164229398</v>
      </c>
      <c r="K421" s="103">
        <f t="shared" si="6"/>
        <v>0.42624938357706021</v>
      </c>
      <c r="L421" s="80">
        <v>46179</v>
      </c>
      <c r="M421" s="78" t="s">
        <v>1883</v>
      </c>
    </row>
    <row r="422" spans="1:13" ht="15" customHeight="1" x14ac:dyDescent="0.3">
      <c r="A422" s="60" t="s">
        <v>2707</v>
      </c>
      <c r="B422" s="97" t="s">
        <v>2708</v>
      </c>
      <c r="C422" s="63" t="s">
        <v>350</v>
      </c>
      <c r="D422" s="66" t="str">
        <f>IFERROR(INDEX(M_User!$A$12:$J$67,MATCH(C422,M_User!$D$12:$D$67,0),3),"UNMAPPED")</f>
        <v>Samson Felix Ngowi</v>
      </c>
      <c r="E422" s="65" t="str">
        <f>IFERROR(INDEX(M_User!$A$12:$J$67,MATCH(C422,M_User!$D$12:$D$67,0),5),"UNMAPPED")</f>
        <v>MOS</v>
      </c>
      <c r="F422" s="63" t="s">
        <v>209</v>
      </c>
      <c r="G422" s="66" t="str">
        <f>IFERROR(INDEX(M_SKU!$A$18:$J$57,MATCH(F422,M_SKU!$B$18:$B$57,0),1),"UNKNOWN SKU")</f>
        <v>Sparletta Red Apple RGB 350ml</v>
      </c>
      <c r="H422" s="63" t="s">
        <v>542</v>
      </c>
      <c r="I422" s="98">
        <f>SUMIF(T_Load!$U$9:$U$439,B422,T_Load!$O$9:$O$439)</f>
        <v>2</v>
      </c>
      <c r="J422" s="98">
        <f>SUMIF(T_Sales!$O$9:$O$1164,B422,T_Sales!$L$9:$L$1164)</f>
        <v>1.6995805719058221</v>
      </c>
      <c r="K422" s="99">
        <f t="shared" si="6"/>
        <v>0.30041942809417788</v>
      </c>
      <c r="L422" s="62">
        <v>46179</v>
      </c>
      <c r="M422" s="68" t="s">
        <v>1883</v>
      </c>
    </row>
    <row r="423" spans="1:13" ht="15" customHeight="1" x14ac:dyDescent="0.3">
      <c r="A423" s="70" t="s">
        <v>2709</v>
      </c>
      <c r="B423" s="100" t="s">
        <v>2710</v>
      </c>
      <c r="C423" s="101" t="s">
        <v>350</v>
      </c>
      <c r="D423" s="76" t="str">
        <f>IFERROR(INDEX(M_User!$A$12:$J$67,MATCH(C423,M_User!$D$12:$D$67,0),3),"UNMAPPED")</f>
        <v>Samson Felix Ngowi</v>
      </c>
      <c r="E423" s="75" t="str">
        <f>IFERROR(INDEX(M_User!$A$12:$J$67,MATCH(C423,M_User!$D$12:$D$67,0),5),"UNMAPPED")</f>
        <v>MOS</v>
      </c>
      <c r="F423" s="101" t="s">
        <v>211</v>
      </c>
      <c r="G423" s="76" t="str">
        <f>IFERROR(INDEX(M_SKU!$A$18:$J$57,MATCH(F423,M_SKU!$B$18:$B$57,0),1),"UNKNOWN SKU")</f>
        <v>KNMW 500ml</v>
      </c>
      <c r="H423" s="101" t="s">
        <v>593</v>
      </c>
      <c r="I423" s="102">
        <f>SUMIF(T_Load!$U$9:$U$439,B423,T_Load!$O$9:$O$439)</f>
        <v>60</v>
      </c>
      <c r="J423" s="102">
        <f>SUMIF(T_Sales!$O$9:$O$1164,B423,T_Sales!$L$9:$L$1164)</f>
        <v>53</v>
      </c>
      <c r="K423" s="103">
        <f t="shared" si="6"/>
        <v>7</v>
      </c>
      <c r="L423" s="80">
        <v>46179</v>
      </c>
      <c r="M423" s="78" t="s">
        <v>1883</v>
      </c>
    </row>
    <row r="424" spans="1:13" ht="15" customHeight="1" x14ac:dyDescent="0.3">
      <c r="A424" s="60" t="s">
        <v>2711</v>
      </c>
      <c r="B424" s="97" t="s">
        <v>2712</v>
      </c>
      <c r="C424" s="63" t="s">
        <v>350</v>
      </c>
      <c r="D424" s="66" t="str">
        <f>IFERROR(INDEX(M_User!$A$12:$J$67,MATCH(C424,M_User!$D$12:$D$67,0),3),"UNMAPPED")</f>
        <v>Samson Felix Ngowi</v>
      </c>
      <c r="E424" s="65" t="str">
        <f>IFERROR(INDEX(M_User!$A$12:$J$67,MATCH(C424,M_User!$D$12:$D$67,0),5),"UNMAPPED")</f>
        <v>MOS</v>
      </c>
      <c r="F424" s="63" t="s">
        <v>211</v>
      </c>
      <c r="G424" s="66" t="str">
        <f>IFERROR(INDEX(M_SKU!$A$18:$J$57,MATCH(F424,M_SKU!$B$18:$B$57,0),1),"UNKNOWN SKU")</f>
        <v>KNMW 500ml</v>
      </c>
      <c r="H424" s="63" t="s">
        <v>543</v>
      </c>
      <c r="I424" s="98">
        <f>SUMIF(T_Load!$U$9:$U$439,B424,T_Load!$O$9:$O$439)</f>
        <v>50</v>
      </c>
      <c r="J424" s="98">
        <f>SUMIF(T_Sales!$O$9:$O$1164,B424,T_Sales!$L$9:$L$1164)</f>
        <v>41</v>
      </c>
      <c r="K424" s="99">
        <f t="shared" si="6"/>
        <v>9</v>
      </c>
      <c r="L424" s="62">
        <v>46179</v>
      </c>
      <c r="M424" s="68" t="s">
        <v>1883</v>
      </c>
    </row>
    <row r="425" spans="1:13" ht="15" customHeight="1" x14ac:dyDescent="0.3">
      <c r="A425" s="70" t="s">
        <v>2713</v>
      </c>
      <c r="B425" s="100" t="s">
        <v>2714</v>
      </c>
      <c r="C425" s="101" t="s">
        <v>350</v>
      </c>
      <c r="D425" s="76" t="str">
        <f>IFERROR(INDEX(M_User!$A$12:$J$67,MATCH(C425,M_User!$D$12:$D$67,0),3),"UNMAPPED")</f>
        <v>Samson Felix Ngowi</v>
      </c>
      <c r="E425" s="75" t="str">
        <f>IFERROR(INDEX(M_User!$A$12:$J$67,MATCH(C425,M_User!$D$12:$D$67,0),5),"UNMAPPED")</f>
        <v>MOS</v>
      </c>
      <c r="F425" s="101" t="s">
        <v>217</v>
      </c>
      <c r="G425" s="76" t="str">
        <f>IFERROR(INDEX(M_SKU!$A$18:$J$57,MATCH(F425,M_SKU!$B$18:$B$57,0),1),"UNKNOWN SKU")</f>
        <v>KNMW 1500ml</v>
      </c>
      <c r="H425" s="101" t="s">
        <v>551</v>
      </c>
      <c r="I425" s="102">
        <f>SUMIF(T_Load!$U$9:$U$439,B425,T_Load!$O$9:$O$439)</f>
        <v>90</v>
      </c>
      <c r="J425" s="102">
        <f>SUMIF(T_Sales!$O$9:$O$1164,B425,T_Sales!$L$9:$L$1164)</f>
        <v>69</v>
      </c>
      <c r="K425" s="103">
        <f t="shared" si="6"/>
        <v>21</v>
      </c>
      <c r="L425" s="80">
        <v>46179</v>
      </c>
      <c r="M425" s="78" t="s">
        <v>1883</v>
      </c>
    </row>
    <row r="426" spans="1:13" ht="15" customHeight="1" x14ac:dyDescent="0.3">
      <c r="A426" s="60" t="s">
        <v>2715</v>
      </c>
      <c r="B426" s="97" t="s">
        <v>2716</v>
      </c>
      <c r="C426" s="63" t="s">
        <v>350</v>
      </c>
      <c r="D426" s="66" t="str">
        <f>IFERROR(INDEX(M_User!$A$12:$J$67,MATCH(C426,M_User!$D$12:$D$67,0),3),"UNMAPPED")</f>
        <v>Samson Felix Ngowi</v>
      </c>
      <c r="E426" s="65" t="str">
        <f>IFERROR(INDEX(M_User!$A$12:$J$67,MATCH(C426,M_User!$D$12:$D$67,0),5),"UNMAPPED")</f>
        <v>MOS</v>
      </c>
      <c r="F426" s="63" t="s">
        <v>225</v>
      </c>
      <c r="G426" s="66" t="str">
        <f>IFERROR(INDEX(M_SKU!$A$18:$J$57,MATCH(F426,M_SKU!$B$18:$B$57,0),1),"UNKNOWN SKU")</f>
        <v>Kilimanjaro Drinking Water 18900 ML</v>
      </c>
      <c r="H426" s="63" t="s">
        <v>567</v>
      </c>
      <c r="I426" s="98">
        <f>SUMIF(T_Load!$U$9:$U$439,B426,T_Load!$O$9:$O$439)</f>
        <v>8</v>
      </c>
      <c r="J426" s="98">
        <f>SUMIF(T_Sales!$O$9:$O$1164,B426,T_Sales!$L$9:$L$1164)</f>
        <v>6</v>
      </c>
      <c r="K426" s="99">
        <f t="shared" si="6"/>
        <v>2</v>
      </c>
      <c r="L426" s="62">
        <v>46179</v>
      </c>
      <c r="M426" s="68" t="s">
        <v>1883</v>
      </c>
    </row>
    <row r="427" spans="1:13" ht="15" customHeight="1" x14ac:dyDescent="0.3">
      <c r="A427" s="70" t="s">
        <v>2717</v>
      </c>
      <c r="B427" s="100" t="s">
        <v>2718</v>
      </c>
      <c r="C427" s="101" t="s">
        <v>350</v>
      </c>
      <c r="D427" s="76" t="str">
        <f>IFERROR(INDEX(M_User!$A$12:$J$67,MATCH(C427,M_User!$D$12:$D$67,0),3),"UNMAPPED")</f>
        <v>Samson Felix Ngowi</v>
      </c>
      <c r="E427" s="75" t="str">
        <f>IFERROR(INDEX(M_User!$A$12:$J$67,MATCH(C427,M_User!$D$12:$D$67,0),5),"UNMAPPED")</f>
        <v>MOS</v>
      </c>
      <c r="F427" s="101" t="s">
        <v>229</v>
      </c>
      <c r="G427" s="76" t="str">
        <f>IFERROR(INDEX(M_SKU!$A$18:$J$57,MATCH(F427,M_SKU!$B$18:$B$57,0),1),"UNKNOWN SKU")</f>
        <v>Coke Pet 500ML ( x12)</v>
      </c>
      <c r="H427" s="101" t="s">
        <v>520</v>
      </c>
      <c r="I427" s="102">
        <f>SUMIF(T_Load!$U$9:$U$439,B427,T_Load!$O$9:$O$439)</f>
        <v>25</v>
      </c>
      <c r="J427" s="102">
        <f>SUMIF(T_Sales!$O$9:$O$1164,B427,T_Sales!$L$9:$L$1164)</f>
        <v>19</v>
      </c>
      <c r="K427" s="103">
        <f t="shared" si="6"/>
        <v>6</v>
      </c>
      <c r="L427" s="80">
        <v>46179</v>
      </c>
      <c r="M427" s="78" t="s">
        <v>1883</v>
      </c>
    </row>
    <row r="428" spans="1:13" ht="15" customHeight="1" x14ac:dyDescent="0.3">
      <c r="A428" s="60" t="s">
        <v>2719</v>
      </c>
      <c r="B428" s="97" t="s">
        <v>2720</v>
      </c>
      <c r="C428" s="63" t="s">
        <v>350</v>
      </c>
      <c r="D428" s="66" t="str">
        <f>IFERROR(INDEX(M_User!$A$12:$J$67,MATCH(C428,M_User!$D$12:$D$67,0),3),"UNMAPPED")</f>
        <v>Samson Felix Ngowi</v>
      </c>
      <c r="E428" s="65" t="str">
        <f>IFERROR(INDEX(M_User!$A$12:$J$67,MATCH(C428,M_User!$D$12:$D$67,0),5),"UNMAPPED")</f>
        <v>MOS</v>
      </c>
      <c r="F428" s="63" t="s">
        <v>232</v>
      </c>
      <c r="G428" s="66" t="str">
        <f>IFERROR(INDEX(M_SKU!$A$18:$J$57,MATCH(F428,M_SKU!$B$18:$B$57,0),1),"UNKNOWN SKU")</f>
        <v>Sprite Pet 500ML (x 12)</v>
      </c>
      <c r="H428" s="63" t="s">
        <v>522</v>
      </c>
      <c r="I428" s="98">
        <f>SUMIF(T_Load!$U$9:$U$439,B428,T_Load!$O$9:$O$439)</f>
        <v>8</v>
      </c>
      <c r="J428" s="98">
        <f>SUMIF(T_Sales!$O$9:$O$1164,B428,T_Sales!$L$9:$L$1164)</f>
        <v>7</v>
      </c>
      <c r="K428" s="99">
        <f t="shared" si="6"/>
        <v>1</v>
      </c>
      <c r="L428" s="62">
        <v>46179</v>
      </c>
      <c r="M428" s="68" t="s">
        <v>1883</v>
      </c>
    </row>
    <row r="429" spans="1:13" ht="15" customHeight="1" x14ac:dyDescent="0.3">
      <c r="A429" s="70" t="s">
        <v>2721</v>
      </c>
      <c r="B429" s="100" t="s">
        <v>2722</v>
      </c>
      <c r="C429" s="101" t="s">
        <v>350</v>
      </c>
      <c r="D429" s="76" t="str">
        <f>IFERROR(INDEX(M_User!$A$12:$J$67,MATCH(C429,M_User!$D$12:$D$67,0),3),"UNMAPPED")</f>
        <v>Samson Felix Ngowi</v>
      </c>
      <c r="E429" s="75" t="str">
        <f>IFERROR(INDEX(M_User!$A$12:$J$67,MATCH(C429,M_User!$D$12:$D$67,0),5),"UNMAPPED")</f>
        <v>MOS</v>
      </c>
      <c r="F429" s="101" t="s">
        <v>234</v>
      </c>
      <c r="G429" s="76" t="str">
        <f>IFERROR(INDEX(M_SKU!$A$18:$J$57,MATCH(F429,M_SKU!$B$18:$B$57,0),1),"UNKNOWN SKU")</f>
        <v>Fanta Orange Pet 500ML ( x 12)</v>
      </c>
      <c r="H429" s="101" t="s">
        <v>523</v>
      </c>
      <c r="I429" s="102">
        <f>SUMIF(T_Load!$U$9:$U$439,B429,T_Load!$O$9:$O$439)</f>
        <v>20</v>
      </c>
      <c r="J429" s="102">
        <f>SUMIF(T_Sales!$O$9:$O$1164,B429,T_Sales!$L$9:$L$1164)</f>
        <v>16</v>
      </c>
      <c r="K429" s="103">
        <f t="shared" si="6"/>
        <v>4</v>
      </c>
      <c r="L429" s="80">
        <v>46179</v>
      </c>
      <c r="M429" s="78" t="s">
        <v>1883</v>
      </c>
    </row>
    <row r="430" spans="1:13" ht="15" customHeight="1" x14ac:dyDescent="0.3">
      <c r="A430" s="60" t="s">
        <v>2723</v>
      </c>
      <c r="B430" s="97" t="s">
        <v>2724</v>
      </c>
      <c r="C430" s="63" t="s">
        <v>350</v>
      </c>
      <c r="D430" s="66" t="str">
        <f>IFERROR(INDEX(M_User!$A$12:$J$67,MATCH(C430,M_User!$D$12:$D$67,0),3),"UNMAPPED")</f>
        <v>Samson Felix Ngowi</v>
      </c>
      <c r="E430" s="65" t="str">
        <f>IFERROR(INDEX(M_User!$A$12:$J$67,MATCH(C430,M_User!$D$12:$D$67,0),5),"UNMAPPED")</f>
        <v>MOS</v>
      </c>
      <c r="F430" s="63" t="s">
        <v>236</v>
      </c>
      <c r="G430" s="66" t="str">
        <f>IFERROR(INDEX(M_SKU!$A$18:$J$57,MATCH(F430,M_SKU!$B$18:$B$57,0),1),"UNKNOWN SKU")</f>
        <v>Fanta Passion Pet 500ML ( x12)</v>
      </c>
      <c r="H430" s="63" t="s">
        <v>524</v>
      </c>
      <c r="I430" s="98">
        <f>SUMIF(T_Load!$U$9:$U$439,B430,T_Load!$O$9:$O$439)</f>
        <v>8</v>
      </c>
      <c r="J430" s="98">
        <f>SUMIF(T_Sales!$O$9:$O$1164,B430,T_Sales!$L$9:$L$1164)</f>
        <v>6</v>
      </c>
      <c r="K430" s="99">
        <f t="shared" si="6"/>
        <v>2</v>
      </c>
      <c r="L430" s="62">
        <v>46179</v>
      </c>
      <c r="M430" s="68" t="s">
        <v>1883</v>
      </c>
    </row>
    <row r="431" spans="1:13" ht="15" customHeight="1" x14ac:dyDescent="0.3">
      <c r="A431" s="70" t="s">
        <v>2725</v>
      </c>
      <c r="B431" s="100" t="s">
        <v>2726</v>
      </c>
      <c r="C431" s="101" t="s">
        <v>350</v>
      </c>
      <c r="D431" s="76" t="str">
        <f>IFERROR(INDEX(M_User!$A$12:$J$67,MATCH(C431,M_User!$D$12:$D$67,0),3),"UNMAPPED")</f>
        <v>Samson Felix Ngowi</v>
      </c>
      <c r="E431" s="75" t="str">
        <f>IFERROR(INDEX(M_User!$A$12:$J$67,MATCH(C431,M_User!$D$12:$D$67,0),5),"UNMAPPED")</f>
        <v>MOS</v>
      </c>
      <c r="F431" s="101" t="s">
        <v>242</v>
      </c>
      <c r="G431" s="76" t="str">
        <f>IFERROR(INDEX(M_SKU!$A$18:$J$57,MATCH(F431,M_SKU!$B$18:$B$57,0),1),"UNKNOWN SKU")</f>
        <v>Stoney Tangawizi Pet 500 ml ( x12)</v>
      </c>
      <c r="H431" s="101" t="s">
        <v>525</v>
      </c>
      <c r="I431" s="102">
        <f>SUMIF(T_Load!$U$9:$U$439,B431,T_Load!$O$9:$O$439)</f>
        <v>5</v>
      </c>
      <c r="J431" s="102">
        <f>SUMIF(T_Sales!$O$9:$O$1164,B431,T_Sales!$L$9:$L$1164)</f>
        <v>4</v>
      </c>
      <c r="K431" s="103">
        <f t="shared" si="6"/>
        <v>1</v>
      </c>
      <c r="L431" s="80">
        <v>46179</v>
      </c>
      <c r="M431" s="78" t="s">
        <v>1883</v>
      </c>
    </row>
    <row r="432" spans="1:13" ht="15" customHeight="1" x14ac:dyDescent="0.3">
      <c r="A432" s="60" t="s">
        <v>2727</v>
      </c>
      <c r="B432" s="97" t="s">
        <v>2728</v>
      </c>
      <c r="C432" s="63" t="s">
        <v>350</v>
      </c>
      <c r="D432" s="66" t="str">
        <f>IFERROR(INDEX(M_User!$A$12:$J$67,MATCH(C432,M_User!$D$12:$D$67,0),3),"UNMAPPED")</f>
        <v>Samson Felix Ngowi</v>
      </c>
      <c r="E432" s="65" t="str">
        <f>IFERROR(INDEX(M_User!$A$12:$J$67,MATCH(C432,M_User!$D$12:$D$67,0),5),"UNMAPPED")</f>
        <v>MOS</v>
      </c>
      <c r="F432" s="63" t="s">
        <v>244</v>
      </c>
      <c r="G432" s="66" t="str">
        <f>IFERROR(INDEX(M_SKU!$A$18:$J$57,MATCH(F432,M_SKU!$B$18:$B$57,0),1),"UNKNOWN SKU")</f>
        <v>Sparletta Pinenut Pet 500 ml ( x12)</v>
      </c>
      <c r="H432" s="63" t="s">
        <v>526</v>
      </c>
      <c r="I432" s="98">
        <f>SUMIF(T_Load!$U$9:$U$439,B432,T_Load!$O$9:$O$439)</f>
        <v>5</v>
      </c>
      <c r="J432" s="98">
        <f>SUMIF(T_Sales!$O$9:$O$1164,B432,T_Sales!$L$9:$L$1164)</f>
        <v>4</v>
      </c>
      <c r="K432" s="99">
        <f t="shared" si="6"/>
        <v>1</v>
      </c>
      <c r="L432" s="62">
        <v>46179</v>
      </c>
      <c r="M432" s="68" t="s">
        <v>1883</v>
      </c>
    </row>
    <row r="433" spans="1:13" ht="15" customHeight="1" x14ac:dyDescent="0.3">
      <c r="A433" s="70" t="s">
        <v>2729</v>
      </c>
      <c r="B433" s="100" t="s">
        <v>2730</v>
      </c>
      <c r="C433" s="101" t="s">
        <v>350</v>
      </c>
      <c r="D433" s="76" t="str">
        <f>IFERROR(INDEX(M_User!$A$12:$J$67,MATCH(C433,M_User!$D$12:$D$67,0),3),"UNMAPPED")</f>
        <v>Samson Felix Ngowi</v>
      </c>
      <c r="E433" s="75" t="str">
        <f>IFERROR(INDEX(M_User!$A$12:$J$67,MATCH(C433,M_User!$D$12:$D$67,0),5),"UNMAPPED")</f>
        <v>MOS</v>
      </c>
      <c r="F433" s="101" t="s">
        <v>261</v>
      </c>
      <c r="G433" s="76" t="str">
        <f>IFERROR(INDEX(M_SKU!$A$18:$J$57,MATCH(F433,M_SKU!$B$18:$B$57,0),1),"UNKNOWN SKU")</f>
        <v>Sparletta Pine Apple Pet 300ML (x 12)</v>
      </c>
      <c r="H433" s="101" t="s">
        <v>547</v>
      </c>
      <c r="I433" s="102">
        <f>SUMIF(T_Load!$U$9:$U$439,B433,T_Load!$O$9:$O$439)</f>
        <v>5</v>
      </c>
      <c r="J433" s="102">
        <f>SUMIF(T_Sales!$O$9:$O$1164,B433,T_Sales!$L$9:$L$1164)</f>
        <v>4</v>
      </c>
      <c r="K433" s="103">
        <f t="shared" si="6"/>
        <v>1</v>
      </c>
      <c r="L433" s="80">
        <v>46179</v>
      </c>
      <c r="M433" s="78" t="s">
        <v>1883</v>
      </c>
    </row>
    <row r="436" spans="1:13" ht="15" customHeight="1" x14ac:dyDescent="0.3">
      <c r="A436" s="83" t="s">
        <v>626</v>
      </c>
    </row>
    <row r="437" spans="1:13" ht="15" customHeight="1" x14ac:dyDescent="0.3">
      <c r="A437" s="14" t="s">
        <v>2731</v>
      </c>
      <c r="E437" s="15">
        <f>COUNTA(A10:A433)</f>
        <v>424</v>
      </c>
    </row>
    <row r="438" spans="1:13" ht="15" customHeight="1" x14ac:dyDescent="0.3">
      <c r="A438" s="84" t="s">
        <v>1851</v>
      </c>
      <c r="E438" s="15">
        <f>SUMPRODUCT(1/COUNTIF(C10:C433,C10:C433))</f>
        <v>17.999999999999936</v>
      </c>
    </row>
    <row r="439" spans="1:13" ht="15" customHeight="1" x14ac:dyDescent="0.3">
      <c r="A439" s="84" t="s">
        <v>2732</v>
      </c>
      <c r="E439" s="86">
        <f>SUM(I10:I433)</f>
        <v>8286</v>
      </c>
    </row>
    <row r="440" spans="1:13" ht="15" customHeight="1" x14ac:dyDescent="0.3">
      <c r="A440" s="84" t="s">
        <v>2733</v>
      </c>
      <c r="E440" s="86">
        <f>SUM(J10:J433)</f>
        <v>6616.9404776639658</v>
      </c>
    </row>
    <row r="441" spans="1:13" ht="15" customHeight="1" x14ac:dyDescent="0.3">
      <c r="A441" s="14" t="s">
        <v>2734</v>
      </c>
      <c r="E441" s="86">
        <f>SUM(K10:K433)</f>
        <v>1669.0595223360401</v>
      </c>
    </row>
    <row r="443" spans="1:13" ht="15" customHeight="1" x14ac:dyDescent="0.3">
      <c r="A443" s="15" t="s">
        <v>631</v>
      </c>
    </row>
    <row r="444" spans="1:13" ht="15" customHeight="1" x14ac:dyDescent="0.3">
      <c r="A444" s="84" t="s">
        <v>2735</v>
      </c>
      <c r="E444" s="33">
        <f>COUNTIF(M10:M433,"Pending Unload")</f>
        <v>400</v>
      </c>
    </row>
    <row r="445" spans="1:13" ht="15" customHeight="1" x14ac:dyDescent="0.3">
      <c r="A445" s="84" t="s">
        <v>2736</v>
      </c>
      <c r="E445" s="44">
        <f>COUNTIF(M10:M433,"Blocked (Force-Push)")</f>
        <v>24</v>
      </c>
    </row>
    <row r="447" spans="1:13" ht="15" customHeight="1" x14ac:dyDescent="0.3">
      <c r="A447" s="15" t="s">
        <v>2737</v>
      </c>
    </row>
    <row r="448" spans="1:13" ht="15" customHeight="1" x14ac:dyDescent="0.3">
      <c r="A448" s="84" t="s">
        <v>2738</v>
      </c>
      <c r="E448" s="278">
        <f>SUMIFS(K10:K433,C10:C433,"MOS100802")</f>
        <v>-1.170758962845011</v>
      </c>
    </row>
    <row r="449" spans="1:5" ht="15" customHeight="1" x14ac:dyDescent="0.3">
      <c r="A449" s="84" t="s">
        <v>2739</v>
      </c>
      <c r="E449" s="277">
        <f>SUMIFS(K10:K433,C10:C433,"MOS100645")</f>
        <v>187.50224901704854</v>
      </c>
    </row>
    <row r="450" spans="1:5" ht="15" customHeight="1" x14ac:dyDescent="0.3">
      <c r="A450" s="84" t="s">
        <v>2740</v>
      </c>
      <c r="E450" s="277">
        <f>SUMIFS(K10:K433,C10:C433,"MOS100801")</f>
        <v>320</v>
      </c>
    </row>
  </sheetData>
  <conditionalFormatting sqref="D10:D433">
    <cfRule type="cellIs" dxfId="40" priority="5" operator="equal">
      <formula>"UNMAPPED"</formula>
    </cfRule>
  </conditionalFormatting>
  <conditionalFormatting sqref="M10:M433">
    <cfRule type="cellIs" dxfId="39" priority="2" operator="equal">
      <formula>"Pending Unload"</formula>
    </cfRule>
    <cfRule type="cellIs" dxfId="38" priority="3" operator="equal">
      <formula>"Unloaded"</formula>
    </cfRule>
    <cfRule type="cellIs" dxfId="37" priority="4" operator="equal">
      <formula>"Blocked (Force-Push)"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60"/>
  <sheetViews>
    <sheetView showGridLines="0" zoomScaleNormal="100" workbookViewId="0">
      <selection activeCell="F14" sqref="A1:XFD1048576"/>
    </sheetView>
  </sheetViews>
  <sheetFormatPr defaultColWidth="8.6640625" defaultRowHeight="14.4" x14ac:dyDescent="0.3"/>
  <cols>
    <col min="1" max="1" width="14.6640625" bestFit="1" customWidth="1"/>
    <col min="2" max="2" width="28" customWidth="1"/>
    <col min="3" max="3" width="12" customWidth="1"/>
    <col min="4" max="4" width="24" customWidth="1"/>
    <col min="5" max="5" width="9" customWidth="1"/>
    <col min="6" max="6" width="13.6640625" bestFit="1" customWidth="1"/>
    <col min="7" max="7" width="32" customWidth="1"/>
    <col min="8" max="9" width="12" customWidth="1"/>
    <col min="10" max="10" width="14" customWidth="1"/>
    <col min="11" max="11" width="10" customWidth="1"/>
    <col min="12" max="12" width="22" customWidth="1"/>
    <col min="13" max="14" width="14" customWidth="1"/>
    <col min="15" max="15" width="25.44140625" bestFit="1" customWidth="1"/>
    <col min="16" max="16" width="10" customWidth="1"/>
    <col min="17" max="17" width="12" customWidth="1"/>
  </cols>
  <sheetData>
    <row r="1" spans="1:17" ht="19.5" customHeight="1" x14ac:dyDescent="0.4">
      <c r="A1" s="13" t="s">
        <v>2741</v>
      </c>
    </row>
    <row r="2" spans="1:17" ht="15" customHeight="1" x14ac:dyDescent="0.3">
      <c r="A2" s="1" t="s">
        <v>2742</v>
      </c>
    </row>
    <row r="3" spans="1:17" ht="15" customHeight="1" x14ac:dyDescent="0.3">
      <c r="A3" s="96" t="s">
        <v>2743</v>
      </c>
    </row>
    <row r="4" spans="1:17" ht="15" customHeight="1" x14ac:dyDescent="0.3">
      <c r="A4" s="106" t="s">
        <v>2744</v>
      </c>
    </row>
    <row r="5" spans="1:17" ht="15" customHeight="1" x14ac:dyDescent="0.3">
      <c r="A5" s="1" t="s">
        <v>2745</v>
      </c>
    </row>
    <row r="6" spans="1:17" ht="15" customHeight="1" x14ac:dyDescent="0.3">
      <c r="A6" s="1" t="s">
        <v>2746</v>
      </c>
    </row>
    <row r="7" spans="1:17" ht="15" customHeight="1" x14ac:dyDescent="0.3">
      <c r="A7" s="1" t="s">
        <v>2747</v>
      </c>
    </row>
    <row r="8" spans="1:17" ht="15" customHeight="1" x14ac:dyDescent="0.3">
      <c r="A8" s="1" t="s">
        <v>2748</v>
      </c>
    </row>
    <row r="10" spans="1:17" ht="15" customHeight="1" x14ac:dyDescent="0.3">
      <c r="A10" s="15" t="s">
        <v>494</v>
      </c>
      <c r="B10" s="48" t="s">
        <v>495</v>
      </c>
      <c r="D10" s="50" t="s">
        <v>497</v>
      </c>
      <c r="F10" s="49" t="s">
        <v>2749</v>
      </c>
      <c r="H10" s="51" t="s">
        <v>2750</v>
      </c>
      <c r="J10" s="53" t="s">
        <v>1873</v>
      </c>
      <c r="L10" s="107" t="s">
        <v>2751</v>
      </c>
      <c r="N10" s="108" t="s">
        <v>498</v>
      </c>
    </row>
    <row r="12" spans="1:17" ht="42" customHeight="1" x14ac:dyDescent="0.3">
      <c r="A12" s="54" t="s">
        <v>2752</v>
      </c>
      <c r="B12" s="54" t="s">
        <v>518</v>
      </c>
      <c r="C12" s="54" t="s">
        <v>647</v>
      </c>
      <c r="D12" s="56" t="s">
        <v>648</v>
      </c>
      <c r="E12" s="56" t="s">
        <v>1875</v>
      </c>
      <c r="F12" s="54" t="s">
        <v>509</v>
      </c>
      <c r="G12" s="56" t="s">
        <v>277</v>
      </c>
      <c r="H12" s="54" t="s">
        <v>510</v>
      </c>
      <c r="I12" s="55" t="s">
        <v>1878</v>
      </c>
      <c r="J12" s="57" t="s">
        <v>2753</v>
      </c>
      <c r="K12" s="59" t="s">
        <v>2754</v>
      </c>
      <c r="L12" s="109" t="s">
        <v>2755</v>
      </c>
      <c r="M12" s="109" t="s">
        <v>2756</v>
      </c>
      <c r="N12" s="109" t="s">
        <v>2757</v>
      </c>
      <c r="O12" s="110" t="s">
        <v>9</v>
      </c>
      <c r="P12" s="110" t="s">
        <v>2758</v>
      </c>
      <c r="Q12" s="110" t="s">
        <v>2759</v>
      </c>
    </row>
    <row r="13" spans="1:17" ht="15" customHeight="1" x14ac:dyDescent="0.3">
      <c r="A13" s="60" t="s">
        <v>2760</v>
      </c>
      <c r="B13" s="97" t="s">
        <v>1882</v>
      </c>
      <c r="C13" s="63" t="s">
        <v>320</v>
      </c>
      <c r="D13" s="66" t="str">
        <f>IFERROR(INDEX(M_User!$A$12:$J$67,MATCH(C13,M_User!$D$12:$D$67,0),3),"UNMAPPED")</f>
        <v>Doglas E. Shirima</v>
      </c>
      <c r="E13" s="65" t="str">
        <f>IFERROR(INDEX(M_User!$A$12:$J$67,MATCH(C13,M_User!$D$12:$D$67,0),5),"UNMAPPED")</f>
        <v>ARS</v>
      </c>
      <c r="F13" s="63" t="s">
        <v>170</v>
      </c>
      <c r="G13" s="66" t="str">
        <f>IFERROR(INDEX(M_SKU!$A$18:$J$57,MATCH(F13,M_SKU!$B$18:$B$57,0),1),"UNKNOWN SKU")</f>
        <v>Coke RGB 350ml</v>
      </c>
      <c r="H13" s="63" t="s">
        <v>596</v>
      </c>
      <c r="I13" s="98">
        <f>IFERROR(INDEX(T_Unload!$K$10:$K$433,MATCH(B13,T_Unload!$B$10:$B$433,0)),0)</f>
        <v>2.5674503820861503</v>
      </c>
      <c r="J13" s="111">
        <v>2.5674999999999999</v>
      </c>
      <c r="K13" s="99">
        <f t="shared" ref="K13:K76" si="0">IF(ISBLANK(J13),"",I13-J13)</f>
        <v>-4.9617913849608897E-5</v>
      </c>
      <c r="L13" s="105" t="str">
        <f t="shared" ref="L13:L76" si="1">IF(K13="","Awaiting Verification",IF(ABS(K13)&lt;0.0001,"CLEAN",IF(K13&gt;0,"Post to Default Outlet","Adjust Unload Upward")))</f>
        <v>CLEAN</v>
      </c>
      <c r="M13" s="90">
        <f t="shared" ref="M13:M76" si="2">IF(AND(ISNUMBER(K13),K13&gt;0.0001),K13,0)</f>
        <v>0</v>
      </c>
      <c r="N13" s="90">
        <f t="shared" ref="N13:N76" si="3">IF(AND(ISNUMBER(K13),K13&lt;-0.0001),-K13,0)</f>
        <v>0</v>
      </c>
      <c r="O13" s="68" t="s">
        <v>2761</v>
      </c>
      <c r="P13" s="63"/>
      <c r="Q13" s="62"/>
    </row>
    <row r="14" spans="1:17" ht="15" customHeight="1" x14ac:dyDescent="0.3">
      <c r="A14" s="70" t="s">
        <v>2762</v>
      </c>
      <c r="B14" s="112" t="s">
        <v>1885</v>
      </c>
      <c r="C14" s="101" t="s">
        <v>320</v>
      </c>
      <c r="D14" s="76" t="str">
        <f>IFERROR(INDEX(M_User!$A$12:$J$67,MATCH(C14,M_User!$D$12:$D$67,0),3),"UNMAPPED")</f>
        <v>Doglas E. Shirima</v>
      </c>
      <c r="E14" s="75" t="str">
        <f>IFERROR(INDEX(M_User!$A$12:$J$67,MATCH(C14,M_User!$D$12:$D$67,0),5),"UNMAPPED")</f>
        <v>ARS</v>
      </c>
      <c r="F14" s="101" t="s">
        <v>178</v>
      </c>
      <c r="G14" s="76" t="str">
        <f>IFERROR(INDEX(M_SKU!$A$18:$J$57,MATCH(F14,M_SKU!$B$18:$B$57,0),1),"UNKNOWN SKU")</f>
        <v>Fanta Orange RGB 350ml</v>
      </c>
      <c r="H14" s="101" t="s">
        <v>597</v>
      </c>
      <c r="I14" s="102">
        <f>IFERROR(INDEX(T_Unload!$K$10:$K$433,MATCH(B14,T_Unload!$B$10:$B$433,0)),0)</f>
        <v>1.0164625706281605</v>
      </c>
      <c r="J14" s="111">
        <v>1.0165</v>
      </c>
      <c r="K14" s="113">
        <f t="shared" si="0"/>
        <v>-3.7429371839481362E-5</v>
      </c>
      <c r="L14" s="114" t="str">
        <f t="shared" si="1"/>
        <v>CLEAN</v>
      </c>
      <c r="M14" s="115">
        <f t="shared" si="2"/>
        <v>0</v>
      </c>
      <c r="N14" s="115">
        <f t="shared" si="3"/>
        <v>0</v>
      </c>
      <c r="O14" s="116" t="s">
        <v>2761</v>
      </c>
      <c r="P14" s="117"/>
      <c r="Q14" s="118"/>
    </row>
    <row r="15" spans="1:17" ht="15" customHeight="1" x14ac:dyDescent="0.3">
      <c r="A15" s="60" t="s">
        <v>2763</v>
      </c>
      <c r="B15" s="97" t="s">
        <v>1887</v>
      </c>
      <c r="C15" s="63" t="s">
        <v>320</v>
      </c>
      <c r="D15" s="66" t="str">
        <f>IFERROR(INDEX(M_User!$A$12:$J$67,MATCH(C15,M_User!$D$12:$D$67,0),3),"UNMAPPED")</f>
        <v>Doglas E. Shirima</v>
      </c>
      <c r="E15" s="65" t="str">
        <f>IFERROR(INDEX(M_User!$A$12:$J$67,MATCH(C15,M_User!$D$12:$D$67,0),5),"UNMAPPED")</f>
        <v>ARS</v>
      </c>
      <c r="F15" s="63" t="s">
        <v>181</v>
      </c>
      <c r="G15" s="66" t="str">
        <f>IFERROR(INDEX(M_SKU!$A$18:$J$57,MATCH(F15,M_SKU!$B$18:$B$57,0),1),"UNKNOWN SKU")</f>
        <v>Fanta Passion RGB 350ml</v>
      </c>
      <c r="H15" s="63" t="s">
        <v>598</v>
      </c>
      <c r="I15" s="98">
        <f>IFERROR(INDEX(T_Unload!$K$10:$K$433,MATCH(B15,T_Unload!$B$10:$B$433,0)),0)</f>
        <v>0.48106918064670201</v>
      </c>
      <c r="J15" s="111">
        <v>0.48110000000000003</v>
      </c>
      <c r="K15" s="99">
        <f t="shared" si="0"/>
        <v>-3.0819353298017216E-5</v>
      </c>
      <c r="L15" s="105" t="str">
        <f t="shared" si="1"/>
        <v>CLEAN</v>
      </c>
      <c r="M15" s="90">
        <f t="shared" si="2"/>
        <v>0</v>
      </c>
      <c r="N15" s="90">
        <f t="shared" si="3"/>
        <v>0</v>
      </c>
      <c r="O15" s="68" t="s">
        <v>2761</v>
      </c>
      <c r="P15" s="63"/>
      <c r="Q15" s="62"/>
    </row>
    <row r="16" spans="1:17" ht="15" customHeight="1" x14ac:dyDescent="0.3">
      <c r="A16" s="70" t="s">
        <v>2764</v>
      </c>
      <c r="B16" s="112" t="s">
        <v>1889</v>
      </c>
      <c r="C16" s="101" t="s">
        <v>320</v>
      </c>
      <c r="D16" s="76" t="str">
        <f>IFERROR(INDEX(M_User!$A$12:$J$67,MATCH(C16,M_User!$D$12:$D$67,0),3),"UNMAPPED")</f>
        <v>Doglas E. Shirima</v>
      </c>
      <c r="E16" s="75" t="str">
        <f>IFERROR(INDEX(M_User!$A$12:$J$67,MATCH(C16,M_User!$D$12:$D$67,0),5),"UNMAPPED")</f>
        <v>ARS</v>
      </c>
      <c r="F16" s="101" t="s">
        <v>183</v>
      </c>
      <c r="G16" s="76" t="str">
        <f>IFERROR(INDEX(M_SKU!$A$18:$J$57,MATCH(F16,M_SKU!$B$18:$B$57,0),1),"UNKNOWN SKU")</f>
        <v>Fanta Pineapple RGB 350ml</v>
      </c>
      <c r="H16" s="101" t="s">
        <v>599</v>
      </c>
      <c r="I16" s="102">
        <f>IFERROR(INDEX(T_Unload!$K$10:$K$433,MATCH(B16,T_Unload!$B$10:$B$433,0)),0)</f>
        <v>0.577564349435157</v>
      </c>
      <c r="J16" s="111">
        <v>0.5776</v>
      </c>
      <c r="K16" s="113">
        <f t="shared" si="0"/>
        <v>-3.5650564843003885E-5</v>
      </c>
      <c r="L16" s="114" t="str">
        <f t="shared" si="1"/>
        <v>CLEAN</v>
      </c>
      <c r="M16" s="115">
        <f t="shared" si="2"/>
        <v>0</v>
      </c>
      <c r="N16" s="115">
        <f t="shared" si="3"/>
        <v>0</v>
      </c>
      <c r="O16" s="116" t="s">
        <v>2761</v>
      </c>
      <c r="P16" s="117"/>
      <c r="Q16" s="118"/>
    </row>
    <row r="17" spans="1:17" ht="15" customHeight="1" x14ac:dyDescent="0.3">
      <c r="A17" s="60" t="s">
        <v>2765</v>
      </c>
      <c r="B17" s="97" t="s">
        <v>1891</v>
      </c>
      <c r="C17" s="63" t="s">
        <v>320</v>
      </c>
      <c r="D17" s="66" t="str">
        <f>IFERROR(INDEX(M_User!$A$12:$J$67,MATCH(C17,M_User!$D$12:$D$67,0),3),"UNMAPPED")</f>
        <v>Doglas E. Shirima</v>
      </c>
      <c r="E17" s="65" t="str">
        <f>IFERROR(INDEX(M_User!$A$12:$J$67,MATCH(C17,M_User!$D$12:$D$67,0),5),"UNMAPPED")</f>
        <v>ARS</v>
      </c>
      <c r="F17" s="63" t="s">
        <v>187</v>
      </c>
      <c r="G17" s="66" t="str">
        <f>IFERROR(INDEX(M_SKU!$A$18:$J$57,MATCH(F17,M_SKU!$B$18:$B$57,0),1),"UNKNOWN SKU")</f>
        <v>Sprite 350ml</v>
      </c>
      <c r="H17" s="63" t="s">
        <v>600</v>
      </c>
      <c r="I17" s="98">
        <f>IFERROR(INDEX(T_Unload!$K$10:$K$433,MATCH(B17,T_Unload!$B$10:$B$433,0)),0)</f>
        <v>0.45829999999999993</v>
      </c>
      <c r="J17" s="111">
        <v>0.45829999999999999</v>
      </c>
      <c r="K17" s="99">
        <f t="shared" si="0"/>
        <v>-5.5511151231257827E-17</v>
      </c>
      <c r="L17" s="105" t="str">
        <f t="shared" si="1"/>
        <v>CLEAN</v>
      </c>
      <c r="M17" s="90">
        <f t="shared" si="2"/>
        <v>0</v>
      </c>
      <c r="N17" s="90">
        <f t="shared" si="3"/>
        <v>0</v>
      </c>
      <c r="O17" s="68" t="s">
        <v>2761</v>
      </c>
      <c r="P17" s="63"/>
      <c r="Q17" s="62"/>
    </row>
    <row r="18" spans="1:17" ht="15" customHeight="1" x14ac:dyDescent="0.3">
      <c r="A18" s="70" t="s">
        <v>2766</v>
      </c>
      <c r="B18" s="112" t="s">
        <v>1893</v>
      </c>
      <c r="C18" s="101" t="s">
        <v>320</v>
      </c>
      <c r="D18" s="76" t="str">
        <f>IFERROR(INDEX(M_User!$A$12:$J$67,MATCH(C18,M_User!$D$12:$D$67,0),3),"UNMAPPED")</f>
        <v>Doglas E. Shirima</v>
      </c>
      <c r="E18" s="75" t="str">
        <f>IFERROR(INDEX(M_User!$A$12:$J$67,MATCH(C18,M_User!$D$12:$D$67,0),5),"UNMAPPED")</f>
        <v>ARS</v>
      </c>
      <c r="F18" s="101" t="s">
        <v>196</v>
      </c>
      <c r="G18" s="76" t="str">
        <f>IFERROR(INDEX(M_SKU!$A$18:$J$57,MATCH(F18,M_SKU!$B$18:$B$57,0),1),"UNKNOWN SKU")</f>
        <v>Krest Bitter Lemon RGB 300ml</v>
      </c>
      <c r="H18" s="101" t="s">
        <v>538</v>
      </c>
      <c r="I18" s="102">
        <f>IFERROR(INDEX(T_Unload!$K$10:$K$433,MATCH(B18,T_Unload!$B$10:$B$433,0)),0)</f>
        <v>0.58792761169210017</v>
      </c>
      <c r="J18" s="111">
        <v>0.58789999999999998</v>
      </c>
      <c r="K18" s="113">
        <f t="shared" si="0"/>
        <v>2.761169210019343E-5</v>
      </c>
      <c r="L18" s="114" t="str">
        <f t="shared" si="1"/>
        <v>CLEAN</v>
      </c>
      <c r="M18" s="115">
        <f t="shared" si="2"/>
        <v>0</v>
      </c>
      <c r="N18" s="115">
        <f t="shared" si="3"/>
        <v>0</v>
      </c>
      <c r="O18" s="116" t="s">
        <v>2761</v>
      </c>
      <c r="P18" s="117"/>
      <c r="Q18" s="118"/>
    </row>
    <row r="19" spans="1:17" ht="15" customHeight="1" x14ac:dyDescent="0.3">
      <c r="A19" s="60" t="s">
        <v>2767</v>
      </c>
      <c r="B19" s="97" t="s">
        <v>1895</v>
      </c>
      <c r="C19" s="63" t="s">
        <v>320</v>
      </c>
      <c r="D19" s="66" t="str">
        <f>IFERROR(INDEX(M_User!$A$12:$J$67,MATCH(C19,M_User!$D$12:$D$67,0),3),"UNMAPPED")</f>
        <v>Doglas E. Shirima</v>
      </c>
      <c r="E19" s="65" t="str">
        <f>IFERROR(INDEX(M_User!$A$12:$J$67,MATCH(C19,M_User!$D$12:$D$67,0),5),"UNMAPPED")</f>
        <v>ARS</v>
      </c>
      <c r="F19" s="63" t="s">
        <v>199</v>
      </c>
      <c r="G19" s="66" t="str">
        <f>IFERROR(INDEX(M_SKU!$A$18:$J$57,MATCH(F19,M_SKU!$B$18:$B$57,0),1),"UNKNOWN SKU")</f>
        <v>Krest Club Soda RGB 300ml</v>
      </c>
      <c r="H19" s="63" t="s">
        <v>539</v>
      </c>
      <c r="I19" s="98">
        <f>IFERROR(INDEX(T_Unload!$K$10:$K$433,MATCH(B19,T_Unload!$B$10:$B$433,0)),0)</f>
        <v>0.74296987768941669</v>
      </c>
      <c r="J19" s="111">
        <v>0.74299999999999999</v>
      </c>
      <c r="K19" s="99">
        <f t="shared" si="0"/>
        <v>-3.0122310583302614E-5</v>
      </c>
      <c r="L19" s="105" t="str">
        <f t="shared" si="1"/>
        <v>CLEAN</v>
      </c>
      <c r="M19" s="90">
        <f t="shared" si="2"/>
        <v>0</v>
      </c>
      <c r="N19" s="90">
        <f t="shared" si="3"/>
        <v>0</v>
      </c>
      <c r="O19" s="68" t="s">
        <v>2761</v>
      </c>
      <c r="P19" s="63"/>
      <c r="Q19" s="62"/>
    </row>
    <row r="20" spans="1:17" ht="15" customHeight="1" x14ac:dyDescent="0.3">
      <c r="A20" s="70" t="s">
        <v>2768</v>
      </c>
      <c r="B20" s="112" t="s">
        <v>1897</v>
      </c>
      <c r="C20" s="101" t="s">
        <v>320</v>
      </c>
      <c r="D20" s="76" t="str">
        <f>IFERROR(INDEX(M_User!$A$12:$J$67,MATCH(C20,M_User!$D$12:$D$67,0),3),"UNMAPPED")</f>
        <v>Doglas E. Shirima</v>
      </c>
      <c r="E20" s="75" t="str">
        <f>IFERROR(INDEX(M_User!$A$12:$J$67,MATCH(C20,M_User!$D$12:$D$67,0),5),"UNMAPPED")</f>
        <v>ARS</v>
      </c>
      <c r="F20" s="101" t="s">
        <v>201</v>
      </c>
      <c r="G20" s="76" t="str">
        <f>IFERROR(INDEX(M_SKU!$A$18:$J$57,MATCH(F20,M_SKU!$B$18:$B$57,0),1),"UNKNOWN SKU")</f>
        <v>Krest Tonic Water RGB 300ml</v>
      </c>
      <c r="H20" s="101" t="s">
        <v>601</v>
      </c>
      <c r="I20" s="102">
        <f>IFERROR(INDEX(T_Unload!$K$10:$K$433,MATCH(B20,T_Unload!$B$10:$B$433,0)),0)</f>
        <v>0.68668832551726577</v>
      </c>
      <c r="J20" s="111">
        <v>0.68669999999999998</v>
      </c>
      <c r="K20" s="113">
        <f t="shared" si="0"/>
        <v>-1.1674482734203018E-5</v>
      </c>
      <c r="L20" s="114" t="str">
        <f t="shared" si="1"/>
        <v>CLEAN</v>
      </c>
      <c r="M20" s="115">
        <f t="shared" si="2"/>
        <v>0</v>
      </c>
      <c r="N20" s="115">
        <f t="shared" si="3"/>
        <v>0</v>
      </c>
      <c r="O20" s="116" t="s">
        <v>2761</v>
      </c>
      <c r="P20" s="117"/>
      <c r="Q20" s="118"/>
    </row>
    <row r="21" spans="1:17" ht="15" customHeight="1" x14ac:dyDescent="0.3">
      <c r="A21" s="60" t="s">
        <v>2769</v>
      </c>
      <c r="B21" s="97" t="s">
        <v>1899</v>
      </c>
      <c r="C21" s="63" t="s">
        <v>320</v>
      </c>
      <c r="D21" s="66" t="str">
        <f>IFERROR(INDEX(M_User!$A$12:$J$67,MATCH(C21,M_User!$D$12:$D$67,0),3),"UNMAPPED")</f>
        <v>Doglas E. Shirima</v>
      </c>
      <c r="E21" s="65" t="str">
        <f>IFERROR(INDEX(M_User!$A$12:$J$67,MATCH(C21,M_User!$D$12:$D$67,0),5),"UNMAPPED")</f>
        <v>ARS</v>
      </c>
      <c r="F21" s="63" t="s">
        <v>203</v>
      </c>
      <c r="G21" s="66" t="str">
        <f>IFERROR(INDEX(M_SKU!$A$18:$J$57,MATCH(F21,M_SKU!$B$18:$B$57,0),1),"UNKNOWN SKU")</f>
        <v>Krest Ginger Ale RGB 300ml</v>
      </c>
      <c r="H21" s="63" t="s">
        <v>541</v>
      </c>
      <c r="I21" s="98">
        <f>IFERROR(INDEX(T_Unload!$K$10:$K$433,MATCH(B21,T_Unload!$B$10:$B$433,0)),0)</f>
        <v>0.25</v>
      </c>
      <c r="J21" s="111">
        <v>0.25</v>
      </c>
      <c r="K21" s="99">
        <f t="shared" si="0"/>
        <v>0</v>
      </c>
      <c r="L21" s="105" t="str">
        <f t="shared" si="1"/>
        <v>CLEAN</v>
      </c>
      <c r="M21" s="90">
        <f t="shared" si="2"/>
        <v>0</v>
      </c>
      <c r="N21" s="90">
        <f t="shared" si="3"/>
        <v>0</v>
      </c>
      <c r="O21" s="68" t="s">
        <v>2761</v>
      </c>
      <c r="P21" s="63"/>
      <c r="Q21" s="62"/>
    </row>
    <row r="22" spans="1:17" ht="15" customHeight="1" x14ac:dyDescent="0.3">
      <c r="A22" s="70" t="s">
        <v>2770</v>
      </c>
      <c r="B22" s="112" t="s">
        <v>1901</v>
      </c>
      <c r="C22" s="101" t="s">
        <v>320</v>
      </c>
      <c r="D22" s="76" t="str">
        <f>IFERROR(INDEX(M_User!$A$12:$J$67,MATCH(C22,M_User!$D$12:$D$67,0),3),"UNMAPPED")</f>
        <v>Doglas E. Shirima</v>
      </c>
      <c r="E22" s="75" t="str">
        <f>IFERROR(INDEX(M_User!$A$12:$J$67,MATCH(C22,M_User!$D$12:$D$67,0),5),"UNMAPPED")</f>
        <v>ARS</v>
      </c>
      <c r="F22" s="101" t="s">
        <v>211</v>
      </c>
      <c r="G22" s="76" t="str">
        <f>IFERROR(INDEX(M_SKU!$A$18:$J$57,MATCH(F22,M_SKU!$B$18:$B$57,0),1),"UNKNOWN SKU")</f>
        <v>KNMW 500ml</v>
      </c>
      <c r="H22" s="101" t="s">
        <v>602</v>
      </c>
      <c r="I22" s="102">
        <f>IFERROR(INDEX(T_Unload!$K$10:$K$433,MATCH(B22,T_Unload!$B$10:$B$433,0)),0)</f>
        <v>46</v>
      </c>
      <c r="J22" s="111">
        <v>46</v>
      </c>
      <c r="K22" s="113">
        <f t="shared" si="0"/>
        <v>0</v>
      </c>
      <c r="L22" s="114" t="str">
        <f t="shared" si="1"/>
        <v>CLEAN</v>
      </c>
      <c r="M22" s="115">
        <f t="shared" si="2"/>
        <v>0</v>
      </c>
      <c r="N22" s="115">
        <f t="shared" si="3"/>
        <v>0</v>
      </c>
      <c r="O22" s="116" t="s">
        <v>2761</v>
      </c>
      <c r="P22" s="117"/>
      <c r="Q22" s="118"/>
    </row>
    <row r="23" spans="1:17" ht="15" customHeight="1" x14ac:dyDescent="0.3">
      <c r="A23" s="60" t="s">
        <v>2771</v>
      </c>
      <c r="B23" s="97" t="s">
        <v>1903</v>
      </c>
      <c r="C23" s="63" t="s">
        <v>320</v>
      </c>
      <c r="D23" s="66" t="str">
        <f>IFERROR(INDEX(M_User!$A$12:$J$67,MATCH(C23,M_User!$D$12:$D$67,0),3),"UNMAPPED")</f>
        <v>Doglas E. Shirima</v>
      </c>
      <c r="E23" s="65" t="str">
        <f>IFERROR(INDEX(M_User!$A$12:$J$67,MATCH(C23,M_User!$D$12:$D$67,0),5),"UNMAPPED")</f>
        <v>ARS</v>
      </c>
      <c r="F23" s="63" t="s">
        <v>211</v>
      </c>
      <c r="G23" s="66" t="str">
        <f>IFERROR(INDEX(M_SKU!$A$18:$J$57,MATCH(F23,M_SKU!$B$18:$B$57,0),1),"UNKNOWN SKU")</f>
        <v>KNMW 500ml</v>
      </c>
      <c r="H23" s="63" t="s">
        <v>603</v>
      </c>
      <c r="I23" s="98">
        <f>IFERROR(INDEX(T_Unload!$K$10:$K$433,MATCH(B23,T_Unload!$B$10:$B$433,0)),0)</f>
        <v>39</v>
      </c>
      <c r="J23" s="111">
        <v>39</v>
      </c>
      <c r="K23" s="99">
        <f t="shared" si="0"/>
        <v>0</v>
      </c>
      <c r="L23" s="105" t="str">
        <f t="shared" si="1"/>
        <v>CLEAN</v>
      </c>
      <c r="M23" s="90">
        <f t="shared" si="2"/>
        <v>0</v>
      </c>
      <c r="N23" s="90">
        <f t="shared" si="3"/>
        <v>0</v>
      </c>
      <c r="O23" s="68" t="s">
        <v>2761</v>
      </c>
      <c r="P23" s="63"/>
      <c r="Q23" s="62"/>
    </row>
    <row r="24" spans="1:17" ht="15" customHeight="1" x14ac:dyDescent="0.3">
      <c r="A24" s="70" t="s">
        <v>2772</v>
      </c>
      <c r="B24" s="112" t="s">
        <v>1905</v>
      </c>
      <c r="C24" s="101" t="s">
        <v>320</v>
      </c>
      <c r="D24" s="76" t="str">
        <f>IFERROR(INDEX(M_User!$A$12:$J$67,MATCH(C24,M_User!$D$12:$D$67,0),3),"UNMAPPED")</f>
        <v>Doglas E. Shirima</v>
      </c>
      <c r="E24" s="75" t="str">
        <f>IFERROR(INDEX(M_User!$A$12:$J$67,MATCH(C24,M_User!$D$12:$D$67,0),5),"UNMAPPED")</f>
        <v>ARS</v>
      </c>
      <c r="F24" s="101" t="s">
        <v>211</v>
      </c>
      <c r="G24" s="76" t="str">
        <f>IFERROR(INDEX(M_SKU!$A$18:$J$57,MATCH(F24,M_SKU!$B$18:$B$57,0),1),"UNKNOWN SKU")</f>
        <v>KNMW 500ml</v>
      </c>
      <c r="H24" s="101" t="s">
        <v>604</v>
      </c>
      <c r="I24" s="102">
        <f>IFERROR(INDEX(T_Unload!$K$10:$K$433,MATCH(B24,T_Unload!$B$10:$B$433,0)),0)</f>
        <v>0</v>
      </c>
      <c r="J24" s="111">
        <v>0</v>
      </c>
      <c r="K24" s="113">
        <f t="shared" si="0"/>
        <v>0</v>
      </c>
      <c r="L24" s="114" t="str">
        <f t="shared" si="1"/>
        <v>CLEAN</v>
      </c>
      <c r="M24" s="115">
        <f t="shared" si="2"/>
        <v>0</v>
      </c>
      <c r="N24" s="115">
        <f t="shared" si="3"/>
        <v>0</v>
      </c>
      <c r="O24" s="116" t="s">
        <v>2761</v>
      </c>
      <c r="P24" s="117"/>
      <c r="Q24" s="118"/>
    </row>
    <row r="25" spans="1:17" ht="15" customHeight="1" x14ac:dyDescent="0.3">
      <c r="A25" s="60" t="s">
        <v>2773</v>
      </c>
      <c r="B25" s="97" t="s">
        <v>1907</v>
      </c>
      <c r="C25" s="63" t="s">
        <v>320</v>
      </c>
      <c r="D25" s="66" t="str">
        <f>IFERROR(INDEX(M_User!$A$12:$J$67,MATCH(C25,M_User!$D$12:$D$67,0),3),"UNMAPPED")</f>
        <v>Doglas E. Shirima</v>
      </c>
      <c r="E25" s="65" t="str">
        <f>IFERROR(INDEX(M_User!$A$12:$J$67,MATCH(C25,M_User!$D$12:$D$67,0),5),"UNMAPPED")</f>
        <v>ARS</v>
      </c>
      <c r="F25" s="63" t="s">
        <v>217</v>
      </c>
      <c r="G25" s="66" t="str">
        <f>IFERROR(INDEX(M_SKU!$A$18:$J$57,MATCH(F25,M_SKU!$B$18:$B$57,0),1),"UNKNOWN SKU")</f>
        <v>KNMW 1500ml</v>
      </c>
      <c r="H25" s="63" t="s">
        <v>605</v>
      </c>
      <c r="I25" s="98">
        <f>IFERROR(INDEX(T_Unload!$K$10:$K$433,MATCH(B25,T_Unload!$B$10:$B$433,0)),0)</f>
        <v>10</v>
      </c>
      <c r="J25" s="111">
        <v>10</v>
      </c>
      <c r="K25" s="99">
        <f t="shared" si="0"/>
        <v>0</v>
      </c>
      <c r="L25" s="105" t="str">
        <f t="shared" si="1"/>
        <v>CLEAN</v>
      </c>
      <c r="M25" s="90">
        <f t="shared" si="2"/>
        <v>0</v>
      </c>
      <c r="N25" s="90">
        <f t="shared" si="3"/>
        <v>0</v>
      </c>
      <c r="O25" s="68" t="s">
        <v>2761</v>
      </c>
      <c r="P25" s="63"/>
      <c r="Q25" s="62"/>
    </row>
    <row r="26" spans="1:17" ht="15" customHeight="1" x14ac:dyDescent="0.3">
      <c r="A26" s="70" t="s">
        <v>2774</v>
      </c>
      <c r="B26" s="112" t="s">
        <v>1909</v>
      </c>
      <c r="C26" s="101" t="s">
        <v>320</v>
      </c>
      <c r="D26" s="76" t="str">
        <f>IFERROR(INDEX(M_User!$A$12:$J$67,MATCH(C26,M_User!$D$12:$D$67,0),3),"UNMAPPED")</f>
        <v>Doglas E. Shirima</v>
      </c>
      <c r="E26" s="75" t="str">
        <f>IFERROR(INDEX(M_User!$A$12:$J$67,MATCH(C26,M_User!$D$12:$D$67,0),5),"UNMAPPED")</f>
        <v>ARS</v>
      </c>
      <c r="F26" s="101" t="s">
        <v>219</v>
      </c>
      <c r="G26" s="76" t="str">
        <f>IFERROR(INDEX(M_SKU!$A$18:$J$57,MATCH(F26,M_SKU!$B$18:$B$57,0),1),"UNKNOWN SKU")</f>
        <v>Kilimanjaro Drinking Water 6000 ML</v>
      </c>
      <c r="H26" s="101" t="s">
        <v>606</v>
      </c>
      <c r="I26" s="102">
        <f>IFERROR(INDEX(T_Unload!$K$10:$K$433,MATCH(B26,T_Unload!$B$10:$B$433,0)),0)</f>
        <v>10</v>
      </c>
      <c r="J26" s="111">
        <v>10</v>
      </c>
      <c r="K26" s="113">
        <f t="shared" si="0"/>
        <v>0</v>
      </c>
      <c r="L26" s="114" t="str">
        <f t="shared" si="1"/>
        <v>CLEAN</v>
      </c>
      <c r="M26" s="115">
        <f t="shared" si="2"/>
        <v>0</v>
      </c>
      <c r="N26" s="115">
        <f t="shared" si="3"/>
        <v>0</v>
      </c>
      <c r="O26" s="116" t="s">
        <v>2761</v>
      </c>
      <c r="P26" s="117"/>
      <c r="Q26" s="118"/>
    </row>
    <row r="27" spans="1:17" ht="15" customHeight="1" x14ac:dyDescent="0.3">
      <c r="A27" s="60" t="s">
        <v>2775</v>
      </c>
      <c r="B27" s="97" t="s">
        <v>1911</v>
      </c>
      <c r="C27" s="63" t="s">
        <v>320</v>
      </c>
      <c r="D27" s="66" t="str">
        <f>IFERROR(INDEX(M_User!$A$12:$J$67,MATCH(C27,M_User!$D$12:$D$67,0),3),"UNMAPPED")</f>
        <v>Doglas E. Shirima</v>
      </c>
      <c r="E27" s="65" t="str">
        <f>IFERROR(INDEX(M_User!$A$12:$J$67,MATCH(C27,M_User!$D$12:$D$67,0),5),"UNMAPPED")</f>
        <v>ARS</v>
      </c>
      <c r="F27" s="63" t="s">
        <v>222</v>
      </c>
      <c r="G27" s="66" t="str">
        <f>IFERROR(INDEX(M_SKU!$A$18:$J$57,MATCH(F27,M_SKU!$B$18:$B$57,0),1),"UNKNOWN SKU")</f>
        <v>Kilimanjaro Drinking Water 12000 ML</v>
      </c>
      <c r="H27" s="63" t="s">
        <v>607</v>
      </c>
      <c r="I27" s="98">
        <f>IFERROR(INDEX(T_Unload!$K$10:$K$433,MATCH(B27,T_Unload!$B$10:$B$433,0)),0)</f>
        <v>1</v>
      </c>
      <c r="J27" s="111">
        <v>1</v>
      </c>
      <c r="K27" s="99">
        <f t="shared" si="0"/>
        <v>0</v>
      </c>
      <c r="L27" s="105" t="str">
        <f t="shared" si="1"/>
        <v>CLEAN</v>
      </c>
      <c r="M27" s="90">
        <f t="shared" si="2"/>
        <v>0</v>
      </c>
      <c r="N27" s="90">
        <f t="shared" si="3"/>
        <v>0</v>
      </c>
      <c r="O27" s="68" t="s">
        <v>2761</v>
      </c>
      <c r="P27" s="63"/>
      <c r="Q27" s="62"/>
    </row>
    <row r="28" spans="1:17" ht="15" customHeight="1" x14ac:dyDescent="0.3">
      <c r="A28" s="70" t="s">
        <v>2776</v>
      </c>
      <c r="B28" s="112" t="s">
        <v>1913</v>
      </c>
      <c r="C28" s="101" t="s">
        <v>320</v>
      </c>
      <c r="D28" s="76" t="str">
        <f>IFERROR(INDEX(M_User!$A$12:$J$67,MATCH(C28,M_User!$D$12:$D$67,0),3),"UNMAPPED")</f>
        <v>Doglas E. Shirima</v>
      </c>
      <c r="E28" s="75" t="str">
        <f>IFERROR(INDEX(M_User!$A$12:$J$67,MATCH(C28,M_User!$D$12:$D$67,0),5),"UNMAPPED")</f>
        <v>ARS</v>
      </c>
      <c r="F28" s="101" t="s">
        <v>222</v>
      </c>
      <c r="G28" s="76" t="str">
        <f>IFERROR(INDEX(M_SKU!$A$18:$J$57,MATCH(F28,M_SKU!$B$18:$B$57,0),1),"UNKNOWN SKU")</f>
        <v>Kilimanjaro Drinking Water 12000 ML</v>
      </c>
      <c r="H28" s="101" t="s">
        <v>566</v>
      </c>
      <c r="I28" s="102">
        <f>IFERROR(INDEX(T_Unload!$K$10:$K$433,MATCH(B28,T_Unload!$B$10:$B$433,0)),0)</f>
        <v>6</v>
      </c>
      <c r="J28" s="111">
        <v>6</v>
      </c>
      <c r="K28" s="113">
        <f t="shared" si="0"/>
        <v>0</v>
      </c>
      <c r="L28" s="114" t="str">
        <f t="shared" si="1"/>
        <v>CLEAN</v>
      </c>
      <c r="M28" s="115">
        <f t="shared" si="2"/>
        <v>0</v>
      </c>
      <c r="N28" s="115">
        <f t="shared" si="3"/>
        <v>0</v>
      </c>
      <c r="O28" s="116" t="s">
        <v>2761</v>
      </c>
      <c r="P28" s="117"/>
      <c r="Q28" s="118"/>
    </row>
    <row r="29" spans="1:17" ht="15" customHeight="1" x14ac:dyDescent="0.3">
      <c r="A29" s="60" t="s">
        <v>2777</v>
      </c>
      <c r="B29" s="97" t="s">
        <v>1915</v>
      </c>
      <c r="C29" s="63" t="s">
        <v>320</v>
      </c>
      <c r="D29" s="66" t="str">
        <f>IFERROR(INDEX(M_User!$A$12:$J$67,MATCH(C29,M_User!$D$12:$D$67,0),3),"UNMAPPED")</f>
        <v>Doglas E. Shirima</v>
      </c>
      <c r="E29" s="65" t="str">
        <f>IFERROR(INDEX(M_User!$A$12:$J$67,MATCH(C29,M_User!$D$12:$D$67,0),5),"UNMAPPED")</f>
        <v>ARS</v>
      </c>
      <c r="F29" s="63" t="s">
        <v>225</v>
      </c>
      <c r="G29" s="66" t="str">
        <f>IFERROR(INDEX(M_SKU!$A$18:$J$57,MATCH(F29,M_SKU!$B$18:$B$57,0),1),"UNKNOWN SKU")</f>
        <v>Kilimanjaro Drinking Water 18900 ML</v>
      </c>
      <c r="H29" s="63" t="s">
        <v>608</v>
      </c>
      <c r="I29" s="98">
        <f>IFERROR(INDEX(T_Unload!$K$10:$K$433,MATCH(B29,T_Unload!$B$10:$B$433,0)),0)</f>
        <v>1</v>
      </c>
      <c r="J29" s="111">
        <v>1</v>
      </c>
      <c r="K29" s="99">
        <f t="shared" si="0"/>
        <v>0</v>
      </c>
      <c r="L29" s="105" t="str">
        <f t="shared" si="1"/>
        <v>CLEAN</v>
      </c>
      <c r="M29" s="90">
        <f t="shared" si="2"/>
        <v>0</v>
      </c>
      <c r="N29" s="90">
        <f t="shared" si="3"/>
        <v>0</v>
      </c>
      <c r="O29" s="68" t="s">
        <v>2761</v>
      </c>
      <c r="P29" s="63"/>
      <c r="Q29" s="62"/>
    </row>
    <row r="30" spans="1:17" ht="15" customHeight="1" x14ac:dyDescent="0.3">
      <c r="A30" s="70" t="s">
        <v>2778</v>
      </c>
      <c r="B30" s="112" t="s">
        <v>1917</v>
      </c>
      <c r="C30" s="101" t="s">
        <v>320</v>
      </c>
      <c r="D30" s="76" t="str">
        <f>IFERROR(INDEX(M_User!$A$12:$J$67,MATCH(C30,M_User!$D$12:$D$67,0),3),"UNMAPPED")</f>
        <v>Doglas E. Shirima</v>
      </c>
      <c r="E30" s="75" t="str">
        <f>IFERROR(INDEX(M_User!$A$12:$J$67,MATCH(C30,M_User!$D$12:$D$67,0),5),"UNMAPPED")</f>
        <v>ARS</v>
      </c>
      <c r="F30" s="101" t="s">
        <v>225</v>
      </c>
      <c r="G30" s="76" t="str">
        <f>IFERROR(INDEX(M_SKU!$A$18:$J$57,MATCH(F30,M_SKU!$B$18:$B$57,0),1),"UNKNOWN SKU")</f>
        <v>Kilimanjaro Drinking Water 18900 ML</v>
      </c>
      <c r="H30" s="101" t="s">
        <v>567</v>
      </c>
      <c r="I30" s="102">
        <f>IFERROR(INDEX(T_Unload!$K$10:$K$433,MATCH(B30,T_Unload!$B$10:$B$433,0)),0)</f>
        <v>11</v>
      </c>
      <c r="J30" s="111">
        <v>11</v>
      </c>
      <c r="K30" s="113">
        <f t="shared" si="0"/>
        <v>0</v>
      </c>
      <c r="L30" s="114" t="str">
        <f t="shared" si="1"/>
        <v>CLEAN</v>
      </c>
      <c r="M30" s="115">
        <f t="shared" si="2"/>
        <v>0</v>
      </c>
      <c r="N30" s="115">
        <f t="shared" si="3"/>
        <v>0</v>
      </c>
      <c r="O30" s="116" t="s">
        <v>2761</v>
      </c>
      <c r="P30" s="117"/>
      <c r="Q30" s="118"/>
    </row>
    <row r="31" spans="1:17" ht="15" customHeight="1" x14ac:dyDescent="0.3">
      <c r="A31" s="60" t="s">
        <v>2779</v>
      </c>
      <c r="B31" s="97" t="s">
        <v>1919</v>
      </c>
      <c r="C31" s="63" t="s">
        <v>320</v>
      </c>
      <c r="D31" s="66" t="str">
        <f>IFERROR(INDEX(M_User!$A$12:$J$67,MATCH(C31,M_User!$D$12:$D$67,0),3),"UNMAPPED")</f>
        <v>Doglas E. Shirima</v>
      </c>
      <c r="E31" s="65" t="str">
        <f>IFERROR(INDEX(M_User!$A$12:$J$67,MATCH(C31,M_User!$D$12:$D$67,0),5),"UNMAPPED")</f>
        <v>ARS</v>
      </c>
      <c r="F31" s="63" t="s">
        <v>227</v>
      </c>
      <c r="G31" s="66" t="str">
        <f>IFERROR(INDEX(M_SKU!$A$18:$J$57,MATCH(F31,M_SKU!$B$18:$B$57,0),1),"UNKNOWN SKU")</f>
        <v>KNMW 1000ml(6 Pack)</v>
      </c>
      <c r="H31" s="63" t="s">
        <v>609</v>
      </c>
      <c r="I31" s="98">
        <f>IFERROR(INDEX(T_Unload!$K$10:$K$433,MATCH(B31,T_Unload!$B$10:$B$433,0)),0)</f>
        <v>4</v>
      </c>
      <c r="J31" s="111">
        <v>4</v>
      </c>
      <c r="K31" s="99">
        <f t="shared" si="0"/>
        <v>0</v>
      </c>
      <c r="L31" s="105" t="str">
        <f t="shared" si="1"/>
        <v>CLEAN</v>
      </c>
      <c r="M31" s="90">
        <f t="shared" si="2"/>
        <v>0</v>
      </c>
      <c r="N31" s="90">
        <f t="shared" si="3"/>
        <v>0</v>
      </c>
      <c r="O31" s="68" t="s">
        <v>2761</v>
      </c>
      <c r="P31" s="63"/>
      <c r="Q31" s="62"/>
    </row>
    <row r="32" spans="1:17" ht="15" customHeight="1" x14ac:dyDescent="0.3">
      <c r="A32" s="70" t="s">
        <v>2780</v>
      </c>
      <c r="B32" s="112" t="s">
        <v>1921</v>
      </c>
      <c r="C32" s="101" t="s">
        <v>320</v>
      </c>
      <c r="D32" s="76" t="str">
        <f>IFERROR(INDEX(M_User!$A$12:$J$67,MATCH(C32,M_User!$D$12:$D$67,0),3),"UNMAPPED")</f>
        <v>Doglas E. Shirima</v>
      </c>
      <c r="E32" s="75" t="str">
        <f>IFERROR(INDEX(M_User!$A$12:$J$67,MATCH(C32,M_User!$D$12:$D$67,0),5),"UNMAPPED")</f>
        <v>ARS</v>
      </c>
      <c r="F32" s="101" t="s">
        <v>229</v>
      </c>
      <c r="G32" s="76" t="str">
        <f>IFERROR(INDEX(M_SKU!$A$18:$J$57,MATCH(F32,M_SKU!$B$18:$B$57,0),1),"UNKNOWN SKU")</f>
        <v>Coke Pet 500ML ( x12)</v>
      </c>
      <c r="H32" s="101" t="s">
        <v>610</v>
      </c>
      <c r="I32" s="102">
        <f>IFERROR(INDEX(T_Unload!$K$10:$K$433,MATCH(B32,T_Unload!$B$10:$B$433,0)),0)</f>
        <v>7</v>
      </c>
      <c r="J32" s="111">
        <v>7</v>
      </c>
      <c r="K32" s="113">
        <f t="shared" si="0"/>
        <v>0</v>
      </c>
      <c r="L32" s="114" t="str">
        <f t="shared" si="1"/>
        <v>CLEAN</v>
      </c>
      <c r="M32" s="115">
        <f t="shared" si="2"/>
        <v>0</v>
      </c>
      <c r="N32" s="115">
        <f t="shared" si="3"/>
        <v>0</v>
      </c>
      <c r="O32" s="116" t="s">
        <v>2761</v>
      </c>
      <c r="P32" s="117"/>
      <c r="Q32" s="118"/>
    </row>
    <row r="33" spans="1:17" ht="15" customHeight="1" x14ac:dyDescent="0.3">
      <c r="A33" s="60" t="s">
        <v>2781</v>
      </c>
      <c r="B33" s="97" t="s">
        <v>1923</v>
      </c>
      <c r="C33" s="63" t="s">
        <v>320</v>
      </c>
      <c r="D33" s="66" t="str">
        <f>IFERROR(INDEX(M_User!$A$12:$J$67,MATCH(C33,M_User!$D$12:$D$67,0),3),"UNMAPPED")</f>
        <v>Doglas E. Shirima</v>
      </c>
      <c r="E33" s="65" t="str">
        <f>IFERROR(INDEX(M_User!$A$12:$J$67,MATCH(C33,M_User!$D$12:$D$67,0),5),"UNMAPPED")</f>
        <v>ARS</v>
      </c>
      <c r="F33" s="63" t="s">
        <v>232</v>
      </c>
      <c r="G33" s="66" t="str">
        <f>IFERROR(INDEX(M_SKU!$A$18:$J$57,MATCH(F33,M_SKU!$B$18:$B$57,0),1),"UNKNOWN SKU")</f>
        <v>Sprite Pet 500ML (x 12)</v>
      </c>
      <c r="H33" s="63" t="s">
        <v>522</v>
      </c>
      <c r="I33" s="98">
        <f>IFERROR(INDEX(T_Unload!$K$10:$K$433,MATCH(B33,T_Unload!$B$10:$B$433,0)),0)</f>
        <v>3</v>
      </c>
      <c r="J33" s="111">
        <v>3</v>
      </c>
      <c r="K33" s="99">
        <f t="shared" si="0"/>
        <v>0</v>
      </c>
      <c r="L33" s="105" t="str">
        <f t="shared" si="1"/>
        <v>CLEAN</v>
      </c>
      <c r="M33" s="90">
        <f t="shared" si="2"/>
        <v>0</v>
      </c>
      <c r="N33" s="90">
        <f t="shared" si="3"/>
        <v>0</v>
      </c>
      <c r="O33" s="68" t="s">
        <v>2761</v>
      </c>
      <c r="P33" s="63"/>
      <c r="Q33" s="62"/>
    </row>
    <row r="34" spans="1:17" ht="15" customHeight="1" x14ac:dyDescent="0.3">
      <c r="A34" s="70" t="s">
        <v>2782</v>
      </c>
      <c r="B34" s="112" t="s">
        <v>1925</v>
      </c>
      <c r="C34" s="101" t="s">
        <v>320</v>
      </c>
      <c r="D34" s="76" t="str">
        <f>IFERROR(INDEX(M_User!$A$12:$J$67,MATCH(C34,M_User!$D$12:$D$67,0),3),"UNMAPPED")</f>
        <v>Doglas E. Shirima</v>
      </c>
      <c r="E34" s="75" t="str">
        <f>IFERROR(INDEX(M_User!$A$12:$J$67,MATCH(C34,M_User!$D$12:$D$67,0),5),"UNMAPPED")</f>
        <v>ARS</v>
      </c>
      <c r="F34" s="101" t="s">
        <v>234</v>
      </c>
      <c r="G34" s="76" t="str">
        <f>IFERROR(INDEX(M_SKU!$A$18:$J$57,MATCH(F34,M_SKU!$B$18:$B$57,0),1),"UNKNOWN SKU")</f>
        <v>Fanta Orange Pet 500ML ( x 12)</v>
      </c>
      <c r="H34" s="101" t="s">
        <v>611</v>
      </c>
      <c r="I34" s="102">
        <f>IFERROR(INDEX(T_Unload!$K$10:$K$433,MATCH(B34,T_Unload!$B$10:$B$433,0)),0)</f>
        <v>1</v>
      </c>
      <c r="J34" s="111">
        <v>1</v>
      </c>
      <c r="K34" s="113">
        <f t="shared" si="0"/>
        <v>0</v>
      </c>
      <c r="L34" s="114" t="str">
        <f t="shared" si="1"/>
        <v>CLEAN</v>
      </c>
      <c r="M34" s="115">
        <f t="shared" si="2"/>
        <v>0</v>
      </c>
      <c r="N34" s="115">
        <f t="shared" si="3"/>
        <v>0</v>
      </c>
      <c r="O34" s="116" t="s">
        <v>2761</v>
      </c>
      <c r="P34" s="117"/>
      <c r="Q34" s="118"/>
    </row>
    <row r="35" spans="1:17" ht="15" customHeight="1" x14ac:dyDescent="0.3">
      <c r="A35" s="60" t="s">
        <v>2783</v>
      </c>
      <c r="B35" s="97" t="s">
        <v>1927</v>
      </c>
      <c r="C35" s="63" t="s">
        <v>320</v>
      </c>
      <c r="D35" s="66" t="str">
        <f>IFERROR(INDEX(M_User!$A$12:$J$67,MATCH(C35,M_User!$D$12:$D$67,0),3),"UNMAPPED")</f>
        <v>Doglas E. Shirima</v>
      </c>
      <c r="E35" s="65" t="str">
        <f>IFERROR(INDEX(M_User!$A$12:$J$67,MATCH(C35,M_User!$D$12:$D$67,0),5),"UNMAPPED")</f>
        <v>ARS</v>
      </c>
      <c r="F35" s="63" t="s">
        <v>236</v>
      </c>
      <c r="G35" s="66" t="str">
        <f>IFERROR(INDEX(M_SKU!$A$18:$J$57,MATCH(F35,M_SKU!$B$18:$B$57,0),1),"UNKNOWN SKU")</f>
        <v>Fanta Passion Pet 500ML ( x12)</v>
      </c>
      <c r="H35" s="63" t="s">
        <v>612</v>
      </c>
      <c r="I35" s="98">
        <f>IFERROR(INDEX(T_Unload!$K$10:$K$433,MATCH(B35,T_Unload!$B$10:$B$433,0)),0)</f>
        <v>0</v>
      </c>
      <c r="J35" s="111">
        <v>0</v>
      </c>
      <c r="K35" s="99">
        <f t="shared" si="0"/>
        <v>0</v>
      </c>
      <c r="L35" s="105" t="str">
        <f t="shared" si="1"/>
        <v>CLEAN</v>
      </c>
      <c r="M35" s="90">
        <f t="shared" si="2"/>
        <v>0</v>
      </c>
      <c r="N35" s="90">
        <f t="shared" si="3"/>
        <v>0</v>
      </c>
      <c r="O35" s="68" t="s">
        <v>2761</v>
      </c>
      <c r="P35" s="63"/>
      <c r="Q35" s="62"/>
    </row>
    <row r="36" spans="1:17" ht="15" customHeight="1" x14ac:dyDescent="0.3">
      <c r="A36" s="70" t="s">
        <v>2784</v>
      </c>
      <c r="B36" s="112" t="s">
        <v>1929</v>
      </c>
      <c r="C36" s="101" t="s">
        <v>320</v>
      </c>
      <c r="D36" s="76" t="str">
        <f>IFERROR(INDEX(M_User!$A$12:$J$67,MATCH(C36,M_User!$D$12:$D$67,0),3),"UNMAPPED")</f>
        <v>Doglas E. Shirima</v>
      </c>
      <c r="E36" s="75" t="str">
        <f>IFERROR(INDEX(M_User!$A$12:$J$67,MATCH(C36,M_User!$D$12:$D$67,0),5),"UNMAPPED")</f>
        <v>ARS</v>
      </c>
      <c r="F36" s="101" t="s">
        <v>238</v>
      </c>
      <c r="G36" s="76" t="str">
        <f>IFERROR(INDEX(M_SKU!$A$18:$J$57,MATCH(F36,M_SKU!$B$18:$B$57,0),1),"UNKNOWN SKU")</f>
        <v>Fanta Pineapple Pet 500ml ( x12)</v>
      </c>
      <c r="H36" s="101" t="s">
        <v>613</v>
      </c>
      <c r="I36" s="102">
        <f>IFERROR(INDEX(T_Unload!$K$10:$K$433,MATCH(B36,T_Unload!$B$10:$B$433,0)),0)</f>
        <v>1</v>
      </c>
      <c r="J36" s="111">
        <v>1</v>
      </c>
      <c r="K36" s="113">
        <f t="shared" si="0"/>
        <v>0</v>
      </c>
      <c r="L36" s="114" t="str">
        <f t="shared" si="1"/>
        <v>CLEAN</v>
      </c>
      <c r="M36" s="115">
        <f t="shared" si="2"/>
        <v>0</v>
      </c>
      <c r="N36" s="115">
        <f t="shared" si="3"/>
        <v>0</v>
      </c>
      <c r="O36" s="116" t="s">
        <v>2761</v>
      </c>
      <c r="P36" s="117"/>
      <c r="Q36" s="118"/>
    </row>
    <row r="37" spans="1:17" ht="15" customHeight="1" x14ac:dyDescent="0.3">
      <c r="A37" s="60" t="s">
        <v>2785</v>
      </c>
      <c r="B37" s="97" t="s">
        <v>1931</v>
      </c>
      <c r="C37" s="63" t="s">
        <v>320</v>
      </c>
      <c r="D37" s="66" t="str">
        <f>IFERROR(INDEX(M_User!$A$12:$J$67,MATCH(C37,M_User!$D$12:$D$67,0),3),"UNMAPPED")</f>
        <v>Doglas E. Shirima</v>
      </c>
      <c r="E37" s="65" t="str">
        <f>IFERROR(INDEX(M_User!$A$12:$J$67,MATCH(C37,M_User!$D$12:$D$67,0),5),"UNMAPPED")</f>
        <v>ARS</v>
      </c>
      <c r="F37" s="63" t="s">
        <v>240</v>
      </c>
      <c r="G37" s="66" t="str">
        <f>IFERROR(INDEX(M_SKU!$A$18:$J$57,MATCH(F37,M_SKU!$B$18:$B$57,0),1),"UNKNOWN SKU")</f>
        <v>Fanta Fruit Blast Pet 500ML (x12)</v>
      </c>
      <c r="H37" s="63" t="s">
        <v>552</v>
      </c>
      <c r="I37" s="98">
        <f>IFERROR(INDEX(T_Unload!$K$10:$K$433,MATCH(B37,T_Unload!$B$10:$B$433,0)),0)</f>
        <v>0</v>
      </c>
      <c r="J37" s="111">
        <v>0</v>
      </c>
      <c r="K37" s="99">
        <f t="shared" si="0"/>
        <v>0</v>
      </c>
      <c r="L37" s="105" t="str">
        <f t="shared" si="1"/>
        <v>CLEAN</v>
      </c>
      <c r="M37" s="90">
        <f t="shared" si="2"/>
        <v>0</v>
      </c>
      <c r="N37" s="90">
        <f t="shared" si="3"/>
        <v>0</v>
      </c>
      <c r="O37" s="68" t="s">
        <v>2761</v>
      </c>
      <c r="P37" s="63"/>
      <c r="Q37" s="62"/>
    </row>
    <row r="38" spans="1:17" ht="15" customHeight="1" x14ac:dyDescent="0.3">
      <c r="A38" s="70" t="s">
        <v>2786</v>
      </c>
      <c r="B38" s="112" t="s">
        <v>1933</v>
      </c>
      <c r="C38" s="101" t="s">
        <v>320</v>
      </c>
      <c r="D38" s="76" t="str">
        <f>IFERROR(INDEX(M_User!$A$12:$J$67,MATCH(C38,M_User!$D$12:$D$67,0),3),"UNMAPPED")</f>
        <v>Doglas E. Shirima</v>
      </c>
      <c r="E38" s="75" t="str">
        <f>IFERROR(INDEX(M_User!$A$12:$J$67,MATCH(C38,M_User!$D$12:$D$67,0),5),"UNMAPPED")</f>
        <v>ARS</v>
      </c>
      <c r="F38" s="101" t="s">
        <v>242</v>
      </c>
      <c r="G38" s="76" t="str">
        <f>IFERROR(INDEX(M_SKU!$A$18:$J$57,MATCH(F38,M_SKU!$B$18:$B$57,0),1),"UNKNOWN SKU")</f>
        <v>Stoney Tangawizi Pet 500 ml ( x12)</v>
      </c>
      <c r="H38" s="101" t="s">
        <v>614</v>
      </c>
      <c r="I38" s="102">
        <f>IFERROR(INDEX(T_Unload!$K$10:$K$433,MATCH(B38,T_Unload!$B$10:$B$433,0)),0)</f>
        <v>2</v>
      </c>
      <c r="J38" s="111">
        <v>2</v>
      </c>
      <c r="K38" s="113">
        <f t="shared" si="0"/>
        <v>0</v>
      </c>
      <c r="L38" s="114" t="str">
        <f t="shared" si="1"/>
        <v>CLEAN</v>
      </c>
      <c r="M38" s="115">
        <f t="shared" si="2"/>
        <v>0</v>
      </c>
      <c r="N38" s="115">
        <f t="shared" si="3"/>
        <v>0</v>
      </c>
      <c r="O38" s="116" t="s">
        <v>2761</v>
      </c>
      <c r="P38" s="117"/>
      <c r="Q38" s="118"/>
    </row>
    <row r="39" spans="1:17" ht="15" customHeight="1" x14ac:dyDescent="0.3">
      <c r="A39" s="60" t="s">
        <v>2787</v>
      </c>
      <c r="B39" s="97" t="s">
        <v>1935</v>
      </c>
      <c r="C39" s="63" t="s">
        <v>320</v>
      </c>
      <c r="D39" s="66" t="str">
        <f>IFERROR(INDEX(M_User!$A$12:$J$67,MATCH(C39,M_User!$D$12:$D$67,0),3),"UNMAPPED")</f>
        <v>Doglas E. Shirima</v>
      </c>
      <c r="E39" s="65" t="str">
        <f>IFERROR(INDEX(M_User!$A$12:$J$67,MATCH(C39,M_User!$D$12:$D$67,0),5),"UNMAPPED")</f>
        <v>ARS</v>
      </c>
      <c r="F39" s="63" t="s">
        <v>244</v>
      </c>
      <c r="G39" s="66" t="str">
        <f>IFERROR(INDEX(M_SKU!$A$18:$J$57,MATCH(F39,M_SKU!$B$18:$B$57,0),1),"UNKNOWN SKU")</f>
        <v>Sparletta Pinenut Pet 500 ml ( x12)</v>
      </c>
      <c r="H39" s="63" t="s">
        <v>615</v>
      </c>
      <c r="I39" s="98">
        <f>IFERROR(INDEX(T_Unload!$K$10:$K$433,MATCH(B39,T_Unload!$B$10:$B$433,0)),0)</f>
        <v>1</v>
      </c>
      <c r="J39" s="111">
        <v>1</v>
      </c>
      <c r="K39" s="99">
        <f t="shared" si="0"/>
        <v>0</v>
      </c>
      <c r="L39" s="105" t="str">
        <f t="shared" si="1"/>
        <v>CLEAN</v>
      </c>
      <c r="M39" s="90">
        <f t="shared" si="2"/>
        <v>0</v>
      </c>
      <c r="N39" s="90">
        <f t="shared" si="3"/>
        <v>0</v>
      </c>
      <c r="O39" s="68" t="s">
        <v>2761</v>
      </c>
      <c r="P39" s="63"/>
      <c r="Q39" s="62"/>
    </row>
    <row r="40" spans="1:17" ht="15" customHeight="1" x14ac:dyDescent="0.3">
      <c r="A40" s="70" t="s">
        <v>2788</v>
      </c>
      <c r="B40" s="112" t="s">
        <v>1937</v>
      </c>
      <c r="C40" s="101" t="s">
        <v>320</v>
      </c>
      <c r="D40" s="76" t="str">
        <f>IFERROR(INDEX(M_User!$A$12:$J$67,MATCH(C40,M_User!$D$12:$D$67,0),3),"UNMAPPED")</f>
        <v>Doglas E. Shirima</v>
      </c>
      <c r="E40" s="75" t="str">
        <f>IFERROR(INDEX(M_User!$A$12:$J$67,MATCH(C40,M_User!$D$12:$D$67,0),5),"UNMAPPED")</f>
        <v>ARS</v>
      </c>
      <c r="F40" s="101" t="s">
        <v>248</v>
      </c>
      <c r="G40" s="76" t="str">
        <f>IFERROR(INDEX(M_SKU!$A$18:$J$57,MATCH(F40,M_SKU!$B$18:$B$57,0),1),"UNKNOWN SKU")</f>
        <v>Coke Pet 300ML(x 12)</v>
      </c>
      <c r="H40" s="101" t="s">
        <v>616</v>
      </c>
      <c r="I40" s="102">
        <f>IFERROR(INDEX(T_Unload!$K$10:$K$433,MATCH(B40,T_Unload!$B$10:$B$433,0)),0)</f>
        <v>0</v>
      </c>
      <c r="J40" s="111">
        <v>0</v>
      </c>
      <c r="K40" s="113">
        <f t="shared" si="0"/>
        <v>0</v>
      </c>
      <c r="L40" s="114" t="str">
        <f t="shared" si="1"/>
        <v>CLEAN</v>
      </c>
      <c r="M40" s="115">
        <f t="shared" si="2"/>
        <v>0</v>
      </c>
      <c r="N40" s="115">
        <f t="shared" si="3"/>
        <v>0</v>
      </c>
      <c r="O40" s="116" t="s">
        <v>2761</v>
      </c>
      <c r="P40" s="117"/>
      <c r="Q40" s="118"/>
    </row>
    <row r="41" spans="1:17" ht="15" customHeight="1" x14ac:dyDescent="0.3">
      <c r="A41" s="60" t="s">
        <v>2789</v>
      </c>
      <c r="B41" s="97" t="s">
        <v>1939</v>
      </c>
      <c r="C41" s="63" t="s">
        <v>320</v>
      </c>
      <c r="D41" s="66" t="str">
        <f>IFERROR(INDEX(M_User!$A$12:$J$67,MATCH(C41,M_User!$D$12:$D$67,0),3),"UNMAPPED")</f>
        <v>Doglas E. Shirima</v>
      </c>
      <c r="E41" s="65" t="str">
        <f>IFERROR(INDEX(M_User!$A$12:$J$67,MATCH(C41,M_User!$D$12:$D$67,0),5),"UNMAPPED")</f>
        <v>ARS</v>
      </c>
      <c r="F41" s="63" t="s">
        <v>248</v>
      </c>
      <c r="G41" s="66" t="str">
        <f>IFERROR(INDEX(M_SKU!$A$18:$J$57,MATCH(F41,M_SKU!$B$18:$B$57,0),1),"UNKNOWN SKU")</f>
        <v>Coke Pet 300ML(x 12)</v>
      </c>
      <c r="H41" s="63" t="s">
        <v>617</v>
      </c>
      <c r="I41" s="98">
        <f>IFERROR(INDEX(T_Unload!$K$10:$K$433,MATCH(B41,T_Unload!$B$10:$B$433,0)),0)</f>
        <v>2</v>
      </c>
      <c r="J41" s="111">
        <v>2</v>
      </c>
      <c r="K41" s="99">
        <f t="shared" si="0"/>
        <v>0</v>
      </c>
      <c r="L41" s="105" t="str">
        <f t="shared" si="1"/>
        <v>CLEAN</v>
      </c>
      <c r="M41" s="90">
        <f t="shared" si="2"/>
        <v>0</v>
      </c>
      <c r="N41" s="90">
        <f t="shared" si="3"/>
        <v>0</v>
      </c>
      <c r="O41" s="68" t="s">
        <v>2761</v>
      </c>
      <c r="P41" s="63"/>
      <c r="Q41" s="62"/>
    </row>
    <row r="42" spans="1:17" ht="15" customHeight="1" x14ac:dyDescent="0.3">
      <c r="A42" s="70" t="s">
        <v>2790</v>
      </c>
      <c r="B42" s="112" t="s">
        <v>1941</v>
      </c>
      <c r="C42" s="101" t="s">
        <v>320</v>
      </c>
      <c r="D42" s="76" t="str">
        <f>IFERROR(INDEX(M_User!$A$12:$J$67,MATCH(C42,M_User!$D$12:$D$67,0),3),"UNMAPPED")</f>
        <v>Doglas E. Shirima</v>
      </c>
      <c r="E42" s="75" t="str">
        <f>IFERROR(INDEX(M_User!$A$12:$J$67,MATCH(C42,M_User!$D$12:$D$67,0),5),"UNMAPPED")</f>
        <v>ARS</v>
      </c>
      <c r="F42" s="101" t="s">
        <v>254</v>
      </c>
      <c r="G42" s="76" t="str">
        <f>IFERROR(INDEX(M_SKU!$A$18:$J$57,MATCH(F42,M_SKU!$B$18:$B$57,0),1),"UNKNOWN SKU")</f>
        <v>Fanta Zero Pet 300ML (x 12)</v>
      </c>
      <c r="H42" s="101" t="s">
        <v>546</v>
      </c>
      <c r="I42" s="102">
        <f>IFERROR(INDEX(T_Unload!$K$10:$K$433,MATCH(B42,T_Unload!$B$10:$B$433,0)),0)</f>
        <v>0</v>
      </c>
      <c r="J42" s="111">
        <v>0</v>
      </c>
      <c r="K42" s="113">
        <f t="shared" si="0"/>
        <v>0</v>
      </c>
      <c r="L42" s="114" t="str">
        <f t="shared" si="1"/>
        <v>CLEAN</v>
      </c>
      <c r="M42" s="115">
        <f t="shared" si="2"/>
        <v>0</v>
      </c>
      <c r="N42" s="115">
        <f t="shared" si="3"/>
        <v>0</v>
      </c>
      <c r="O42" s="116" t="s">
        <v>2761</v>
      </c>
      <c r="P42" s="117"/>
      <c r="Q42" s="118"/>
    </row>
    <row r="43" spans="1:17" ht="15" customHeight="1" x14ac:dyDescent="0.3">
      <c r="A43" s="60" t="s">
        <v>2791</v>
      </c>
      <c r="B43" s="97" t="s">
        <v>1943</v>
      </c>
      <c r="C43" s="63" t="s">
        <v>320</v>
      </c>
      <c r="D43" s="66" t="str">
        <f>IFERROR(INDEX(M_User!$A$12:$J$67,MATCH(C43,M_User!$D$12:$D$67,0),3),"UNMAPPED")</f>
        <v>Doglas E. Shirima</v>
      </c>
      <c r="E43" s="65" t="str">
        <f>IFERROR(INDEX(M_User!$A$12:$J$67,MATCH(C43,M_User!$D$12:$D$67,0),5),"UNMAPPED")</f>
        <v>ARS</v>
      </c>
      <c r="F43" s="63" t="s">
        <v>256</v>
      </c>
      <c r="G43" s="66" t="str">
        <f>IFERROR(INDEX(M_SKU!$A$18:$J$57,MATCH(F43,M_SKU!$B$18:$B$57,0),1),"UNKNOWN SKU")</f>
        <v>Sparletta Red Apple Pet 300ML(x 12)</v>
      </c>
      <c r="H43" s="63" t="s">
        <v>555</v>
      </c>
      <c r="I43" s="98">
        <f>IFERROR(INDEX(T_Unload!$K$10:$K$433,MATCH(B43,T_Unload!$B$10:$B$433,0)),0)</f>
        <v>0</v>
      </c>
      <c r="J43" s="111">
        <v>0</v>
      </c>
      <c r="K43" s="99">
        <f t="shared" si="0"/>
        <v>0</v>
      </c>
      <c r="L43" s="105" t="str">
        <f t="shared" si="1"/>
        <v>CLEAN</v>
      </c>
      <c r="M43" s="90">
        <f t="shared" si="2"/>
        <v>0</v>
      </c>
      <c r="N43" s="90">
        <f t="shared" si="3"/>
        <v>0</v>
      </c>
      <c r="O43" s="68" t="s">
        <v>2761</v>
      </c>
      <c r="P43" s="63"/>
      <c r="Q43" s="62"/>
    </row>
    <row r="44" spans="1:17" ht="15" customHeight="1" x14ac:dyDescent="0.3">
      <c r="A44" s="70" t="s">
        <v>2792</v>
      </c>
      <c r="B44" s="112" t="s">
        <v>1945</v>
      </c>
      <c r="C44" s="101" t="s">
        <v>320</v>
      </c>
      <c r="D44" s="76" t="str">
        <f>IFERROR(INDEX(M_User!$A$12:$J$67,MATCH(C44,M_User!$D$12:$D$67,0),3),"UNMAPPED")</f>
        <v>Doglas E. Shirima</v>
      </c>
      <c r="E44" s="75" t="str">
        <f>IFERROR(INDEX(M_User!$A$12:$J$67,MATCH(C44,M_User!$D$12:$D$67,0),5),"UNMAPPED")</f>
        <v>ARS</v>
      </c>
      <c r="F44" s="101" t="s">
        <v>258</v>
      </c>
      <c r="G44" s="76" t="str">
        <f>IFERROR(INDEX(M_SKU!$A$18:$J$57,MATCH(F44,M_SKU!$B$18:$B$57,0),1),"UNKNOWN SKU")</f>
        <v>Novida Pineapple 300ML (x 12)</v>
      </c>
      <c r="H44" s="101" t="s">
        <v>618</v>
      </c>
      <c r="I44" s="102">
        <f>IFERROR(INDEX(T_Unload!$K$10:$K$433,MATCH(B44,T_Unload!$B$10:$B$433,0)),0)</f>
        <v>0</v>
      </c>
      <c r="J44" s="111">
        <v>0</v>
      </c>
      <c r="K44" s="113">
        <f t="shared" si="0"/>
        <v>0</v>
      </c>
      <c r="L44" s="114" t="str">
        <f t="shared" si="1"/>
        <v>CLEAN</v>
      </c>
      <c r="M44" s="115">
        <f t="shared" si="2"/>
        <v>0</v>
      </c>
      <c r="N44" s="115">
        <f t="shared" si="3"/>
        <v>0</v>
      </c>
      <c r="O44" s="116" t="s">
        <v>2761</v>
      </c>
      <c r="P44" s="117"/>
      <c r="Q44" s="118"/>
    </row>
    <row r="45" spans="1:17" ht="15" customHeight="1" x14ac:dyDescent="0.3">
      <c r="A45" s="60" t="s">
        <v>2793</v>
      </c>
      <c r="B45" s="97" t="s">
        <v>1947</v>
      </c>
      <c r="C45" s="63" t="s">
        <v>320</v>
      </c>
      <c r="D45" s="66" t="str">
        <f>IFERROR(INDEX(M_User!$A$12:$J$67,MATCH(C45,M_User!$D$12:$D$67,0),3),"UNMAPPED")</f>
        <v>Doglas E. Shirima</v>
      </c>
      <c r="E45" s="65" t="str">
        <f>IFERROR(INDEX(M_User!$A$12:$J$67,MATCH(C45,M_User!$D$12:$D$67,0),5),"UNMAPPED")</f>
        <v>ARS</v>
      </c>
      <c r="F45" s="63" t="s">
        <v>261</v>
      </c>
      <c r="G45" s="66" t="str">
        <f>IFERROR(INDEX(M_SKU!$A$18:$J$57,MATCH(F45,M_SKU!$B$18:$B$57,0),1),"UNKNOWN SKU")</f>
        <v>Sparletta Pine Apple Pet 300ML (x 12)</v>
      </c>
      <c r="H45" s="63" t="s">
        <v>547</v>
      </c>
      <c r="I45" s="98">
        <f>IFERROR(INDEX(T_Unload!$K$10:$K$433,MATCH(B45,T_Unload!$B$10:$B$433,0)),0)</f>
        <v>1</v>
      </c>
      <c r="J45" s="111">
        <v>1</v>
      </c>
      <c r="K45" s="99">
        <f t="shared" si="0"/>
        <v>0</v>
      </c>
      <c r="L45" s="105" t="str">
        <f t="shared" si="1"/>
        <v>CLEAN</v>
      </c>
      <c r="M45" s="90">
        <f t="shared" si="2"/>
        <v>0</v>
      </c>
      <c r="N45" s="90">
        <f t="shared" si="3"/>
        <v>0</v>
      </c>
      <c r="O45" s="68" t="s">
        <v>2761</v>
      </c>
      <c r="P45" s="63"/>
      <c r="Q45" s="62"/>
    </row>
    <row r="46" spans="1:17" ht="15" customHeight="1" x14ac:dyDescent="0.3">
      <c r="A46" s="70" t="s">
        <v>2794</v>
      </c>
      <c r="B46" s="112" t="s">
        <v>1949</v>
      </c>
      <c r="C46" s="101" t="s">
        <v>314</v>
      </c>
      <c r="D46" s="76" t="str">
        <f>IFERROR(INDEX(M_User!$A$12:$J$67,MATCH(C46,M_User!$D$12:$D$67,0),3),"UNMAPPED")</f>
        <v>Omary O. Seif</v>
      </c>
      <c r="E46" s="75" t="str">
        <f>IFERROR(INDEX(M_User!$A$12:$J$67,MATCH(C46,M_User!$D$12:$D$67,0),5),"UNMAPPED")</f>
        <v>DAR</v>
      </c>
      <c r="F46" s="101" t="s">
        <v>211</v>
      </c>
      <c r="G46" s="76" t="str">
        <f>IFERROR(INDEX(M_SKU!$A$18:$J$57,MATCH(F46,M_SKU!$B$18:$B$57,0),1),"UNKNOWN SKU")</f>
        <v>KNMW 500ml</v>
      </c>
      <c r="H46" s="101" t="s">
        <v>622</v>
      </c>
      <c r="I46" s="102">
        <f>IFERROR(INDEX(T_Unload!$K$10:$K$433,MATCH(B46,T_Unload!$B$10:$B$433,0)),0)</f>
        <v>18</v>
      </c>
      <c r="J46" s="111">
        <v>18</v>
      </c>
      <c r="K46" s="113">
        <f t="shared" si="0"/>
        <v>0</v>
      </c>
      <c r="L46" s="114" t="str">
        <f t="shared" si="1"/>
        <v>CLEAN</v>
      </c>
      <c r="M46" s="115">
        <f t="shared" si="2"/>
        <v>0</v>
      </c>
      <c r="N46" s="115">
        <f t="shared" si="3"/>
        <v>0</v>
      </c>
      <c r="O46" s="116" t="s">
        <v>2761</v>
      </c>
      <c r="P46" s="117"/>
      <c r="Q46" s="118"/>
    </row>
    <row r="47" spans="1:17" ht="15" customHeight="1" x14ac:dyDescent="0.3">
      <c r="A47" s="60" t="s">
        <v>2795</v>
      </c>
      <c r="B47" s="97" t="s">
        <v>1951</v>
      </c>
      <c r="C47" s="63" t="s">
        <v>314</v>
      </c>
      <c r="D47" s="66" t="str">
        <f>IFERROR(INDEX(M_User!$A$12:$J$67,MATCH(C47,M_User!$D$12:$D$67,0),3),"UNMAPPED")</f>
        <v>Omary O. Seif</v>
      </c>
      <c r="E47" s="65" t="str">
        <f>IFERROR(INDEX(M_User!$A$12:$J$67,MATCH(C47,M_User!$D$12:$D$67,0),5),"UNMAPPED")</f>
        <v>DAR</v>
      </c>
      <c r="F47" s="63" t="s">
        <v>217</v>
      </c>
      <c r="G47" s="66" t="str">
        <f>IFERROR(INDEX(M_SKU!$A$18:$J$57,MATCH(F47,M_SKU!$B$18:$B$57,0),1),"UNKNOWN SKU")</f>
        <v>KNMW 1500ml</v>
      </c>
      <c r="H47" s="63" t="s">
        <v>623</v>
      </c>
      <c r="I47" s="98">
        <f>IFERROR(INDEX(T_Unload!$K$10:$K$433,MATCH(B47,T_Unload!$B$10:$B$433,0)),0)</f>
        <v>5</v>
      </c>
      <c r="J47" s="111">
        <v>5</v>
      </c>
      <c r="K47" s="99">
        <f t="shared" si="0"/>
        <v>0</v>
      </c>
      <c r="L47" s="105" t="str">
        <f t="shared" si="1"/>
        <v>CLEAN</v>
      </c>
      <c r="M47" s="90">
        <f t="shared" si="2"/>
        <v>0</v>
      </c>
      <c r="N47" s="90">
        <f t="shared" si="3"/>
        <v>0</v>
      </c>
      <c r="O47" s="68" t="s">
        <v>2761</v>
      </c>
      <c r="P47" s="63"/>
      <c r="Q47" s="62"/>
    </row>
    <row r="48" spans="1:17" ht="15" customHeight="1" x14ac:dyDescent="0.3">
      <c r="A48" s="70" t="s">
        <v>2796</v>
      </c>
      <c r="B48" s="112" t="s">
        <v>1953</v>
      </c>
      <c r="C48" s="101" t="s">
        <v>314</v>
      </c>
      <c r="D48" s="76" t="str">
        <f>IFERROR(INDEX(M_User!$A$12:$J$67,MATCH(C48,M_User!$D$12:$D$67,0),3),"UNMAPPED")</f>
        <v>Omary O. Seif</v>
      </c>
      <c r="E48" s="75" t="str">
        <f>IFERROR(INDEX(M_User!$A$12:$J$67,MATCH(C48,M_User!$D$12:$D$67,0),5),"UNMAPPED")</f>
        <v>DAR</v>
      </c>
      <c r="F48" s="101" t="s">
        <v>222</v>
      </c>
      <c r="G48" s="76" t="str">
        <f>IFERROR(INDEX(M_SKU!$A$18:$J$57,MATCH(F48,M_SKU!$B$18:$B$57,0),1),"UNKNOWN SKU")</f>
        <v>Kilimanjaro Drinking Water 12000 ML</v>
      </c>
      <c r="H48" s="101" t="s">
        <v>607</v>
      </c>
      <c r="I48" s="102">
        <f>IFERROR(INDEX(T_Unload!$K$10:$K$433,MATCH(B48,T_Unload!$B$10:$B$433,0)),0)</f>
        <v>3</v>
      </c>
      <c r="J48" s="111">
        <v>3</v>
      </c>
      <c r="K48" s="113">
        <f t="shared" si="0"/>
        <v>0</v>
      </c>
      <c r="L48" s="114" t="str">
        <f t="shared" si="1"/>
        <v>CLEAN</v>
      </c>
      <c r="M48" s="115">
        <f t="shared" si="2"/>
        <v>0</v>
      </c>
      <c r="N48" s="115">
        <f t="shared" si="3"/>
        <v>0</v>
      </c>
      <c r="O48" s="116" t="s">
        <v>2761</v>
      </c>
      <c r="P48" s="117"/>
      <c r="Q48" s="118"/>
    </row>
    <row r="49" spans="1:17" ht="15" customHeight="1" x14ac:dyDescent="0.3">
      <c r="A49" s="60" t="s">
        <v>2797</v>
      </c>
      <c r="B49" s="97" t="s">
        <v>1955</v>
      </c>
      <c r="C49" s="63" t="s">
        <v>314</v>
      </c>
      <c r="D49" s="66" t="str">
        <f>IFERROR(INDEX(M_User!$A$12:$J$67,MATCH(C49,M_User!$D$12:$D$67,0),3),"UNMAPPED")</f>
        <v>Omary O. Seif</v>
      </c>
      <c r="E49" s="65" t="str">
        <f>IFERROR(INDEX(M_User!$A$12:$J$67,MATCH(C49,M_User!$D$12:$D$67,0),5),"UNMAPPED")</f>
        <v>DAR</v>
      </c>
      <c r="F49" s="63" t="s">
        <v>225</v>
      </c>
      <c r="G49" s="66" t="str">
        <f>IFERROR(INDEX(M_SKU!$A$18:$J$57,MATCH(F49,M_SKU!$B$18:$B$57,0),1),"UNKNOWN SKU")</f>
        <v>Kilimanjaro Drinking Water 18900 ML</v>
      </c>
      <c r="H49" s="63" t="s">
        <v>624</v>
      </c>
      <c r="I49" s="98">
        <f>IFERROR(INDEX(T_Unload!$K$10:$K$433,MATCH(B49,T_Unload!$B$10:$B$433,0)),0)</f>
        <v>6</v>
      </c>
      <c r="J49" s="111">
        <v>6</v>
      </c>
      <c r="K49" s="99">
        <f t="shared" si="0"/>
        <v>0</v>
      </c>
      <c r="L49" s="105" t="str">
        <f t="shared" si="1"/>
        <v>CLEAN</v>
      </c>
      <c r="M49" s="90">
        <f t="shared" si="2"/>
        <v>0</v>
      </c>
      <c r="N49" s="90">
        <f t="shared" si="3"/>
        <v>0</v>
      </c>
      <c r="O49" s="68" t="s">
        <v>2761</v>
      </c>
      <c r="P49" s="63"/>
      <c r="Q49" s="62"/>
    </row>
    <row r="50" spans="1:17" ht="15" customHeight="1" x14ac:dyDescent="0.3">
      <c r="A50" s="70" t="s">
        <v>2798</v>
      </c>
      <c r="B50" s="112" t="s">
        <v>1957</v>
      </c>
      <c r="C50" s="101" t="s">
        <v>314</v>
      </c>
      <c r="D50" s="76" t="str">
        <f>IFERROR(INDEX(M_User!$A$12:$J$67,MATCH(C50,M_User!$D$12:$D$67,0),3),"UNMAPPED")</f>
        <v>Omary O. Seif</v>
      </c>
      <c r="E50" s="75" t="str">
        <f>IFERROR(INDEX(M_User!$A$12:$J$67,MATCH(C50,M_User!$D$12:$D$67,0),5),"UNMAPPED")</f>
        <v>DAR</v>
      </c>
      <c r="F50" s="101" t="s">
        <v>227</v>
      </c>
      <c r="G50" s="76" t="str">
        <f>IFERROR(INDEX(M_SKU!$A$18:$J$57,MATCH(F50,M_SKU!$B$18:$B$57,0),1),"UNKNOWN SKU")</f>
        <v>KNMW 1000ml(6 Pack)</v>
      </c>
      <c r="H50" s="101" t="s">
        <v>625</v>
      </c>
      <c r="I50" s="102">
        <f>IFERROR(INDEX(T_Unload!$K$10:$K$433,MATCH(B50,T_Unload!$B$10:$B$433,0)),0)</f>
        <v>29</v>
      </c>
      <c r="J50" s="111">
        <v>29</v>
      </c>
      <c r="K50" s="113">
        <f t="shared" si="0"/>
        <v>0</v>
      </c>
      <c r="L50" s="114" t="str">
        <f t="shared" si="1"/>
        <v>CLEAN</v>
      </c>
      <c r="M50" s="115">
        <f t="shared" si="2"/>
        <v>0</v>
      </c>
      <c r="N50" s="115">
        <f t="shared" si="3"/>
        <v>0</v>
      </c>
      <c r="O50" s="116" t="s">
        <v>2761</v>
      </c>
      <c r="P50" s="117"/>
      <c r="Q50" s="118"/>
    </row>
    <row r="51" spans="1:17" ht="15" customHeight="1" x14ac:dyDescent="0.3">
      <c r="A51" s="60" t="s">
        <v>2799</v>
      </c>
      <c r="B51" s="97" t="s">
        <v>1959</v>
      </c>
      <c r="C51" s="63" t="s">
        <v>395</v>
      </c>
      <c r="D51" s="66" t="str">
        <f>IFERROR(INDEX(M_User!$A$12:$J$67,MATCH(C51,M_User!$D$12:$D$67,0),3),"UNMAPPED")</f>
        <v>Meshack  Jeremiah</v>
      </c>
      <c r="E51" s="65" t="str">
        <f>IFERROR(INDEX(M_User!$A$12:$J$67,MATCH(C51,M_User!$D$12:$D$67,0),5),"UNMAPPED")</f>
        <v>MOS</v>
      </c>
      <c r="F51" s="63" t="s">
        <v>170</v>
      </c>
      <c r="G51" s="66" t="str">
        <f>IFERROR(INDEX(M_SKU!$A$18:$J$57,MATCH(F51,M_SKU!$B$18:$B$57,0),1),"UNKNOWN SKU")</f>
        <v>Coke RGB 350ml</v>
      </c>
      <c r="H51" s="63" t="s">
        <v>530</v>
      </c>
      <c r="I51" s="98">
        <f>IFERROR(INDEX(T_Unload!$K$10:$K$433,MATCH(B51,T_Unload!$B$10:$B$433,0)),0)</f>
        <v>9.4260419724479974</v>
      </c>
      <c r="J51" s="111">
        <v>9.43</v>
      </c>
      <c r="K51" s="99">
        <f t="shared" si="0"/>
        <v>-3.9580275520023633E-3</v>
      </c>
      <c r="L51" s="105" t="str">
        <f t="shared" si="1"/>
        <v>Adjust Unload Upward</v>
      </c>
      <c r="M51" s="90">
        <f t="shared" si="2"/>
        <v>0</v>
      </c>
      <c r="N51" s="90">
        <f t="shared" si="3"/>
        <v>3.9580275520023633E-3</v>
      </c>
      <c r="O51" s="68" t="s">
        <v>2761</v>
      </c>
      <c r="P51" s="63"/>
      <c r="Q51" s="62"/>
    </row>
    <row r="52" spans="1:17" ht="15" customHeight="1" x14ac:dyDescent="0.3">
      <c r="A52" s="70" t="s">
        <v>2800</v>
      </c>
      <c r="B52" s="112" t="s">
        <v>1961</v>
      </c>
      <c r="C52" s="101" t="s">
        <v>395</v>
      </c>
      <c r="D52" s="76" t="str">
        <f>IFERROR(INDEX(M_User!$A$12:$J$67,MATCH(C52,M_User!$D$12:$D$67,0),3),"UNMAPPED")</f>
        <v>Meshack  Jeremiah</v>
      </c>
      <c r="E52" s="75" t="str">
        <f>IFERROR(INDEX(M_User!$A$12:$J$67,MATCH(C52,M_User!$D$12:$D$67,0),5),"UNMAPPED")</f>
        <v>MOS</v>
      </c>
      <c r="F52" s="101" t="s">
        <v>178</v>
      </c>
      <c r="G52" s="76" t="str">
        <f>IFERROR(INDEX(M_SKU!$A$18:$J$57,MATCH(F52,M_SKU!$B$18:$B$57,0),1),"UNKNOWN SKU")</f>
        <v>Fanta Orange RGB 350ml</v>
      </c>
      <c r="H52" s="101" t="s">
        <v>531</v>
      </c>
      <c r="I52" s="102">
        <f>IFERROR(INDEX(T_Unload!$K$10:$K$433,MATCH(B52,T_Unload!$B$10:$B$433,0)),0)</f>
        <v>2.1413449316438395</v>
      </c>
      <c r="J52" s="111">
        <v>2.14</v>
      </c>
      <c r="K52" s="113">
        <f t="shared" si="0"/>
        <v>1.3449316438394199E-3</v>
      </c>
      <c r="L52" s="114" t="str">
        <f t="shared" si="1"/>
        <v>Post to Default Outlet</v>
      </c>
      <c r="M52" s="115">
        <f t="shared" si="2"/>
        <v>1.3449316438394199E-3</v>
      </c>
      <c r="N52" s="115">
        <f t="shared" si="3"/>
        <v>0</v>
      </c>
      <c r="O52" s="116" t="s">
        <v>2761</v>
      </c>
      <c r="P52" s="117"/>
      <c r="Q52" s="118"/>
    </row>
    <row r="53" spans="1:17" ht="15" customHeight="1" x14ac:dyDescent="0.3">
      <c r="A53" s="60" t="s">
        <v>2801</v>
      </c>
      <c r="B53" s="97" t="s">
        <v>1963</v>
      </c>
      <c r="C53" s="63" t="s">
        <v>395</v>
      </c>
      <c r="D53" s="66" t="str">
        <f>IFERROR(INDEX(M_User!$A$12:$J$67,MATCH(C53,M_User!$D$12:$D$67,0),3),"UNMAPPED")</f>
        <v>Meshack  Jeremiah</v>
      </c>
      <c r="E53" s="65" t="str">
        <f>IFERROR(INDEX(M_User!$A$12:$J$67,MATCH(C53,M_User!$D$12:$D$67,0),5),"UNMAPPED")</f>
        <v>MOS</v>
      </c>
      <c r="F53" s="63" t="s">
        <v>181</v>
      </c>
      <c r="G53" s="66" t="str">
        <f>IFERROR(INDEX(M_SKU!$A$18:$J$57,MATCH(F53,M_SKU!$B$18:$B$57,0),1),"UNKNOWN SKU")</f>
        <v>Fanta Passion RGB 350ml</v>
      </c>
      <c r="H53" s="63" t="s">
        <v>550</v>
      </c>
      <c r="I53" s="98">
        <f>IFERROR(INDEX(T_Unload!$K$10:$K$433,MATCH(B53,T_Unload!$B$10:$B$433,0)),0)</f>
        <v>1.4069830491663096</v>
      </c>
      <c r="J53" s="111">
        <v>1.41</v>
      </c>
      <c r="K53" s="99">
        <f t="shared" si="0"/>
        <v>-3.0169508336903572E-3</v>
      </c>
      <c r="L53" s="105" t="str">
        <f t="shared" si="1"/>
        <v>Adjust Unload Upward</v>
      </c>
      <c r="M53" s="90">
        <f t="shared" si="2"/>
        <v>0</v>
      </c>
      <c r="N53" s="90">
        <f t="shared" si="3"/>
        <v>3.0169508336903572E-3</v>
      </c>
      <c r="O53" s="68" t="s">
        <v>2761</v>
      </c>
      <c r="P53" s="63"/>
      <c r="Q53" s="62"/>
    </row>
    <row r="54" spans="1:17" ht="15" customHeight="1" x14ac:dyDescent="0.3">
      <c r="A54" s="70" t="s">
        <v>2802</v>
      </c>
      <c r="B54" s="112" t="s">
        <v>1965</v>
      </c>
      <c r="C54" s="101" t="s">
        <v>395</v>
      </c>
      <c r="D54" s="76" t="str">
        <f>IFERROR(INDEX(M_User!$A$12:$J$67,MATCH(C54,M_User!$D$12:$D$67,0),3),"UNMAPPED")</f>
        <v>Meshack  Jeremiah</v>
      </c>
      <c r="E54" s="75" t="str">
        <f>IFERROR(INDEX(M_User!$A$12:$J$67,MATCH(C54,M_User!$D$12:$D$67,0),5),"UNMAPPED")</f>
        <v>MOS</v>
      </c>
      <c r="F54" s="101" t="s">
        <v>183</v>
      </c>
      <c r="G54" s="76" t="str">
        <f>IFERROR(INDEX(M_SKU!$A$18:$J$57,MATCH(F54,M_SKU!$B$18:$B$57,0),1),"UNKNOWN SKU")</f>
        <v>Fanta Pineapple RGB 350ml</v>
      </c>
      <c r="H54" s="101" t="s">
        <v>533</v>
      </c>
      <c r="I54" s="102">
        <f>IFERROR(INDEX(T_Unload!$K$10:$K$433,MATCH(B54,T_Unload!$B$10:$B$433,0)),0)</f>
        <v>1.7400438606030795</v>
      </c>
      <c r="J54" s="111">
        <v>1.74</v>
      </c>
      <c r="K54" s="113">
        <f t="shared" si="0"/>
        <v>4.3860603079481919E-5</v>
      </c>
      <c r="L54" s="114" t="str">
        <f t="shared" si="1"/>
        <v>CLEAN</v>
      </c>
      <c r="M54" s="115">
        <f t="shared" si="2"/>
        <v>0</v>
      </c>
      <c r="N54" s="115">
        <f t="shared" si="3"/>
        <v>0</v>
      </c>
      <c r="O54" s="116" t="s">
        <v>2761</v>
      </c>
      <c r="P54" s="117"/>
      <c r="Q54" s="118"/>
    </row>
    <row r="55" spans="1:17" ht="15" customHeight="1" x14ac:dyDescent="0.3">
      <c r="A55" s="60" t="s">
        <v>2803</v>
      </c>
      <c r="B55" s="97" t="s">
        <v>1967</v>
      </c>
      <c r="C55" s="63" t="s">
        <v>395</v>
      </c>
      <c r="D55" s="66" t="str">
        <f>IFERROR(INDEX(M_User!$A$12:$J$67,MATCH(C55,M_User!$D$12:$D$67,0),3),"UNMAPPED")</f>
        <v>Meshack  Jeremiah</v>
      </c>
      <c r="E55" s="65" t="str">
        <f>IFERROR(INDEX(M_User!$A$12:$J$67,MATCH(C55,M_User!$D$12:$D$67,0),5),"UNMAPPED")</f>
        <v>MOS</v>
      </c>
      <c r="F55" s="63" t="s">
        <v>185</v>
      </c>
      <c r="G55" s="66" t="str">
        <f>IFERROR(INDEX(M_SKU!$A$18:$J$57,MATCH(F55,M_SKU!$B$18:$B$57,0),1),"UNKNOWN SKU")</f>
        <v>Fanta Fruit Blast RGB 350 ml</v>
      </c>
      <c r="H55" s="63" t="s">
        <v>534</v>
      </c>
      <c r="I55" s="98">
        <f>IFERROR(INDEX(T_Unload!$K$10:$K$433,MATCH(B55,T_Unload!$B$10:$B$433,0)),0)</f>
        <v>0.83245685952361015</v>
      </c>
      <c r="J55" s="111">
        <v>0.83</v>
      </c>
      <c r="K55" s="99">
        <f t="shared" si="0"/>
        <v>2.4568595236101887E-3</v>
      </c>
      <c r="L55" s="105" t="str">
        <f t="shared" si="1"/>
        <v>Post to Default Outlet</v>
      </c>
      <c r="M55" s="90">
        <f t="shared" si="2"/>
        <v>2.4568595236101887E-3</v>
      </c>
      <c r="N55" s="90">
        <f t="shared" si="3"/>
        <v>0</v>
      </c>
      <c r="O55" s="68" t="s">
        <v>2761</v>
      </c>
      <c r="P55" s="63"/>
      <c r="Q55" s="62"/>
    </row>
    <row r="56" spans="1:17" ht="15" customHeight="1" x14ac:dyDescent="0.3">
      <c r="A56" s="70" t="s">
        <v>2804</v>
      </c>
      <c r="B56" s="112" t="s">
        <v>1969</v>
      </c>
      <c r="C56" s="101" t="s">
        <v>395</v>
      </c>
      <c r="D56" s="76" t="str">
        <f>IFERROR(INDEX(M_User!$A$12:$J$67,MATCH(C56,M_User!$D$12:$D$67,0),3),"UNMAPPED")</f>
        <v>Meshack  Jeremiah</v>
      </c>
      <c r="E56" s="75" t="str">
        <f>IFERROR(INDEX(M_User!$A$12:$J$67,MATCH(C56,M_User!$D$12:$D$67,0),5),"UNMAPPED")</f>
        <v>MOS</v>
      </c>
      <c r="F56" s="101" t="s">
        <v>187</v>
      </c>
      <c r="G56" s="76" t="str">
        <f>IFERROR(INDEX(M_SKU!$A$18:$J$57,MATCH(F56,M_SKU!$B$18:$B$57,0),1),"UNKNOWN SKU")</f>
        <v>Sprite 350ml</v>
      </c>
      <c r="H56" s="101" t="s">
        <v>535</v>
      </c>
      <c r="I56" s="102">
        <f>IFERROR(INDEX(T_Unload!$K$10:$K$433,MATCH(B56,T_Unload!$B$10:$B$433,0)),0)</f>
        <v>1.7069125463592192</v>
      </c>
      <c r="J56" s="111">
        <v>1.71</v>
      </c>
      <c r="K56" s="113">
        <f t="shared" si="0"/>
        <v>-3.0874536407807796E-3</v>
      </c>
      <c r="L56" s="114" t="str">
        <f t="shared" si="1"/>
        <v>Adjust Unload Upward</v>
      </c>
      <c r="M56" s="115">
        <f t="shared" si="2"/>
        <v>0</v>
      </c>
      <c r="N56" s="115">
        <f t="shared" si="3"/>
        <v>3.0874536407807796E-3</v>
      </c>
      <c r="O56" s="116" t="s">
        <v>2761</v>
      </c>
      <c r="P56" s="117"/>
      <c r="Q56" s="118"/>
    </row>
    <row r="57" spans="1:17" ht="15" customHeight="1" x14ac:dyDescent="0.3">
      <c r="A57" s="60" t="s">
        <v>2805</v>
      </c>
      <c r="B57" s="97" t="s">
        <v>1971</v>
      </c>
      <c r="C57" s="63" t="s">
        <v>395</v>
      </c>
      <c r="D57" s="66" t="str">
        <f>IFERROR(INDEX(M_User!$A$12:$J$67,MATCH(C57,M_User!$D$12:$D$67,0),3),"UNMAPPED")</f>
        <v>Meshack  Jeremiah</v>
      </c>
      <c r="E57" s="65" t="str">
        <f>IFERROR(INDEX(M_User!$A$12:$J$67,MATCH(C57,M_User!$D$12:$D$67,0),5),"UNMAPPED")</f>
        <v>MOS</v>
      </c>
      <c r="F57" s="63" t="s">
        <v>190</v>
      </c>
      <c r="G57" s="66" t="str">
        <f>IFERROR(INDEX(M_SKU!$A$18:$J$57,MATCH(F57,M_SKU!$B$18:$B$57,0),1),"UNKNOWN SKU")</f>
        <v>Stoney Tangawizi RGB 350ml</v>
      </c>
      <c r="H57" s="63" t="s">
        <v>536</v>
      </c>
      <c r="I57" s="98">
        <f>IFERROR(INDEX(T_Unload!$K$10:$K$433,MATCH(B57,T_Unload!$B$10:$B$433,0)),0)</f>
        <v>0.94407045760539399</v>
      </c>
      <c r="J57" s="111">
        <v>0.94</v>
      </c>
      <c r="K57" s="99">
        <f t="shared" si="0"/>
        <v>4.07045760539404E-3</v>
      </c>
      <c r="L57" s="105" t="str">
        <f t="shared" si="1"/>
        <v>Post to Default Outlet</v>
      </c>
      <c r="M57" s="90">
        <f t="shared" si="2"/>
        <v>4.07045760539404E-3</v>
      </c>
      <c r="N57" s="90">
        <f t="shared" si="3"/>
        <v>0</v>
      </c>
      <c r="O57" s="68" t="s">
        <v>2761</v>
      </c>
      <c r="P57" s="63"/>
      <c r="Q57" s="62"/>
    </row>
    <row r="58" spans="1:17" ht="15" customHeight="1" x14ac:dyDescent="0.3">
      <c r="A58" s="70" t="s">
        <v>2806</v>
      </c>
      <c r="B58" s="112" t="s">
        <v>1973</v>
      </c>
      <c r="C58" s="101" t="s">
        <v>395</v>
      </c>
      <c r="D58" s="76" t="str">
        <f>IFERROR(INDEX(M_User!$A$12:$J$67,MATCH(C58,M_User!$D$12:$D$67,0),3),"UNMAPPED")</f>
        <v>Meshack  Jeremiah</v>
      </c>
      <c r="E58" s="75" t="str">
        <f>IFERROR(INDEX(M_User!$A$12:$J$67,MATCH(C58,M_User!$D$12:$D$67,0),5),"UNMAPPED")</f>
        <v>MOS</v>
      </c>
      <c r="F58" s="101" t="s">
        <v>193</v>
      </c>
      <c r="G58" s="76" t="str">
        <f>IFERROR(INDEX(M_SKU!$A$18:$J$57,MATCH(F58,M_SKU!$B$18:$B$57,0),1),"UNKNOWN SKU")</f>
        <v>Sparletta Pinenut RGB 350ml</v>
      </c>
      <c r="H58" s="101" t="s">
        <v>537</v>
      </c>
      <c r="I58" s="102">
        <f>IFERROR(INDEX(T_Unload!$K$10:$K$433,MATCH(B58,T_Unload!$B$10:$B$433,0)),0)</f>
        <v>0.70239421228589505</v>
      </c>
      <c r="J58" s="111">
        <v>0.7</v>
      </c>
      <c r="K58" s="113">
        <f t="shared" si="0"/>
        <v>2.3942122858950921E-3</v>
      </c>
      <c r="L58" s="114" t="str">
        <f t="shared" si="1"/>
        <v>Post to Default Outlet</v>
      </c>
      <c r="M58" s="115">
        <f t="shared" si="2"/>
        <v>2.3942122858950921E-3</v>
      </c>
      <c r="N58" s="115">
        <f t="shared" si="3"/>
        <v>0</v>
      </c>
      <c r="O58" s="116" t="s">
        <v>2761</v>
      </c>
      <c r="P58" s="117"/>
      <c r="Q58" s="118"/>
    </row>
    <row r="59" spans="1:17" ht="15" customHeight="1" x14ac:dyDescent="0.3">
      <c r="A59" s="60" t="s">
        <v>2807</v>
      </c>
      <c r="B59" s="97" t="s">
        <v>1975</v>
      </c>
      <c r="C59" s="63" t="s">
        <v>395</v>
      </c>
      <c r="D59" s="66" t="str">
        <f>IFERROR(INDEX(M_User!$A$12:$J$67,MATCH(C59,M_User!$D$12:$D$67,0),3),"UNMAPPED")</f>
        <v>Meshack  Jeremiah</v>
      </c>
      <c r="E59" s="65" t="str">
        <f>IFERROR(INDEX(M_User!$A$12:$J$67,MATCH(C59,M_User!$D$12:$D$67,0),5),"UNMAPPED")</f>
        <v>MOS</v>
      </c>
      <c r="F59" s="63" t="s">
        <v>196</v>
      </c>
      <c r="G59" s="66" t="str">
        <f>IFERROR(INDEX(M_SKU!$A$18:$J$57,MATCH(F59,M_SKU!$B$18:$B$57,0),1),"UNKNOWN SKU")</f>
        <v>Krest Bitter Lemon RGB 300ml</v>
      </c>
      <c r="H59" s="63" t="s">
        <v>538</v>
      </c>
      <c r="I59" s="98">
        <f>IFERROR(INDEX(T_Unload!$K$10:$K$433,MATCH(B59,T_Unload!$B$10:$B$433,0)),0)</f>
        <v>0.23263027590489593</v>
      </c>
      <c r="J59" s="111">
        <v>0.23</v>
      </c>
      <c r="K59" s="99">
        <f t="shared" si="0"/>
        <v>2.6302759048959234E-3</v>
      </c>
      <c r="L59" s="105" t="str">
        <f t="shared" si="1"/>
        <v>Post to Default Outlet</v>
      </c>
      <c r="M59" s="90">
        <f t="shared" si="2"/>
        <v>2.6302759048959234E-3</v>
      </c>
      <c r="N59" s="90">
        <f t="shared" si="3"/>
        <v>0</v>
      </c>
      <c r="O59" s="68" t="s">
        <v>2761</v>
      </c>
      <c r="P59" s="63"/>
      <c r="Q59" s="62"/>
    </row>
    <row r="60" spans="1:17" ht="15" customHeight="1" x14ac:dyDescent="0.3">
      <c r="A60" s="70" t="s">
        <v>2808</v>
      </c>
      <c r="B60" s="112" t="s">
        <v>1977</v>
      </c>
      <c r="C60" s="101" t="s">
        <v>395</v>
      </c>
      <c r="D60" s="76" t="str">
        <f>IFERROR(INDEX(M_User!$A$12:$J$67,MATCH(C60,M_User!$D$12:$D$67,0),3),"UNMAPPED")</f>
        <v>Meshack  Jeremiah</v>
      </c>
      <c r="E60" s="75" t="str">
        <f>IFERROR(INDEX(M_User!$A$12:$J$67,MATCH(C60,M_User!$D$12:$D$67,0),5),"UNMAPPED")</f>
        <v>MOS</v>
      </c>
      <c r="F60" s="101" t="s">
        <v>199</v>
      </c>
      <c r="G60" s="76" t="str">
        <f>IFERROR(INDEX(M_SKU!$A$18:$J$57,MATCH(F60,M_SKU!$B$18:$B$57,0),1),"UNKNOWN SKU")</f>
        <v>Krest Club Soda RGB 300ml</v>
      </c>
      <c r="H60" s="101" t="s">
        <v>539</v>
      </c>
      <c r="I60" s="102">
        <f>IFERROR(INDEX(T_Unload!$K$10:$K$433,MATCH(B60,T_Unload!$B$10:$B$433,0)),0)</f>
        <v>0.20663778572245106</v>
      </c>
      <c r="J60" s="111">
        <v>0.21</v>
      </c>
      <c r="K60" s="113">
        <f t="shared" si="0"/>
        <v>-3.3622142775489305E-3</v>
      </c>
      <c r="L60" s="114" t="str">
        <f t="shared" si="1"/>
        <v>Adjust Unload Upward</v>
      </c>
      <c r="M60" s="115">
        <f t="shared" si="2"/>
        <v>0</v>
      </c>
      <c r="N60" s="115">
        <f t="shared" si="3"/>
        <v>3.3622142775489305E-3</v>
      </c>
      <c r="O60" s="116" t="s">
        <v>2761</v>
      </c>
      <c r="P60" s="117"/>
      <c r="Q60" s="118"/>
    </row>
    <row r="61" spans="1:17" ht="15" customHeight="1" x14ac:dyDescent="0.3">
      <c r="A61" s="60" t="s">
        <v>2809</v>
      </c>
      <c r="B61" s="97" t="s">
        <v>1979</v>
      </c>
      <c r="C61" s="63" t="s">
        <v>395</v>
      </c>
      <c r="D61" s="66" t="str">
        <f>IFERROR(INDEX(M_User!$A$12:$J$67,MATCH(C61,M_User!$D$12:$D$67,0),3),"UNMAPPED")</f>
        <v>Meshack  Jeremiah</v>
      </c>
      <c r="E61" s="65" t="str">
        <f>IFERROR(INDEX(M_User!$A$12:$J$67,MATCH(C61,M_User!$D$12:$D$67,0),5),"UNMAPPED")</f>
        <v>MOS</v>
      </c>
      <c r="F61" s="63" t="s">
        <v>201</v>
      </c>
      <c r="G61" s="66" t="str">
        <f>IFERROR(INDEX(M_SKU!$A$18:$J$57,MATCH(F61,M_SKU!$B$18:$B$57,0),1),"UNKNOWN SKU")</f>
        <v>Krest Tonic Water RGB 300ml</v>
      </c>
      <c r="H61" s="63" t="s">
        <v>540</v>
      </c>
      <c r="I61" s="98">
        <f>IFERROR(INDEX(T_Unload!$K$10:$K$433,MATCH(B61,T_Unload!$B$10:$B$433,0)),0)</f>
        <v>0.44739902590846103</v>
      </c>
      <c r="J61" s="111">
        <v>0.45</v>
      </c>
      <c r="K61" s="99">
        <f t="shared" si="0"/>
        <v>-2.6009740915389767E-3</v>
      </c>
      <c r="L61" s="105" t="str">
        <f t="shared" si="1"/>
        <v>Adjust Unload Upward</v>
      </c>
      <c r="M61" s="90">
        <f t="shared" si="2"/>
        <v>0</v>
      </c>
      <c r="N61" s="90">
        <f t="shared" si="3"/>
        <v>2.6009740915389767E-3</v>
      </c>
      <c r="O61" s="68" t="s">
        <v>2761</v>
      </c>
      <c r="P61" s="63"/>
      <c r="Q61" s="62"/>
    </row>
    <row r="62" spans="1:17" ht="15" customHeight="1" x14ac:dyDescent="0.3">
      <c r="A62" s="70" t="s">
        <v>2810</v>
      </c>
      <c r="B62" s="112" t="s">
        <v>1981</v>
      </c>
      <c r="C62" s="101" t="s">
        <v>395</v>
      </c>
      <c r="D62" s="76" t="str">
        <f>IFERROR(INDEX(M_User!$A$12:$J$67,MATCH(C62,M_User!$D$12:$D$67,0),3),"UNMAPPED")</f>
        <v>Meshack  Jeremiah</v>
      </c>
      <c r="E62" s="75" t="str">
        <f>IFERROR(INDEX(M_User!$A$12:$J$67,MATCH(C62,M_User!$D$12:$D$67,0),5),"UNMAPPED")</f>
        <v>MOS</v>
      </c>
      <c r="F62" s="101" t="s">
        <v>203</v>
      </c>
      <c r="G62" s="76" t="str">
        <f>IFERROR(INDEX(M_SKU!$A$18:$J$57,MATCH(F62,M_SKU!$B$18:$B$57,0),1),"UNKNOWN SKU")</f>
        <v>Krest Ginger Ale RGB 300ml</v>
      </c>
      <c r="H62" s="101" t="s">
        <v>541</v>
      </c>
      <c r="I62" s="102">
        <f>IFERROR(INDEX(T_Unload!$K$10:$K$433,MATCH(B62,T_Unload!$B$10:$B$433,0)),0)</f>
        <v>0.23533385279526597</v>
      </c>
      <c r="J62" s="111">
        <v>0.24</v>
      </c>
      <c r="K62" s="113">
        <f t="shared" si="0"/>
        <v>-4.6661472047340169E-3</v>
      </c>
      <c r="L62" s="114" t="str">
        <f t="shared" si="1"/>
        <v>Adjust Unload Upward</v>
      </c>
      <c r="M62" s="115">
        <f t="shared" si="2"/>
        <v>0</v>
      </c>
      <c r="N62" s="115">
        <f t="shared" si="3"/>
        <v>4.6661472047340169E-3</v>
      </c>
      <c r="O62" s="116" t="s">
        <v>2761</v>
      </c>
      <c r="P62" s="117"/>
      <c r="Q62" s="118"/>
    </row>
    <row r="63" spans="1:17" ht="15" customHeight="1" x14ac:dyDescent="0.3">
      <c r="A63" s="60" t="s">
        <v>2811</v>
      </c>
      <c r="B63" s="97" t="s">
        <v>1983</v>
      </c>
      <c r="C63" s="63" t="s">
        <v>395</v>
      </c>
      <c r="D63" s="66" t="str">
        <f>IFERROR(INDEX(M_User!$A$12:$J$67,MATCH(C63,M_User!$D$12:$D$67,0),3),"UNMAPPED")</f>
        <v>Meshack  Jeremiah</v>
      </c>
      <c r="E63" s="65" t="str">
        <f>IFERROR(INDEX(M_User!$A$12:$J$67,MATCH(C63,M_User!$D$12:$D$67,0),5),"UNMAPPED")</f>
        <v>MOS</v>
      </c>
      <c r="F63" s="63" t="s">
        <v>209</v>
      </c>
      <c r="G63" s="66" t="str">
        <f>IFERROR(INDEX(M_SKU!$A$18:$J$57,MATCH(F63,M_SKU!$B$18:$B$57,0),1),"UNKNOWN SKU")</f>
        <v>Sparletta Red Apple RGB 350ml</v>
      </c>
      <c r="H63" s="63" t="s">
        <v>542</v>
      </c>
      <c r="I63" s="98">
        <f>IFERROR(INDEX(T_Unload!$K$10:$K$433,MATCH(B63,T_Unload!$B$10:$B$433,0)),0)</f>
        <v>0.34047773802358083</v>
      </c>
      <c r="J63" s="111">
        <v>0.34</v>
      </c>
      <c r="K63" s="99">
        <f t="shared" si="0"/>
        <v>4.777380235808093E-4</v>
      </c>
      <c r="L63" s="105" t="str">
        <f t="shared" si="1"/>
        <v>Post to Default Outlet</v>
      </c>
      <c r="M63" s="90">
        <f t="shared" si="2"/>
        <v>4.777380235808093E-4</v>
      </c>
      <c r="N63" s="90">
        <f t="shared" si="3"/>
        <v>0</v>
      </c>
      <c r="O63" s="68" t="s">
        <v>2761</v>
      </c>
      <c r="P63" s="63"/>
      <c r="Q63" s="62"/>
    </row>
    <row r="64" spans="1:17" ht="15" customHeight="1" x14ac:dyDescent="0.3">
      <c r="A64" s="70" t="s">
        <v>2812</v>
      </c>
      <c r="B64" s="112" t="s">
        <v>1985</v>
      </c>
      <c r="C64" s="101" t="s">
        <v>395</v>
      </c>
      <c r="D64" s="76" t="str">
        <f>IFERROR(INDEX(M_User!$A$12:$J$67,MATCH(C64,M_User!$D$12:$D$67,0),3),"UNMAPPED")</f>
        <v>Meshack  Jeremiah</v>
      </c>
      <c r="E64" s="75" t="str">
        <f>IFERROR(INDEX(M_User!$A$12:$J$67,MATCH(C64,M_User!$D$12:$D$67,0),5),"UNMAPPED")</f>
        <v>MOS</v>
      </c>
      <c r="F64" s="101" t="s">
        <v>211</v>
      </c>
      <c r="G64" s="76" t="str">
        <f>IFERROR(INDEX(M_SKU!$A$18:$J$57,MATCH(F64,M_SKU!$B$18:$B$57,0),1),"UNKNOWN SKU")</f>
        <v>KNMW 500ml</v>
      </c>
      <c r="H64" s="101" t="s">
        <v>543</v>
      </c>
      <c r="I64" s="102">
        <f>IFERROR(INDEX(T_Unload!$K$10:$K$433,MATCH(B64,T_Unload!$B$10:$B$433,0)),0)</f>
        <v>6</v>
      </c>
      <c r="J64" s="111">
        <v>6</v>
      </c>
      <c r="K64" s="113">
        <f t="shared" si="0"/>
        <v>0</v>
      </c>
      <c r="L64" s="114" t="str">
        <f t="shared" si="1"/>
        <v>CLEAN</v>
      </c>
      <c r="M64" s="115">
        <f t="shared" si="2"/>
        <v>0</v>
      </c>
      <c r="N64" s="115">
        <f t="shared" si="3"/>
        <v>0</v>
      </c>
      <c r="O64" s="116" t="s">
        <v>2761</v>
      </c>
      <c r="P64" s="117"/>
      <c r="Q64" s="118"/>
    </row>
    <row r="65" spans="1:17" ht="15" customHeight="1" x14ac:dyDescent="0.3">
      <c r="A65" s="60" t="s">
        <v>2813</v>
      </c>
      <c r="B65" s="97" t="s">
        <v>1987</v>
      </c>
      <c r="C65" s="63" t="s">
        <v>395</v>
      </c>
      <c r="D65" s="66" t="str">
        <f>IFERROR(INDEX(M_User!$A$12:$J$67,MATCH(C65,M_User!$D$12:$D$67,0),3),"UNMAPPED")</f>
        <v>Meshack  Jeremiah</v>
      </c>
      <c r="E65" s="65" t="str">
        <f>IFERROR(INDEX(M_User!$A$12:$J$67,MATCH(C65,M_User!$D$12:$D$67,0),5),"UNMAPPED")</f>
        <v>MOS</v>
      </c>
      <c r="F65" s="63" t="s">
        <v>217</v>
      </c>
      <c r="G65" s="66" t="str">
        <f>IFERROR(INDEX(M_SKU!$A$18:$J$57,MATCH(F65,M_SKU!$B$18:$B$57,0),1),"UNKNOWN SKU")</f>
        <v>KNMW 1500ml</v>
      </c>
      <c r="H65" s="63" t="s">
        <v>551</v>
      </c>
      <c r="I65" s="98">
        <f>IFERROR(INDEX(T_Unload!$K$10:$K$433,MATCH(B65,T_Unload!$B$10:$B$433,0)),0)</f>
        <v>19</v>
      </c>
      <c r="J65" s="111">
        <v>19</v>
      </c>
      <c r="K65" s="99">
        <f t="shared" si="0"/>
        <v>0</v>
      </c>
      <c r="L65" s="105" t="str">
        <f t="shared" si="1"/>
        <v>CLEAN</v>
      </c>
      <c r="M65" s="90">
        <f t="shared" si="2"/>
        <v>0</v>
      </c>
      <c r="N65" s="90">
        <f t="shared" si="3"/>
        <v>0</v>
      </c>
      <c r="O65" s="68" t="s">
        <v>2761</v>
      </c>
      <c r="P65" s="63"/>
      <c r="Q65" s="62"/>
    </row>
    <row r="66" spans="1:17" ht="15" customHeight="1" x14ac:dyDescent="0.3">
      <c r="A66" s="70" t="s">
        <v>2814</v>
      </c>
      <c r="B66" s="112" t="s">
        <v>1989</v>
      </c>
      <c r="C66" s="101" t="s">
        <v>395</v>
      </c>
      <c r="D66" s="76" t="str">
        <f>IFERROR(INDEX(M_User!$A$12:$J$67,MATCH(C66,M_User!$D$12:$D$67,0),3),"UNMAPPED")</f>
        <v>Meshack  Jeremiah</v>
      </c>
      <c r="E66" s="75" t="str">
        <f>IFERROR(INDEX(M_User!$A$12:$J$67,MATCH(C66,M_User!$D$12:$D$67,0),5),"UNMAPPED")</f>
        <v>MOS</v>
      </c>
      <c r="F66" s="101" t="s">
        <v>229</v>
      </c>
      <c r="G66" s="76" t="str">
        <f>IFERROR(INDEX(M_SKU!$A$18:$J$57,MATCH(F66,M_SKU!$B$18:$B$57,0),1),"UNKNOWN SKU")</f>
        <v>Coke Pet 500ML ( x12)</v>
      </c>
      <c r="H66" s="101" t="s">
        <v>520</v>
      </c>
      <c r="I66" s="102">
        <f>IFERROR(INDEX(T_Unload!$K$10:$K$433,MATCH(B66,T_Unload!$B$10:$B$433,0)),0)</f>
        <v>8</v>
      </c>
      <c r="J66" s="111">
        <v>8</v>
      </c>
      <c r="K66" s="113">
        <f t="shared" si="0"/>
        <v>0</v>
      </c>
      <c r="L66" s="114" t="str">
        <f t="shared" si="1"/>
        <v>CLEAN</v>
      </c>
      <c r="M66" s="115">
        <f t="shared" si="2"/>
        <v>0</v>
      </c>
      <c r="N66" s="115">
        <f t="shared" si="3"/>
        <v>0</v>
      </c>
      <c r="O66" s="116" t="s">
        <v>2761</v>
      </c>
      <c r="P66" s="117"/>
      <c r="Q66" s="118"/>
    </row>
    <row r="67" spans="1:17" ht="15" customHeight="1" x14ac:dyDescent="0.3">
      <c r="A67" s="60" t="s">
        <v>2815</v>
      </c>
      <c r="B67" s="97" t="s">
        <v>1991</v>
      </c>
      <c r="C67" s="63" t="s">
        <v>395</v>
      </c>
      <c r="D67" s="66" t="str">
        <f>IFERROR(INDEX(M_User!$A$12:$J$67,MATCH(C67,M_User!$D$12:$D$67,0),3),"UNMAPPED")</f>
        <v>Meshack  Jeremiah</v>
      </c>
      <c r="E67" s="65" t="str">
        <f>IFERROR(INDEX(M_User!$A$12:$J$67,MATCH(C67,M_User!$D$12:$D$67,0),5),"UNMAPPED")</f>
        <v>MOS</v>
      </c>
      <c r="F67" s="63" t="s">
        <v>232</v>
      </c>
      <c r="G67" s="66" t="str">
        <f>IFERROR(INDEX(M_SKU!$A$18:$J$57,MATCH(F67,M_SKU!$B$18:$B$57,0),1),"UNKNOWN SKU")</f>
        <v>Sprite Pet 500ML (x 12)</v>
      </c>
      <c r="H67" s="63" t="s">
        <v>522</v>
      </c>
      <c r="I67" s="98">
        <f>IFERROR(INDEX(T_Unload!$K$10:$K$433,MATCH(B67,T_Unload!$B$10:$B$433,0)),0)</f>
        <v>1</v>
      </c>
      <c r="J67" s="111">
        <v>1</v>
      </c>
      <c r="K67" s="99">
        <f t="shared" si="0"/>
        <v>0</v>
      </c>
      <c r="L67" s="105" t="str">
        <f t="shared" si="1"/>
        <v>CLEAN</v>
      </c>
      <c r="M67" s="90">
        <f t="shared" si="2"/>
        <v>0</v>
      </c>
      <c r="N67" s="90">
        <f t="shared" si="3"/>
        <v>0</v>
      </c>
      <c r="O67" s="68" t="s">
        <v>2761</v>
      </c>
      <c r="P67" s="63"/>
      <c r="Q67" s="62"/>
    </row>
    <row r="68" spans="1:17" ht="15" customHeight="1" x14ac:dyDescent="0.3">
      <c r="A68" s="70" t="s">
        <v>2816</v>
      </c>
      <c r="B68" s="112" t="s">
        <v>1993</v>
      </c>
      <c r="C68" s="101" t="s">
        <v>395</v>
      </c>
      <c r="D68" s="76" t="str">
        <f>IFERROR(INDEX(M_User!$A$12:$J$67,MATCH(C68,M_User!$D$12:$D$67,0),3),"UNMAPPED")</f>
        <v>Meshack  Jeremiah</v>
      </c>
      <c r="E68" s="75" t="str">
        <f>IFERROR(INDEX(M_User!$A$12:$J$67,MATCH(C68,M_User!$D$12:$D$67,0),5),"UNMAPPED")</f>
        <v>MOS</v>
      </c>
      <c r="F68" s="101" t="s">
        <v>234</v>
      </c>
      <c r="G68" s="76" t="str">
        <f>IFERROR(INDEX(M_SKU!$A$18:$J$57,MATCH(F68,M_SKU!$B$18:$B$57,0),1),"UNKNOWN SKU")</f>
        <v>Fanta Orange Pet 500ML ( x 12)</v>
      </c>
      <c r="H68" s="101" t="s">
        <v>523</v>
      </c>
      <c r="I68" s="102">
        <f>IFERROR(INDEX(T_Unload!$K$10:$K$433,MATCH(B68,T_Unload!$B$10:$B$433,0)),0)</f>
        <v>5</v>
      </c>
      <c r="J68" s="111">
        <v>5</v>
      </c>
      <c r="K68" s="113">
        <f t="shared" si="0"/>
        <v>0</v>
      </c>
      <c r="L68" s="114" t="str">
        <f t="shared" si="1"/>
        <v>CLEAN</v>
      </c>
      <c r="M68" s="115">
        <f t="shared" si="2"/>
        <v>0</v>
      </c>
      <c r="N68" s="115">
        <f t="shared" si="3"/>
        <v>0</v>
      </c>
      <c r="O68" s="116" t="s">
        <v>2761</v>
      </c>
      <c r="P68" s="117"/>
      <c r="Q68" s="118"/>
    </row>
    <row r="69" spans="1:17" ht="15" customHeight="1" x14ac:dyDescent="0.3">
      <c r="A69" s="60" t="s">
        <v>2817</v>
      </c>
      <c r="B69" s="97" t="s">
        <v>1995</v>
      </c>
      <c r="C69" s="63" t="s">
        <v>395</v>
      </c>
      <c r="D69" s="66" t="str">
        <f>IFERROR(INDEX(M_User!$A$12:$J$67,MATCH(C69,M_User!$D$12:$D$67,0),3),"UNMAPPED")</f>
        <v>Meshack  Jeremiah</v>
      </c>
      <c r="E69" s="65" t="str">
        <f>IFERROR(INDEX(M_User!$A$12:$J$67,MATCH(C69,M_User!$D$12:$D$67,0),5),"UNMAPPED")</f>
        <v>MOS</v>
      </c>
      <c r="F69" s="63" t="s">
        <v>236</v>
      </c>
      <c r="G69" s="66" t="str">
        <f>IFERROR(INDEX(M_SKU!$A$18:$J$57,MATCH(F69,M_SKU!$B$18:$B$57,0),1),"UNKNOWN SKU")</f>
        <v>Fanta Passion Pet 500ML ( x12)</v>
      </c>
      <c r="H69" s="63" t="s">
        <v>524</v>
      </c>
      <c r="I69" s="98">
        <f>IFERROR(INDEX(T_Unload!$K$10:$K$433,MATCH(B69,T_Unload!$B$10:$B$433,0)),0)</f>
        <v>2</v>
      </c>
      <c r="J69" s="111">
        <v>2</v>
      </c>
      <c r="K69" s="99">
        <f t="shared" si="0"/>
        <v>0</v>
      </c>
      <c r="L69" s="105" t="str">
        <f t="shared" si="1"/>
        <v>CLEAN</v>
      </c>
      <c r="M69" s="90">
        <f t="shared" si="2"/>
        <v>0</v>
      </c>
      <c r="N69" s="90">
        <f t="shared" si="3"/>
        <v>0</v>
      </c>
      <c r="O69" s="68" t="s">
        <v>2761</v>
      </c>
      <c r="P69" s="63"/>
      <c r="Q69" s="62"/>
    </row>
    <row r="70" spans="1:17" ht="15" customHeight="1" x14ac:dyDescent="0.3">
      <c r="A70" s="70" t="s">
        <v>2818</v>
      </c>
      <c r="B70" s="112" t="s">
        <v>1997</v>
      </c>
      <c r="C70" s="101" t="s">
        <v>395</v>
      </c>
      <c r="D70" s="76" t="str">
        <f>IFERROR(INDEX(M_User!$A$12:$J$67,MATCH(C70,M_User!$D$12:$D$67,0),3),"UNMAPPED")</f>
        <v>Meshack  Jeremiah</v>
      </c>
      <c r="E70" s="75" t="str">
        <f>IFERROR(INDEX(M_User!$A$12:$J$67,MATCH(C70,M_User!$D$12:$D$67,0),5),"UNMAPPED")</f>
        <v>MOS</v>
      </c>
      <c r="F70" s="101" t="s">
        <v>242</v>
      </c>
      <c r="G70" s="76" t="str">
        <f>IFERROR(INDEX(M_SKU!$A$18:$J$57,MATCH(F70,M_SKU!$B$18:$B$57,0),1),"UNKNOWN SKU")</f>
        <v>Stoney Tangawizi Pet 500 ml ( x12)</v>
      </c>
      <c r="H70" s="101" t="s">
        <v>525</v>
      </c>
      <c r="I70" s="102">
        <f>IFERROR(INDEX(T_Unload!$K$10:$K$433,MATCH(B70,T_Unload!$B$10:$B$433,0)),0)</f>
        <v>1</v>
      </c>
      <c r="J70" s="111">
        <v>1</v>
      </c>
      <c r="K70" s="113">
        <f t="shared" si="0"/>
        <v>0</v>
      </c>
      <c r="L70" s="114" t="str">
        <f t="shared" si="1"/>
        <v>CLEAN</v>
      </c>
      <c r="M70" s="115">
        <f t="shared" si="2"/>
        <v>0</v>
      </c>
      <c r="N70" s="115">
        <f t="shared" si="3"/>
        <v>0</v>
      </c>
      <c r="O70" s="116" t="s">
        <v>2761</v>
      </c>
      <c r="P70" s="117"/>
      <c r="Q70" s="118"/>
    </row>
    <row r="71" spans="1:17" ht="15" customHeight="1" x14ac:dyDescent="0.3">
      <c r="A71" s="60" t="s">
        <v>2819</v>
      </c>
      <c r="B71" s="97" t="s">
        <v>1999</v>
      </c>
      <c r="C71" s="63" t="s">
        <v>395</v>
      </c>
      <c r="D71" s="66" t="str">
        <f>IFERROR(INDEX(M_User!$A$12:$J$67,MATCH(C71,M_User!$D$12:$D$67,0),3),"UNMAPPED")</f>
        <v>Meshack  Jeremiah</v>
      </c>
      <c r="E71" s="65" t="str">
        <f>IFERROR(INDEX(M_User!$A$12:$J$67,MATCH(C71,M_User!$D$12:$D$67,0),5),"UNMAPPED")</f>
        <v>MOS</v>
      </c>
      <c r="F71" s="63" t="s">
        <v>244</v>
      </c>
      <c r="G71" s="66" t="str">
        <f>IFERROR(INDEX(M_SKU!$A$18:$J$57,MATCH(F71,M_SKU!$B$18:$B$57,0),1),"UNKNOWN SKU")</f>
        <v>Sparletta Pinenut Pet 500 ml ( x12)</v>
      </c>
      <c r="H71" s="63" t="s">
        <v>526</v>
      </c>
      <c r="I71" s="98">
        <f>IFERROR(INDEX(T_Unload!$K$10:$K$433,MATCH(B71,T_Unload!$B$10:$B$433,0)),0)</f>
        <v>0</v>
      </c>
      <c r="J71" s="111">
        <v>0</v>
      </c>
      <c r="K71" s="99">
        <f t="shared" si="0"/>
        <v>0</v>
      </c>
      <c r="L71" s="105" t="str">
        <f t="shared" si="1"/>
        <v>CLEAN</v>
      </c>
      <c r="M71" s="90">
        <f t="shared" si="2"/>
        <v>0</v>
      </c>
      <c r="N71" s="90">
        <f t="shared" si="3"/>
        <v>0</v>
      </c>
      <c r="O71" s="68" t="s">
        <v>2761</v>
      </c>
      <c r="P71" s="63"/>
      <c r="Q71" s="62"/>
    </row>
    <row r="72" spans="1:17" ht="15" customHeight="1" x14ac:dyDescent="0.3">
      <c r="A72" s="70" t="s">
        <v>2820</v>
      </c>
      <c r="B72" s="112" t="s">
        <v>2001</v>
      </c>
      <c r="C72" s="101" t="s">
        <v>395</v>
      </c>
      <c r="D72" s="76" t="str">
        <f>IFERROR(INDEX(M_User!$A$12:$J$67,MATCH(C72,M_User!$D$12:$D$67,0),3),"UNMAPPED")</f>
        <v>Meshack  Jeremiah</v>
      </c>
      <c r="E72" s="75" t="str">
        <f>IFERROR(INDEX(M_User!$A$12:$J$67,MATCH(C72,M_User!$D$12:$D$67,0),5),"UNMAPPED")</f>
        <v>MOS</v>
      </c>
      <c r="F72" s="101" t="s">
        <v>252</v>
      </c>
      <c r="G72" s="76" t="str">
        <f>IFERROR(INDEX(M_SKU!$A$18:$J$57,MATCH(F72,M_SKU!$B$18:$B$57,0),1),"UNKNOWN SKU")</f>
        <v>Sprite Zero Pet 300ML (x 12)</v>
      </c>
      <c r="H72" s="101" t="s">
        <v>545</v>
      </c>
      <c r="I72" s="102">
        <f>IFERROR(INDEX(T_Unload!$K$10:$K$433,MATCH(B72,T_Unload!$B$10:$B$433,0)),0)</f>
        <v>1</v>
      </c>
      <c r="J72" s="111">
        <v>1</v>
      </c>
      <c r="K72" s="113">
        <f t="shared" si="0"/>
        <v>0</v>
      </c>
      <c r="L72" s="114" t="str">
        <f t="shared" si="1"/>
        <v>CLEAN</v>
      </c>
      <c r="M72" s="115">
        <f t="shared" si="2"/>
        <v>0</v>
      </c>
      <c r="N72" s="115">
        <f t="shared" si="3"/>
        <v>0</v>
      </c>
      <c r="O72" s="116" t="s">
        <v>2761</v>
      </c>
      <c r="P72" s="117"/>
      <c r="Q72" s="118"/>
    </row>
    <row r="73" spans="1:17" ht="15" customHeight="1" x14ac:dyDescent="0.3">
      <c r="A73" s="60" t="s">
        <v>2821</v>
      </c>
      <c r="B73" s="97" t="s">
        <v>2003</v>
      </c>
      <c r="C73" s="63" t="s">
        <v>395</v>
      </c>
      <c r="D73" s="66" t="str">
        <f>IFERROR(INDEX(M_User!$A$12:$J$67,MATCH(C73,M_User!$D$12:$D$67,0),3),"UNMAPPED")</f>
        <v>Meshack  Jeremiah</v>
      </c>
      <c r="E73" s="65" t="str">
        <f>IFERROR(INDEX(M_User!$A$12:$J$67,MATCH(C73,M_User!$D$12:$D$67,0),5),"UNMAPPED")</f>
        <v>MOS</v>
      </c>
      <c r="F73" s="63" t="s">
        <v>254</v>
      </c>
      <c r="G73" s="66" t="str">
        <f>IFERROR(INDEX(M_SKU!$A$18:$J$57,MATCH(F73,M_SKU!$B$18:$B$57,0),1),"UNKNOWN SKU")</f>
        <v>Fanta Zero Pet 300ML (x 12)</v>
      </c>
      <c r="H73" s="63" t="s">
        <v>546</v>
      </c>
      <c r="I73" s="98">
        <f>IFERROR(INDEX(T_Unload!$K$10:$K$433,MATCH(B73,T_Unload!$B$10:$B$433,0)),0)</f>
        <v>1</v>
      </c>
      <c r="J73" s="111">
        <v>1</v>
      </c>
      <c r="K73" s="99">
        <f t="shared" si="0"/>
        <v>0</v>
      </c>
      <c r="L73" s="105" t="str">
        <f t="shared" si="1"/>
        <v>CLEAN</v>
      </c>
      <c r="M73" s="90">
        <f t="shared" si="2"/>
        <v>0</v>
      </c>
      <c r="N73" s="90">
        <f t="shared" si="3"/>
        <v>0</v>
      </c>
      <c r="O73" s="68" t="s">
        <v>2761</v>
      </c>
      <c r="P73" s="63"/>
      <c r="Q73" s="62"/>
    </row>
    <row r="74" spans="1:17" ht="15" customHeight="1" x14ac:dyDescent="0.3">
      <c r="A74" s="70" t="s">
        <v>2822</v>
      </c>
      <c r="B74" s="112" t="s">
        <v>2005</v>
      </c>
      <c r="C74" s="101" t="s">
        <v>395</v>
      </c>
      <c r="D74" s="76" t="str">
        <f>IFERROR(INDEX(M_User!$A$12:$J$67,MATCH(C74,M_User!$D$12:$D$67,0),3),"UNMAPPED")</f>
        <v>Meshack  Jeremiah</v>
      </c>
      <c r="E74" s="75" t="str">
        <f>IFERROR(INDEX(M_User!$A$12:$J$67,MATCH(C74,M_User!$D$12:$D$67,0),5),"UNMAPPED")</f>
        <v>MOS</v>
      </c>
      <c r="F74" s="101" t="s">
        <v>261</v>
      </c>
      <c r="G74" s="76" t="str">
        <f>IFERROR(INDEX(M_SKU!$A$18:$J$57,MATCH(F74,M_SKU!$B$18:$B$57,0),1),"UNKNOWN SKU")</f>
        <v>Sparletta Pine Apple Pet 300ML (x 12)</v>
      </c>
      <c r="H74" s="101" t="s">
        <v>547</v>
      </c>
      <c r="I74" s="102">
        <f>IFERROR(INDEX(T_Unload!$K$10:$K$433,MATCH(B74,T_Unload!$B$10:$B$433,0)),0)</f>
        <v>1</v>
      </c>
      <c r="J74" s="111">
        <v>1</v>
      </c>
      <c r="K74" s="113">
        <f t="shared" si="0"/>
        <v>0</v>
      </c>
      <c r="L74" s="114" t="str">
        <f t="shared" si="1"/>
        <v>CLEAN</v>
      </c>
      <c r="M74" s="115">
        <f t="shared" si="2"/>
        <v>0</v>
      </c>
      <c r="N74" s="115">
        <f t="shared" si="3"/>
        <v>0</v>
      </c>
      <c r="O74" s="116" t="s">
        <v>2761</v>
      </c>
      <c r="P74" s="117"/>
      <c r="Q74" s="118"/>
    </row>
    <row r="75" spans="1:17" ht="15" customHeight="1" x14ac:dyDescent="0.3">
      <c r="A75" s="60" t="s">
        <v>2823</v>
      </c>
      <c r="B75" s="97" t="s">
        <v>2007</v>
      </c>
      <c r="C75" s="63" t="s">
        <v>376</v>
      </c>
      <c r="D75" s="66" t="str">
        <f>IFERROR(INDEX(M_User!$A$12:$J$67,MATCH(C75,M_User!$D$12:$D$67,0),3),"UNMAPPED")</f>
        <v>Zefania Julius Ngoma</v>
      </c>
      <c r="E75" s="65" t="str">
        <f>IFERROR(INDEX(M_User!$A$12:$J$67,MATCH(C75,M_User!$D$12:$D$67,0),5),"UNMAPPED")</f>
        <v>MOS</v>
      </c>
      <c r="F75" s="63" t="s">
        <v>170</v>
      </c>
      <c r="G75" s="66" t="str">
        <f>IFERROR(INDEX(M_SKU!$A$18:$J$57,MATCH(F75,M_SKU!$B$18:$B$57,0),1),"UNKNOWN SKU")</f>
        <v>Coke RGB 350ml</v>
      </c>
      <c r="H75" s="63" t="s">
        <v>530</v>
      </c>
      <c r="I75" s="98">
        <f>IFERROR(INDEX(T_Unload!$K$10:$K$433,MATCH(B75,T_Unload!$B$10:$B$433,0)),0)</f>
        <v>4.6269772791369945</v>
      </c>
      <c r="J75" s="111">
        <v>4.63</v>
      </c>
      <c r="K75" s="99">
        <f t="shared" si="0"/>
        <v>-3.0227208630053681E-3</v>
      </c>
      <c r="L75" s="105" t="str">
        <f t="shared" si="1"/>
        <v>Adjust Unload Upward</v>
      </c>
      <c r="M75" s="90">
        <f t="shared" si="2"/>
        <v>0</v>
      </c>
      <c r="N75" s="90">
        <f t="shared" si="3"/>
        <v>3.0227208630053681E-3</v>
      </c>
      <c r="O75" s="68" t="s">
        <v>2761</v>
      </c>
      <c r="P75" s="63"/>
      <c r="Q75" s="62"/>
    </row>
    <row r="76" spans="1:17" ht="15" customHeight="1" x14ac:dyDescent="0.3">
      <c r="A76" s="70" t="s">
        <v>2824</v>
      </c>
      <c r="B76" s="112" t="s">
        <v>2009</v>
      </c>
      <c r="C76" s="101" t="s">
        <v>376</v>
      </c>
      <c r="D76" s="76" t="str">
        <f>IFERROR(INDEX(M_User!$A$12:$J$67,MATCH(C76,M_User!$D$12:$D$67,0),3),"UNMAPPED")</f>
        <v>Zefania Julius Ngoma</v>
      </c>
      <c r="E76" s="75" t="str">
        <f>IFERROR(INDEX(M_User!$A$12:$J$67,MATCH(C76,M_User!$D$12:$D$67,0),5),"UNMAPPED")</f>
        <v>MOS</v>
      </c>
      <c r="F76" s="101" t="s">
        <v>178</v>
      </c>
      <c r="G76" s="76" t="str">
        <f>IFERROR(INDEX(M_SKU!$A$18:$J$57,MATCH(F76,M_SKU!$B$18:$B$57,0),1),"UNKNOWN SKU")</f>
        <v>Fanta Orange RGB 350ml</v>
      </c>
      <c r="H76" s="101" t="s">
        <v>531</v>
      </c>
      <c r="I76" s="102">
        <f>IFERROR(INDEX(T_Unload!$K$10:$K$433,MATCH(B76,T_Unload!$B$10:$B$433,0)),0)</f>
        <v>1.4651407136145504</v>
      </c>
      <c r="J76" s="111">
        <v>1.47</v>
      </c>
      <c r="K76" s="113">
        <f t="shared" si="0"/>
        <v>-4.8592863854495238E-3</v>
      </c>
      <c r="L76" s="114" t="str">
        <f t="shared" si="1"/>
        <v>Adjust Unload Upward</v>
      </c>
      <c r="M76" s="115">
        <f t="shared" si="2"/>
        <v>0</v>
      </c>
      <c r="N76" s="115">
        <f t="shared" si="3"/>
        <v>4.8592863854495238E-3</v>
      </c>
      <c r="O76" s="116" t="s">
        <v>2761</v>
      </c>
      <c r="P76" s="117"/>
      <c r="Q76" s="118"/>
    </row>
    <row r="77" spans="1:17" ht="15" customHeight="1" x14ac:dyDescent="0.3">
      <c r="A77" s="60" t="s">
        <v>2825</v>
      </c>
      <c r="B77" s="97" t="s">
        <v>2011</v>
      </c>
      <c r="C77" s="63" t="s">
        <v>376</v>
      </c>
      <c r="D77" s="66" t="str">
        <f>IFERROR(INDEX(M_User!$A$12:$J$67,MATCH(C77,M_User!$D$12:$D$67,0),3),"UNMAPPED")</f>
        <v>Zefania Julius Ngoma</v>
      </c>
      <c r="E77" s="65" t="str">
        <f>IFERROR(INDEX(M_User!$A$12:$J$67,MATCH(C77,M_User!$D$12:$D$67,0),5),"UNMAPPED")</f>
        <v>MOS</v>
      </c>
      <c r="F77" s="63" t="s">
        <v>181</v>
      </c>
      <c r="G77" s="66" t="str">
        <f>IFERROR(INDEX(M_SKU!$A$18:$J$57,MATCH(F77,M_SKU!$B$18:$B$57,0),1),"UNKNOWN SKU")</f>
        <v>Fanta Passion RGB 350ml</v>
      </c>
      <c r="H77" s="63" t="s">
        <v>550</v>
      </c>
      <c r="I77" s="98">
        <f>IFERROR(INDEX(T_Unload!$K$10:$K$433,MATCH(B77,T_Unload!$B$10:$B$433,0)),0)</f>
        <v>1.0465054067095503</v>
      </c>
      <c r="J77" s="111">
        <v>1.05</v>
      </c>
      <c r="K77" s="99">
        <f t="shared" ref="K77:K140" si="4">IF(ISBLANK(J77),"",I77-J77)</f>
        <v>-3.4945932904497656E-3</v>
      </c>
      <c r="L77" s="105" t="str">
        <f t="shared" ref="L77:L140" si="5">IF(K77="","Awaiting Verification",IF(ABS(K77)&lt;0.0001,"CLEAN",IF(K77&gt;0,"Post to Default Outlet","Adjust Unload Upward")))</f>
        <v>Adjust Unload Upward</v>
      </c>
      <c r="M77" s="90">
        <f t="shared" ref="M77:M140" si="6">IF(AND(ISNUMBER(K77),K77&gt;0.0001),K77,0)</f>
        <v>0</v>
      </c>
      <c r="N77" s="90">
        <f t="shared" ref="N77:N140" si="7">IF(AND(ISNUMBER(K77),K77&lt;-0.0001),-K77,0)</f>
        <v>3.4945932904497656E-3</v>
      </c>
      <c r="O77" s="68" t="s">
        <v>2761</v>
      </c>
      <c r="P77" s="63"/>
      <c r="Q77" s="62"/>
    </row>
    <row r="78" spans="1:17" ht="15" customHeight="1" x14ac:dyDescent="0.3">
      <c r="A78" s="70" t="s">
        <v>2826</v>
      </c>
      <c r="B78" s="112" t="s">
        <v>2013</v>
      </c>
      <c r="C78" s="101" t="s">
        <v>376</v>
      </c>
      <c r="D78" s="76" t="str">
        <f>IFERROR(INDEX(M_User!$A$12:$J$67,MATCH(C78,M_User!$D$12:$D$67,0),3),"UNMAPPED")</f>
        <v>Zefania Julius Ngoma</v>
      </c>
      <c r="E78" s="75" t="str">
        <f>IFERROR(INDEX(M_User!$A$12:$J$67,MATCH(C78,M_User!$D$12:$D$67,0),5),"UNMAPPED")</f>
        <v>MOS</v>
      </c>
      <c r="F78" s="101" t="s">
        <v>183</v>
      </c>
      <c r="G78" s="76" t="str">
        <f>IFERROR(INDEX(M_SKU!$A$18:$J$57,MATCH(F78,M_SKU!$B$18:$B$57,0),1),"UNKNOWN SKU")</f>
        <v>Fanta Pineapple RGB 350ml</v>
      </c>
      <c r="H78" s="101" t="s">
        <v>533</v>
      </c>
      <c r="I78" s="102">
        <f>IFERROR(INDEX(T_Unload!$K$10:$K$433,MATCH(B78,T_Unload!$B$10:$B$433,0)),0)</f>
        <v>1.6031459237547914</v>
      </c>
      <c r="J78" s="111">
        <v>1.6</v>
      </c>
      <c r="K78" s="113">
        <f t="shared" si="4"/>
        <v>3.1459237547912799E-3</v>
      </c>
      <c r="L78" s="114" t="str">
        <f t="shared" si="5"/>
        <v>Post to Default Outlet</v>
      </c>
      <c r="M78" s="115">
        <f t="shared" si="6"/>
        <v>3.1459237547912799E-3</v>
      </c>
      <c r="N78" s="115">
        <f t="shared" si="7"/>
        <v>0</v>
      </c>
      <c r="O78" s="116" t="s">
        <v>2761</v>
      </c>
      <c r="P78" s="117"/>
      <c r="Q78" s="118"/>
    </row>
    <row r="79" spans="1:17" ht="15" customHeight="1" x14ac:dyDescent="0.3">
      <c r="A79" s="60" t="s">
        <v>2827</v>
      </c>
      <c r="B79" s="97" t="s">
        <v>2015</v>
      </c>
      <c r="C79" s="63" t="s">
        <v>376</v>
      </c>
      <c r="D79" s="66" t="str">
        <f>IFERROR(INDEX(M_User!$A$12:$J$67,MATCH(C79,M_User!$D$12:$D$67,0),3),"UNMAPPED")</f>
        <v>Zefania Julius Ngoma</v>
      </c>
      <c r="E79" s="65" t="str">
        <f>IFERROR(INDEX(M_User!$A$12:$J$67,MATCH(C79,M_User!$D$12:$D$67,0),5),"UNMAPPED")</f>
        <v>MOS</v>
      </c>
      <c r="F79" s="63" t="s">
        <v>185</v>
      </c>
      <c r="G79" s="66" t="str">
        <f>IFERROR(INDEX(M_SKU!$A$18:$J$57,MATCH(F79,M_SKU!$B$18:$B$57,0),1),"UNKNOWN SKU")</f>
        <v>Fanta Fruit Blast RGB 350 ml</v>
      </c>
      <c r="H79" s="63" t="s">
        <v>534</v>
      </c>
      <c r="I79" s="98">
        <f>IFERROR(INDEX(T_Unload!$K$10:$K$433,MATCH(B79,T_Unload!$B$10:$B$433,0)),0)</f>
        <v>0.52433526580482059</v>
      </c>
      <c r="J79" s="111">
        <v>0.52</v>
      </c>
      <c r="K79" s="99">
        <f t="shared" si="4"/>
        <v>4.3352658048205761E-3</v>
      </c>
      <c r="L79" s="105" t="str">
        <f t="shared" si="5"/>
        <v>Post to Default Outlet</v>
      </c>
      <c r="M79" s="90">
        <f t="shared" si="6"/>
        <v>4.3352658048205761E-3</v>
      </c>
      <c r="N79" s="90">
        <f t="shared" si="7"/>
        <v>0</v>
      </c>
      <c r="O79" s="68" t="s">
        <v>2761</v>
      </c>
      <c r="P79" s="63"/>
      <c r="Q79" s="62"/>
    </row>
    <row r="80" spans="1:17" ht="15" customHeight="1" x14ac:dyDescent="0.3">
      <c r="A80" s="70" t="s">
        <v>2828</v>
      </c>
      <c r="B80" s="112" t="s">
        <v>2017</v>
      </c>
      <c r="C80" s="101" t="s">
        <v>376</v>
      </c>
      <c r="D80" s="76" t="str">
        <f>IFERROR(INDEX(M_User!$A$12:$J$67,MATCH(C80,M_User!$D$12:$D$67,0),3),"UNMAPPED")</f>
        <v>Zefania Julius Ngoma</v>
      </c>
      <c r="E80" s="75" t="str">
        <f>IFERROR(INDEX(M_User!$A$12:$J$67,MATCH(C80,M_User!$D$12:$D$67,0),5),"UNMAPPED")</f>
        <v>MOS</v>
      </c>
      <c r="F80" s="101" t="s">
        <v>187</v>
      </c>
      <c r="G80" s="76" t="str">
        <f>IFERROR(INDEX(M_SKU!$A$18:$J$57,MATCH(F80,M_SKU!$B$18:$B$57,0),1),"UNKNOWN SKU")</f>
        <v>Sprite 350ml</v>
      </c>
      <c r="H80" s="101" t="s">
        <v>535</v>
      </c>
      <c r="I80" s="102">
        <f>IFERROR(INDEX(T_Unload!$K$10:$K$433,MATCH(B80,T_Unload!$B$10:$B$433,0)),0)</f>
        <v>1.122669237985729</v>
      </c>
      <c r="J80" s="111">
        <v>1.1200000000000001</v>
      </c>
      <c r="K80" s="113">
        <f t="shared" si="4"/>
        <v>2.6692379857289339E-3</v>
      </c>
      <c r="L80" s="114" t="str">
        <f t="shared" si="5"/>
        <v>Post to Default Outlet</v>
      </c>
      <c r="M80" s="115">
        <f t="shared" si="6"/>
        <v>2.6692379857289339E-3</v>
      </c>
      <c r="N80" s="115">
        <f t="shared" si="7"/>
        <v>0</v>
      </c>
      <c r="O80" s="116" t="s">
        <v>2761</v>
      </c>
      <c r="P80" s="117"/>
      <c r="Q80" s="118"/>
    </row>
    <row r="81" spans="1:17" ht="15" customHeight="1" x14ac:dyDescent="0.3">
      <c r="A81" s="60" t="s">
        <v>2829</v>
      </c>
      <c r="B81" s="97" t="s">
        <v>2019</v>
      </c>
      <c r="C81" s="63" t="s">
        <v>376</v>
      </c>
      <c r="D81" s="66" t="str">
        <f>IFERROR(INDEX(M_User!$A$12:$J$67,MATCH(C81,M_User!$D$12:$D$67,0),3),"UNMAPPED")</f>
        <v>Zefania Julius Ngoma</v>
      </c>
      <c r="E81" s="65" t="str">
        <f>IFERROR(INDEX(M_User!$A$12:$J$67,MATCH(C81,M_User!$D$12:$D$67,0),5),"UNMAPPED")</f>
        <v>MOS</v>
      </c>
      <c r="F81" s="63" t="s">
        <v>190</v>
      </c>
      <c r="G81" s="66" t="str">
        <f>IFERROR(INDEX(M_SKU!$A$18:$J$57,MATCH(F81,M_SKU!$B$18:$B$57,0),1),"UNKNOWN SKU")</f>
        <v>Stoney Tangawizi RGB 350ml</v>
      </c>
      <c r="H81" s="63" t="s">
        <v>536</v>
      </c>
      <c r="I81" s="98">
        <f>IFERROR(INDEX(T_Unload!$K$10:$K$433,MATCH(B81,T_Unload!$B$10:$B$433,0)),0)</f>
        <v>0.4195123231002702</v>
      </c>
      <c r="J81" s="111">
        <v>0.42</v>
      </c>
      <c r="K81" s="99">
        <f t="shared" si="4"/>
        <v>-4.8767689972978312E-4</v>
      </c>
      <c r="L81" s="105" t="str">
        <f t="shared" si="5"/>
        <v>Adjust Unload Upward</v>
      </c>
      <c r="M81" s="90">
        <f t="shared" si="6"/>
        <v>0</v>
      </c>
      <c r="N81" s="90">
        <f t="shared" si="7"/>
        <v>4.8767689972978312E-4</v>
      </c>
      <c r="O81" s="68" t="s">
        <v>2761</v>
      </c>
      <c r="P81" s="63"/>
      <c r="Q81" s="62"/>
    </row>
    <row r="82" spans="1:17" ht="15" customHeight="1" x14ac:dyDescent="0.3">
      <c r="A82" s="70" t="s">
        <v>2830</v>
      </c>
      <c r="B82" s="112" t="s">
        <v>2021</v>
      </c>
      <c r="C82" s="101" t="s">
        <v>376</v>
      </c>
      <c r="D82" s="76" t="str">
        <f>IFERROR(INDEX(M_User!$A$12:$J$67,MATCH(C82,M_User!$D$12:$D$67,0),3),"UNMAPPED")</f>
        <v>Zefania Julius Ngoma</v>
      </c>
      <c r="E82" s="75" t="str">
        <f>IFERROR(INDEX(M_User!$A$12:$J$67,MATCH(C82,M_User!$D$12:$D$67,0),5),"UNMAPPED")</f>
        <v>MOS</v>
      </c>
      <c r="F82" s="101" t="s">
        <v>193</v>
      </c>
      <c r="G82" s="76" t="str">
        <f>IFERROR(INDEX(M_SKU!$A$18:$J$57,MATCH(F82,M_SKU!$B$18:$B$57,0),1),"UNKNOWN SKU")</f>
        <v>Sparletta Pinenut RGB 350ml</v>
      </c>
      <c r="H82" s="101" t="s">
        <v>537</v>
      </c>
      <c r="I82" s="102">
        <f>IFERROR(INDEX(T_Unload!$K$10:$K$433,MATCH(B82,T_Unload!$B$10:$B$433,0)),0)</f>
        <v>0.40510742953635059</v>
      </c>
      <c r="J82" s="111">
        <v>0.41</v>
      </c>
      <c r="K82" s="113">
        <f t="shared" si="4"/>
        <v>-4.8925704636493816E-3</v>
      </c>
      <c r="L82" s="114" t="str">
        <f t="shared" si="5"/>
        <v>Adjust Unload Upward</v>
      </c>
      <c r="M82" s="115">
        <f t="shared" si="6"/>
        <v>0</v>
      </c>
      <c r="N82" s="115">
        <f t="shared" si="7"/>
        <v>4.8925704636493816E-3</v>
      </c>
      <c r="O82" s="116" t="s">
        <v>2761</v>
      </c>
      <c r="P82" s="117"/>
      <c r="Q82" s="118"/>
    </row>
    <row r="83" spans="1:17" ht="15" customHeight="1" x14ac:dyDescent="0.3">
      <c r="A83" s="60" t="s">
        <v>2831</v>
      </c>
      <c r="B83" s="97" t="s">
        <v>2023</v>
      </c>
      <c r="C83" s="63" t="s">
        <v>376</v>
      </c>
      <c r="D83" s="66" t="str">
        <f>IFERROR(INDEX(M_User!$A$12:$J$67,MATCH(C83,M_User!$D$12:$D$67,0),3),"UNMAPPED")</f>
        <v>Zefania Julius Ngoma</v>
      </c>
      <c r="E83" s="65" t="str">
        <f>IFERROR(INDEX(M_User!$A$12:$J$67,MATCH(C83,M_User!$D$12:$D$67,0),5),"UNMAPPED")</f>
        <v>MOS</v>
      </c>
      <c r="F83" s="63" t="s">
        <v>209</v>
      </c>
      <c r="G83" s="66" t="str">
        <f>IFERROR(INDEX(M_SKU!$A$18:$J$57,MATCH(F83,M_SKU!$B$18:$B$57,0),1),"UNKNOWN SKU")</f>
        <v>Sparletta Red Apple RGB 350ml</v>
      </c>
      <c r="H83" s="63" t="s">
        <v>542</v>
      </c>
      <c r="I83" s="98">
        <f>IFERROR(INDEX(T_Unload!$K$10:$K$433,MATCH(B83,T_Unload!$B$10:$B$433,0)),0)</f>
        <v>0.20690373718064614</v>
      </c>
      <c r="J83" s="111">
        <v>0.21</v>
      </c>
      <c r="K83" s="99">
        <f t="shared" si="4"/>
        <v>-3.0962628193538511E-3</v>
      </c>
      <c r="L83" s="105" t="str">
        <f t="shared" si="5"/>
        <v>Adjust Unload Upward</v>
      </c>
      <c r="M83" s="90">
        <f t="shared" si="6"/>
        <v>0</v>
      </c>
      <c r="N83" s="90">
        <f t="shared" si="7"/>
        <v>3.0962628193538511E-3</v>
      </c>
      <c r="O83" s="68" t="s">
        <v>2761</v>
      </c>
      <c r="P83" s="63"/>
      <c r="Q83" s="62"/>
    </row>
    <row r="84" spans="1:17" ht="15" customHeight="1" x14ac:dyDescent="0.3">
      <c r="A84" s="70" t="s">
        <v>2832</v>
      </c>
      <c r="B84" s="112" t="s">
        <v>2025</v>
      </c>
      <c r="C84" s="101" t="s">
        <v>376</v>
      </c>
      <c r="D84" s="76" t="str">
        <f>IFERROR(INDEX(M_User!$A$12:$J$67,MATCH(C84,M_User!$D$12:$D$67,0),3),"UNMAPPED")</f>
        <v>Zefania Julius Ngoma</v>
      </c>
      <c r="E84" s="75" t="str">
        <f>IFERROR(INDEX(M_User!$A$12:$J$67,MATCH(C84,M_User!$D$12:$D$67,0),5),"UNMAPPED")</f>
        <v>MOS</v>
      </c>
      <c r="F84" s="101" t="s">
        <v>211</v>
      </c>
      <c r="G84" s="76" t="str">
        <f>IFERROR(INDEX(M_SKU!$A$18:$J$57,MATCH(F84,M_SKU!$B$18:$B$57,0),1),"UNKNOWN SKU")</f>
        <v>KNMW 500ml</v>
      </c>
      <c r="H84" s="101" t="s">
        <v>543</v>
      </c>
      <c r="I84" s="102">
        <f>IFERROR(INDEX(T_Unload!$K$10:$K$433,MATCH(B84,T_Unload!$B$10:$B$433,0)),0)</f>
        <v>3</v>
      </c>
      <c r="J84" s="111">
        <v>3</v>
      </c>
      <c r="K84" s="113">
        <f t="shared" si="4"/>
        <v>0</v>
      </c>
      <c r="L84" s="114" t="str">
        <f t="shared" si="5"/>
        <v>CLEAN</v>
      </c>
      <c r="M84" s="115">
        <f t="shared" si="6"/>
        <v>0</v>
      </c>
      <c r="N84" s="115">
        <f t="shared" si="7"/>
        <v>0</v>
      </c>
      <c r="O84" s="116" t="s">
        <v>2761</v>
      </c>
      <c r="P84" s="117"/>
      <c r="Q84" s="118"/>
    </row>
    <row r="85" spans="1:17" ht="15" customHeight="1" x14ac:dyDescent="0.3">
      <c r="A85" s="60" t="s">
        <v>2833</v>
      </c>
      <c r="B85" s="97" t="s">
        <v>2027</v>
      </c>
      <c r="C85" s="63" t="s">
        <v>376</v>
      </c>
      <c r="D85" s="66" t="str">
        <f>IFERROR(INDEX(M_User!$A$12:$J$67,MATCH(C85,M_User!$D$12:$D$67,0),3),"UNMAPPED")</f>
        <v>Zefania Julius Ngoma</v>
      </c>
      <c r="E85" s="65" t="str">
        <f>IFERROR(INDEX(M_User!$A$12:$J$67,MATCH(C85,M_User!$D$12:$D$67,0),5),"UNMAPPED")</f>
        <v>MOS</v>
      </c>
      <c r="F85" s="63" t="s">
        <v>217</v>
      </c>
      <c r="G85" s="66" t="str">
        <f>IFERROR(INDEX(M_SKU!$A$18:$J$57,MATCH(F85,M_SKU!$B$18:$B$57,0),1),"UNKNOWN SKU")</f>
        <v>KNMW 1500ml</v>
      </c>
      <c r="H85" s="63" t="s">
        <v>551</v>
      </c>
      <c r="I85" s="98">
        <f>IFERROR(INDEX(T_Unload!$K$10:$K$433,MATCH(B85,T_Unload!$B$10:$B$433,0)),0)</f>
        <v>16</v>
      </c>
      <c r="J85" s="111">
        <v>16</v>
      </c>
      <c r="K85" s="99">
        <f t="shared" si="4"/>
        <v>0</v>
      </c>
      <c r="L85" s="105" t="str">
        <f t="shared" si="5"/>
        <v>CLEAN</v>
      </c>
      <c r="M85" s="90">
        <f t="shared" si="6"/>
        <v>0</v>
      </c>
      <c r="N85" s="90">
        <f t="shared" si="7"/>
        <v>0</v>
      </c>
      <c r="O85" s="68" t="s">
        <v>2761</v>
      </c>
      <c r="P85" s="63"/>
      <c r="Q85" s="62"/>
    </row>
    <row r="86" spans="1:17" ht="15" customHeight="1" x14ac:dyDescent="0.3">
      <c r="A86" s="70" t="s">
        <v>2834</v>
      </c>
      <c r="B86" s="112" t="s">
        <v>2029</v>
      </c>
      <c r="C86" s="101" t="s">
        <v>376</v>
      </c>
      <c r="D86" s="76" t="str">
        <f>IFERROR(INDEX(M_User!$A$12:$J$67,MATCH(C86,M_User!$D$12:$D$67,0),3),"UNMAPPED")</f>
        <v>Zefania Julius Ngoma</v>
      </c>
      <c r="E86" s="75" t="str">
        <f>IFERROR(INDEX(M_User!$A$12:$J$67,MATCH(C86,M_User!$D$12:$D$67,0),5),"UNMAPPED")</f>
        <v>MOS</v>
      </c>
      <c r="F86" s="101" t="s">
        <v>229</v>
      </c>
      <c r="G86" s="76" t="str">
        <f>IFERROR(INDEX(M_SKU!$A$18:$J$57,MATCH(F86,M_SKU!$B$18:$B$57,0),1),"UNKNOWN SKU")</f>
        <v>Coke Pet 500ML ( x12)</v>
      </c>
      <c r="H86" s="101" t="s">
        <v>520</v>
      </c>
      <c r="I86" s="102">
        <f>IFERROR(INDEX(T_Unload!$K$10:$K$433,MATCH(B86,T_Unload!$B$10:$B$433,0)),0)</f>
        <v>5</v>
      </c>
      <c r="J86" s="111">
        <v>5</v>
      </c>
      <c r="K86" s="113">
        <f t="shared" si="4"/>
        <v>0</v>
      </c>
      <c r="L86" s="114" t="str">
        <f t="shared" si="5"/>
        <v>CLEAN</v>
      </c>
      <c r="M86" s="115">
        <f t="shared" si="6"/>
        <v>0</v>
      </c>
      <c r="N86" s="115">
        <f t="shared" si="7"/>
        <v>0</v>
      </c>
      <c r="O86" s="116" t="s">
        <v>2761</v>
      </c>
      <c r="P86" s="117"/>
      <c r="Q86" s="118"/>
    </row>
    <row r="87" spans="1:17" ht="15" customHeight="1" x14ac:dyDescent="0.3">
      <c r="A87" s="60" t="s">
        <v>2835</v>
      </c>
      <c r="B87" s="97" t="s">
        <v>2031</v>
      </c>
      <c r="C87" s="63" t="s">
        <v>376</v>
      </c>
      <c r="D87" s="66" t="str">
        <f>IFERROR(INDEX(M_User!$A$12:$J$67,MATCH(C87,M_User!$D$12:$D$67,0),3),"UNMAPPED")</f>
        <v>Zefania Julius Ngoma</v>
      </c>
      <c r="E87" s="65" t="str">
        <f>IFERROR(INDEX(M_User!$A$12:$J$67,MATCH(C87,M_User!$D$12:$D$67,0),5),"UNMAPPED")</f>
        <v>MOS</v>
      </c>
      <c r="F87" s="63" t="s">
        <v>232</v>
      </c>
      <c r="G87" s="66" t="str">
        <f>IFERROR(INDEX(M_SKU!$A$18:$J$57,MATCH(F87,M_SKU!$B$18:$B$57,0),1),"UNKNOWN SKU")</f>
        <v>Sprite Pet 500ML (x 12)</v>
      </c>
      <c r="H87" s="63" t="s">
        <v>522</v>
      </c>
      <c r="I87" s="98">
        <f>IFERROR(INDEX(T_Unload!$K$10:$K$433,MATCH(B87,T_Unload!$B$10:$B$433,0)),0)</f>
        <v>1</v>
      </c>
      <c r="J87" s="111">
        <v>1</v>
      </c>
      <c r="K87" s="99">
        <f t="shared" si="4"/>
        <v>0</v>
      </c>
      <c r="L87" s="105" t="str">
        <f t="shared" si="5"/>
        <v>CLEAN</v>
      </c>
      <c r="M87" s="90">
        <f t="shared" si="6"/>
        <v>0</v>
      </c>
      <c r="N87" s="90">
        <f t="shared" si="7"/>
        <v>0</v>
      </c>
      <c r="O87" s="68" t="s">
        <v>2761</v>
      </c>
      <c r="P87" s="63"/>
      <c r="Q87" s="62"/>
    </row>
    <row r="88" spans="1:17" ht="15" customHeight="1" x14ac:dyDescent="0.3">
      <c r="A88" s="70" t="s">
        <v>2836</v>
      </c>
      <c r="B88" s="112" t="s">
        <v>2033</v>
      </c>
      <c r="C88" s="101" t="s">
        <v>376</v>
      </c>
      <c r="D88" s="76" t="str">
        <f>IFERROR(INDEX(M_User!$A$12:$J$67,MATCH(C88,M_User!$D$12:$D$67,0),3),"UNMAPPED")</f>
        <v>Zefania Julius Ngoma</v>
      </c>
      <c r="E88" s="75" t="str">
        <f>IFERROR(INDEX(M_User!$A$12:$J$67,MATCH(C88,M_User!$D$12:$D$67,0),5),"UNMAPPED")</f>
        <v>MOS</v>
      </c>
      <c r="F88" s="101" t="s">
        <v>234</v>
      </c>
      <c r="G88" s="76" t="str">
        <f>IFERROR(INDEX(M_SKU!$A$18:$J$57,MATCH(F88,M_SKU!$B$18:$B$57,0),1),"UNKNOWN SKU")</f>
        <v>Fanta Orange Pet 500ML ( x 12)</v>
      </c>
      <c r="H88" s="101" t="s">
        <v>523</v>
      </c>
      <c r="I88" s="102">
        <f>IFERROR(INDEX(T_Unload!$K$10:$K$433,MATCH(B88,T_Unload!$B$10:$B$433,0)),0)</f>
        <v>1</v>
      </c>
      <c r="J88" s="111">
        <v>1</v>
      </c>
      <c r="K88" s="113">
        <f t="shared" si="4"/>
        <v>0</v>
      </c>
      <c r="L88" s="114" t="str">
        <f t="shared" si="5"/>
        <v>CLEAN</v>
      </c>
      <c r="M88" s="115">
        <f t="shared" si="6"/>
        <v>0</v>
      </c>
      <c r="N88" s="115">
        <f t="shared" si="7"/>
        <v>0</v>
      </c>
      <c r="O88" s="116" t="s">
        <v>2761</v>
      </c>
      <c r="P88" s="117"/>
      <c r="Q88" s="118"/>
    </row>
    <row r="89" spans="1:17" ht="15" customHeight="1" x14ac:dyDescent="0.3">
      <c r="A89" s="60" t="s">
        <v>2837</v>
      </c>
      <c r="B89" s="97" t="s">
        <v>2035</v>
      </c>
      <c r="C89" s="63" t="s">
        <v>376</v>
      </c>
      <c r="D89" s="66" t="str">
        <f>IFERROR(INDEX(M_User!$A$12:$J$67,MATCH(C89,M_User!$D$12:$D$67,0),3),"UNMAPPED")</f>
        <v>Zefania Julius Ngoma</v>
      </c>
      <c r="E89" s="65" t="str">
        <f>IFERROR(INDEX(M_User!$A$12:$J$67,MATCH(C89,M_User!$D$12:$D$67,0),5),"UNMAPPED")</f>
        <v>MOS</v>
      </c>
      <c r="F89" s="63" t="s">
        <v>236</v>
      </c>
      <c r="G89" s="66" t="str">
        <f>IFERROR(INDEX(M_SKU!$A$18:$J$57,MATCH(F89,M_SKU!$B$18:$B$57,0),1),"UNKNOWN SKU")</f>
        <v>Fanta Passion Pet 500ML ( x12)</v>
      </c>
      <c r="H89" s="63" t="s">
        <v>524</v>
      </c>
      <c r="I89" s="98">
        <f>IFERROR(INDEX(T_Unload!$K$10:$K$433,MATCH(B89,T_Unload!$B$10:$B$433,0)),0)</f>
        <v>1</v>
      </c>
      <c r="J89" s="111">
        <v>1</v>
      </c>
      <c r="K89" s="99">
        <f t="shared" si="4"/>
        <v>0</v>
      </c>
      <c r="L89" s="105" t="str">
        <f t="shared" si="5"/>
        <v>CLEAN</v>
      </c>
      <c r="M89" s="90">
        <f t="shared" si="6"/>
        <v>0</v>
      </c>
      <c r="N89" s="90">
        <f t="shared" si="7"/>
        <v>0</v>
      </c>
      <c r="O89" s="68" t="s">
        <v>2761</v>
      </c>
      <c r="P89" s="63"/>
      <c r="Q89" s="62"/>
    </row>
    <row r="90" spans="1:17" ht="15" customHeight="1" x14ac:dyDescent="0.3">
      <c r="A90" s="70" t="s">
        <v>2838</v>
      </c>
      <c r="B90" s="112" t="s">
        <v>2037</v>
      </c>
      <c r="C90" s="101" t="s">
        <v>376</v>
      </c>
      <c r="D90" s="76" t="str">
        <f>IFERROR(INDEX(M_User!$A$12:$J$67,MATCH(C90,M_User!$D$12:$D$67,0),3),"UNMAPPED")</f>
        <v>Zefania Julius Ngoma</v>
      </c>
      <c r="E90" s="75" t="str">
        <f>IFERROR(INDEX(M_User!$A$12:$J$67,MATCH(C90,M_User!$D$12:$D$67,0),5),"UNMAPPED")</f>
        <v>MOS</v>
      </c>
      <c r="F90" s="101" t="s">
        <v>240</v>
      </c>
      <c r="G90" s="76" t="str">
        <f>IFERROR(INDEX(M_SKU!$A$18:$J$57,MATCH(F90,M_SKU!$B$18:$B$57,0),1),"UNKNOWN SKU")</f>
        <v>Fanta Fruit Blast Pet 500ML (x12)</v>
      </c>
      <c r="H90" s="101" t="s">
        <v>553</v>
      </c>
      <c r="I90" s="102">
        <f>IFERROR(INDEX(T_Unload!$K$10:$K$433,MATCH(B90,T_Unload!$B$10:$B$433,0)),0)</f>
        <v>0</v>
      </c>
      <c r="J90" s="111">
        <v>0</v>
      </c>
      <c r="K90" s="113">
        <f t="shared" si="4"/>
        <v>0</v>
      </c>
      <c r="L90" s="114" t="str">
        <f t="shared" si="5"/>
        <v>CLEAN</v>
      </c>
      <c r="M90" s="115">
        <f t="shared" si="6"/>
        <v>0</v>
      </c>
      <c r="N90" s="115">
        <f t="shared" si="7"/>
        <v>0</v>
      </c>
      <c r="O90" s="116" t="s">
        <v>2761</v>
      </c>
      <c r="P90" s="117"/>
      <c r="Q90" s="118"/>
    </row>
    <row r="91" spans="1:17" ht="15" customHeight="1" x14ac:dyDescent="0.3">
      <c r="A91" s="60" t="s">
        <v>2839</v>
      </c>
      <c r="B91" s="97" t="s">
        <v>2039</v>
      </c>
      <c r="C91" s="63" t="s">
        <v>376</v>
      </c>
      <c r="D91" s="66" t="str">
        <f>IFERROR(INDEX(M_User!$A$12:$J$67,MATCH(C91,M_User!$D$12:$D$67,0),3),"UNMAPPED")</f>
        <v>Zefania Julius Ngoma</v>
      </c>
      <c r="E91" s="65" t="str">
        <f>IFERROR(INDEX(M_User!$A$12:$J$67,MATCH(C91,M_User!$D$12:$D$67,0),5),"UNMAPPED")</f>
        <v>MOS</v>
      </c>
      <c r="F91" s="63" t="s">
        <v>242</v>
      </c>
      <c r="G91" s="66" t="str">
        <f>IFERROR(INDEX(M_SKU!$A$18:$J$57,MATCH(F91,M_SKU!$B$18:$B$57,0),1),"UNKNOWN SKU")</f>
        <v>Stoney Tangawizi Pet 500 ml ( x12)</v>
      </c>
      <c r="H91" s="63" t="s">
        <v>525</v>
      </c>
      <c r="I91" s="98">
        <f>IFERROR(INDEX(T_Unload!$K$10:$K$433,MATCH(B91,T_Unload!$B$10:$B$433,0)),0)</f>
        <v>0</v>
      </c>
      <c r="J91" s="111">
        <v>0</v>
      </c>
      <c r="K91" s="99">
        <f t="shared" si="4"/>
        <v>0</v>
      </c>
      <c r="L91" s="105" t="str">
        <f t="shared" si="5"/>
        <v>CLEAN</v>
      </c>
      <c r="M91" s="90">
        <f t="shared" si="6"/>
        <v>0</v>
      </c>
      <c r="N91" s="90">
        <f t="shared" si="7"/>
        <v>0</v>
      </c>
      <c r="O91" s="68" t="s">
        <v>2761</v>
      </c>
      <c r="P91" s="63"/>
      <c r="Q91" s="62"/>
    </row>
    <row r="92" spans="1:17" ht="15" customHeight="1" x14ac:dyDescent="0.3">
      <c r="A92" s="70" t="s">
        <v>2840</v>
      </c>
      <c r="B92" s="112" t="s">
        <v>2041</v>
      </c>
      <c r="C92" s="101" t="s">
        <v>421</v>
      </c>
      <c r="D92" s="76" t="str">
        <f>IFERROR(INDEX(M_User!$A$12:$J$67,MATCH(C92,M_User!$D$12:$D$67,0),3),"UNMAPPED")</f>
        <v>Deodat Francis Materu</v>
      </c>
      <c r="E92" s="75" t="str">
        <f>IFERROR(INDEX(M_User!$A$12:$J$67,MATCH(C92,M_User!$D$12:$D$67,0),5),"UNMAPPED")</f>
        <v>MOS</v>
      </c>
      <c r="F92" s="101" t="s">
        <v>170</v>
      </c>
      <c r="G92" s="76" t="str">
        <f>IFERROR(INDEX(M_SKU!$A$18:$J$57,MATCH(F92,M_SKU!$B$18:$B$57,0),1),"UNKNOWN SKU")</f>
        <v>Coke RGB 350ml</v>
      </c>
      <c r="H92" s="101" t="s">
        <v>530</v>
      </c>
      <c r="I92" s="102">
        <f>IFERROR(INDEX(T_Unload!$K$10:$K$433,MATCH(B92,T_Unload!$B$10:$B$433,0)),0)</f>
        <v>11.052566285592903</v>
      </c>
      <c r="J92" s="111">
        <v>11.05</v>
      </c>
      <c r="K92" s="113">
        <f t="shared" si="4"/>
        <v>2.5662855929020623E-3</v>
      </c>
      <c r="L92" s="114" t="str">
        <f t="shared" si="5"/>
        <v>Post to Default Outlet</v>
      </c>
      <c r="M92" s="115">
        <f t="shared" si="6"/>
        <v>2.5662855929020623E-3</v>
      </c>
      <c r="N92" s="115">
        <f t="shared" si="7"/>
        <v>0</v>
      </c>
      <c r="O92" s="116" t="s">
        <v>2761</v>
      </c>
      <c r="P92" s="117"/>
      <c r="Q92" s="118"/>
    </row>
    <row r="93" spans="1:17" ht="15" customHeight="1" x14ac:dyDescent="0.3">
      <c r="A93" s="60" t="s">
        <v>2841</v>
      </c>
      <c r="B93" s="97" t="s">
        <v>2043</v>
      </c>
      <c r="C93" s="63" t="s">
        <v>421</v>
      </c>
      <c r="D93" s="66" t="str">
        <f>IFERROR(INDEX(M_User!$A$12:$J$67,MATCH(C93,M_User!$D$12:$D$67,0),3),"UNMAPPED")</f>
        <v>Deodat Francis Materu</v>
      </c>
      <c r="E93" s="65" t="str">
        <f>IFERROR(INDEX(M_User!$A$12:$J$67,MATCH(C93,M_User!$D$12:$D$67,0),5),"UNMAPPED")</f>
        <v>MOS</v>
      </c>
      <c r="F93" s="63" t="s">
        <v>178</v>
      </c>
      <c r="G93" s="66" t="str">
        <f>IFERROR(INDEX(M_SKU!$A$18:$J$57,MATCH(F93,M_SKU!$B$18:$B$57,0),1),"UNKNOWN SKU")</f>
        <v>Fanta Orange RGB 350ml</v>
      </c>
      <c r="H93" s="63" t="s">
        <v>531</v>
      </c>
      <c r="I93" s="98">
        <f>IFERROR(INDEX(T_Unload!$K$10:$K$433,MATCH(B93,T_Unload!$B$10:$B$433,0)),0)</f>
        <v>7.2208738846469309</v>
      </c>
      <c r="J93" s="111">
        <v>7.22</v>
      </c>
      <c r="K93" s="99">
        <f t="shared" si="4"/>
        <v>8.7388464693116674E-4</v>
      </c>
      <c r="L93" s="105" t="str">
        <f t="shared" si="5"/>
        <v>Post to Default Outlet</v>
      </c>
      <c r="M93" s="90">
        <f t="shared" si="6"/>
        <v>8.7388464693116674E-4</v>
      </c>
      <c r="N93" s="90">
        <f t="shared" si="7"/>
        <v>0</v>
      </c>
      <c r="O93" s="68" t="s">
        <v>2761</v>
      </c>
      <c r="P93" s="63"/>
      <c r="Q93" s="62"/>
    </row>
    <row r="94" spans="1:17" ht="15" customHeight="1" x14ac:dyDescent="0.3">
      <c r="A94" s="70" t="s">
        <v>2842</v>
      </c>
      <c r="B94" s="112" t="s">
        <v>2045</v>
      </c>
      <c r="C94" s="101" t="s">
        <v>421</v>
      </c>
      <c r="D94" s="76" t="str">
        <f>IFERROR(INDEX(M_User!$A$12:$J$67,MATCH(C94,M_User!$D$12:$D$67,0),3),"UNMAPPED")</f>
        <v>Deodat Francis Materu</v>
      </c>
      <c r="E94" s="75" t="str">
        <f>IFERROR(INDEX(M_User!$A$12:$J$67,MATCH(C94,M_User!$D$12:$D$67,0),5),"UNMAPPED")</f>
        <v>MOS</v>
      </c>
      <c r="F94" s="101" t="s">
        <v>181</v>
      </c>
      <c r="G94" s="76" t="str">
        <f>IFERROR(INDEX(M_SKU!$A$18:$J$57,MATCH(F94,M_SKU!$B$18:$B$57,0),1),"UNKNOWN SKU")</f>
        <v>Fanta Passion RGB 350ml</v>
      </c>
      <c r="H94" s="101" t="s">
        <v>550</v>
      </c>
      <c r="I94" s="102">
        <f>IFERROR(INDEX(T_Unload!$K$10:$K$433,MATCH(B94,T_Unload!$B$10:$B$433,0)),0)</f>
        <v>2.9230781440552391</v>
      </c>
      <c r="J94" s="111">
        <v>2.92</v>
      </c>
      <c r="K94" s="113">
        <f t="shared" si="4"/>
        <v>3.078144055239207E-3</v>
      </c>
      <c r="L94" s="114" t="str">
        <f t="shared" si="5"/>
        <v>Post to Default Outlet</v>
      </c>
      <c r="M94" s="115">
        <f t="shared" si="6"/>
        <v>3.078144055239207E-3</v>
      </c>
      <c r="N94" s="115">
        <f t="shared" si="7"/>
        <v>0</v>
      </c>
      <c r="O94" s="116" t="s">
        <v>2761</v>
      </c>
      <c r="P94" s="117"/>
      <c r="Q94" s="118"/>
    </row>
    <row r="95" spans="1:17" ht="15" customHeight="1" x14ac:dyDescent="0.3">
      <c r="A95" s="60" t="s">
        <v>2843</v>
      </c>
      <c r="B95" s="97" t="s">
        <v>2047</v>
      </c>
      <c r="C95" s="63" t="s">
        <v>421</v>
      </c>
      <c r="D95" s="66" t="str">
        <f>IFERROR(INDEX(M_User!$A$12:$J$67,MATCH(C95,M_User!$D$12:$D$67,0),3),"UNMAPPED")</f>
        <v>Deodat Francis Materu</v>
      </c>
      <c r="E95" s="65" t="str">
        <f>IFERROR(INDEX(M_User!$A$12:$J$67,MATCH(C95,M_User!$D$12:$D$67,0),5),"UNMAPPED")</f>
        <v>MOS</v>
      </c>
      <c r="F95" s="63" t="s">
        <v>183</v>
      </c>
      <c r="G95" s="66" t="str">
        <f>IFERROR(INDEX(M_SKU!$A$18:$J$57,MATCH(F95,M_SKU!$B$18:$B$57,0),1),"UNKNOWN SKU")</f>
        <v>Fanta Pineapple RGB 350ml</v>
      </c>
      <c r="H95" s="63" t="s">
        <v>533</v>
      </c>
      <c r="I95" s="98">
        <f>IFERROR(INDEX(T_Unload!$K$10:$K$433,MATCH(B95,T_Unload!$B$10:$B$433,0)),0)</f>
        <v>1.2320751647645611</v>
      </c>
      <c r="J95" s="111">
        <v>1.23</v>
      </c>
      <c r="K95" s="99">
        <f t="shared" si="4"/>
        <v>2.0751647645611548E-3</v>
      </c>
      <c r="L95" s="105" t="str">
        <f t="shared" si="5"/>
        <v>Post to Default Outlet</v>
      </c>
      <c r="M95" s="90">
        <f t="shared" si="6"/>
        <v>2.0751647645611548E-3</v>
      </c>
      <c r="N95" s="90">
        <f t="shared" si="7"/>
        <v>0</v>
      </c>
      <c r="O95" s="68" t="s">
        <v>2761</v>
      </c>
      <c r="P95" s="63"/>
      <c r="Q95" s="62"/>
    </row>
    <row r="96" spans="1:17" ht="15" customHeight="1" x14ac:dyDescent="0.3">
      <c r="A96" s="70" t="s">
        <v>2844</v>
      </c>
      <c r="B96" s="112" t="s">
        <v>2049</v>
      </c>
      <c r="C96" s="101" t="s">
        <v>421</v>
      </c>
      <c r="D96" s="76" t="str">
        <f>IFERROR(INDEX(M_User!$A$12:$J$67,MATCH(C96,M_User!$D$12:$D$67,0),3),"UNMAPPED")</f>
        <v>Deodat Francis Materu</v>
      </c>
      <c r="E96" s="75" t="str">
        <f>IFERROR(INDEX(M_User!$A$12:$J$67,MATCH(C96,M_User!$D$12:$D$67,0),5),"UNMAPPED")</f>
        <v>MOS</v>
      </c>
      <c r="F96" s="101" t="s">
        <v>185</v>
      </c>
      <c r="G96" s="76" t="str">
        <f>IFERROR(INDEX(M_SKU!$A$18:$J$57,MATCH(F96,M_SKU!$B$18:$B$57,0),1),"UNKNOWN SKU")</f>
        <v>Fanta Fruit Blast RGB 350 ml</v>
      </c>
      <c r="H96" s="101" t="s">
        <v>534</v>
      </c>
      <c r="I96" s="102">
        <f>IFERROR(INDEX(T_Unload!$K$10:$K$433,MATCH(B96,T_Unload!$B$10:$B$433,0)),0)</f>
        <v>0.48548783693096009</v>
      </c>
      <c r="J96" s="111">
        <v>0.49</v>
      </c>
      <c r="K96" s="113">
        <f t="shared" si="4"/>
        <v>-4.5121630690398984E-3</v>
      </c>
      <c r="L96" s="114" t="str">
        <f t="shared" si="5"/>
        <v>Adjust Unload Upward</v>
      </c>
      <c r="M96" s="115">
        <f t="shared" si="6"/>
        <v>0</v>
      </c>
      <c r="N96" s="115">
        <f t="shared" si="7"/>
        <v>4.5121630690398984E-3</v>
      </c>
      <c r="O96" s="116" t="s">
        <v>2761</v>
      </c>
      <c r="P96" s="117"/>
      <c r="Q96" s="118"/>
    </row>
    <row r="97" spans="1:17" ht="15" customHeight="1" x14ac:dyDescent="0.3">
      <c r="A97" s="60" t="s">
        <v>2845</v>
      </c>
      <c r="B97" s="97" t="s">
        <v>2051</v>
      </c>
      <c r="C97" s="63" t="s">
        <v>421</v>
      </c>
      <c r="D97" s="66" t="str">
        <f>IFERROR(INDEX(M_User!$A$12:$J$67,MATCH(C97,M_User!$D$12:$D$67,0),3),"UNMAPPED")</f>
        <v>Deodat Francis Materu</v>
      </c>
      <c r="E97" s="65" t="str">
        <f>IFERROR(INDEX(M_User!$A$12:$J$67,MATCH(C97,M_User!$D$12:$D$67,0),5),"UNMAPPED")</f>
        <v>MOS</v>
      </c>
      <c r="F97" s="63" t="s">
        <v>187</v>
      </c>
      <c r="G97" s="66" t="str">
        <f>IFERROR(INDEX(M_SKU!$A$18:$J$57,MATCH(F97,M_SKU!$B$18:$B$57,0),1),"UNKNOWN SKU")</f>
        <v>Sprite 350ml</v>
      </c>
      <c r="H97" s="63" t="s">
        <v>535</v>
      </c>
      <c r="I97" s="98">
        <f>IFERROR(INDEX(T_Unload!$K$10:$K$433,MATCH(B97,T_Unload!$B$10:$B$433,0)),0)</f>
        <v>3.1213350871950212</v>
      </c>
      <c r="J97" s="111">
        <v>3.12</v>
      </c>
      <c r="K97" s="99">
        <f t="shared" si="4"/>
        <v>1.3350871950210674E-3</v>
      </c>
      <c r="L97" s="105" t="str">
        <f t="shared" si="5"/>
        <v>Post to Default Outlet</v>
      </c>
      <c r="M97" s="90">
        <f t="shared" si="6"/>
        <v>1.3350871950210674E-3</v>
      </c>
      <c r="N97" s="90">
        <f t="shared" si="7"/>
        <v>0</v>
      </c>
      <c r="O97" s="68" t="s">
        <v>2761</v>
      </c>
      <c r="P97" s="63"/>
      <c r="Q97" s="62"/>
    </row>
    <row r="98" spans="1:17" ht="15" customHeight="1" x14ac:dyDescent="0.3">
      <c r="A98" s="70" t="s">
        <v>2846</v>
      </c>
      <c r="B98" s="112" t="s">
        <v>2053</v>
      </c>
      <c r="C98" s="101" t="s">
        <v>421</v>
      </c>
      <c r="D98" s="76" t="str">
        <f>IFERROR(INDEX(M_User!$A$12:$J$67,MATCH(C98,M_User!$D$12:$D$67,0),3),"UNMAPPED")</f>
        <v>Deodat Francis Materu</v>
      </c>
      <c r="E98" s="75" t="str">
        <f>IFERROR(INDEX(M_User!$A$12:$J$67,MATCH(C98,M_User!$D$12:$D$67,0),5),"UNMAPPED")</f>
        <v>MOS</v>
      </c>
      <c r="F98" s="101" t="s">
        <v>190</v>
      </c>
      <c r="G98" s="76" t="str">
        <f>IFERROR(INDEX(M_SKU!$A$18:$J$57,MATCH(F98,M_SKU!$B$18:$B$57,0),1),"UNKNOWN SKU")</f>
        <v>Stoney Tangawizi RGB 350ml</v>
      </c>
      <c r="H98" s="101" t="s">
        <v>536</v>
      </c>
      <c r="I98" s="102">
        <f>IFERROR(INDEX(T_Unload!$K$10:$K$433,MATCH(B98,T_Unload!$B$10:$B$433,0)),0)</f>
        <v>0.99851186892785027</v>
      </c>
      <c r="J98" s="111">
        <v>1</v>
      </c>
      <c r="K98" s="113">
        <f t="shared" si="4"/>
        <v>-1.4881310721497343E-3</v>
      </c>
      <c r="L98" s="114" t="str">
        <f t="shared" si="5"/>
        <v>Adjust Unload Upward</v>
      </c>
      <c r="M98" s="115">
        <f t="shared" si="6"/>
        <v>0</v>
      </c>
      <c r="N98" s="115">
        <f t="shared" si="7"/>
        <v>1.4881310721497343E-3</v>
      </c>
      <c r="O98" s="116" t="s">
        <v>2761</v>
      </c>
      <c r="P98" s="117"/>
      <c r="Q98" s="118"/>
    </row>
    <row r="99" spans="1:17" ht="15" customHeight="1" x14ac:dyDescent="0.3">
      <c r="A99" s="60" t="s">
        <v>2847</v>
      </c>
      <c r="B99" s="97" t="s">
        <v>2055</v>
      </c>
      <c r="C99" s="63" t="s">
        <v>421</v>
      </c>
      <c r="D99" s="66" t="str">
        <f>IFERROR(INDEX(M_User!$A$12:$J$67,MATCH(C99,M_User!$D$12:$D$67,0),3),"UNMAPPED")</f>
        <v>Deodat Francis Materu</v>
      </c>
      <c r="E99" s="65" t="str">
        <f>IFERROR(INDEX(M_User!$A$12:$J$67,MATCH(C99,M_User!$D$12:$D$67,0),5),"UNMAPPED")</f>
        <v>MOS</v>
      </c>
      <c r="F99" s="63" t="s">
        <v>193</v>
      </c>
      <c r="G99" s="66" t="str">
        <f>IFERROR(INDEX(M_SKU!$A$18:$J$57,MATCH(F99,M_SKU!$B$18:$B$57,0),1),"UNKNOWN SKU")</f>
        <v>Sparletta Pinenut RGB 350ml</v>
      </c>
      <c r="H99" s="63" t="s">
        <v>537</v>
      </c>
      <c r="I99" s="98">
        <f>IFERROR(INDEX(T_Unload!$K$10:$K$433,MATCH(B99,T_Unload!$B$10:$B$433,0)),0)</f>
        <v>0.94324817493140678</v>
      </c>
      <c r="J99" s="111">
        <v>0.94</v>
      </c>
      <c r="K99" s="99">
        <f t="shared" si="4"/>
        <v>3.2481749314068331E-3</v>
      </c>
      <c r="L99" s="105" t="str">
        <f t="shared" si="5"/>
        <v>Post to Default Outlet</v>
      </c>
      <c r="M99" s="90">
        <f t="shared" si="6"/>
        <v>3.2481749314068331E-3</v>
      </c>
      <c r="N99" s="90">
        <f t="shared" si="7"/>
        <v>0</v>
      </c>
      <c r="O99" s="68" t="s">
        <v>2761</v>
      </c>
      <c r="P99" s="63"/>
      <c r="Q99" s="62"/>
    </row>
    <row r="100" spans="1:17" ht="15" customHeight="1" x14ac:dyDescent="0.3">
      <c r="A100" s="70" t="s">
        <v>2848</v>
      </c>
      <c r="B100" s="112" t="s">
        <v>2057</v>
      </c>
      <c r="C100" s="101" t="s">
        <v>421</v>
      </c>
      <c r="D100" s="76" t="str">
        <f>IFERROR(INDEX(M_User!$A$12:$J$67,MATCH(C100,M_User!$D$12:$D$67,0),3),"UNMAPPED")</f>
        <v>Deodat Francis Materu</v>
      </c>
      <c r="E100" s="75" t="str">
        <f>IFERROR(INDEX(M_User!$A$12:$J$67,MATCH(C100,M_User!$D$12:$D$67,0),5),"UNMAPPED")</f>
        <v>MOS</v>
      </c>
      <c r="F100" s="101" t="s">
        <v>196</v>
      </c>
      <c r="G100" s="76" t="str">
        <f>IFERROR(INDEX(M_SKU!$A$18:$J$57,MATCH(F100,M_SKU!$B$18:$B$57,0),1),"UNKNOWN SKU")</f>
        <v>Krest Bitter Lemon RGB 300ml</v>
      </c>
      <c r="H100" s="101" t="s">
        <v>538</v>
      </c>
      <c r="I100" s="102">
        <f>IFERROR(INDEX(T_Unload!$K$10:$K$433,MATCH(B100,T_Unload!$B$10:$B$433,0)),0)</f>
        <v>0.98745196877274033</v>
      </c>
      <c r="J100" s="111">
        <v>0.99</v>
      </c>
      <c r="K100" s="113">
        <f t="shared" si="4"/>
        <v>-2.5480312272596617E-3</v>
      </c>
      <c r="L100" s="114" t="str">
        <f t="shared" si="5"/>
        <v>Adjust Unload Upward</v>
      </c>
      <c r="M100" s="115">
        <f t="shared" si="6"/>
        <v>0</v>
      </c>
      <c r="N100" s="115">
        <f t="shared" si="7"/>
        <v>2.5480312272596617E-3</v>
      </c>
      <c r="O100" s="116" t="s">
        <v>2761</v>
      </c>
      <c r="P100" s="117"/>
      <c r="Q100" s="118"/>
    </row>
    <row r="101" spans="1:17" ht="15" customHeight="1" x14ac:dyDescent="0.3">
      <c r="A101" s="60" t="s">
        <v>2849</v>
      </c>
      <c r="B101" s="97" t="s">
        <v>2059</v>
      </c>
      <c r="C101" s="63" t="s">
        <v>421</v>
      </c>
      <c r="D101" s="66" t="str">
        <f>IFERROR(INDEX(M_User!$A$12:$J$67,MATCH(C101,M_User!$D$12:$D$67,0),3),"UNMAPPED")</f>
        <v>Deodat Francis Materu</v>
      </c>
      <c r="E101" s="65" t="str">
        <f>IFERROR(INDEX(M_User!$A$12:$J$67,MATCH(C101,M_User!$D$12:$D$67,0),5),"UNMAPPED")</f>
        <v>MOS</v>
      </c>
      <c r="F101" s="63" t="s">
        <v>199</v>
      </c>
      <c r="G101" s="66" t="str">
        <f>IFERROR(INDEX(M_SKU!$A$18:$J$57,MATCH(F101,M_SKU!$B$18:$B$57,0),1),"UNKNOWN SKU")</f>
        <v>Krest Club Soda RGB 300ml</v>
      </c>
      <c r="H101" s="63" t="s">
        <v>539</v>
      </c>
      <c r="I101" s="98">
        <f>IFERROR(INDEX(T_Unload!$K$10:$K$433,MATCH(B101,T_Unload!$B$10:$B$433,0)),0)</f>
        <v>0.53130117424927281</v>
      </c>
      <c r="J101" s="111">
        <v>0.53</v>
      </c>
      <c r="K101" s="99">
        <f t="shared" si="4"/>
        <v>1.3011742492727851E-3</v>
      </c>
      <c r="L101" s="105" t="str">
        <f t="shared" si="5"/>
        <v>Post to Default Outlet</v>
      </c>
      <c r="M101" s="90">
        <f t="shared" si="6"/>
        <v>1.3011742492727851E-3</v>
      </c>
      <c r="N101" s="90">
        <f t="shared" si="7"/>
        <v>0</v>
      </c>
      <c r="O101" s="68" t="s">
        <v>2761</v>
      </c>
      <c r="P101" s="63"/>
      <c r="Q101" s="62"/>
    </row>
    <row r="102" spans="1:17" ht="15" customHeight="1" x14ac:dyDescent="0.3">
      <c r="A102" s="70" t="s">
        <v>2850</v>
      </c>
      <c r="B102" s="112" t="s">
        <v>2061</v>
      </c>
      <c r="C102" s="101" t="s">
        <v>421</v>
      </c>
      <c r="D102" s="76" t="str">
        <f>IFERROR(INDEX(M_User!$A$12:$J$67,MATCH(C102,M_User!$D$12:$D$67,0),3),"UNMAPPED")</f>
        <v>Deodat Francis Materu</v>
      </c>
      <c r="E102" s="75" t="str">
        <f>IFERROR(INDEX(M_User!$A$12:$J$67,MATCH(C102,M_User!$D$12:$D$67,0),5),"UNMAPPED")</f>
        <v>MOS</v>
      </c>
      <c r="F102" s="101" t="s">
        <v>201</v>
      </c>
      <c r="G102" s="76" t="str">
        <f>IFERROR(INDEX(M_SKU!$A$18:$J$57,MATCH(F102,M_SKU!$B$18:$B$57,0),1),"UNKNOWN SKU")</f>
        <v>Krest Tonic Water RGB 300ml</v>
      </c>
      <c r="H102" s="101" t="s">
        <v>540</v>
      </c>
      <c r="I102" s="102">
        <f>IFERROR(INDEX(T_Unload!$K$10:$K$433,MATCH(B102,T_Unload!$B$10:$B$433,0)),0)</f>
        <v>0.77082252986423949</v>
      </c>
      <c r="J102" s="111">
        <v>0.77</v>
      </c>
      <c r="K102" s="113">
        <f t="shared" si="4"/>
        <v>8.2252986423947405E-4</v>
      </c>
      <c r="L102" s="114" t="str">
        <f t="shared" si="5"/>
        <v>Post to Default Outlet</v>
      </c>
      <c r="M102" s="115">
        <f t="shared" si="6"/>
        <v>8.2252986423947405E-4</v>
      </c>
      <c r="N102" s="115">
        <f t="shared" si="7"/>
        <v>0</v>
      </c>
      <c r="O102" s="116" t="s">
        <v>2761</v>
      </c>
      <c r="P102" s="117"/>
      <c r="Q102" s="118"/>
    </row>
    <row r="103" spans="1:17" ht="15" customHeight="1" x14ac:dyDescent="0.3">
      <c r="A103" s="60" t="s">
        <v>2851</v>
      </c>
      <c r="B103" s="97" t="s">
        <v>2063</v>
      </c>
      <c r="C103" s="63" t="s">
        <v>421</v>
      </c>
      <c r="D103" s="66" t="str">
        <f>IFERROR(INDEX(M_User!$A$12:$J$67,MATCH(C103,M_User!$D$12:$D$67,0),3),"UNMAPPED")</f>
        <v>Deodat Francis Materu</v>
      </c>
      <c r="E103" s="65" t="str">
        <f>IFERROR(INDEX(M_User!$A$12:$J$67,MATCH(C103,M_User!$D$12:$D$67,0),5),"UNMAPPED")</f>
        <v>MOS</v>
      </c>
      <c r="F103" s="63" t="s">
        <v>203</v>
      </c>
      <c r="G103" s="66" t="str">
        <f>IFERROR(INDEX(M_SKU!$A$18:$J$57,MATCH(F103,M_SKU!$B$18:$B$57,0),1),"UNKNOWN SKU")</f>
        <v>Krest Ginger Ale RGB 300ml</v>
      </c>
      <c r="H103" s="63" t="s">
        <v>541</v>
      </c>
      <c r="I103" s="98">
        <f>IFERROR(INDEX(T_Unload!$K$10:$K$433,MATCH(B103,T_Unload!$B$10:$B$433,0)),0)</f>
        <v>0.54115339755356606</v>
      </c>
      <c r="J103" s="111">
        <v>0.54</v>
      </c>
      <c r="K103" s="99">
        <f t="shared" si="4"/>
        <v>1.1533975535660268E-3</v>
      </c>
      <c r="L103" s="105" t="str">
        <f t="shared" si="5"/>
        <v>Post to Default Outlet</v>
      </c>
      <c r="M103" s="90">
        <f t="shared" si="6"/>
        <v>1.1533975535660268E-3</v>
      </c>
      <c r="N103" s="90">
        <f t="shared" si="7"/>
        <v>0</v>
      </c>
      <c r="O103" s="68" t="s">
        <v>2761</v>
      </c>
      <c r="P103" s="63"/>
      <c r="Q103" s="62"/>
    </row>
    <row r="104" spans="1:17" ht="15" customHeight="1" x14ac:dyDescent="0.3">
      <c r="A104" s="70" t="s">
        <v>2852</v>
      </c>
      <c r="B104" s="112" t="s">
        <v>2065</v>
      </c>
      <c r="C104" s="101" t="s">
        <v>421</v>
      </c>
      <c r="D104" s="76" t="str">
        <f>IFERROR(INDEX(M_User!$A$12:$J$67,MATCH(C104,M_User!$D$12:$D$67,0),3),"UNMAPPED")</f>
        <v>Deodat Francis Materu</v>
      </c>
      <c r="E104" s="75" t="str">
        <f>IFERROR(INDEX(M_User!$A$12:$J$67,MATCH(C104,M_User!$D$12:$D$67,0),5),"UNMAPPED")</f>
        <v>MOS</v>
      </c>
      <c r="F104" s="101" t="s">
        <v>209</v>
      </c>
      <c r="G104" s="76" t="str">
        <f>IFERROR(INDEX(M_SKU!$A$18:$J$57,MATCH(F104,M_SKU!$B$18:$B$57,0),1),"UNKNOWN SKU")</f>
        <v>Sparletta Red Apple RGB 350ml</v>
      </c>
      <c r="H104" s="101" t="s">
        <v>542</v>
      </c>
      <c r="I104" s="102">
        <f>IFERROR(INDEX(T_Unload!$K$10:$K$433,MATCH(B104,T_Unload!$B$10:$B$433,0)),0)</f>
        <v>0.44276400835720797</v>
      </c>
      <c r="J104" s="111">
        <v>0.44</v>
      </c>
      <c r="K104" s="113">
        <f t="shared" si="4"/>
        <v>2.7640083572079699E-3</v>
      </c>
      <c r="L104" s="114" t="str">
        <f t="shared" si="5"/>
        <v>Post to Default Outlet</v>
      </c>
      <c r="M104" s="115">
        <f t="shared" si="6"/>
        <v>2.7640083572079699E-3</v>
      </c>
      <c r="N104" s="115">
        <f t="shared" si="7"/>
        <v>0</v>
      </c>
      <c r="O104" s="116" t="s">
        <v>2761</v>
      </c>
      <c r="P104" s="117"/>
      <c r="Q104" s="118"/>
    </row>
    <row r="105" spans="1:17" ht="15" customHeight="1" x14ac:dyDescent="0.3">
      <c r="A105" s="60" t="s">
        <v>2853</v>
      </c>
      <c r="B105" s="97" t="s">
        <v>2067</v>
      </c>
      <c r="C105" s="63" t="s">
        <v>421</v>
      </c>
      <c r="D105" s="66" t="str">
        <f>IFERROR(INDEX(M_User!$A$12:$J$67,MATCH(C105,M_User!$D$12:$D$67,0),3),"UNMAPPED")</f>
        <v>Deodat Francis Materu</v>
      </c>
      <c r="E105" s="65" t="str">
        <f>IFERROR(INDEX(M_User!$A$12:$J$67,MATCH(C105,M_User!$D$12:$D$67,0),5),"UNMAPPED")</f>
        <v>MOS</v>
      </c>
      <c r="F105" s="63" t="s">
        <v>211</v>
      </c>
      <c r="G105" s="66" t="str">
        <f>IFERROR(INDEX(M_SKU!$A$18:$J$57,MATCH(F105,M_SKU!$B$18:$B$57,0),1),"UNKNOWN SKU")</f>
        <v>KNMW 500ml</v>
      </c>
      <c r="H105" s="63" t="s">
        <v>543</v>
      </c>
      <c r="I105" s="98">
        <f>IFERROR(INDEX(T_Unload!$K$10:$K$433,MATCH(B105,T_Unload!$B$10:$B$433,0)),0)</f>
        <v>14</v>
      </c>
      <c r="J105" s="111">
        <v>14</v>
      </c>
      <c r="K105" s="99">
        <f t="shared" si="4"/>
        <v>0</v>
      </c>
      <c r="L105" s="105" t="str">
        <f t="shared" si="5"/>
        <v>CLEAN</v>
      </c>
      <c r="M105" s="90">
        <f t="shared" si="6"/>
        <v>0</v>
      </c>
      <c r="N105" s="90">
        <f t="shared" si="7"/>
        <v>0</v>
      </c>
      <c r="O105" s="68" t="s">
        <v>2761</v>
      </c>
      <c r="P105" s="63"/>
      <c r="Q105" s="62"/>
    </row>
    <row r="106" spans="1:17" ht="15" customHeight="1" x14ac:dyDescent="0.3">
      <c r="A106" s="70" t="s">
        <v>2854</v>
      </c>
      <c r="B106" s="112" t="s">
        <v>2069</v>
      </c>
      <c r="C106" s="101" t="s">
        <v>421</v>
      </c>
      <c r="D106" s="76" t="str">
        <f>IFERROR(INDEX(M_User!$A$12:$J$67,MATCH(C106,M_User!$D$12:$D$67,0),3),"UNMAPPED")</f>
        <v>Deodat Francis Materu</v>
      </c>
      <c r="E106" s="75" t="str">
        <f>IFERROR(INDEX(M_User!$A$12:$J$67,MATCH(C106,M_User!$D$12:$D$67,0),5),"UNMAPPED")</f>
        <v>MOS</v>
      </c>
      <c r="F106" s="101" t="s">
        <v>217</v>
      </c>
      <c r="G106" s="76" t="str">
        <f>IFERROR(INDEX(M_SKU!$A$18:$J$57,MATCH(F106,M_SKU!$B$18:$B$57,0),1),"UNKNOWN SKU")</f>
        <v>KNMW 1500ml</v>
      </c>
      <c r="H106" s="101" t="s">
        <v>551</v>
      </c>
      <c r="I106" s="102">
        <f>IFERROR(INDEX(T_Unload!$K$10:$K$433,MATCH(B106,T_Unload!$B$10:$B$433,0)),0)</f>
        <v>21</v>
      </c>
      <c r="J106" s="111">
        <v>21</v>
      </c>
      <c r="K106" s="113">
        <f t="shared" si="4"/>
        <v>0</v>
      </c>
      <c r="L106" s="114" t="str">
        <f t="shared" si="5"/>
        <v>CLEAN</v>
      </c>
      <c r="M106" s="115">
        <f t="shared" si="6"/>
        <v>0</v>
      </c>
      <c r="N106" s="115">
        <f t="shared" si="7"/>
        <v>0</v>
      </c>
      <c r="O106" s="116" t="s">
        <v>2761</v>
      </c>
      <c r="P106" s="117"/>
      <c r="Q106" s="118"/>
    </row>
    <row r="107" spans="1:17" ht="15" customHeight="1" x14ac:dyDescent="0.3">
      <c r="A107" s="60" t="s">
        <v>2855</v>
      </c>
      <c r="B107" s="97" t="s">
        <v>2071</v>
      </c>
      <c r="C107" s="63" t="s">
        <v>421</v>
      </c>
      <c r="D107" s="66" t="str">
        <f>IFERROR(INDEX(M_User!$A$12:$J$67,MATCH(C107,M_User!$D$12:$D$67,0),3),"UNMAPPED")</f>
        <v>Deodat Francis Materu</v>
      </c>
      <c r="E107" s="65" t="str">
        <f>IFERROR(INDEX(M_User!$A$12:$J$67,MATCH(C107,M_User!$D$12:$D$67,0),5),"UNMAPPED")</f>
        <v>MOS</v>
      </c>
      <c r="F107" s="63" t="s">
        <v>229</v>
      </c>
      <c r="G107" s="66" t="str">
        <f>IFERROR(INDEX(M_SKU!$A$18:$J$57,MATCH(F107,M_SKU!$B$18:$B$57,0),1),"UNKNOWN SKU")</f>
        <v>Coke Pet 500ML ( x12)</v>
      </c>
      <c r="H107" s="63" t="s">
        <v>520</v>
      </c>
      <c r="I107" s="98">
        <f>IFERROR(INDEX(T_Unload!$K$10:$K$433,MATCH(B107,T_Unload!$B$10:$B$433,0)),0)</f>
        <v>9</v>
      </c>
      <c r="J107" s="111">
        <v>9</v>
      </c>
      <c r="K107" s="99">
        <f t="shared" si="4"/>
        <v>0</v>
      </c>
      <c r="L107" s="105" t="str">
        <f t="shared" si="5"/>
        <v>CLEAN</v>
      </c>
      <c r="M107" s="90">
        <f t="shared" si="6"/>
        <v>0</v>
      </c>
      <c r="N107" s="90">
        <f t="shared" si="7"/>
        <v>0</v>
      </c>
      <c r="O107" s="68" t="s">
        <v>2761</v>
      </c>
      <c r="P107" s="63"/>
      <c r="Q107" s="62"/>
    </row>
    <row r="108" spans="1:17" ht="15" customHeight="1" x14ac:dyDescent="0.3">
      <c r="A108" s="70" t="s">
        <v>2856</v>
      </c>
      <c r="B108" s="112" t="s">
        <v>2073</v>
      </c>
      <c r="C108" s="101" t="s">
        <v>421</v>
      </c>
      <c r="D108" s="76" t="str">
        <f>IFERROR(INDEX(M_User!$A$12:$J$67,MATCH(C108,M_User!$D$12:$D$67,0),3),"UNMAPPED")</f>
        <v>Deodat Francis Materu</v>
      </c>
      <c r="E108" s="75" t="str">
        <f>IFERROR(INDEX(M_User!$A$12:$J$67,MATCH(C108,M_User!$D$12:$D$67,0),5),"UNMAPPED")</f>
        <v>MOS</v>
      </c>
      <c r="F108" s="101" t="s">
        <v>232</v>
      </c>
      <c r="G108" s="76" t="str">
        <f>IFERROR(INDEX(M_SKU!$A$18:$J$57,MATCH(F108,M_SKU!$B$18:$B$57,0),1),"UNKNOWN SKU")</f>
        <v>Sprite Pet 500ML (x 12)</v>
      </c>
      <c r="H108" s="101" t="s">
        <v>522</v>
      </c>
      <c r="I108" s="102">
        <f>IFERROR(INDEX(T_Unload!$K$10:$K$433,MATCH(B108,T_Unload!$B$10:$B$433,0)),0)</f>
        <v>3</v>
      </c>
      <c r="J108" s="111">
        <v>3</v>
      </c>
      <c r="K108" s="113">
        <f t="shared" si="4"/>
        <v>0</v>
      </c>
      <c r="L108" s="114" t="str">
        <f t="shared" si="5"/>
        <v>CLEAN</v>
      </c>
      <c r="M108" s="115">
        <f t="shared" si="6"/>
        <v>0</v>
      </c>
      <c r="N108" s="115">
        <f t="shared" si="7"/>
        <v>0</v>
      </c>
      <c r="O108" s="116" t="s">
        <v>2761</v>
      </c>
      <c r="P108" s="117"/>
      <c r="Q108" s="118"/>
    </row>
    <row r="109" spans="1:17" ht="15" customHeight="1" x14ac:dyDescent="0.3">
      <c r="A109" s="60" t="s">
        <v>2857</v>
      </c>
      <c r="B109" s="97" t="s">
        <v>2075</v>
      </c>
      <c r="C109" s="63" t="s">
        <v>421</v>
      </c>
      <c r="D109" s="66" t="str">
        <f>IFERROR(INDEX(M_User!$A$12:$J$67,MATCH(C109,M_User!$D$12:$D$67,0),3),"UNMAPPED")</f>
        <v>Deodat Francis Materu</v>
      </c>
      <c r="E109" s="65" t="str">
        <f>IFERROR(INDEX(M_User!$A$12:$J$67,MATCH(C109,M_User!$D$12:$D$67,0),5),"UNMAPPED")</f>
        <v>MOS</v>
      </c>
      <c r="F109" s="63" t="s">
        <v>234</v>
      </c>
      <c r="G109" s="66" t="str">
        <f>IFERROR(INDEX(M_SKU!$A$18:$J$57,MATCH(F109,M_SKU!$B$18:$B$57,0),1),"UNKNOWN SKU")</f>
        <v>Fanta Orange Pet 500ML ( x 12)</v>
      </c>
      <c r="H109" s="63" t="s">
        <v>523</v>
      </c>
      <c r="I109" s="98">
        <f>IFERROR(INDEX(T_Unload!$K$10:$K$433,MATCH(B109,T_Unload!$B$10:$B$433,0)),0)</f>
        <v>3</v>
      </c>
      <c r="J109" s="111">
        <v>3</v>
      </c>
      <c r="K109" s="99">
        <f t="shared" si="4"/>
        <v>0</v>
      </c>
      <c r="L109" s="105" t="str">
        <f t="shared" si="5"/>
        <v>CLEAN</v>
      </c>
      <c r="M109" s="90">
        <f t="shared" si="6"/>
        <v>0</v>
      </c>
      <c r="N109" s="90">
        <f t="shared" si="7"/>
        <v>0</v>
      </c>
      <c r="O109" s="68" t="s">
        <v>2761</v>
      </c>
      <c r="P109" s="63"/>
      <c r="Q109" s="62"/>
    </row>
    <row r="110" spans="1:17" ht="15" customHeight="1" x14ac:dyDescent="0.3">
      <c r="A110" s="70" t="s">
        <v>2858</v>
      </c>
      <c r="B110" s="112" t="s">
        <v>2077</v>
      </c>
      <c r="C110" s="101" t="s">
        <v>421</v>
      </c>
      <c r="D110" s="76" t="str">
        <f>IFERROR(INDEX(M_User!$A$12:$J$67,MATCH(C110,M_User!$D$12:$D$67,0),3),"UNMAPPED")</f>
        <v>Deodat Francis Materu</v>
      </c>
      <c r="E110" s="75" t="str">
        <f>IFERROR(INDEX(M_User!$A$12:$J$67,MATCH(C110,M_User!$D$12:$D$67,0),5),"UNMAPPED")</f>
        <v>MOS</v>
      </c>
      <c r="F110" s="101" t="s">
        <v>236</v>
      </c>
      <c r="G110" s="76" t="str">
        <f>IFERROR(INDEX(M_SKU!$A$18:$J$57,MATCH(F110,M_SKU!$B$18:$B$57,0),1),"UNKNOWN SKU")</f>
        <v>Fanta Passion Pet 500ML ( x12)</v>
      </c>
      <c r="H110" s="101" t="s">
        <v>524</v>
      </c>
      <c r="I110" s="102">
        <f>IFERROR(INDEX(T_Unload!$K$10:$K$433,MATCH(B110,T_Unload!$B$10:$B$433,0)),0)</f>
        <v>1</v>
      </c>
      <c r="J110" s="111">
        <v>1</v>
      </c>
      <c r="K110" s="113">
        <f t="shared" si="4"/>
        <v>0</v>
      </c>
      <c r="L110" s="114" t="str">
        <f t="shared" si="5"/>
        <v>CLEAN</v>
      </c>
      <c r="M110" s="115">
        <f t="shared" si="6"/>
        <v>0</v>
      </c>
      <c r="N110" s="115">
        <f t="shared" si="7"/>
        <v>0</v>
      </c>
      <c r="O110" s="116" t="s">
        <v>2761</v>
      </c>
      <c r="P110" s="117"/>
      <c r="Q110" s="118"/>
    </row>
    <row r="111" spans="1:17" ht="15" customHeight="1" x14ac:dyDescent="0.3">
      <c r="A111" s="60" t="s">
        <v>2859</v>
      </c>
      <c r="B111" s="97" t="s">
        <v>2079</v>
      </c>
      <c r="C111" s="63" t="s">
        <v>421</v>
      </c>
      <c r="D111" s="66" t="str">
        <f>IFERROR(INDEX(M_User!$A$12:$J$67,MATCH(C111,M_User!$D$12:$D$67,0),3),"UNMAPPED")</f>
        <v>Deodat Francis Materu</v>
      </c>
      <c r="E111" s="65" t="str">
        <f>IFERROR(INDEX(M_User!$A$12:$J$67,MATCH(C111,M_User!$D$12:$D$67,0),5),"UNMAPPED")</f>
        <v>MOS</v>
      </c>
      <c r="F111" s="63" t="s">
        <v>240</v>
      </c>
      <c r="G111" s="66" t="str">
        <f>IFERROR(INDEX(M_SKU!$A$18:$J$57,MATCH(F111,M_SKU!$B$18:$B$57,0),1),"UNKNOWN SKU")</f>
        <v>Fanta Fruit Blast Pet 500ML (x12)</v>
      </c>
      <c r="H111" s="63" t="s">
        <v>552</v>
      </c>
      <c r="I111" s="98">
        <f>IFERROR(INDEX(T_Unload!$K$10:$K$433,MATCH(B111,T_Unload!$B$10:$B$433,0)),0)</f>
        <v>1</v>
      </c>
      <c r="J111" s="111">
        <v>1</v>
      </c>
      <c r="K111" s="99">
        <f t="shared" si="4"/>
        <v>0</v>
      </c>
      <c r="L111" s="105" t="str">
        <f t="shared" si="5"/>
        <v>CLEAN</v>
      </c>
      <c r="M111" s="90">
        <f t="shared" si="6"/>
        <v>0</v>
      </c>
      <c r="N111" s="90">
        <f t="shared" si="7"/>
        <v>0</v>
      </c>
      <c r="O111" s="68" t="s">
        <v>2761</v>
      </c>
      <c r="P111" s="63"/>
      <c r="Q111" s="62"/>
    </row>
    <row r="112" spans="1:17" ht="15" customHeight="1" x14ac:dyDescent="0.3">
      <c r="A112" s="70" t="s">
        <v>2860</v>
      </c>
      <c r="B112" s="112" t="s">
        <v>2081</v>
      </c>
      <c r="C112" s="101" t="s">
        <v>421</v>
      </c>
      <c r="D112" s="76" t="str">
        <f>IFERROR(INDEX(M_User!$A$12:$J$67,MATCH(C112,M_User!$D$12:$D$67,0),3),"UNMAPPED")</f>
        <v>Deodat Francis Materu</v>
      </c>
      <c r="E112" s="75" t="str">
        <f>IFERROR(INDEX(M_User!$A$12:$J$67,MATCH(C112,M_User!$D$12:$D$67,0),5),"UNMAPPED")</f>
        <v>MOS</v>
      </c>
      <c r="F112" s="101" t="s">
        <v>240</v>
      </c>
      <c r="G112" s="76" t="str">
        <f>IFERROR(INDEX(M_SKU!$A$18:$J$57,MATCH(F112,M_SKU!$B$18:$B$57,0),1),"UNKNOWN SKU")</f>
        <v>Fanta Fruit Blast Pet 500ML (x12)</v>
      </c>
      <c r="H112" s="101" t="s">
        <v>553</v>
      </c>
      <c r="I112" s="102">
        <f>IFERROR(INDEX(T_Unload!$K$10:$K$433,MATCH(B112,T_Unload!$B$10:$B$433,0)),0)</f>
        <v>0</v>
      </c>
      <c r="J112" s="111">
        <v>0</v>
      </c>
      <c r="K112" s="113">
        <f t="shared" si="4"/>
        <v>0</v>
      </c>
      <c r="L112" s="114" t="str">
        <f t="shared" si="5"/>
        <v>CLEAN</v>
      </c>
      <c r="M112" s="115">
        <f t="shared" si="6"/>
        <v>0</v>
      </c>
      <c r="N112" s="115">
        <f t="shared" si="7"/>
        <v>0</v>
      </c>
      <c r="O112" s="116" t="s">
        <v>2761</v>
      </c>
      <c r="P112" s="117"/>
      <c r="Q112" s="118"/>
    </row>
    <row r="113" spans="1:17" ht="15" customHeight="1" x14ac:dyDescent="0.3">
      <c r="A113" s="60" t="s">
        <v>2861</v>
      </c>
      <c r="B113" s="97" t="s">
        <v>2083</v>
      </c>
      <c r="C113" s="63" t="s">
        <v>421</v>
      </c>
      <c r="D113" s="66" t="str">
        <f>IFERROR(INDEX(M_User!$A$12:$J$67,MATCH(C113,M_User!$D$12:$D$67,0),3),"UNMAPPED")</f>
        <v>Deodat Francis Materu</v>
      </c>
      <c r="E113" s="65" t="str">
        <f>IFERROR(INDEX(M_User!$A$12:$J$67,MATCH(C113,M_User!$D$12:$D$67,0),5),"UNMAPPED")</f>
        <v>MOS</v>
      </c>
      <c r="F113" s="63" t="s">
        <v>242</v>
      </c>
      <c r="G113" s="66" t="str">
        <f>IFERROR(INDEX(M_SKU!$A$18:$J$57,MATCH(F113,M_SKU!$B$18:$B$57,0),1),"UNKNOWN SKU")</f>
        <v>Stoney Tangawizi Pet 500 ml ( x12)</v>
      </c>
      <c r="H113" s="63" t="s">
        <v>525</v>
      </c>
      <c r="I113" s="98">
        <f>IFERROR(INDEX(T_Unload!$K$10:$K$433,MATCH(B113,T_Unload!$B$10:$B$433,0)),0)</f>
        <v>0</v>
      </c>
      <c r="J113" s="111">
        <v>0</v>
      </c>
      <c r="K113" s="99">
        <f t="shared" si="4"/>
        <v>0</v>
      </c>
      <c r="L113" s="105" t="str">
        <f t="shared" si="5"/>
        <v>CLEAN</v>
      </c>
      <c r="M113" s="90">
        <f t="shared" si="6"/>
        <v>0</v>
      </c>
      <c r="N113" s="90">
        <f t="shared" si="7"/>
        <v>0</v>
      </c>
      <c r="O113" s="68" t="s">
        <v>2761</v>
      </c>
      <c r="P113" s="63"/>
      <c r="Q113" s="62"/>
    </row>
    <row r="114" spans="1:17" ht="15" customHeight="1" x14ac:dyDescent="0.3">
      <c r="A114" s="70" t="s">
        <v>2862</v>
      </c>
      <c r="B114" s="112" t="s">
        <v>2085</v>
      </c>
      <c r="C114" s="101" t="s">
        <v>421</v>
      </c>
      <c r="D114" s="76" t="str">
        <f>IFERROR(INDEX(M_User!$A$12:$J$67,MATCH(C114,M_User!$D$12:$D$67,0),3),"UNMAPPED")</f>
        <v>Deodat Francis Materu</v>
      </c>
      <c r="E114" s="75" t="str">
        <f>IFERROR(INDEX(M_User!$A$12:$J$67,MATCH(C114,M_User!$D$12:$D$67,0),5),"UNMAPPED")</f>
        <v>MOS</v>
      </c>
      <c r="F114" s="101" t="s">
        <v>244</v>
      </c>
      <c r="G114" s="76" t="str">
        <f>IFERROR(INDEX(M_SKU!$A$18:$J$57,MATCH(F114,M_SKU!$B$18:$B$57,0),1),"UNKNOWN SKU")</f>
        <v>Sparletta Pinenut Pet 500 ml ( x12)</v>
      </c>
      <c r="H114" s="101" t="s">
        <v>526</v>
      </c>
      <c r="I114" s="102">
        <f>IFERROR(INDEX(T_Unload!$K$10:$K$433,MATCH(B114,T_Unload!$B$10:$B$433,0)),0)</f>
        <v>0</v>
      </c>
      <c r="J114" s="111">
        <v>0</v>
      </c>
      <c r="K114" s="113">
        <f t="shared" si="4"/>
        <v>0</v>
      </c>
      <c r="L114" s="114" t="str">
        <f t="shared" si="5"/>
        <v>CLEAN</v>
      </c>
      <c r="M114" s="115">
        <f t="shared" si="6"/>
        <v>0</v>
      </c>
      <c r="N114" s="115">
        <f t="shared" si="7"/>
        <v>0</v>
      </c>
      <c r="O114" s="116" t="s">
        <v>2761</v>
      </c>
      <c r="P114" s="117"/>
      <c r="Q114" s="118"/>
    </row>
    <row r="115" spans="1:17" ht="15" customHeight="1" x14ac:dyDescent="0.3">
      <c r="A115" s="60" t="s">
        <v>2863</v>
      </c>
      <c r="B115" s="97" t="s">
        <v>2087</v>
      </c>
      <c r="C115" s="63" t="s">
        <v>421</v>
      </c>
      <c r="D115" s="66" t="str">
        <f>IFERROR(INDEX(M_User!$A$12:$J$67,MATCH(C115,M_User!$D$12:$D$67,0),3),"UNMAPPED")</f>
        <v>Deodat Francis Materu</v>
      </c>
      <c r="E115" s="65" t="str">
        <f>IFERROR(INDEX(M_User!$A$12:$J$67,MATCH(C115,M_User!$D$12:$D$67,0),5),"UNMAPPED")</f>
        <v>MOS</v>
      </c>
      <c r="F115" s="63" t="s">
        <v>246</v>
      </c>
      <c r="G115" s="66" t="str">
        <f>IFERROR(INDEX(M_SKU!$A$18:$J$57,MATCH(F115,M_SKU!$B$18:$B$57,0),1),"UNKNOWN SKU")</f>
        <v>Coke Zero Pet 500ML ( X 12)</v>
      </c>
      <c r="H115" s="63" t="s">
        <v>554</v>
      </c>
      <c r="I115" s="98">
        <f>IFERROR(INDEX(T_Unload!$K$10:$K$433,MATCH(B115,T_Unload!$B$10:$B$433,0)),0)</f>
        <v>1</v>
      </c>
      <c r="J115" s="111">
        <v>1</v>
      </c>
      <c r="K115" s="99">
        <f t="shared" si="4"/>
        <v>0</v>
      </c>
      <c r="L115" s="105" t="str">
        <f t="shared" si="5"/>
        <v>CLEAN</v>
      </c>
      <c r="M115" s="90">
        <f t="shared" si="6"/>
        <v>0</v>
      </c>
      <c r="N115" s="90">
        <f t="shared" si="7"/>
        <v>0</v>
      </c>
      <c r="O115" s="68" t="s">
        <v>2761</v>
      </c>
      <c r="P115" s="63"/>
      <c r="Q115" s="62"/>
    </row>
    <row r="116" spans="1:17" ht="15" customHeight="1" x14ac:dyDescent="0.3">
      <c r="A116" s="70" t="s">
        <v>2864</v>
      </c>
      <c r="B116" s="112" t="s">
        <v>2089</v>
      </c>
      <c r="C116" s="101" t="s">
        <v>421</v>
      </c>
      <c r="D116" s="76" t="str">
        <f>IFERROR(INDEX(M_User!$A$12:$J$67,MATCH(C116,M_User!$D$12:$D$67,0),3),"UNMAPPED")</f>
        <v>Deodat Francis Materu</v>
      </c>
      <c r="E116" s="75" t="str">
        <f>IFERROR(INDEX(M_User!$A$12:$J$67,MATCH(C116,M_User!$D$12:$D$67,0),5),"UNMAPPED")</f>
        <v>MOS</v>
      </c>
      <c r="F116" s="101" t="s">
        <v>252</v>
      </c>
      <c r="G116" s="76" t="str">
        <f>IFERROR(INDEX(M_SKU!$A$18:$J$57,MATCH(F116,M_SKU!$B$18:$B$57,0),1),"UNKNOWN SKU")</f>
        <v>Sprite Zero Pet 300ML (x 12)</v>
      </c>
      <c r="H116" s="101" t="s">
        <v>545</v>
      </c>
      <c r="I116" s="102">
        <f>IFERROR(INDEX(T_Unload!$K$10:$K$433,MATCH(B116,T_Unload!$B$10:$B$433,0)),0)</f>
        <v>1</v>
      </c>
      <c r="J116" s="111">
        <v>1</v>
      </c>
      <c r="K116" s="113">
        <f t="shared" si="4"/>
        <v>0</v>
      </c>
      <c r="L116" s="114" t="str">
        <f t="shared" si="5"/>
        <v>CLEAN</v>
      </c>
      <c r="M116" s="115">
        <f t="shared" si="6"/>
        <v>0</v>
      </c>
      <c r="N116" s="115">
        <f t="shared" si="7"/>
        <v>0</v>
      </c>
      <c r="O116" s="116" t="s">
        <v>2761</v>
      </c>
      <c r="P116" s="117"/>
      <c r="Q116" s="118"/>
    </row>
    <row r="117" spans="1:17" ht="15" customHeight="1" x14ac:dyDescent="0.3">
      <c r="A117" s="60" t="s">
        <v>2865</v>
      </c>
      <c r="B117" s="97" t="s">
        <v>2091</v>
      </c>
      <c r="C117" s="63" t="s">
        <v>421</v>
      </c>
      <c r="D117" s="66" t="str">
        <f>IFERROR(INDEX(M_User!$A$12:$J$67,MATCH(C117,M_User!$D$12:$D$67,0),3),"UNMAPPED")</f>
        <v>Deodat Francis Materu</v>
      </c>
      <c r="E117" s="65" t="str">
        <f>IFERROR(INDEX(M_User!$A$12:$J$67,MATCH(C117,M_User!$D$12:$D$67,0),5),"UNMAPPED")</f>
        <v>MOS</v>
      </c>
      <c r="F117" s="63" t="s">
        <v>254</v>
      </c>
      <c r="G117" s="66" t="str">
        <f>IFERROR(INDEX(M_SKU!$A$18:$J$57,MATCH(F117,M_SKU!$B$18:$B$57,0),1),"UNKNOWN SKU")</f>
        <v>Fanta Zero Pet 300ML (x 12)</v>
      </c>
      <c r="H117" s="63" t="s">
        <v>546</v>
      </c>
      <c r="I117" s="98">
        <f>IFERROR(INDEX(T_Unload!$K$10:$K$433,MATCH(B117,T_Unload!$B$10:$B$433,0)),0)</f>
        <v>1</v>
      </c>
      <c r="J117" s="111">
        <v>1</v>
      </c>
      <c r="K117" s="99">
        <f t="shared" si="4"/>
        <v>0</v>
      </c>
      <c r="L117" s="105" t="str">
        <f t="shared" si="5"/>
        <v>CLEAN</v>
      </c>
      <c r="M117" s="90">
        <f t="shared" si="6"/>
        <v>0</v>
      </c>
      <c r="N117" s="90">
        <f t="shared" si="7"/>
        <v>0</v>
      </c>
      <c r="O117" s="68" t="s">
        <v>2761</v>
      </c>
      <c r="P117" s="63"/>
      <c r="Q117" s="62"/>
    </row>
    <row r="118" spans="1:17" ht="15" customHeight="1" x14ac:dyDescent="0.3">
      <c r="A118" s="70" t="s">
        <v>2866</v>
      </c>
      <c r="B118" s="112" t="s">
        <v>2093</v>
      </c>
      <c r="C118" s="101" t="s">
        <v>421</v>
      </c>
      <c r="D118" s="76" t="str">
        <f>IFERROR(INDEX(M_User!$A$12:$J$67,MATCH(C118,M_User!$D$12:$D$67,0),3),"UNMAPPED")</f>
        <v>Deodat Francis Materu</v>
      </c>
      <c r="E118" s="75" t="str">
        <f>IFERROR(INDEX(M_User!$A$12:$J$67,MATCH(C118,M_User!$D$12:$D$67,0),5),"UNMAPPED")</f>
        <v>MOS</v>
      </c>
      <c r="F118" s="101" t="s">
        <v>256</v>
      </c>
      <c r="G118" s="76" t="str">
        <f>IFERROR(INDEX(M_SKU!$A$18:$J$57,MATCH(F118,M_SKU!$B$18:$B$57,0),1),"UNKNOWN SKU")</f>
        <v>Sparletta Red Apple Pet 300ML(x 12)</v>
      </c>
      <c r="H118" s="101" t="s">
        <v>555</v>
      </c>
      <c r="I118" s="102">
        <f>IFERROR(INDEX(T_Unload!$K$10:$K$433,MATCH(B118,T_Unload!$B$10:$B$433,0)),0)</f>
        <v>1</v>
      </c>
      <c r="J118" s="111">
        <v>1</v>
      </c>
      <c r="K118" s="113">
        <f t="shared" si="4"/>
        <v>0</v>
      </c>
      <c r="L118" s="114" t="str">
        <f t="shared" si="5"/>
        <v>CLEAN</v>
      </c>
      <c r="M118" s="115">
        <f t="shared" si="6"/>
        <v>0</v>
      </c>
      <c r="N118" s="115">
        <f t="shared" si="7"/>
        <v>0</v>
      </c>
      <c r="O118" s="116" t="s">
        <v>2761</v>
      </c>
      <c r="P118" s="117"/>
      <c r="Q118" s="118"/>
    </row>
    <row r="119" spans="1:17" ht="15" customHeight="1" x14ac:dyDescent="0.3">
      <c r="A119" s="60" t="s">
        <v>2867</v>
      </c>
      <c r="B119" s="97" t="s">
        <v>2095</v>
      </c>
      <c r="C119" s="63" t="s">
        <v>421</v>
      </c>
      <c r="D119" s="66" t="str">
        <f>IFERROR(INDEX(M_User!$A$12:$J$67,MATCH(C119,M_User!$D$12:$D$67,0),3),"UNMAPPED")</f>
        <v>Deodat Francis Materu</v>
      </c>
      <c r="E119" s="65" t="str">
        <f>IFERROR(INDEX(M_User!$A$12:$J$67,MATCH(C119,M_User!$D$12:$D$67,0),5),"UNMAPPED")</f>
        <v>MOS</v>
      </c>
      <c r="F119" s="63" t="s">
        <v>261</v>
      </c>
      <c r="G119" s="66" t="str">
        <f>IFERROR(INDEX(M_SKU!$A$18:$J$57,MATCH(F119,M_SKU!$B$18:$B$57,0),1),"UNKNOWN SKU")</f>
        <v>Sparletta Pine Apple Pet 300ML (x 12)</v>
      </c>
      <c r="H119" s="63" t="s">
        <v>547</v>
      </c>
      <c r="I119" s="98">
        <f>IFERROR(INDEX(T_Unload!$K$10:$K$433,MATCH(B119,T_Unload!$B$10:$B$433,0)),0)</f>
        <v>1</v>
      </c>
      <c r="J119" s="111">
        <v>1</v>
      </c>
      <c r="K119" s="99">
        <f t="shared" si="4"/>
        <v>0</v>
      </c>
      <c r="L119" s="105" t="str">
        <f t="shared" si="5"/>
        <v>CLEAN</v>
      </c>
      <c r="M119" s="90">
        <f t="shared" si="6"/>
        <v>0</v>
      </c>
      <c r="N119" s="90">
        <f t="shared" si="7"/>
        <v>0</v>
      </c>
      <c r="O119" s="68" t="s">
        <v>2761</v>
      </c>
      <c r="P119" s="63"/>
      <c r="Q119" s="62"/>
    </row>
    <row r="120" spans="1:17" ht="15" customHeight="1" x14ac:dyDescent="0.3">
      <c r="A120" s="70" t="s">
        <v>2868</v>
      </c>
      <c r="B120" s="112" t="s">
        <v>2097</v>
      </c>
      <c r="C120" s="101" t="s">
        <v>336</v>
      </c>
      <c r="D120" s="76" t="str">
        <f>IFERROR(INDEX(M_User!$A$12:$J$67,MATCH(C120,M_User!$D$12:$D$67,0),3),"UNMAPPED")</f>
        <v>George Gibson Mmary</v>
      </c>
      <c r="E120" s="75" t="str">
        <f>IFERROR(INDEX(M_User!$A$12:$J$67,MATCH(C120,M_User!$D$12:$D$67,0),5),"UNMAPPED")</f>
        <v>MOS</v>
      </c>
      <c r="F120" s="101" t="s">
        <v>170</v>
      </c>
      <c r="G120" s="76" t="str">
        <f>IFERROR(INDEX(M_SKU!$A$18:$J$57,MATCH(F120,M_SKU!$B$18:$B$57,0),1),"UNKNOWN SKU")</f>
        <v>Coke RGB 350ml</v>
      </c>
      <c r="H120" s="101" t="s">
        <v>585</v>
      </c>
      <c r="I120" s="102">
        <f>IFERROR(INDEX(T_Unload!$K$10:$K$433,MATCH(B120,T_Unload!$B$10:$B$433,0)),0)</f>
        <v>19.315713600711902</v>
      </c>
      <c r="J120" s="111">
        <v>19.32</v>
      </c>
      <c r="K120" s="113">
        <f t="shared" si="4"/>
        <v>-4.2863992880981527E-3</v>
      </c>
      <c r="L120" s="114" t="str">
        <f t="shared" si="5"/>
        <v>Adjust Unload Upward</v>
      </c>
      <c r="M120" s="115">
        <f t="shared" si="6"/>
        <v>0</v>
      </c>
      <c r="N120" s="115">
        <f t="shared" si="7"/>
        <v>4.2863992880981527E-3</v>
      </c>
      <c r="O120" s="116" t="s">
        <v>2761</v>
      </c>
      <c r="P120" s="117"/>
      <c r="Q120" s="118"/>
    </row>
    <row r="121" spans="1:17" ht="15" customHeight="1" x14ac:dyDescent="0.3">
      <c r="A121" s="60" t="s">
        <v>2869</v>
      </c>
      <c r="B121" s="97" t="s">
        <v>2099</v>
      </c>
      <c r="C121" s="63" t="s">
        <v>336</v>
      </c>
      <c r="D121" s="66" t="str">
        <f>IFERROR(INDEX(M_User!$A$12:$J$67,MATCH(C121,M_User!$D$12:$D$67,0),3),"UNMAPPED")</f>
        <v>George Gibson Mmary</v>
      </c>
      <c r="E121" s="65" t="str">
        <f>IFERROR(INDEX(M_User!$A$12:$J$67,MATCH(C121,M_User!$D$12:$D$67,0),5),"UNMAPPED")</f>
        <v>MOS</v>
      </c>
      <c r="F121" s="63" t="s">
        <v>178</v>
      </c>
      <c r="G121" s="66" t="str">
        <f>IFERROR(INDEX(M_SKU!$A$18:$J$57,MATCH(F121,M_SKU!$B$18:$B$57,0),1),"UNKNOWN SKU")</f>
        <v>Fanta Orange RGB 350ml</v>
      </c>
      <c r="H121" s="63" t="s">
        <v>531</v>
      </c>
      <c r="I121" s="98">
        <f>IFERROR(INDEX(T_Unload!$K$10:$K$433,MATCH(B121,T_Unload!$B$10:$B$433,0)),0)</f>
        <v>6.6168932420414421</v>
      </c>
      <c r="J121" s="111">
        <v>6.62</v>
      </c>
      <c r="K121" s="99">
        <f t="shared" si="4"/>
        <v>-3.1067579585579708E-3</v>
      </c>
      <c r="L121" s="105" t="str">
        <f t="shared" si="5"/>
        <v>Adjust Unload Upward</v>
      </c>
      <c r="M121" s="90">
        <f t="shared" si="6"/>
        <v>0</v>
      </c>
      <c r="N121" s="90">
        <f t="shared" si="7"/>
        <v>3.1067579585579708E-3</v>
      </c>
      <c r="O121" s="68" t="s">
        <v>2761</v>
      </c>
      <c r="P121" s="63"/>
      <c r="Q121" s="62"/>
    </row>
    <row r="122" spans="1:17" ht="15" customHeight="1" x14ac:dyDescent="0.3">
      <c r="A122" s="70" t="s">
        <v>2870</v>
      </c>
      <c r="B122" s="112" t="s">
        <v>2101</v>
      </c>
      <c r="C122" s="101" t="s">
        <v>336</v>
      </c>
      <c r="D122" s="76" t="str">
        <f>IFERROR(INDEX(M_User!$A$12:$J$67,MATCH(C122,M_User!$D$12:$D$67,0),3),"UNMAPPED")</f>
        <v>George Gibson Mmary</v>
      </c>
      <c r="E122" s="75" t="str">
        <f>IFERROR(INDEX(M_User!$A$12:$J$67,MATCH(C122,M_User!$D$12:$D$67,0),5),"UNMAPPED")</f>
        <v>MOS</v>
      </c>
      <c r="F122" s="101" t="s">
        <v>181</v>
      </c>
      <c r="G122" s="76" t="str">
        <f>IFERROR(INDEX(M_SKU!$A$18:$J$57,MATCH(F122,M_SKU!$B$18:$B$57,0),1),"UNKNOWN SKU")</f>
        <v>Fanta Passion RGB 350ml</v>
      </c>
      <c r="H122" s="101" t="s">
        <v>550</v>
      </c>
      <c r="I122" s="102">
        <f>IFERROR(INDEX(T_Unload!$K$10:$K$433,MATCH(B122,T_Unload!$B$10:$B$433,0)),0)</f>
        <v>3.7342364434444093</v>
      </c>
      <c r="J122" s="111">
        <v>3.73</v>
      </c>
      <c r="K122" s="113">
        <f t="shared" si="4"/>
        <v>4.2364434444093213E-3</v>
      </c>
      <c r="L122" s="114" t="str">
        <f t="shared" si="5"/>
        <v>Post to Default Outlet</v>
      </c>
      <c r="M122" s="115">
        <f t="shared" si="6"/>
        <v>4.2364434444093213E-3</v>
      </c>
      <c r="N122" s="115">
        <f t="shared" si="7"/>
        <v>0</v>
      </c>
      <c r="O122" s="116" t="s">
        <v>2761</v>
      </c>
      <c r="P122" s="117"/>
      <c r="Q122" s="118"/>
    </row>
    <row r="123" spans="1:17" ht="15" customHeight="1" x14ac:dyDescent="0.3">
      <c r="A123" s="60" t="s">
        <v>2871</v>
      </c>
      <c r="B123" s="97" t="s">
        <v>2103</v>
      </c>
      <c r="C123" s="63" t="s">
        <v>336</v>
      </c>
      <c r="D123" s="66" t="str">
        <f>IFERROR(INDEX(M_User!$A$12:$J$67,MATCH(C123,M_User!$D$12:$D$67,0),3),"UNMAPPED")</f>
        <v>George Gibson Mmary</v>
      </c>
      <c r="E123" s="65" t="str">
        <f>IFERROR(INDEX(M_User!$A$12:$J$67,MATCH(C123,M_User!$D$12:$D$67,0),5),"UNMAPPED")</f>
        <v>MOS</v>
      </c>
      <c r="F123" s="63" t="s">
        <v>183</v>
      </c>
      <c r="G123" s="66" t="str">
        <f>IFERROR(INDEX(M_SKU!$A$18:$J$57,MATCH(F123,M_SKU!$B$18:$B$57,0),1),"UNKNOWN SKU")</f>
        <v>Fanta Pineapple RGB 350ml</v>
      </c>
      <c r="H123" s="63" t="s">
        <v>533</v>
      </c>
      <c r="I123" s="98">
        <f>IFERROR(INDEX(T_Unload!$K$10:$K$433,MATCH(B123,T_Unload!$B$10:$B$433,0)),0)</f>
        <v>1.5904763643869497</v>
      </c>
      <c r="J123" s="111">
        <v>1.59</v>
      </c>
      <c r="K123" s="99">
        <f t="shared" si="4"/>
        <v>4.7636438694964589E-4</v>
      </c>
      <c r="L123" s="105" t="str">
        <f t="shared" si="5"/>
        <v>Post to Default Outlet</v>
      </c>
      <c r="M123" s="90">
        <f t="shared" si="6"/>
        <v>4.7636438694964589E-4</v>
      </c>
      <c r="N123" s="90">
        <f t="shared" si="7"/>
        <v>0</v>
      </c>
      <c r="O123" s="68" t="s">
        <v>2761</v>
      </c>
      <c r="P123" s="63"/>
      <c r="Q123" s="62"/>
    </row>
    <row r="124" spans="1:17" ht="15" customHeight="1" x14ac:dyDescent="0.3">
      <c r="A124" s="70" t="s">
        <v>2872</v>
      </c>
      <c r="B124" s="112" t="s">
        <v>2105</v>
      </c>
      <c r="C124" s="101" t="s">
        <v>336</v>
      </c>
      <c r="D124" s="76" t="str">
        <f>IFERROR(INDEX(M_User!$A$12:$J$67,MATCH(C124,M_User!$D$12:$D$67,0),3),"UNMAPPED")</f>
        <v>George Gibson Mmary</v>
      </c>
      <c r="E124" s="75" t="str">
        <f>IFERROR(INDEX(M_User!$A$12:$J$67,MATCH(C124,M_User!$D$12:$D$67,0),5),"UNMAPPED")</f>
        <v>MOS</v>
      </c>
      <c r="F124" s="101" t="s">
        <v>185</v>
      </c>
      <c r="G124" s="76" t="str">
        <f>IFERROR(INDEX(M_SKU!$A$18:$J$57,MATCH(F124,M_SKU!$B$18:$B$57,0),1),"UNKNOWN SKU")</f>
        <v>Fanta Fruit Blast RGB 350 ml</v>
      </c>
      <c r="H124" s="101" t="s">
        <v>534</v>
      </c>
      <c r="I124" s="102">
        <f>IFERROR(INDEX(T_Unload!$K$10:$K$433,MATCH(B124,T_Unload!$B$10:$B$433,0)),0)</f>
        <v>1.0522880739493856</v>
      </c>
      <c r="J124" s="111">
        <v>1.05</v>
      </c>
      <c r="K124" s="113">
        <f t="shared" si="4"/>
        <v>2.2880739493855717E-3</v>
      </c>
      <c r="L124" s="114" t="str">
        <f t="shared" si="5"/>
        <v>Post to Default Outlet</v>
      </c>
      <c r="M124" s="115">
        <f t="shared" si="6"/>
        <v>2.2880739493855717E-3</v>
      </c>
      <c r="N124" s="115">
        <f t="shared" si="7"/>
        <v>0</v>
      </c>
      <c r="O124" s="116" t="s">
        <v>2761</v>
      </c>
      <c r="P124" s="117"/>
      <c r="Q124" s="118"/>
    </row>
    <row r="125" spans="1:17" ht="15" customHeight="1" x14ac:dyDescent="0.3">
      <c r="A125" s="60" t="s">
        <v>2873</v>
      </c>
      <c r="B125" s="97" t="s">
        <v>2107</v>
      </c>
      <c r="C125" s="63" t="s">
        <v>336</v>
      </c>
      <c r="D125" s="66" t="str">
        <f>IFERROR(INDEX(M_User!$A$12:$J$67,MATCH(C125,M_User!$D$12:$D$67,0),3),"UNMAPPED")</f>
        <v>George Gibson Mmary</v>
      </c>
      <c r="E125" s="65" t="str">
        <f>IFERROR(INDEX(M_User!$A$12:$J$67,MATCH(C125,M_User!$D$12:$D$67,0),5),"UNMAPPED")</f>
        <v>MOS</v>
      </c>
      <c r="F125" s="63" t="s">
        <v>187</v>
      </c>
      <c r="G125" s="66" t="str">
        <f>IFERROR(INDEX(M_SKU!$A$18:$J$57,MATCH(F125,M_SKU!$B$18:$B$57,0),1),"UNKNOWN SKU")</f>
        <v>Sprite 350ml</v>
      </c>
      <c r="H125" s="63" t="s">
        <v>535</v>
      </c>
      <c r="I125" s="98">
        <f>IFERROR(INDEX(T_Unload!$K$10:$K$433,MATCH(B125,T_Unload!$B$10:$B$433,0)),0)</f>
        <v>5.5350848151756793</v>
      </c>
      <c r="J125" s="111">
        <v>5.54</v>
      </c>
      <c r="K125" s="99">
        <f t="shared" si="4"/>
        <v>-4.9151848243207397E-3</v>
      </c>
      <c r="L125" s="105" t="str">
        <f t="shared" si="5"/>
        <v>Adjust Unload Upward</v>
      </c>
      <c r="M125" s="90">
        <f t="shared" si="6"/>
        <v>0</v>
      </c>
      <c r="N125" s="90">
        <f t="shared" si="7"/>
        <v>4.9151848243207397E-3</v>
      </c>
      <c r="O125" s="68" t="s">
        <v>2761</v>
      </c>
      <c r="P125" s="63"/>
      <c r="Q125" s="62"/>
    </row>
    <row r="126" spans="1:17" ht="15" customHeight="1" x14ac:dyDescent="0.3">
      <c r="A126" s="70" t="s">
        <v>2874</v>
      </c>
      <c r="B126" s="112" t="s">
        <v>2109</v>
      </c>
      <c r="C126" s="101" t="s">
        <v>336</v>
      </c>
      <c r="D126" s="76" t="str">
        <f>IFERROR(INDEX(M_User!$A$12:$J$67,MATCH(C126,M_User!$D$12:$D$67,0),3),"UNMAPPED")</f>
        <v>George Gibson Mmary</v>
      </c>
      <c r="E126" s="75" t="str">
        <f>IFERROR(INDEX(M_User!$A$12:$J$67,MATCH(C126,M_User!$D$12:$D$67,0),5),"UNMAPPED")</f>
        <v>MOS</v>
      </c>
      <c r="F126" s="101" t="s">
        <v>190</v>
      </c>
      <c r="G126" s="76" t="str">
        <f>IFERROR(INDEX(M_SKU!$A$18:$J$57,MATCH(F126,M_SKU!$B$18:$B$57,0),1),"UNKNOWN SKU")</f>
        <v>Stoney Tangawizi RGB 350ml</v>
      </c>
      <c r="H126" s="101" t="s">
        <v>536</v>
      </c>
      <c r="I126" s="102">
        <f>IFERROR(INDEX(T_Unload!$K$10:$K$433,MATCH(B126,T_Unload!$B$10:$B$433,0)),0)</f>
        <v>1.0817259117987001</v>
      </c>
      <c r="J126" s="111">
        <v>1.08</v>
      </c>
      <c r="K126" s="113">
        <f t="shared" si="4"/>
        <v>1.7259117987000749E-3</v>
      </c>
      <c r="L126" s="114" t="str">
        <f t="shared" si="5"/>
        <v>Post to Default Outlet</v>
      </c>
      <c r="M126" s="115">
        <f t="shared" si="6"/>
        <v>1.7259117987000749E-3</v>
      </c>
      <c r="N126" s="115">
        <f t="shared" si="7"/>
        <v>0</v>
      </c>
      <c r="O126" s="116" t="s">
        <v>2761</v>
      </c>
      <c r="P126" s="117"/>
      <c r="Q126" s="118"/>
    </row>
    <row r="127" spans="1:17" ht="15" customHeight="1" x14ac:dyDescent="0.3">
      <c r="A127" s="60" t="s">
        <v>2875</v>
      </c>
      <c r="B127" s="97" t="s">
        <v>2111</v>
      </c>
      <c r="C127" s="63" t="s">
        <v>336</v>
      </c>
      <c r="D127" s="66" t="str">
        <f>IFERROR(INDEX(M_User!$A$12:$J$67,MATCH(C127,M_User!$D$12:$D$67,0),3),"UNMAPPED")</f>
        <v>George Gibson Mmary</v>
      </c>
      <c r="E127" s="65" t="str">
        <f>IFERROR(INDEX(M_User!$A$12:$J$67,MATCH(C127,M_User!$D$12:$D$67,0),5),"UNMAPPED")</f>
        <v>MOS</v>
      </c>
      <c r="F127" s="63" t="s">
        <v>193</v>
      </c>
      <c r="G127" s="66" t="str">
        <f>IFERROR(INDEX(M_SKU!$A$18:$J$57,MATCH(F127,M_SKU!$B$18:$B$57,0),1),"UNKNOWN SKU")</f>
        <v>Sparletta Pinenut RGB 350ml</v>
      </c>
      <c r="H127" s="63" t="s">
        <v>537</v>
      </c>
      <c r="I127" s="98">
        <f>IFERROR(INDEX(T_Unload!$K$10:$K$433,MATCH(B127,T_Unload!$B$10:$B$433,0)),0)</f>
        <v>0.86114833275745983</v>
      </c>
      <c r="J127" s="111">
        <v>0.86</v>
      </c>
      <c r="K127" s="99">
        <f t="shared" si="4"/>
        <v>1.1483327574598468E-3</v>
      </c>
      <c r="L127" s="105" t="str">
        <f t="shared" si="5"/>
        <v>Post to Default Outlet</v>
      </c>
      <c r="M127" s="90">
        <f t="shared" si="6"/>
        <v>1.1483327574598468E-3</v>
      </c>
      <c r="N127" s="90">
        <f t="shared" si="7"/>
        <v>0</v>
      </c>
      <c r="O127" s="68" t="s">
        <v>2761</v>
      </c>
      <c r="P127" s="63"/>
      <c r="Q127" s="62"/>
    </row>
    <row r="128" spans="1:17" ht="15" customHeight="1" x14ac:dyDescent="0.3">
      <c r="A128" s="70" t="s">
        <v>2876</v>
      </c>
      <c r="B128" s="112" t="s">
        <v>2113</v>
      </c>
      <c r="C128" s="101" t="s">
        <v>336</v>
      </c>
      <c r="D128" s="76" t="str">
        <f>IFERROR(INDEX(M_User!$A$12:$J$67,MATCH(C128,M_User!$D$12:$D$67,0),3),"UNMAPPED")</f>
        <v>George Gibson Mmary</v>
      </c>
      <c r="E128" s="75" t="str">
        <f>IFERROR(INDEX(M_User!$A$12:$J$67,MATCH(C128,M_User!$D$12:$D$67,0),5),"UNMAPPED")</f>
        <v>MOS</v>
      </c>
      <c r="F128" s="101" t="s">
        <v>196</v>
      </c>
      <c r="G128" s="76" t="str">
        <f>IFERROR(INDEX(M_SKU!$A$18:$J$57,MATCH(F128,M_SKU!$B$18:$B$57,0),1),"UNKNOWN SKU")</f>
        <v>Krest Bitter Lemon RGB 300ml</v>
      </c>
      <c r="H128" s="101" t="s">
        <v>538</v>
      </c>
      <c r="I128" s="102">
        <f>IFERROR(INDEX(T_Unload!$K$10:$K$433,MATCH(B128,T_Unload!$B$10:$B$433,0)),0)</f>
        <v>0.65049887160674214</v>
      </c>
      <c r="J128" s="111">
        <v>0.65</v>
      </c>
      <c r="K128" s="113">
        <f t="shared" si="4"/>
        <v>4.9887160674211284E-4</v>
      </c>
      <c r="L128" s="114" t="str">
        <f t="shared" si="5"/>
        <v>Post to Default Outlet</v>
      </c>
      <c r="M128" s="115">
        <f t="shared" si="6"/>
        <v>4.9887160674211284E-4</v>
      </c>
      <c r="N128" s="115">
        <f t="shared" si="7"/>
        <v>0</v>
      </c>
      <c r="O128" s="116" t="s">
        <v>2761</v>
      </c>
      <c r="P128" s="117"/>
      <c r="Q128" s="118"/>
    </row>
    <row r="129" spans="1:17" ht="15" customHeight="1" x14ac:dyDescent="0.3">
      <c r="A129" s="60" t="s">
        <v>2877</v>
      </c>
      <c r="B129" s="97" t="s">
        <v>2115</v>
      </c>
      <c r="C129" s="63" t="s">
        <v>336</v>
      </c>
      <c r="D129" s="66" t="str">
        <f>IFERROR(INDEX(M_User!$A$12:$J$67,MATCH(C129,M_User!$D$12:$D$67,0),3),"UNMAPPED")</f>
        <v>George Gibson Mmary</v>
      </c>
      <c r="E129" s="65" t="str">
        <f>IFERROR(INDEX(M_User!$A$12:$J$67,MATCH(C129,M_User!$D$12:$D$67,0),5),"UNMAPPED")</f>
        <v>MOS</v>
      </c>
      <c r="F129" s="63" t="s">
        <v>199</v>
      </c>
      <c r="G129" s="66" t="str">
        <f>IFERROR(INDEX(M_SKU!$A$18:$J$57,MATCH(F129,M_SKU!$B$18:$B$57,0),1),"UNKNOWN SKU")</f>
        <v>Krest Club Soda RGB 300ml</v>
      </c>
      <c r="H129" s="63" t="s">
        <v>539</v>
      </c>
      <c r="I129" s="98">
        <f>IFERROR(INDEX(T_Unload!$K$10:$K$433,MATCH(B129,T_Unload!$B$10:$B$433,0)),0)</f>
        <v>0.38994892022298</v>
      </c>
      <c r="J129" s="111">
        <v>0.39</v>
      </c>
      <c r="K129" s="99">
        <f t="shared" si="4"/>
        <v>-5.1079777020013317E-5</v>
      </c>
      <c r="L129" s="105" t="str">
        <f t="shared" si="5"/>
        <v>CLEAN</v>
      </c>
      <c r="M129" s="90">
        <f t="shared" si="6"/>
        <v>0</v>
      </c>
      <c r="N129" s="90">
        <f t="shared" si="7"/>
        <v>0</v>
      </c>
      <c r="O129" s="68" t="s">
        <v>2761</v>
      </c>
      <c r="P129" s="63"/>
      <c r="Q129" s="62"/>
    </row>
    <row r="130" spans="1:17" ht="15" customHeight="1" x14ac:dyDescent="0.3">
      <c r="A130" s="70" t="s">
        <v>2878</v>
      </c>
      <c r="B130" s="112" t="s">
        <v>2117</v>
      </c>
      <c r="C130" s="101" t="s">
        <v>336</v>
      </c>
      <c r="D130" s="76" t="str">
        <f>IFERROR(INDEX(M_User!$A$12:$J$67,MATCH(C130,M_User!$D$12:$D$67,0),3),"UNMAPPED")</f>
        <v>George Gibson Mmary</v>
      </c>
      <c r="E130" s="75" t="str">
        <f>IFERROR(INDEX(M_User!$A$12:$J$67,MATCH(C130,M_User!$D$12:$D$67,0),5),"UNMAPPED")</f>
        <v>MOS</v>
      </c>
      <c r="F130" s="101" t="s">
        <v>201</v>
      </c>
      <c r="G130" s="76" t="str">
        <f>IFERROR(INDEX(M_SKU!$A$18:$J$57,MATCH(F130,M_SKU!$B$18:$B$57,0),1),"UNKNOWN SKU")</f>
        <v>Krest Tonic Water RGB 300ml</v>
      </c>
      <c r="H130" s="101" t="s">
        <v>540</v>
      </c>
      <c r="I130" s="102">
        <f>IFERROR(INDEX(T_Unload!$K$10:$K$433,MATCH(B130,T_Unload!$B$10:$B$433,0)),0)</f>
        <v>0.41805018854929221</v>
      </c>
      <c r="J130" s="111">
        <v>0.42</v>
      </c>
      <c r="K130" s="113">
        <f t="shared" si="4"/>
        <v>-1.9498114507077724E-3</v>
      </c>
      <c r="L130" s="114" t="str">
        <f t="shared" si="5"/>
        <v>Adjust Unload Upward</v>
      </c>
      <c r="M130" s="115">
        <f t="shared" si="6"/>
        <v>0</v>
      </c>
      <c r="N130" s="115">
        <f t="shared" si="7"/>
        <v>1.9498114507077724E-3</v>
      </c>
      <c r="O130" s="116" t="s">
        <v>2761</v>
      </c>
      <c r="P130" s="117"/>
      <c r="Q130" s="118"/>
    </row>
    <row r="131" spans="1:17" ht="15" customHeight="1" x14ac:dyDescent="0.3">
      <c r="A131" s="60" t="s">
        <v>2879</v>
      </c>
      <c r="B131" s="97" t="s">
        <v>2119</v>
      </c>
      <c r="C131" s="63" t="s">
        <v>336</v>
      </c>
      <c r="D131" s="66" t="str">
        <f>IFERROR(INDEX(M_User!$A$12:$J$67,MATCH(C131,M_User!$D$12:$D$67,0),3),"UNMAPPED")</f>
        <v>George Gibson Mmary</v>
      </c>
      <c r="E131" s="65" t="str">
        <f>IFERROR(INDEX(M_User!$A$12:$J$67,MATCH(C131,M_User!$D$12:$D$67,0),5),"UNMAPPED")</f>
        <v>MOS</v>
      </c>
      <c r="F131" s="63" t="s">
        <v>203</v>
      </c>
      <c r="G131" s="66" t="str">
        <f>IFERROR(INDEX(M_SKU!$A$18:$J$57,MATCH(F131,M_SKU!$B$18:$B$57,0),1),"UNKNOWN SKU")</f>
        <v>Krest Ginger Ale RGB 300ml</v>
      </c>
      <c r="H131" s="63" t="s">
        <v>541</v>
      </c>
      <c r="I131" s="98">
        <f>IFERROR(INDEX(T_Unload!$K$10:$K$433,MATCH(B131,T_Unload!$B$10:$B$433,0)),0)</f>
        <v>0.52939954021457991</v>
      </c>
      <c r="J131" s="111">
        <v>0.53</v>
      </c>
      <c r="K131" s="99">
        <f t="shared" si="4"/>
        <v>-6.0045978542011547E-4</v>
      </c>
      <c r="L131" s="105" t="str">
        <f t="shared" si="5"/>
        <v>Adjust Unload Upward</v>
      </c>
      <c r="M131" s="90">
        <f t="shared" si="6"/>
        <v>0</v>
      </c>
      <c r="N131" s="90">
        <f t="shared" si="7"/>
        <v>6.0045978542011547E-4</v>
      </c>
      <c r="O131" s="68" t="s">
        <v>2761</v>
      </c>
      <c r="P131" s="63"/>
      <c r="Q131" s="62"/>
    </row>
    <row r="132" spans="1:17" ht="15" customHeight="1" x14ac:dyDescent="0.3">
      <c r="A132" s="70" t="s">
        <v>2880</v>
      </c>
      <c r="B132" s="112" t="s">
        <v>2121</v>
      </c>
      <c r="C132" s="101" t="s">
        <v>336</v>
      </c>
      <c r="D132" s="76" t="str">
        <f>IFERROR(INDEX(M_User!$A$12:$J$67,MATCH(C132,M_User!$D$12:$D$67,0),3),"UNMAPPED")</f>
        <v>George Gibson Mmary</v>
      </c>
      <c r="E132" s="75" t="str">
        <f>IFERROR(INDEX(M_User!$A$12:$J$67,MATCH(C132,M_User!$D$12:$D$67,0),5),"UNMAPPED")</f>
        <v>MOS</v>
      </c>
      <c r="F132" s="101" t="s">
        <v>209</v>
      </c>
      <c r="G132" s="76" t="str">
        <f>IFERROR(INDEX(M_SKU!$A$18:$J$57,MATCH(F132,M_SKU!$B$18:$B$57,0),1),"UNKNOWN SKU")</f>
        <v>Sparletta Red Apple RGB 350ml</v>
      </c>
      <c r="H132" s="101" t="s">
        <v>542</v>
      </c>
      <c r="I132" s="102">
        <f>IFERROR(INDEX(T_Unload!$K$10:$K$433,MATCH(B132,T_Unload!$B$10:$B$433,0)),0)</f>
        <v>0.28187584999027981</v>
      </c>
      <c r="J132" s="111">
        <v>0.28000000000000003</v>
      </c>
      <c r="K132" s="113">
        <f t="shared" si="4"/>
        <v>1.8758499902797876E-3</v>
      </c>
      <c r="L132" s="114" t="str">
        <f t="shared" si="5"/>
        <v>Post to Default Outlet</v>
      </c>
      <c r="M132" s="115">
        <f t="shared" si="6"/>
        <v>1.8758499902797876E-3</v>
      </c>
      <c r="N132" s="115">
        <f t="shared" si="7"/>
        <v>0</v>
      </c>
      <c r="O132" s="116" t="s">
        <v>2761</v>
      </c>
      <c r="P132" s="117"/>
      <c r="Q132" s="118"/>
    </row>
    <row r="133" spans="1:17" ht="15" customHeight="1" x14ac:dyDescent="0.3">
      <c r="A133" s="60" t="s">
        <v>2881</v>
      </c>
      <c r="B133" s="97" t="s">
        <v>2123</v>
      </c>
      <c r="C133" s="63" t="s">
        <v>336</v>
      </c>
      <c r="D133" s="66" t="str">
        <f>IFERROR(INDEX(M_User!$A$12:$J$67,MATCH(C133,M_User!$D$12:$D$67,0),3),"UNMAPPED")</f>
        <v>George Gibson Mmary</v>
      </c>
      <c r="E133" s="65" t="str">
        <f>IFERROR(INDEX(M_User!$A$12:$J$67,MATCH(C133,M_User!$D$12:$D$67,0),5),"UNMAPPED")</f>
        <v>MOS</v>
      </c>
      <c r="F133" s="63" t="s">
        <v>211</v>
      </c>
      <c r="G133" s="66" t="str">
        <f>IFERROR(INDEX(M_SKU!$A$18:$J$57,MATCH(F133,M_SKU!$B$18:$B$57,0),1),"UNKNOWN SKU")</f>
        <v>KNMW 500ml</v>
      </c>
      <c r="H133" s="63" t="s">
        <v>543</v>
      </c>
      <c r="I133" s="98">
        <f>IFERROR(INDEX(T_Unload!$K$10:$K$433,MATCH(B133,T_Unload!$B$10:$B$433,0)),0)</f>
        <v>11</v>
      </c>
      <c r="J133" s="111">
        <v>11</v>
      </c>
      <c r="K133" s="99">
        <f t="shared" si="4"/>
        <v>0</v>
      </c>
      <c r="L133" s="105" t="str">
        <f t="shared" si="5"/>
        <v>CLEAN</v>
      </c>
      <c r="M133" s="90">
        <f t="shared" si="6"/>
        <v>0</v>
      </c>
      <c r="N133" s="90">
        <f t="shared" si="7"/>
        <v>0</v>
      </c>
      <c r="O133" s="68" t="s">
        <v>2761</v>
      </c>
      <c r="P133" s="63"/>
      <c r="Q133" s="62"/>
    </row>
    <row r="134" spans="1:17" ht="15" customHeight="1" x14ac:dyDescent="0.3">
      <c r="A134" s="70" t="s">
        <v>2882</v>
      </c>
      <c r="B134" s="112" t="s">
        <v>2125</v>
      </c>
      <c r="C134" s="101" t="s">
        <v>336</v>
      </c>
      <c r="D134" s="76" t="str">
        <f>IFERROR(INDEX(M_User!$A$12:$J$67,MATCH(C134,M_User!$D$12:$D$67,0),3),"UNMAPPED")</f>
        <v>George Gibson Mmary</v>
      </c>
      <c r="E134" s="75" t="str">
        <f>IFERROR(INDEX(M_User!$A$12:$J$67,MATCH(C134,M_User!$D$12:$D$67,0),5),"UNMAPPED")</f>
        <v>MOS</v>
      </c>
      <c r="F134" s="101" t="s">
        <v>217</v>
      </c>
      <c r="G134" s="76" t="str">
        <f>IFERROR(INDEX(M_SKU!$A$18:$J$57,MATCH(F134,M_SKU!$B$18:$B$57,0),1),"UNKNOWN SKU")</f>
        <v>KNMW 1500ml</v>
      </c>
      <c r="H134" s="101" t="s">
        <v>551</v>
      </c>
      <c r="I134" s="102">
        <f>IFERROR(INDEX(T_Unload!$K$10:$K$433,MATCH(B134,T_Unload!$B$10:$B$433,0)),0)</f>
        <v>22</v>
      </c>
      <c r="J134" s="111">
        <v>22</v>
      </c>
      <c r="K134" s="113">
        <f t="shared" si="4"/>
        <v>0</v>
      </c>
      <c r="L134" s="114" t="str">
        <f t="shared" si="5"/>
        <v>CLEAN</v>
      </c>
      <c r="M134" s="115">
        <f t="shared" si="6"/>
        <v>0</v>
      </c>
      <c r="N134" s="115">
        <f t="shared" si="7"/>
        <v>0</v>
      </c>
      <c r="O134" s="116" t="s">
        <v>2761</v>
      </c>
      <c r="P134" s="117"/>
      <c r="Q134" s="118"/>
    </row>
    <row r="135" spans="1:17" ht="15" customHeight="1" x14ac:dyDescent="0.3">
      <c r="A135" s="60" t="s">
        <v>2883</v>
      </c>
      <c r="B135" s="97" t="s">
        <v>2127</v>
      </c>
      <c r="C135" s="63" t="s">
        <v>336</v>
      </c>
      <c r="D135" s="66" t="str">
        <f>IFERROR(INDEX(M_User!$A$12:$J$67,MATCH(C135,M_User!$D$12:$D$67,0),3),"UNMAPPED")</f>
        <v>George Gibson Mmary</v>
      </c>
      <c r="E135" s="65" t="str">
        <f>IFERROR(INDEX(M_User!$A$12:$J$67,MATCH(C135,M_User!$D$12:$D$67,0),5),"UNMAPPED")</f>
        <v>MOS</v>
      </c>
      <c r="F135" s="63" t="s">
        <v>229</v>
      </c>
      <c r="G135" s="66" t="str">
        <f>IFERROR(INDEX(M_SKU!$A$18:$J$57,MATCH(F135,M_SKU!$B$18:$B$57,0),1),"UNKNOWN SKU")</f>
        <v>Coke Pet 500ML ( x12)</v>
      </c>
      <c r="H135" s="63" t="s">
        <v>520</v>
      </c>
      <c r="I135" s="98">
        <f>IFERROR(INDEX(T_Unload!$K$10:$K$433,MATCH(B135,T_Unload!$B$10:$B$433,0)),0)</f>
        <v>11</v>
      </c>
      <c r="J135" s="111">
        <v>11</v>
      </c>
      <c r="K135" s="99">
        <f t="shared" si="4"/>
        <v>0</v>
      </c>
      <c r="L135" s="105" t="str">
        <f t="shared" si="5"/>
        <v>CLEAN</v>
      </c>
      <c r="M135" s="90">
        <f t="shared" si="6"/>
        <v>0</v>
      </c>
      <c r="N135" s="90">
        <f t="shared" si="7"/>
        <v>0</v>
      </c>
      <c r="O135" s="68" t="s">
        <v>2761</v>
      </c>
      <c r="P135" s="63"/>
      <c r="Q135" s="62"/>
    </row>
    <row r="136" spans="1:17" ht="15" customHeight="1" x14ac:dyDescent="0.3">
      <c r="A136" s="70" t="s">
        <v>2884</v>
      </c>
      <c r="B136" s="112" t="s">
        <v>2129</v>
      </c>
      <c r="C136" s="101" t="s">
        <v>336</v>
      </c>
      <c r="D136" s="76" t="str">
        <f>IFERROR(INDEX(M_User!$A$12:$J$67,MATCH(C136,M_User!$D$12:$D$67,0),3),"UNMAPPED")</f>
        <v>George Gibson Mmary</v>
      </c>
      <c r="E136" s="75" t="str">
        <f>IFERROR(INDEX(M_User!$A$12:$J$67,MATCH(C136,M_User!$D$12:$D$67,0),5),"UNMAPPED")</f>
        <v>MOS</v>
      </c>
      <c r="F136" s="101" t="s">
        <v>232</v>
      </c>
      <c r="G136" s="76" t="str">
        <f>IFERROR(INDEX(M_SKU!$A$18:$J$57,MATCH(F136,M_SKU!$B$18:$B$57,0),1),"UNKNOWN SKU")</f>
        <v>Sprite Pet 500ML (x 12)</v>
      </c>
      <c r="H136" s="101" t="s">
        <v>522</v>
      </c>
      <c r="I136" s="102">
        <f>IFERROR(INDEX(T_Unload!$K$10:$K$433,MATCH(B136,T_Unload!$B$10:$B$433,0)),0)</f>
        <v>2</v>
      </c>
      <c r="J136" s="111">
        <v>2</v>
      </c>
      <c r="K136" s="113">
        <f t="shared" si="4"/>
        <v>0</v>
      </c>
      <c r="L136" s="114" t="str">
        <f t="shared" si="5"/>
        <v>CLEAN</v>
      </c>
      <c r="M136" s="115">
        <f t="shared" si="6"/>
        <v>0</v>
      </c>
      <c r="N136" s="115">
        <f t="shared" si="7"/>
        <v>0</v>
      </c>
      <c r="O136" s="116" t="s">
        <v>2761</v>
      </c>
      <c r="P136" s="117"/>
      <c r="Q136" s="118"/>
    </row>
    <row r="137" spans="1:17" ht="15" customHeight="1" x14ac:dyDescent="0.3">
      <c r="A137" s="60" t="s">
        <v>2885</v>
      </c>
      <c r="B137" s="97" t="s">
        <v>2131</v>
      </c>
      <c r="C137" s="63" t="s">
        <v>336</v>
      </c>
      <c r="D137" s="66" t="str">
        <f>IFERROR(INDEX(M_User!$A$12:$J$67,MATCH(C137,M_User!$D$12:$D$67,0),3),"UNMAPPED")</f>
        <v>George Gibson Mmary</v>
      </c>
      <c r="E137" s="65" t="str">
        <f>IFERROR(INDEX(M_User!$A$12:$J$67,MATCH(C137,M_User!$D$12:$D$67,0),5),"UNMAPPED")</f>
        <v>MOS</v>
      </c>
      <c r="F137" s="63" t="s">
        <v>234</v>
      </c>
      <c r="G137" s="66" t="str">
        <f>IFERROR(INDEX(M_SKU!$A$18:$J$57,MATCH(F137,M_SKU!$B$18:$B$57,0),1),"UNKNOWN SKU")</f>
        <v>Fanta Orange Pet 500ML ( x 12)</v>
      </c>
      <c r="H137" s="63" t="s">
        <v>523</v>
      </c>
      <c r="I137" s="98">
        <f>IFERROR(INDEX(T_Unload!$K$10:$K$433,MATCH(B137,T_Unload!$B$10:$B$433,0)),0)</f>
        <v>7</v>
      </c>
      <c r="J137" s="111">
        <v>7</v>
      </c>
      <c r="K137" s="99">
        <f t="shared" si="4"/>
        <v>0</v>
      </c>
      <c r="L137" s="105" t="str">
        <f t="shared" si="5"/>
        <v>CLEAN</v>
      </c>
      <c r="M137" s="90">
        <f t="shared" si="6"/>
        <v>0</v>
      </c>
      <c r="N137" s="90">
        <f t="shared" si="7"/>
        <v>0</v>
      </c>
      <c r="O137" s="68" t="s">
        <v>2761</v>
      </c>
      <c r="P137" s="63"/>
      <c r="Q137" s="62"/>
    </row>
    <row r="138" spans="1:17" ht="15" customHeight="1" x14ac:dyDescent="0.3">
      <c r="A138" s="70" t="s">
        <v>2886</v>
      </c>
      <c r="B138" s="112" t="s">
        <v>2133</v>
      </c>
      <c r="C138" s="101" t="s">
        <v>336</v>
      </c>
      <c r="D138" s="76" t="str">
        <f>IFERROR(INDEX(M_User!$A$12:$J$67,MATCH(C138,M_User!$D$12:$D$67,0),3),"UNMAPPED")</f>
        <v>George Gibson Mmary</v>
      </c>
      <c r="E138" s="75" t="str">
        <f>IFERROR(INDEX(M_User!$A$12:$J$67,MATCH(C138,M_User!$D$12:$D$67,0),5),"UNMAPPED")</f>
        <v>MOS</v>
      </c>
      <c r="F138" s="101" t="s">
        <v>236</v>
      </c>
      <c r="G138" s="76" t="str">
        <f>IFERROR(INDEX(M_SKU!$A$18:$J$57,MATCH(F138,M_SKU!$B$18:$B$57,0),1),"UNKNOWN SKU")</f>
        <v>Fanta Passion Pet 500ML ( x12)</v>
      </c>
      <c r="H138" s="101" t="s">
        <v>524</v>
      </c>
      <c r="I138" s="102">
        <f>IFERROR(INDEX(T_Unload!$K$10:$K$433,MATCH(B138,T_Unload!$B$10:$B$433,0)),0)</f>
        <v>2</v>
      </c>
      <c r="J138" s="111">
        <v>2</v>
      </c>
      <c r="K138" s="113">
        <f t="shared" si="4"/>
        <v>0</v>
      </c>
      <c r="L138" s="114" t="str">
        <f t="shared" si="5"/>
        <v>CLEAN</v>
      </c>
      <c r="M138" s="115">
        <f t="shared" si="6"/>
        <v>0</v>
      </c>
      <c r="N138" s="115">
        <f t="shared" si="7"/>
        <v>0</v>
      </c>
      <c r="O138" s="116" t="s">
        <v>2761</v>
      </c>
      <c r="P138" s="117"/>
      <c r="Q138" s="118"/>
    </row>
    <row r="139" spans="1:17" ht="15" customHeight="1" x14ac:dyDescent="0.3">
      <c r="A139" s="60" t="s">
        <v>2887</v>
      </c>
      <c r="B139" s="97" t="s">
        <v>2135</v>
      </c>
      <c r="C139" s="63" t="s">
        <v>336</v>
      </c>
      <c r="D139" s="66" t="str">
        <f>IFERROR(INDEX(M_User!$A$12:$J$67,MATCH(C139,M_User!$D$12:$D$67,0),3),"UNMAPPED")</f>
        <v>George Gibson Mmary</v>
      </c>
      <c r="E139" s="65" t="str">
        <f>IFERROR(INDEX(M_User!$A$12:$J$67,MATCH(C139,M_User!$D$12:$D$67,0),5),"UNMAPPED")</f>
        <v>MOS</v>
      </c>
      <c r="F139" s="63" t="s">
        <v>242</v>
      </c>
      <c r="G139" s="66" t="str">
        <f>IFERROR(INDEX(M_SKU!$A$18:$J$57,MATCH(F139,M_SKU!$B$18:$B$57,0),1),"UNKNOWN SKU")</f>
        <v>Stoney Tangawizi Pet 500 ml ( x12)</v>
      </c>
      <c r="H139" s="63" t="s">
        <v>525</v>
      </c>
      <c r="I139" s="98">
        <f>IFERROR(INDEX(T_Unload!$K$10:$K$433,MATCH(B139,T_Unload!$B$10:$B$433,0)),0)</f>
        <v>2</v>
      </c>
      <c r="J139" s="111">
        <v>2</v>
      </c>
      <c r="K139" s="99">
        <f t="shared" si="4"/>
        <v>0</v>
      </c>
      <c r="L139" s="105" t="str">
        <f t="shared" si="5"/>
        <v>CLEAN</v>
      </c>
      <c r="M139" s="90">
        <f t="shared" si="6"/>
        <v>0</v>
      </c>
      <c r="N139" s="90">
        <f t="shared" si="7"/>
        <v>0</v>
      </c>
      <c r="O139" s="68" t="s">
        <v>2761</v>
      </c>
      <c r="P139" s="63"/>
      <c r="Q139" s="62"/>
    </row>
    <row r="140" spans="1:17" ht="15" customHeight="1" x14ac:dyDescent="0.3">
      <c r="A140" s="70" t="s">
        <v>2888</v>
      </c>
      <c r="B140" s="112" t="s">
        <v>2137</v>
      </c>
      <c r="C140" s="101" t="s">
        <v>336</v>
      </c>
      <c r="D140" s="76" t="str">
        <f>IFERROR(INDEX(M_User!$A$12:$J$67,MATCH(C140,M_User!$D$12:$D$67,0),3),"UNMAPPED")</f>
        <v>George Gibson Mmary</v>
      </c>
      <c r="E140" s="75" t="str">
        <f>IFERROR(INDEX(M_User!$A$12:$J$67,MATCH(C140,M_User!$D$12:$D$67,0),5),"UNMAPPED")</f>
        <v>MOS</v>
      </c>
      <c r="F140" s="101" t="s">
        <v>244</v>
      </c>
      <c r="G140" s="76" t="str">
        <f>IFERROR(INDEX(M_SKU!$A$18:$J$57,MATCH(F140,M_SKU!$B$18:$B$57,0),1),"UNKNOWN SKU")</f>
        <v>Sparletta Pinenut Pet 500 ml ( x12)</v>
      </c>
      <c r="H140" s="101" t="s">
        <v>526</v>
      </c>
      <c r="I140" s="102">
        <f>IFERROR(INDEX(T_Unload!$K$10:$K$433,MATCH(B140,T_Unload!$B$10:$B$433,0)),0)</f>
        <v>1</v>
      </c>
      <c r="J140" s="111">
        <v>1</v>
      </c>
      <c r="K140" s="113">
        <f t="shared" si="4"/>
        <v>0</v>
      </c>
      <c r="L140" s="114" t="str">
        <f t="shared" si="5"/>
        <v>CLEAN</v>
      </c>
      <c r="M140" s="115">
        <f t="shared" si="6"/>
        <v>0</v>
      </c>
      <c r="N140" s="115">
        <f t="shared" si="7"/>
        <v>0</v>
      </c>
      <c r="O140" s="116" t="s">
        <v>2761</v>
      </c>
      <c r="P140" s="117"/>
      <c r="Q140" s="118"/>
    </row>
    <row r="141" spans="1:17" ht="15" customHeight="1" x14ac:dyDescent="0.3">
      <c r="A141" s="60" t="s">
        <v>2889</v>
      </c>
      <c r="B141" s="97" t="s">
        <v>2139</v>
      </c>
      <c r="C141" s="63" t="s">
        <v>336</v>
      </c>
      <c r="D141" s="66" t="str">
        <f>IFERROR(INDEX(M_User!$A$12:$J$67,MATCH(C141,M_User!$D$12:$D$67,0),3),"UNMAPPED")</f>
        <v>George Gibson Mmary</v>
      </c>
      <c r="E141" s="65" t="str">
        <f>IFERROR(INDEX(M_User!$A$12:$J$67,MATCH(C141,M_User!$D$12:$D$67,0),5),"UNMAPPED")</f>
        <v>MOS</v>
      </c>
      <c r="F141" s="63" t="s">
        <v>252</v>
      </c>
      <c r="G141" s="66" t="str">
        <f>IFERROR(INDEX(M_SKU!$A$18:$J$57,MATCH(F141,M_SKU!$B$18:$B$57,0),1),"UNKNOWN SKU")</f>
        <v>Sprite Zero Pet 300ML (x 12)</v>
      </c>
      <c r="H141" s="63" t="s">
        <v>545</v>
      </c>
      <c r="I141" s="98">
        <f>IFERROR(INDEX(T_Unload!$K$10:$K$433,MATCH(B141,T_Unload!$B$10:$B$433,0)),0)</f>
        <v>1</v>
      </c>
      <c r="J141" s="111">
        <v>1</v>
      </c>
      <c r="K141" s="99">
        <f t="shared" ref="K141:K204" si="8">IF(ISBLANK(J141),"",I141-J141)</f>
        <v>0</v>
      </c>
      <c r="L141" s="105" t="str">
        <f t="shared" ref="L141:L204" si="9">IF(K141="","Awaiting Verification",IF(ABS(K141)&lt;0.0001,"CLEAN",IF(K141&gt;0,"Post to Default Outlet","Adjust Unload Upward")))</f>
        <v>CLEAN</v>
      </c>
      <c r="M141" s="90">
        <f t="shared" ref="M141:M204" si="10">IF(AND(ISNUMBER(K141),K141&gt;0.0001),K141,0)</f>
        <v>0</v>
      </c>
      <c r="N141" s="90">
        <f t="shared" ref="N141:N204" si="11">IF(AND(ISNUMBER(K141),K141&lt;-0.0001),-K141,0)</f>
        <v>0</v>
      </c>
      <c r="O141" s="68" t="s">
        <v>2761</v>
      </c>
      <c r="P141" s="63"/>
      <c r="Q141" s="62"/>
    </row>
    <row r="142" spans="1:17" ht="15" customHeight="1" x14ac:dyDescent="0.3">
      <c r="A142" s="70" t="s">
        <v>2890</v>
      </c>
      <c r="B142" s="112" t="s">
        <v>2141</v>
      </c>
      <c r="C142" s="101" t="s">
        <v>336</v>
      </c>
      <c r="D142" s="76" t="str">
        <f>IFERROR(INDEX(M_User!$A$12:$J$67,MATCH(C142,M_User!$D$12:$D$67,0),3),"UNMAPPED")</f>
        <v>George Gibson Mmary</v>
      </c>
      <c r="E142" s="75" t="str">
        <f>IFERROR(INDEX(M_User!$A$12:$J$67,MATCH(C142,M_User!$D$12:$D$67,0),5),"UNMAPPED")</f>
        <v>MOS</v>
      </c>
      <c r="F142" s="101" t="s">
        <v>254</v>
      </c>
      <c r="G142" s="76" t="str">
        <f>IFERROR(INDEX(M_SKU!$A$18:$J$57,MATCH(F142,M_SKU!$B$18:$B$57,0),1),"UNKNOWN SKU")</f>
        <v>Fanta Zero Pet 300ML (x 12)</v>
      </c>
      <c r="H142" s="101" t="s">
        <v>546</v>
      </c>
      <c r="I142" s="102">
        <f>IFERROR(INDEX(T_Unload!$K$10:$K$433,MATCH(B142,T_Unload!$B$10:$B$433,0)),0)</f>
        <v>1</v>
      </c>
      <c r="J142" s="111">
        <v>1</v>
      </c>
      <c r="K142" s="113">
        <f t="shared" si="8"/>
        <v>0</v>
      </c>
      <c r="L142" s="114" t="str">
        <f t="shared" si="9"/>
        <v>CLEAN</v>
      </c>
      <c r="M142" s="115">
        <f t="shared" si="10"/>
        <v>0</v>
      </c>
      <c r="N142" s="115">
        <f t="shared" si="11"/>
        <v>0</v>
      </c>
      <c r="O142" s="116" t="s">
        <v>2761</v>
      </c>
      <c r="P142" s="117"/>
      <c r="Q142" s="118"/>
    </row>
    <row r="143" spans="1:17" ht="15" customHeight="1" x14ac:dyDescent="0.3">
      <c r="A143" s="60" t="s">
        <v>2891</v>
      </c>
      <c r="B143" s="97" t="s">
        <v>2143</v>
      </c>
      <c r="C143" s="63" t="s">
        <v>339</v>
      </c>
      <c r="D143" s="66" t="str">
        <f>IFERROR(INDEX(M_User!$A$12:$J$67,MATCH(C143,M_User!$D$12:$D$67,0),3),"UNMAPPED")</f>
        <v>Erick K. Mkama</v>
      </c>
      <c r="E143" s="65" t="str">
        <f>IFERROR(INDEX(M_User!$A$12:$J$67,MATCH(C143,M_User!$D$12:$D$67,0),5),"UNMAPPED")</f>
        <v>MOS</v>
      </c>
      <c r="F143" s="63" t="s">
        <v>170</v>
      </c>
      <c r="G143" s="66" t="str">
        <f>IFERROR(INDEX(M_SKU!$A$18:$J$57,MATCH(F143,M_SKU!$B$18:$B$57,0),1),"UNKNOWN SKU")</f>
        <v>Coke RGB 350ml</v>
      </c>
      <c r="H143" s="63" t="s">
        <v>530</v>
      </c>
      <c r="I143" s="98">
        <f>IFERROR(INDEX(T_Unload!$K$10:$K$433,MATCH(B143,T_Unload!$B$10:$B$433,0)),0)</f>
        <v>3.239851966180801</v>
      </c>
      <c r="J143" s="111">
        <v>3.24</v>
      </c>
      <c r="K143" s="99">
        <f t="shared" si="8"/>
        <v>-1.4803381919925584E-4</v>
      </c>
      <c r="L143" s="105" t="str">
        <f t="shared" si="9"/>
        <v>Adjust Unload Upward</v>
      </c>
      <c r="M143" s="90">
        <f t="shared" si="10"/>
        <v>0</v>
      </c>
      <c r="N143" s="90">
        <f t="shared" si="11"/>
        <v>1.4803381919925584E-4</v>
      </c>
      <c r="O143" s="68" t="s">
        <v>2761</v>
      </c>
      <c r="P143" s="63"/>
      <c r="Q143" s="62"/>
    </row>
    <row r="144" spans="1:17" ht="15" customHeight="1" x14ac:dyDescent="0.3">
      <c r="A144" s="70" t="s">
        <v>2892</v>
      </c>
      <c r="B144" s="112" t="s">
        <v>2145</v>
      </c>
      <c r="C144" s="101" t="s">
        <v>339</v>
      </c>
      <c r="D144" s="76" t="str">
        <f>IFERROR(INDEX(M_User!$A$12:$J$67,MATCH(C144,M_User!$D$12:$D$67,0),3),"UNMAPPED")</f>
        <v>Erick K. Mkama</v>
      </c>
      <c r="E144" s="75" t="str">
        <f>IFERROR(INDEX(M_User!$A$12:$J$67,MATCH(C144,M_User!$D$12:$D$67,0),5),"UNMAPPED")</f>
        <v>MOS</v>
      </c>
      <c r="F144" s="101" t="s">
        <v>178</v>
      </c>
      <c r="G144" s="76" t="str">
        <f>IFERROR(INDEX(M_SKU!$A$18:$J$57,MATCH(F144,M_SKU!$B$18:$B$57,0),1),"UNKNOWN SKU")</f>
        <v>Fanta Orange RGB 350ml</v>
      </c>
      <c r="H144" s="101" t="s">
        <v>531</v>
      </c>
      <c r="I144" s="102">
        <f>IFERROR(INDEX(T_Unload!$K$10:$K$433,MATCH(B144,T_Unload!$B$10:$B$433,0)),0)</f>
        <v>3.6010213285305497</v>
      </c>
      <c r="J144" s="111">
        <v>3.6</v>
      </c>
      <c r="K144" s="113">
        <f t="shared" si="8"/>
        <v>1.0213285305495923E-3</v>
      </c>
      <c r="L144" s="114" t="str">
        <f t="shared" si="9"/>
        <v>Post to Default Outlet</v>
      </c>
      <c r="M144" s="115">
        <f t="shared" si="10"/>
        <v>1.0213285305495923E-3</v>
      </c>
      <c r="N144" s="115">
        <f t="shared" si="11"/>
        <v>0</v>
      </c>
      <c r="O144" s="116" t="s">
        <v>2761</v>
      </c>
      <c r="P144" s="117"/>
      <c r="Q144" s="118"/>
    </row>
    <row r="145" spans="1:17" ht="15" customHeight="1" x14ac:dyDescent="0.3">
      <c r="A145" s="60" t="s">
        <v>2893</v>
      </c>
      <c r="B145" s="97" t="s">
        <v>2147</v>
      </c>
      <c r="C145" s="63" t="s">
        <v>339</v>
      </c>
      <c r="D145" s="66" t="str">
        <f>IFERROR(INDEX(M_User!$A$12:$J$67,MATCH(C145,M_User!$D$12:$D$67,0),3),"UNMAPPED")</f>
        <v>Erick K. Mkama</v>
      </c>
      <c r="E145" s="65" t="str">
        <f>IFERROR(INDEX(M_User!$A$12:$J$67,MATCH(C145,M_User!$D$12:$D$67,0),5),"UNMAPPED")</f>
        <v>MOS</v>
      </c>
      <c r="F145" s="63" t="s">
        <v>181</v>
      </c>
      <c r="G145" s="66" t="str">
        <f>IFERROR(INDEX(M_SKU!$A$18:$J$57,MATCH(F145,M_SKU!$B$18:$B$57,0),1),"UNKNOWN SKU")</f>
        <v>Fanta Passion RGB 350ml</v>
      </c>
      <c r="H145" s="63" t="s">
        <v>550</v>
      </c>
      <c r="I145" s="98">
        <f>IFERROR(INDEX(T_Unload!$K$10:$K$433,MATCH(B145,T_Unload!$B$10:$B$433,0)),0)</f>
        <v>1.1701939151480598</v>
      </c>
      <c r="J145" s="111">
        <v>1.17</v>
      </c>
      <c r="K145" s="99">
        <f t="shared" si="8"/>
        <v>1.9391514805988663E-4</v>
      </c>
      <c r="L145" s="105" t="str">
        <f t="shared" si="9"/>
        <v>Post to Default Outlet</v>
      </c>
      <c r="M145" s="90">
        <f t="shared" si="10"/>
        <v>1.9391514805988663E-4</v>
      </c>
      <c r="N145" s="90">
        <f t="shared" si="11"/>
        <v>0</v>
      </c>
      <c r="O145" s="68" t="s">
        <v>2761</v>
      </c>
      <c r="P145" s="63"/>
      <c r="Q145" s="62"/>
    </row>
    <row r="146" spans="1:17" ht="15" customHeight="1" x14ac:dyDescent="0.3">
      <c r="A146" s="70" t="s">
        <v>2894</v>
      </c>
      <c r="B146" s="112" t="s">
        <v>2149</v>
      </c>
      <c r="C146" s="101" t="s">
        <v>339</v>
      </c>
      <c r="D146" s="76" t="str">
        <f>IFERROR(INDEX(M_User!$A$12:$J$67,MATCH(C146,M_User!$D$12:$D$67,0),3),"UNMAPPED")</f>
        <v>Erick K. Mkama</v>
      </c>
      <c r="E146" s="75" t="str">
        <f>IFERROR(INDEX(M_User!$A$12:$J$67,MATCH(C146,M_User!$D$12:$D$67,0),5),"UNMAPPED")</f>
        <v>MOS</v>
      </c>
      <c r="F146" s="101" t="s">
        <v>183</v>
      </c>
      <c r="G146" s="76" t="str">
        <f>IFERROR(INDEX(M_SKU!$A$18:$J$57,MATCH(F146,M_SKU!$B$18:$B$57,0),1),"UNKNOWN SKU")</f>
        <v>Fanta Pineapple RGB 350ml</v>
      </c>
      <c r="H146" s="101" t="s">
        <v>533</v>
      </c>
      <c r="I146" s="102">
        <f>IFERROR(INDEX(T_Unload!$K$10:$K$433,MATCH(B146,T_Unload!$B$10:$B$433,0)),0)</f>
        <v>1.5267254751039099</v>
      </c>
      <c r="J146" s="111">
        <v>1.53</v>
      </c>
      <c r="K146" s="113">
        <f t="shared" si="8"/>
        <v>-3.2745248960901474E-3</v>
      </c>
      <c r="L146" s="114" t="str">
        <f t="shared" si="9"/>
        <v>Adjust Unload Upward</v>
      </c>
      <c r="M146" s="115">
        <f t="shared" si="10"/>
        <v>0</v>
      </c>
      <c r="N146" s="115">
        <f t="shared" si="11"/>
        <v>3.2745248960901474E-3</v>
      </c>
      <c r="O146" s="116" t="s">
        <v>2761</v>
      </c>
      <c r="P146" s="117"/>
      <c r="Q146" s="118"/>
    </row>
    <row r="147" spans="1:17" ht="15" customHeight="1" x14ac:dyDescent="0.3">
      <c r="A147" s="60" t="s">
        <v>2895</v>
      </c>
      <c r="B147" s="97" t="s">
        <v>2151</v>
      </c>
      <c r="C147" s="63" t="s">
        <v>339</v>
      </c>
      <c r="D147" s="66" t="str">
        <f>IFERROR(INDEX(M_User!$A$12:$J$67,MATCH(C147,M_User!$D$12:$D$67,0),3),"UNMAPPED")</f>
        <v>Erick K. Mkama</v>
      </c>
      <c r="E147" s="65" t="str">
        <f>IFERROR(INDEX(M_User!$A$12:$J$67,MATCH(C147,M_User!$D$12:$D$67,0),5),"UNMAPPED")</f>
        <v>MOS</v>
      </c>
      <c r="F147" s="63" t="s">
        <v>185</v>
      </c>
      <c r="G147" s="66" t="str">
        <f>IFERROR(INDEX(M_SKU!$A$18:$J$57,MATCH(F147,M_SKU!$B$18:$B$57,0),1),"UNKNOWN SKU")</f>
        <v>Fanta Fruit Blast RGB 350 ml</v>
      </c>
      <c r="H147" s="63" t="s">
        <v>534</v>
      </c>
      <c r="I147" s="98">
        <f>IFERROR(INDEX(T_Unload!$K$10:$K$433,MATCH(B147,T_Unload!$B$10:$B$433,0)),0)</f>
        <v>0.72907156778032967</v>
      </c>
      <c r="J147" s="111">
        <v>0.73</v>
      </c>
      <c r="K147" s="99">
        <f t="shared" si="8"/>
        <v>-9.2843221967031653E-4</v>
      </c>
      <c r="L147" s="105" t="str">
        <f t="shared" si="9"/>
        <v>Adjust Unload Upward</v>
      </c>
      <c r="M147" s="90">
        <f t="shared" si="10"/>
        <v>0</v>
      </c>
      <c r="N147" s="90">
        <f t="shared" si="11"/>
        <v>9.2843221967031653E-4</v>
      </c>
      <c r="O147" s="68" t="s">
        <v>2761</v>
      </c>
      <c r="P147" s="63"/>
      <c r="Q147" s="62"/>
    </row>
    <row r="148" spans="1:17" ht="15" customHeight="1" x14ac:dyDescent="0.3">
      <c r="A148" s="70" t="s">
        <v>2896</v>
      </c>
      <c r="B148" s="112" t="s">
        <v>2153</v>
      </c>
      <c r="C148" s="101" t="s">
        <v>339</v>
      </c>
      <c r="D148" s="76" t="str">
        <f>IFERROR(INDEX(M_User!$A$12:$J$67,MATCH(C148,M_User!$D$12:$D$67,0),3),"UNMAPPED")</f>
        <v>Erick K. Mkama</v>
      </c>
      <c r="E148" s="75" t="str">
        <f>IFERROR(INDEX(M_User!$A$12:$J$67,MATCH(C148,M_User!$D$12:$D$67,0),5),"UNMAPPED")</f>
        <v>MOS</v>
      </c>
      <c r="F148" s="101" t="s">
        <v>187</v>
      </c>
      <c r="G148" s="76" t="str">
        <f>IFERROR(INDEX(M_SKU!$A$18:$J$57,MATCH(F148,M_SKU!$B$18:$B$57,0),1),"UNKNOWN SKU")</f>
        <v>Sprite 350ml</v>
      </c>
      <c r="H148" s="101" t="s">
        <v>535</v>
      </c>
      <c r="I148" s="102">
        <f>IFERROR(INDEX(T_Unload!$K$10:$K$433,MATCH(B148,T_Unload!$B$10:$B$433,0)),0)</f>
        <v>1.5917093329301899</v>
      </c>
      <c r="J148" s="111">
        <v>1.59</v>
      </c>
      <c r="K148" s="113">
        <f t="shared" si="8"/>
        <v>1.7093329301898219E-3</v>
      </c>
      <c r="L148" s="114" t="str">
        <f t="shared" si="9"/>
        <v>Post to Default Outlet</v>
      </c>
      <c r="M148" s="115">
        <f t="shared" si="10"/>
        <v>1.7093329301898219E-3</v>
      </c>
      <c r="N148" s="115">
        <f t="shared" si="11"/>
        <v>0</v>
      </c>
      <c r="O148" s="116" t="s">
        <v>2761</v>
      </c>
      <c r="P148" s="117"/>
      <c r="Q148" s="118"/>
    </row>
    <row r="149" spans="1:17" ht="15" customHeight="1" x14ac:dyDescent="0.3">
      <c r="A149" s="60" t="s">
        <v>2897</v>
      </c>
      <c r="B149" s="97" t="s">
        <v>2155</v>
      </c>
      <c r="C149" s="63" t="s">
        <v>339</v>
      </c>
      <c r="D149" s="66" t="str">
        <f>IFERROR(INDEX(M_User!$A$12:$J$67,MATCH(C149,M_User!$D$12:$D$67,0),3),"UNMAPPED")</f>
        <v>Erick K. Mkama</v>
      </c>
      <c r="E149" s="65" t="str">
        <f>IFERROR(INDEX(M_User!$A$12:$J$67,MATCH(C149,M_User!$D$12:$D$67,0),5),"UNMAPPED")</f>
        <v>MOS</v>
      </c>
      <c r="F149" s="63" t="s">
        <v>190</v>
      </c>
      <c r="G149" s="66" t="str">
        <f>IFERROR(INDEX(M_SKU!$A$18:$J$57,MATCH(F149,M_SKU!$B$18:$B$57,0),1),"UNKNOWN SKU")</f>
        <v>Stoney Tangawizi RGB 350ml</v>
      </c>
      <c r="H149" s="63" t="s">
        <v>536</v>
      </c>
      <c r="I149" s="98">
        <f>IFERROR(INDEX(T_Unload!$K$10:$K$433,MATCH(B149,T_Unload!$B$10:$B$433,0)),0)</f>
        <v>0.70761743569170221</v>
      </c>
      <c r="J149" s="111">
        <v>0.71</v>
      </c>
      <c r="K149" s="99">
        <f t="shared" si="8"/>
        <v>-2.3825643082977521E-3</v>
      </c>
      <c r="L149" s="105" t="str">
        <f t="shared" si="9"/>
        <v>Adjust Unload Upward</v>
      </c>
      <c r="M149" s="90">
        <f t="shared" si="10"/>
        <v>0</v>
      </c>
      <c r="N149" s="90">
        <f t="shared" si="11"/>
        <v>2.3825643082977521E-3</v>
      </c>
      <c r="O149" s="68" t="s">
        <v>2761</v>
      </c>
      <c r="P149" s="63"/>
      <c r="Q149" s="62"/>
    </row>
    <row r="150" spans="1:17" ht="15" customHeight="1" x14ac:dyDescent="0.3">
      <c r="A150" s="70" t="s">
        <v>2898</v>
      </c>
      <c r="B150" s="112" t="s">
        <v>2157</v>
      </c>
      <c r="C150" s="101" t="s">
        <v>339</v>
      </c>
      <c r="D150" s="76" t="str">
        <f>IFERROR(INDEX(M_User!$A$12:$J$67,MATCH(C150,M_User!$D$12:$D$67,0),3),"UNMAPPED")</f>
        <v>Erick K. Mkama</v>
      </c>
      <c r="E150" s="75" t="str">
        <f>IFERROR(INDEX(M_User!$A$12:$J$67,MATCH(C150,M_User!$D$12:$D$67,0),5),"UNMAPPED")</f>
        <v>MOS</v>
      </c>
      <c r="F150" s="101" t="s">
        <v>193</v>
      </c>
      <c r="G150" s="76" t="str">
        <f>IFERROR(INDEX(M_SKU!$A$18:$J$57,MATCH(F150,M_SKU!$B$18:$B$57,0),1),"UNKNOWN SKU")</f>
        <v>Sparletta Pinenut RGB 350ml</v>
      </c>
      <c r="H150" s="101" t="s">
        <v>580</v>
      </c>
      <c r="I150" s="102">
        <f>IFERROR(INDEX(T_Unload!$K$10:$K$433,MATCH(B150,T_Unload!$B$10:$B$433,0)),0)</f>
        <v>0.72752115841200604</v>
      </c>
      <c r="J150" s="111">
        <v>0.73</v>
      </c>
      <c r="K150" s="113">
        <f t="shared" si="8"/>
        <v>-2.4788415879939407E-3</v>
      </c>
      <c r="L150" s="114" t="str">
        <f t="shared" si="9"/>
        <v>Adjust Unload Upward</v>
      </c>
      <c r="M150" s="115">
        <f t="shared" si="10"/>
        <v>0</v>
      </c>
      <c r="N150" s="115">
        <f t="shared" si="11"/>
        <v>2.4788415879939407E-3</v>
      </c>
      <c r="O150" s="116" t="s">
        <v>2761</v>
      </c>
      <c r="P150" s="117"/>
      <c r="Q150" s="118"/>
    </row>
    <row r="151" spans="1:17" ht="15" customHeight="1" x14ac:dyDescent="0.3">
      <c r="A151" s="60" t="s">
        <v>2899</v>
      </c>
      <c r="B151" s="97" t="s">
        <v>2159</v>
      </c>
      <c r="C151" s="63" t="s">
        <v>339</v>
      </c>
      <c r="D151" s="66" t="str">
        <f>IFERROR(INDEX(M_User!$A$12:$J$67,MATCH(C151,M_User!$D$12:$D$67,0),3),"UNMAPPED")</f>
        <v>Erick K. Mkama</v>
      </c>
      <c r="E151" s="65" t="str">
        <f>IFERROR(INDEX(M_User!$A$12:$J$67,MATCH(C151,M_User!$D$12:$D$67,0),5),"UNMAPPED")</f>
        <v>MOS</v>
      </c>
      <c r="F151" s="63" t="s">
        <v>196</v>
      </c>
      <c r="G151" s="66" t="str">
        <f>IFERROR(INDEX(M_SKU!$A$18:$J$57,MATCH(F151,M_SKU!$B$18:$B$57,0),1),"UNKNOWN SKU")</f>
        <v>Krest Bitter Lemon RGB 300ml</v>
      </c>
      <c r="H151" s="63" t="s">
        <v>538</v>
      </c>
      <c r="I151" s="98">
        <f>IFERROR(INDEX(T_Unload!$K$10:$K$433,MATCH(B151,T_Unload!$B$10:$B$433,0)),0)</f>
        <v>0.61261642120881321</v>
      </c>
      <c r="J151" s="111">
        <v>0.61</v>
      </c>
      <c r="K151" s="99">
        <f t="shared" si="8"/>
        <v>2.6164212088132244E-3</v>
      </c>
      <c r="L151" s="105" t="str">
        <f t="shared" si="9"/>
        <v>Post to Default Outlet</v>
      </c>
      <c r="M151" s="90">
        <f t="shared" si="10"/>
        <v>2.6164212088132244E-3</v>
      </c>
      <c r="N151" s="90">
        <f t="shared" si="11"/>
        <v>0</v>
      </c>
      <c r="O151" s="68" t="s">
        <v>2761</v>
      </c>
      <c r="P151" s="63"/>
      <c r="Q151" s="62"/>
    </row>
    <row r="152" spans="1:17" ht="15" customHeight="1" x14ac:dyDescent="0.3">
      <c r="A152" s="70" t="s">
        <v>2900</v>
      </c>
      <c r="B152" s="112" t="s">
        <v>2161</v>
      </c>
      <c r="C152" s="101" t="s">
        <v>339</v>
      </c>
      <c r="D152" s="76" t="str">
        <f>IFERROR(INDEX(M_User!$A$12:$J$67,MATCH(C152,M_User!$D$12:$D$67,0),3),"UNMAPPED")</f>
        <v>Erick K. Mkama</v>
      </c>
      <c r="E152" s="75" t="str">
        <f>IFERROR(INDEX(M_User!$A$12:$J$67,MATCH(C152,M_User!$D$12:$D$67,0),5),"UNMAPPED")</f>
        <v>MOS</v>
      </c>
      <c r="F152" s="101" t="s">
        <v>199</v>
      </c>
      <c r="G152" s="76" t="str">
        <f>IFERROR(INDEX(M_SKU!$A$18:$J$57,MATCH(F152,M_SKU!$B$18:$B$57,0),1),"UNKNOWN SKU")</f>
        <v>Krest Club Soda RGB 300ml</v>
      </c>
      <c r="H152" s="101" t="s">
        <v>539</v>
      </c>
      <c r="I152" s="102">
        <f>IFERROR(INDEX(T_Unload!$K$10:$K$433,MATCH(B152,T_Unload!$B$10:$B$433,0)),0)</f>
        <v>0.2932692603861029</v>
      </c>
      <c r="J152" s="111">
        <v>0.28999999999999998</v>
      </c>
      <c r="K152" s="113">
        <f t="shared" si="8"/>
        <v>3.2692603861029235E-3</v>
      </c>
      <c r="L152" s="114" t="str">
        <f t="shared" si="9"/>
        <v>Post to Default Outlet</v>
      </c>
      <c r="M152" s="115">
        <f t="shared" si="10"/>
        <v>3.2692603861029235E-3</v>
      </c>
      <c r="N152" s="115">
        <f t="shared" si="11"/>
        <v>0</v>
      </c>
      <c r="O152" s="116" t="s">
        <v>2761</v>
      </c>
      <c r="P152" s="117"/>
      <c r="Q152" s="118"/>
    </row>
    <row r="153" spans="1:17" ht="15" customHeight="1" x14ac:dyDescent="0.3">
      <c r="A153" s="60" t="s">
        <v>2901</v>
      </c>
      <c r="B153" s="97" t="s">
        <v>2163</v>
      </c>
      <c r="C153" s="63" t="s">
        <v>339</v>
      </c>
      <c r="D153" s="66" t="str">
        <f>IFERROR(INDEX(M_User!$A$12:$J$67,MATCH(C153,M_User!$D$12:$D$67,0),3),"UNMAPPED")</f>
        <v>Erick K. Mkama</v>
      </c>
      <c r="E153" s="65" t="str">
        <f>IFERROR(INDEX(M_User!$A$12:$J$67,MATCH(C153,M_User!$D$12:$D$67,0),5),"UNMAPPED")</f>
        <v>MOS</v>
      </c>
      <c r="F153" s="63" t="s">
        <v>201</v>
      </c>
      <c r="G153" s="66" t="str">
        <f>IFERROR(INDEX(M_SKU!$A$18:$J$57,MATCH(F153,M_SKU!$B$18:$B$57,0),1),"UNKNOWN SKU")</f>
        <v>Krest Tonic Water RGB 300ml</v>
      </c>
      <c r="H153" s="63" t="s">
        <v>540</v>
      </c>
      <c r="I153" s="98">
        <f>IFERROR(INDEX(T_Unload!$K$10:$K$433,MATCH(B153,T_Unload!$B$10:$B$433,0)),0)</f>
        <v>0.60137916300284289</v>
      </c>
      <c r="J153" s="111">
        <v>0.6</v>
      </c>
      <c r="K153" s="99">
        <f t="shared" si="8"/>
        <v>1.3791630028429092E-3</v>
      </c>
      <c r="L153" s="105" t="str">
        <f t="shared" si="9"/>
        <v>Post to Default Outlet</v>
      </c>
      <c r="M153" s="90">
        <f t="shared" si="10"/>
        <v>1.3791630028429092E-3</v>
      </c>
      <c r="N153" s="90">
        <f t="shared" si="11"/>
        <v>0</v>
      </c>
      <c r="O153" s="68" t="s">
        <v>2761</v>
      </c>
      <c r="P153" s="63"/>
      <c r="Q153" s="62"/>
    </row>
    <row r="154" spans="1:17" ht="15" customHeight="1" x14ac:dyDescent="0.3">
      <c r="A154" s="70" t="s">
        <v>2902</v>
      </c>
      <c r="B154" s="112" t="s">
        <v>2165</v>
      </c>
      <c r="C154" s="101" t="s">
        <v>339</v>
      </c>
      <c r="D154" s="76" t="str">
        <f>IFERROR(INDEX(M_User!$A$12:$J$67,MATCH(C154,M_User!$D$12:$D$67,0),3),"UNMAPPED")</f>
        <v>Erick K. Mkama</v>
      </c>
      <c r="E154" s="75" t="str">
        <f>IFERROR(INDEX(M_User!$A$12:$J$67,MATCH(C154,M_User!$D$12:$D$67,0),5),"UNMAPPED")</f>
        <v>MOS</v>
      </c>
      <c r="F154" s="101" t="s">
        <v>203</v>
      </c>
      <c r="G154" s="76" t="str">
        <f>IFERROR(INDEX(M_SKU!$A$18:$J$57,MATCH(F154,M_SKU!$B$18:$B$57,0),1),"UNKNOWN SKU")</f>
        <v>Krest Ginger Ale RGB 300ml</v>
      </c>
      <c r="H154" s="101" t="s">
        <v>541</v>
      </c>
      <c r="I154" s="102">
        <f>IFERROR(INDEX(T_Unload!$K$10:$K$433,MATCH(B154,T_Unload!$B$10:$B$433,0)),0)</f>
        <v>0.26887616323463992</v>
      </c>
      <c r="J154" s="111">
        <v>0.27</v>
      </c>
      <c r="K154" s="113">
        <f t="shared" si="8"/>
        <v>-1.1238367653600978E-3</v>
      </c>
      <c r="L154" s="114" t="str">
        <f t="shared" si="9"/>
        <v>Adjust Unload Upward</v>
      </c>
      <c r="M154" s="115">
        <f t="shared" si="10"/>
        <v>0</v>
      </c>
      <c r="N154" s="115">
        <f t="shared" si="11"/>
        <v>1.1238367653600978E-3</v>
      </c>
      <c r="O154" s="116" t="s">
        <v>2761</v>
      </c>
      <c r="P154" s="117"/>
      <c r="Q154" s="118"/>
    </row>
    <row r="155" spans="1:17" ht="15" customHeight="1" x14ac:dyDescent="0.3">
      <c r="A155" s="60" t="s">
        <v>2903</v>
      </c>
      <c r="B155" s="97" t="s">
        <v>2167</v>
      </c>
      <c r="C155" s="63" t="s">
        <v>339</v>
      </c>
      <c r="D155" s="66" t="str">
        <f>IFERROR(INDEX(M_User!$A$12:$J$67,MATCH(C155,M_User!$D$12:$D$67,0),3),"UNMAPPED")</f>
        <v>Erick K. Mkama</v>
      </c>
      <c r="E155" s="65" t="str">
        <f>IFERROR(INDEX(M_User!$A$12:$J$67,MATCH(C155,M_User!$D$12:$D$67,0),5),"UNMAPPED")</f>
        <v>MOS</v>
      </c>
      <c r="F155" s="63" t="s">
        <v>209</v>
      </c>
      <c r="G155" s="66" t="str">
        <f>IFERROR(INDEX(M_SKU!$A$18:$J$57,MATCH(F155,M_SKU!$B$18:$B$57,0),1),"UNKNOWN SKU")</f>
        <v>Sparletta Red Apple RGB 350ml</v>
      </c>
      <c r="H155" s="63" t="s">
        <v>542</v>
      </c>
      <c r="I155" s="98">
        <f>IFERROR(INDEX(T_Unload!$K$10:$K$433,MATCH(B155,T_Unload!$B$10:$B$433,0)),0)</f>
        <v>0.22811595053250411</v>
      </c>
      <c r="J155" s="111">
        <v>0.23</v>
      </c>
      <c r="K155" s="99">
        <f t="shared" si="8"/>
        <v>-1.8840494674959019E-3</v>
      </c>
      <c r="L155" s="105" t="str">
        <f t="shared" si="9"/>
        <v>Adjust Unload Upward</v>
      </c>
      <c r="M155" s="90">
        <f t="shared" si="10"/>
        <v>0</v>
      </c>
      <c r="N155" s="90">
        <f t="shared" si="11"/>
        <v>1.8840494674959019E-3</v>
      </c>
      <c r="O155" s="68" t="s">
        <v>2761</v>
      </c>
      <c r="P155" s="63"/>
      <c r="Q155" s="62"/>
    </row>
    <row r="156" spans="1:17" ht="15" customHeight="1" x14ac:dyDescent="0.3">
      <c r="A156" s="70" t="s">
        <v>2904</v>
      </c>
      <c r="B156" s="112" t="s">
        <v>2169</v>
      </c>
      <c r="C156" s="101" t="s">
        <v>339</v>
      </c>
      <c r="D156" s="76" t="str">
        <f>IFERROR(INDEX(M_User!$A$12:$J$67,MATCH(C156,M_User!$D$12:$D$67,0),3),"UNMAPPED")</f>
        <v>Erick K. Mkama</v>
      </c>
      <c r="E156" s="75" t="str">
        <f>IFERROR(INDEX(M_User!$A$12:$J$67,MATCH(C156,M_User!$D$12:$D$67,0),5),"UNMAPPED")</f>
        <v>MOS</v>
      </c>
      <c r="F156" s="101" t="s">
        <v>211</v>
      </c>
      <c r="G156" s="76" t="str">
        <f>IFERROR(INDEX(M_SKU!$A$18:$J$57,MATCH(F156,M_SKU!$B$18:$B$57,0),1),"UNKNOWN SKU")</f>
        <v>KNMW 500ml</v>
      </c>
      <c r="H156" s="101" t="s">
        <v>543</v>
      </c>
      <c r="I156" s="102">
        <f>IFERROR(INDEX(T_Unload!$K$10:$K$433,MATCH(B156,T_Unload!$B$10:$B$433,0)),0)</f>
        <v>11</v>
      </c>
      <c r="J156" s="111">
        <v>11</v>
      </c>
      <c r="K156" s="113">
        <f t="shared" si="8"/>
        <v>0</v>
      </c>
      <c r="L156" s="114" t="str">
        <f t="shared" si="9"/>
        <v>CLEAN</v>
      </c>
      <c r="M156" s="115">
        <f t="shared" si="10"/>
        <v>0</v>
      </c>
      <c r="N156" s="115">
        <f t="shared" si="11"/>
        <v>0</v>
      </c>
      <c r="O156" s="116" t="s">
        <v>2761</v>
      </c>
      <c r="P156" s="117"/>
      <c r="Q156" s="118"/>
    </row>
    <row r="157" spans="1:17" ht="15" customHeight="1" x14ac:dyDescent="0.3">
      <c r="A157" s="60" t="s">
        <v>2905</v>
      </c>
      <c r="B157" s="97" t="s">
        <v>2171</v>
      </c>
      <c r="C157" s="63" t="s">
        <v>339</v>
      </c>
      <c r="D157" s="66" t="str">
        <f>IFERROR(INDEX(M_User!$A$12:$J$67,MATCH(C157,M_User!$D$12:$D$67,0),3),"UNMAPPED")</f>
        <v>Erick K. Mkama</v>
      </c>
      <c r="E157" s="65" t="str">
        <f>IFERROR(INDEX(M_User!$A$12:$J$67,MATCH(C157,M_User!$D$12:$D$67,0),5),"UNMAPPED")</f>
        <v>MOS</v>
      </c>
      <c r="F157" s="63" t="s">
        <v>217</v>
      </c>
      <c r="G157" s="66" t="str">
        <f>IFERROR(INDEX(M_SKU!$A$18:$J$57,MATCH(F157,M_SKU!$B$18:$B$57,0),1),"UNKNOWN SKU")</f>
        <v>KNMW 1500ml</v>
      </c>
      <c r="H157" s="63" t="s">
        <v>551</v>
      </c>
      <c r="I157" s="98">
        <f>IFERROR(INDEX(T_Unload!$K$10:$K$433,MATCH(B157,T_Unload!$B$10:$B$433,0)),0)</f>
        <v>9</v>
      </c>
      <c r="J157" s="111">
        <v>9</v>
      </c>
      <c r="K157" s="99">
        <f t="shared" si="8"/>
        <v>0</v>
      </c>
      <c r="L157" s="105" t="str">
        <f t="shared" si="9"/>
        <v>CLEAN</v>
      </c>
      <c r="M157" s="90">
        <f t="shared" si="10"/>
        <v>0</v>
      </c>
      <c r="N157" s="90">
        <f t="shared" si="11"/>
        <v>0</v>
      </c>
      <c r="O157" s="68" t="s">
        <v>2761</v>
      </c>
      <c r="P157" s="63"/>
      <c r="Q157" s="62"/>
    </row>
    <row r="158" spans="1:17" ht="15" customHeight="1" x14ac:dyDescent="0.3">
      <c r="A158" s="70" t="s">
        <v>2906</v>
      </c>
      <c r="B158" s="112" t="s">
        <v>2173</v>
      </c>
      <c r="C158" s="101" t="s">
        <v>339</v>
      </c>
      <c r="D158" s="76" t="str">
        <f>IFERROR(INDEX(M_User!$A$12:$J$67,MATCH(C158,M_User!$D$12:$D$67,0),3),"UNMAPPED")</f>
        <v>Erick K. Mkama</v>
      </c>
      <c r="E158" s="75" t="str">
        <f>IFERROR(INDEX(M_User!$A$12:$J$67,MATCH(C158,M_User!$D$12:$D$67,0),5),"UNMAPPED")</f>
        <v>MOS</v>
      </c>
      <c r="F158" s="101" t="s">
        <v>229</v>
      </c>
      <c r="G158" s="76" t="str">
        <f>IFERROR(INDEX(M_SKU!$A$18:$J$57,MATCH(F158,M_SKU!$B$18:$B$57,0),1),"UNKNOWN SKU")</f>
        <v>Coke Pet 500ML ( x12)</v>
      </c>
      <c r="H158" s="101" t="s">
        <v>520</v>
      </c>
      <c r="I158" s="102">
        <f>IFERROR(INDEX(T_Unload!$K$10:$K$433,MATCH(B158,T_Unload!$B$10:$B$433,0)),0)</f>
        <v>5</v>
      </c>
      <c r="J158" s="111">
        <v>5</v>
      </c>
      <c r="K158" s="113">
        <f t="shared" si="8"/>
        <v>0</v>
      </c>
      <c r="L158" s="114" t="str">
        <f t="shared" si="9"/>
        <v>CLEAN</v>
      </c>
      <c r="M158" s="115">
        <f t="shared" si="10"/>
        <v>0</v>
      </c>
      <c r="N158" s="115">
        <f t="shared" si="11"/>
        <v>0</v>
      </c>
      <c r="O158" s="116" t="s">
        <v>2761</v>
      </c>
      <c r="P158" s="117"/>
      <c r="Q158" s="118"/>
    </row>
    <row r="159" spans="1:17" ht="15" customHeight="1" x14ac:dyDescent="0.3">
      <c r="A159" s="60" t="s">
        <v>2907</v>
      </c>
      <c r="B159" s="97" t="s">
        <v>2175</v>
      </c>
      <c r="C159" s="63" t="s">
        <v>339</v>
      </c>
      <c r="D159" s="66" t="str">
        <f>IFERROR(INDEX(M_User!$A$12:$J$67,MATCH(C159,M_User!$D$12:$D$67,0),3),"UNMAPPED")</f>
        <v>Erick K. Mkama</v>
      </c>
      <c r="E159" s="65" t="str">
        <f>IFERROR(INDEX(M_User!$A$12:$J$67,MATCH(C159,M_User!$D$12:$D$67,0),5),"UNMAPPED")</f>
        <v>MOS</v>
      </c>
      <c r="F159" s="63" t="s">
        <v>232</v>
      </c>
      <c r="G159" s="66" t="str">
        <f>IFERROR(INDEX(M_SKU!$A$18:$J$57,MATCH(F159,M_SKU!$B$18:$B$57,0),1),"UNKNOWN SKU")</f>
        <v>Sprite Pet 500ML (x 12)</v>
      </c>
      <c r="H159" s="63" t="s">
        <v>522</v>
      </c>
      <c r="I159" s="98">
        <f>IFERROR(INDEX(T_Unload!$K$10:$K$433,MATCH(B159,T_Unload!$B$10:$B$433,0)),0)</f>
        <v>2</v>
      </c>
      <c r="J159" s="111">
        <v>2</v>
      </c>
      <c r="K159" s="99">
        <f t="shared" si="8"/>
        <v>0</v>
      </c>
      <c r="L159" s="105" t="str">
        <f t="shared" si="9"/>
        <v>CLEAN</v>
      </c>
      <c r="M159" s="90">
        <f t="shared" si="10"/>
        <v>0</v>
      </c>
      <c r="N159" s="90">
        <f t="shared" si="11"/>
        <v>0</v>
      </c>
      <c r="O159" s="68" t="s">
        <v>2761</v>
      </c>
      <c r="P159" s="63"/>
      <c r="Q159" s="62"/>
    </row>
    <row r="160" spans="1:17" ht="15" customHeight="1" x14ac:dyDescent="0.3">
      <c r="A160" s="70" t="s">
        <v>2908</v>
      </c>
      <c r="B160" s="112" t="s">
        <v>2177</v>
      </c>
      <c r="C160" s="101" t="s">
        <v>339</v>
      </c>
      <c r="D160" s="76" t="str">
        <f>IFERROR(INDEX(M_User!$A$12:$J$67,MATCH(C160,M_User!$D$12:$D$67,0),3),"UNMAPPED")</f>
        <v>Erick K. Mkama</v>
      </c>
      <c r="E160" s="75" t="str">
        <f>IFERROR(INDEX(M_User!$A$12:$J$67,MATCH(C160,M_User!$D$12:$D$67,0),5),"UNMAPPED")</f>
        <v>MOS</v>
      </c>
      <c r="F160" s="101" t="s">
        <v>234</v>
      </c>
      <c r="G160" s="76" t="str">
        <f>IFERROR(INDEX(M_SKU!$A$18:$J$57,MATCH(F160,M_SKU!$B$18:$B$57,0),1),"UNKNOWN SKU")</f>
        <v>Fanta Orange Pet 500ML ( x 12)</v>
      </c>
      <c r="H160" s="101" t="s">
        <v>523</v>
      </c>
      <c r="I160" s="102">
        <f>IFERROR(INDEX(T_Unload!$K$10:$K$433,MATCH(B160,T_Unload!$B$10:$B$433,0)),0)</f>
        <v>6</v>
      </c>
      <c r="J160" s="111">
        <v>6</v>
      </c>
      <c r="K160" s="113">
        <f t="shared" si="8"/>
        <v>0</v>
      </c>
      <c r="L160" s="114" t="str">
        <f t="shared" si="9"/>
        <v>CLEAN</v>
      </c>
      <c r="M160" s="115">
        <f t="shared" si="10"/>
        <v>0</v>
      </c>
      <c r="N160" s="115">
        <f t="shared" si="11"/>
        <v>0</v>
      </c>
      <c r="O160" s="116" t="s">
        <v>2761</v>
      </c>
      <c r="P160" s="117"/>
      <c r="Q160" s="118"/>
    </row>
    <row r="161" spans="1:17" ht="15" customHeight="1" x14ac:dyDescent="0.3">
      <c r="A161" s="60" t="s">
        <v>2909</v>
      </c>
      <c r="B161" s="97" t="s">
        <v>2179</v>
      </c>
      <c r="C161" s="63" t="s">
        <v>339</v>
      </c>
      <c r="D161" s="66" t="str">
        <f>IFERROR(INDEX(M_User!$A$12:$J$67,MATCH(C161,M_User!$D$12:$D$67,0),3),"UNMAPPED")</f>
        <v>Erick K. Mkama</v>
      </c>
      <c r="E161" s="65" t="str">
        <f>IFERROR(INDEX(M_User!$A$12:$J$67,MATCH(C161,M_User!$D$12:$D$67,0),5),"UNMAPPED")</f>
        <v>MOS</v>
      </c>
      <c r="F161" s="63" t="s">
        <v>236</v>
      </c>
      <c r="G161" s="66" t="str">
        <f>IFERROR(INDEX(M_SKU!$A$18:$J$57,MATCH(F161,M_SKU!$B$18:$B$57,0),1),"UNKNOWN SKU")</f>
        <v>Fanta Passion Pet 500ML ( x12)</v>
      </c>
      <c r="H161" s="63" t="s">
        <v>524</v>
      </c>
      <c r="I161" s="98">
        <f>IFERROR(INDEX(T_Unload!$K$10:$K$433,MATCH(B161,T_Unload!$B$10:$B$433,0)),0)</f>
        <v>1</v>
      </c>
      <c r="J161" s="111">
        <v>1</v>
      </c>
      <c r="K161" s="99">
        <f t="shared" si="8"/>
        <v>0</v>
      </c>
      <c r="L161" s="105" t="str">
        <f t="shared" si="9"/>
        <v>CLEAN</v>
      </c>
      <c r="M161" s="90">
        <f t="shared" si="10"/>
        <v>0</v>
      </c>
      <c r="N161" s="90">
        <f t="shared" si="11"/>
        <v>0</v>
      </c>
      <c r="O161" s="68" t="s">
        <v>2761</v>
      </c>
      <c r="P161" s="63"/>
      <c r="Q161" s="62"/>
    </row>
    <row r="162" spans="1:17" ht="15" customHeight="1" x14ac:dyDescent="0.3">
      <c r="A162" s="70" t="s">
        <v>2910</v>
      </c>
      <c r="B162" s="112" t="s">
        <v>2181</v>
      </c>
      <c r="C162" s="101" t="s">
        <v>339</v>
      </c>
      <c r="D162" s="76" t="str">
        <f>IFERROR(INDEX(M_User!$A$12:$J$67,MATCH(C162,M_User!$D$12:$D$67,0),3),"UNMAPPED")</f>
        <v>Erick K. Mkama</v>
      </c>
      <c r="E162" s="75" t="str">
        <f>IFERROR(INDEX(M_User!$A$12:$J$67,MATCH(C162,M_User!$D$12:$D$67,0),5),"UNMAPPED")</f>
        <v>MOS</v>
      </c>
      <c r="F162" s="101" t="s">
        <v>240</v>
      </c>
      <c r="G162" s="76" t="str">
        <f>IFERROR(INDEX(M_SKU!$A$18:$J$57,MATCH(F162,M_SKU!$B$18:$B$57,0),1),"UNKNOWN SKU")</f>
        <v>Fanta Fruit Blast Pet 500ML (x12)</v>
      </c>
      <c r="H162" s="101" t="s">
        <v>553</v>
      </c>
      <c r="I162" s="102">
        <f>IFERROR(INDEX(T_Unload!$K$10:$K$433,MATCH(B162,T_Unload!$B$10:$B$433,0)),0)</f>
        <v>1</v>
      </c>
      <c r="J162" s="111">
        <v>1</v>
      </c>
      <c r="K162" s="113">
        <f t="shared" si="8"/>
        <v>0</v>
      </c>
      <c r="L162" s="114" t="str">
        <f t="shared" si="9"/>
        <v>CLEAN</v>
      </c>
      <c r="M162" s="115">
        <f t="shared" si="10"/>
        <v>0</v>
      </c>
      <c r="N162" s="115">
        <f t="shared" si="11"/>
        <v>0</v>
      </c>
      <c r="O162" s="116" t="s">
        <v>2761</v>
      </c>
      <c r="P162" s="117"/>
      <c r="Q162" s="118"/>
    </row>
    <row r="163" spans="1:17" ht="15" customHeight="1" x14ac:dyDescent="0.3">
      <c r="A163" s="60" t="s">
        <v>2911</v>
      </c>
      <c r="B163" s="97" t="s">
        <v>2183</v>
      </c>
      <c r="C163" s="63" t="s">
        <v>339</v>
      </c>
      <c r="D163" s="66" t="str">
        <f>IFERROR(INDEX(M_User!$A$12:$J$67,MATCH(C163,M_User!$D$12:$D$67,0),3),"UNMAPPED")</f>
        <v>Erick K. Mkama</v>
      </c>
      <c r="E163" s="65" t="str">
        <f>IFERROR(INDEX(M_User!$A$12:$J$67,MATCH(C163,M_User!$D$12:$D$67,0),5),"UNMAPPED")</f>
        <v>MOS</v>
      </c>
      <c r="F163" s="63" t="s">
        <v>242</v>
      </c>
      <c r="G163" s="66" t="str">
        <f>IFERROR(INDEX(M_SKU!$A$18:$J$57,MATCH(F163,M_SKU!$B$18:$B$57,0),1),"UNKNOWN SKU")</f>
        <v>Stoney Tangawizi Pet 500 ml ( x12)</v>
      </c>
      <c r="H163" s="63" t="s">
        <v>525</v>
      </c>
      <c r="I163" s="98">
        <f>IFERROR(INDEX(T_Unload!$K$10:$K$433,MATCH(B163,T_Unload!$B$10:$B$433,0)),0)</f>
        <v>1</v>
      </c>
      <c r="J163" s="111">
        <v>1</v>
      </c>
      <c r="K163" s="99">
        <f t="shared" si="8"/>
        <v>0</v>
      </c>
      <c r="L163" s="105" t="str">
        <f t="shared" si="9"/>
        <v>CLEAN</v>
      </c>
      <c r="M163" s="90">
        <f t="shared" si="10"/>
        <v>0</v>
      </c>
      <c r="N163" s="90">
        <f t="shared" si="11"/>
        <v>0</v>
      </c>
      <c r="O163" s="68" t="s">
        <v>2761</v>
      </c>
      <c r="P163" s="63"/>
      <c r="Q163" s="62"/>
    </row>
    <row r="164" spans="1:17" ht="15" customHeight="1" x14ac:dyDescent="0.3">
      <c r="A164" s="70" t="s">
        <v>2912</v>
      </c>
      <c r="B164" s="112" t="s">
        <v>2185</v>
      </c>
      <c r="C164" s="101" t="s">
        <v>339</v>
      </c>
      <c r="D164" s="76" t="str">
        <f>IFERROR(INDEX(M_User!$A$12:$J$67,MATCH(C164,M_User!$D$12:$D$67,0),3),"UNMAPPED")</f>
        <v>Erick K. Mkama</v>
      </c>
      <c r="E164" s="75" t="str">
        <f>IFERROR(INDEX(M_User!$A$12:$J$67,MATCH(C164,M_User!$D$12:$D$67,0),5),"UNMAPPED")</f>
        <v>MOS</v>
      </c>
      <c r="F164" s="101" t="s">
        <v>244</v>
      </c>
      <c r="G164" s="76" t="str">
        <f>IFERROR(INDEX(M_SKU!$A$18:$J$57,MATCH(F164,M_SKU!$B$18:$B$57,0),1),"UNKNOWN SKU")</f>
        <v>Sparletta Pinenut Pet 500 ml ( x12)</v>
      </c>
      <c r="H164" s="101" t="s">
        <v>526</v>
      </c>
      <c r="I164" s="102">
        <f>IFERROR(INDEX(T_Unload!$K$10:$K$433,MATCH(B164,T_Unload!$B$10:$B$433,0)),0)</f>
        <v>0</v>
      </c>
      <c r="J164" s="111">
        <v>0</v>
      </c>
      <c r="K164" s="113">
        <f t="shared" si="8"/>
        <v>0</v>
      </c>
      <c r="L164" s="114" t="str">
        <f t="shared" si="9"/>
        <v>CLEAN</v>
      </c>
      <c r="M164" s="115">
        <f t="shared" si="10"/>
        <v>0</v>
      </c>
      <c r="N164" s="115">
        <f t="shared" si="11"/>
        <v>0</v>
      </c>
      <c r="O164" s="116" t="s">
        <v>2761</v>
      </c>
      <c r="P164" s="117"/>
      <c r="Q164" s="118"/>
    </row>
    <row r="165" spans="1:17" ht="15" customHeight="1" x14ac:dyDescent="0.3">
      <c r="A165" s="60" t="s">
        <v>2913</v>
      </c>
      <c r="B165" s="97" t="s">
        <v>2187</v>
      </c>
      <c r="C165" s="63" t="s">
        <v>339</v>
      </c>
      <c r="D165" s="66" t="str">
        <f>IFERROR(INDEX(M_User!$A$12:$J$67,MATCH(C165,M_User!$D$12:$D$67,0),3),"UNMAPPED")</f>
        <v>Erick K. Mkama</v>
      </c>
      <c r="E165" s="65" t="str">
        <f>IFERROR(INDEX(M_User!$A$12:$J$67,MATCH(C165,M_User!$D$12:$D$67,0),5),"UNMAPPED")</f>
        <v>MOS</v>
      </c>
      <c r="F165" s="63" t="s">
        <v>246</v>
      </c>
      <c r="G165" s="66" t="str">
        <f>IFERROR(INDEX(M_SKU!$A$18:$J$57,MATCH(F165,M_SKU!$B$18:$B$57,0),1),"UNKNOWN SKU")</f>
        <v>Coke Zero Pet 500ML ( X 12)</v>
      </c>
      <c r="H165" s="63" t="s">
        <v>554</v>
      </c>
      <c r="I165" s="98">
        <f>IFERROR(INDEX(T_Unload!$K$10:$K$433,MATCH(B165,T_Unload!$B$10:$B$433,0)),0)</f>
        <v>1</v>
      </c>
      <c r="J165" s="111">
        <v>1</v>
      </c>
      <c r="K165" s="99">
        <f t="shared" si="8"/>
        <v>0</v>
      </c>
      <c r="L165" s="105" t="str">
        <f t="shared" si="9"/>
        <v>CLEAN</v>
      </c>
      <c r="M165" s="90">
        <f t="shared" si="10"/>
        <v>0</v>
      </c>
      <c r="N165" s="90">
        <f t="shared" si="11"/>
        <v>0</v>
      </c>
      <c r="O165" s="68" t="s">
        <v>2761</v>
      </c>
      <c r="P165" s="63"/>
      <c r="Q165" s="62"/>
    </row>
    <row r="166" spans="1:17" ht="15" customHeight="1" x14ac:dyDescent="0.3">
      <c r="A166" s="70" t="s">
        <v>2914</v>
      </c>
      <c r="B166" s="112" t="s">
        <v>2189</v>
      </c>
      <c r="C166" s="101" t="s">
        <v>339</v>
      </c>
      <c r="D166" s="76" t="str">
        <f>IFERROR(INDEX(M_User!$A$12:$J$67,MATCH(C166,M_User!$D$12:$D$67,0),3),"UNMAPPED")</f>
        <v>Erick K. Mkama</v>
      </c>
      <c r="E166" s="75" t="str">
        <f>IFERROR(INDEX(M_User!$A$12:$J$67,MATCH(C166,M_User!$D$12:$D$67,0),5),"UNMAPPED")</f>
        <v>MOS</v>
      </c>
      <c r="F166" s="101" t="s">
        <v>252</v>
      </c>
      <c r="G166" s="76" t="str">
        <f>IFERROR(INDEX(M_SKU!$A$18:$J$57,MATCH(F166,M_SKU!$B$18:$B$57,0),1),"UNKNOWN SKU")</f>
        <v>Sprite Zero Pet 300ML (x 12)</v>
      </c>
      <c r="H166" s="101" t="s">
        <v>545</v>
      </c>
      <c r="I166" s="102">
        <f>IFERROR(INDEX(T_Unload!$K$10:$K$433,MATCH(B166,T_Unload!$B$10:$B$433,0)),0)</f>
        <v>2</v>
      </c>
      <c r="J166" s="111">
        <v>2</v>
      </c>
      <c r="K166" s="113">
        <f t="shared" si="8"/>
        <v>0</v>
      </c>
      <c r="L166" s="114" t="str">
        <f t="shared" si="9"/>
        <v>CLEAN</v>
      </c>
      <c r="M166" s="115">
        <f t="shared" si="10"/>
        <v>0</v>
      </c>
      <c r="N166" s="115">
        <f t="shared" si="11"/>
        <v>0</v>
      </c>
      <c r="O166" s="116" t="s">
        <v>2761</v>
      </c>
      <c r="P166" s="117"/>
      <c r="Q166" s="118"/>
    </row>
    <row r="167" spans="1:17" ht="15" customHeight="1" x14ac:dyDescent="0.3">
      <c r="A167" s="60" t="s">
        <v>2915</v>
      </c>
      <c r="B167" s="97" t="s">
        <v>2191</v>
      </c>
      <c r="C167" s="63" t="s">
        <v>339</v>
      </c>
      <c r="D167" s="66" t="str">
        <f>IFERROR(INDEX(M_User!$A$12:$J$67,MATCH(C167,M_User!$D$12:$D$67,0),3),"UNMAPPED")</f>
        <v>Erick K. Mkama</v>
      </c>
      <c r="E167" s="65" t="str">
        <f>IFERROR(INDEX(M_User!$A$12:$J$67,MATCH(C167,M_User!$D$12:$D$67,0),5),"UNMAPPED")</f>
        <v>MOS</v>
      </c>
      <c r="F167" s="63" t="s">
        <v>254</v>
      </c>
      <c r="G167" s="66" t="str">
        <f>IFERROR(INDEX(M_SKU!$A$18:$J$57,MATCH(F167,M_SKU!$B$18:$B$57,0),1),"UNKNOWN SKU")</f>
        <v>Fanta Zero Pet 300ML (x 12)</v>
      </c>
      <c r="H167" s="63" t="s">
        <v>546</v>
      </c>
      <c r="I167" s="98">
        <f>IFERROR(INDEX(T_Unload!$K$10:$K$433,MATCH(B167,T_Unload!$B$10:$B$433,0)),0)</f>
        <v>2</v>
      </c>
      <c r="J167" s="111">
        <v>2</v>
      </c>
      <c r="K167" s="99">
        <f t="shared" si="8"/>
        <v>0</v>
      </c>
      <c r="L167" s="105" t="str">
        <f t="shared" si="9"/>
        <v>CLEAN</v>
      </c>
      <c r="M167" s="90">
        <f t="shared" si="10"/>
        <v>0</v>
      </c>
      <c r="N167" s="90">
        <f t="shared" si="11"/>
        <v>0</v>
      </c>
      <c r="O167" s="68" t="s">
        <v>2761</v>
      </c>
      <c r="P167" s="63"/>
      <c r="Q167" s="62"/>
    </row>
    <row r="168" spans="1:17" ht="15" customHeight="1" x14ac:dyDescent="0.3">
      <c r="A168" s="70" t="s">
        <v>2916</v>
      </c>
      <c r="B168" s="112" t="s">
        <v>2193</v>
      </c>
      <c r="C168" s="101" t="s">
        <v>339</v>
      </c>
      <c r="D168" s="76" t="str">
        <f>IFERROR(INDEX(M_User!$A$12:$J$67,MATCH(C168,M_User!$D$12:$D$67,0),3),"UNMAPPED")</f>
        <v>Erick K. Mkama</v>
      </c>
      <c r="E168" s="75" t="str">
        <f>IFERROR(INDEX(M_User!$A$12:$J$67,MATCH(C168,M_User!$D$12:$D$67,0),5),"UNMAPPED")</f>
        <v>MOS</v>
      </c>
      <c r="F168" s="101" t="s">
        <v>261</v>
      </c>
      <c r="G168" s="76" t="str">
        <f>IFERROR(INDEX(M_SKU!$A$18:$J$57,MATCH(F168,M_SKU!$B$18:$B$57,0),1),"UNKNOWN SKU")</f>
        <v>Sparletta Pine Apple Pet 300ML (x 12)</v>
      </c>
      <c r="H168" s="101" t="s">
        <v>547</v>
      </c>
      <c r="I168" s="102">
        <f>IFERROR(INDEX(T_Unload!$K$10:$K$433,MATCH(B168,T_Unload!$B$10:$B$433,0)),0)</f>
        <v>4</v>
      </c>
      <c r="J168" s="111">
        <v>4</v>
      </c>
      <c r="K168" s="113">
        <f t="shared" si="8"/>
        <v>0</v>
      </c>
      <c r="L168" s="114" t="str">
        <f t="shared" si="9"/>
        <v>CLEAN</v>
      </c>
      <c r="M168" s="115">
        <f t="shared" si="10"/>
        <v>0</v>
      </c>
      <c r="N168" s="115">
        <f t="shared" si="11"/>
        <v>0</v>
      </c>
      <c r="O168" s="116" t="s">
        <v>2761</v>
      </c>
      <c r="P168" s="117"/>
      <c r="Q168" s="118"/>
    </row>
    <row r="169" spans="1:17" ht="15" customHeight="1" x14ac:dyDescent="0.3">
      <c r="A169" s="60" t="s">
        <v>2917</v>
      </c>
      <c r="B169" s="97" t="s">
        <v>2195</v>
      </c>
      <c r="C169" s="63" t="s">
        <v>412</v>
      </c>
      <c r="D169" s="66" t="str">
        <f>IFERROR(INDEX(M_User!$A$12:$J$67,MATCH(C169,M_User!$D$12:$D$67,0),3),"UNMAPPED")</f>
        <v>Jonas Steven Michael</v>
      </c>
      <c r="E169" s="65" t="str">
        <f>IFERROR(INDEX(M_User!$A$12:$J$67,MATCH(C169,M_User!$D$12:$D$67,0),5),"UNMAPPED")</f>
        <v>MOS</v>
      </c>
      <c r="F169" s="63" t="s">
        <v>170</v>
      </c>
      <c r="G169" s="66" t="str">
        <f>IFERROR(INDEX(M_SKU!$A$18:$J$57,MATCH(F169,M_SKU!$B$18:$B$57,0),1),"UNKNOWN SKU")</f>
        <v>Coke RGB 350ml</v>
      </c>
      <c r="H169" s="63" t="s">
        <v>530</v>
      </c>
      <c r="I169" s="98">
        <f>IFERROR(INDEX(T_Unload!$K$10:$K$433,MATCH(B169,T_Unload!$B$10:$B$433,0)),0)</f>
        <v>17.145535174950844</v>
      </c>
      <c r="J169" s="111">
        <v>17.149999999999999</v>
      </c>
      <c r="K169" s="99">
        <f t="shared" si="8"/>
        <v>-4.4648250491547969E-3</v>
      </c>
      <c r="L169" s="105" t="str">
        <f t="shared" si="9"/>
        <v>Adjust Unload Upward</v>
      </c>
      <c r="M169" s="90">
        <f t="shared" si="10"/>
        <v>0</v>
      </c>
      <c r="N169" s="90">
        <f t="shared" si="11"/>
        <v>4.4648250491547969E-3</v>
      </c>
      <c r="O169" s="68" t="s">
        <v>2761</v>
      </c>
      <c r="P169" s="63"/>
      <c r="Q169" s="62"/>
    </row>
    <row r="170" spans="1:17" ht="15" customHeight="1" x14ac:dyDescent="0.3">
      <c r="A170" s="70" t="s">
        <v>2918</v>
      </c>
      <c r="B170" s="112" t="s">
        <v>2197</v>
      </c>
      <c r="C170" s="101" t="s">
        <v>412</v>
      </c>
      <c r="D170" s="76" t="str">
        <f>IFERROR(INDEX(M_User!$A$12:$J$67,MATCH(C170,M_User!$D$12:$D$67,0),3),"UNMAPPED")</f>
        <v>Jonas Steven Michael</v>
      </c>
      <c r="E170" s="75" t="str">
        <f>IFERROR(INDEX(M_User!$A$12:$J$67,MATCH(C170,M_User!$D$12:$D$67,0),5),"UNMAPPED")</f>
        <v>MOS</v>
      </c>
      <c r="F170" s="101" t="s">
        <v>178</v>
      </c>
      <c r="G170" s="76" t="str">
        <f>IFERROR(INDEX(M_SKU!$A$18:$J$57,MATCH(F170,M_SKU!$B$18:$B$57,0),1),"UNKNOWN SKU")</f>
        <v>Fanta Orange RGB 350ml</v>
      </c>
      <c r="H170" s="101" t="s">
        <v>531</v>
      </c>
      <c r="I170" s="102">
        <f>IFERROR(INDEX(T_Unload!$K$10:$K$433,MATCH(B170,T_Unload!$B$10:$B$433,0)),0)</f>
        <v>2.7890735448973523</v>
      </c>
      <c r="J170" s="111">
        <v>2.79</v>
      </c>
      <c r="K170" s="113">
        <f t="shared" si="8"/>
        <v>-9.2645510264777187E-4</v>
      </c>
      <c r="L170" s="114" t="str">
        <f t="shared" si="9"/>
        <v>Adjust Unload Upward</v>
      </c>
      <c r="M170" s="115">
        <f t="shared" si="10"/>
        <v>0</v>
      </c>
      <c r="N170" s="115">
        <f t="shared" si="11"/>
        <v>9.2645510264777187E-4</v>
      </c>
      <c r="O170" s="116" t="s">
        <v>2761</v>
      </c>
      <c r="P170" s="117"/>
      <c r="Q170" s="118"/>
    </row>
    <row r="171" spans="1:17" ht="15" customHeight="1" x14ac:dyDescent="0.3">
      <c r="A171" s="60" t="s">
        <v>2919</v>
      </c>
      <c r="B171" s="97" t="s">
        <v>2199</v>
      </c>
      <c r="C171" s="63" t="s">
        <v>412</v>
      </c>
      <c r="D171" s="66" t="str">
        <f>IFERROR(INDEX(M_User!$A$12:$J$67,MATCH(C171,M_User!$D$12:$D$67,0),3),"UNMAPPED")</f>
        <v>Jonas Steven Michael</v>
      </c>
      <c r="E171" s="65" t="str">
        <f>IFERROR(INDEX(M_User!$A$12:$J$67,MATCH(C171,M_User!$D$12:$D$67,0),5),"UNMAPPED")</f>
        <v>MOS</v>
      </c>
      <c r="F171" s="63" t="s">
        <v>181</v>
      </c>
      <c r="G171" s="66" t="str">
        <f>IFERROR(INDEX(M_SKU!$A$18:$J$57,MATCH(F171,M_SKU!$B$18:$B$57,0),1),"UNKNOWN SKU")</f>
        <v>Fanta Passion RGB 350ml</v>
      </c>
      <c r="H171" s="63" t="s">
        <v>550</v>
      </c>
      <c r="I171" s="98">
        <f>IFERROR(INDEX(T_Unload!$K$10:$K$433,MATCH(B171,T_Unload!$B$10:$B$433,0)),0)</f>
        <v>1.0152304159724004</v>
      </c>
      <c r="J171" s="111">
        <v>1.02</v>
      </c>
      <c r="K171" s="99">
        <f t="shared" si="8"/>
        <v>-4.7695840275996382E-3</v>
      </c>
      <c r="L171" s="105" t="str">
        <f t="shared" si="9"/>
        <v>Adjust Unload Upward</v>
      </c>
      <c r="M171" s="90">
        <f t="shared" si="10"/>
        <v>0</v>
      </c>
      <c r="N171" s="90">
        <f t="shared" si="11"/>
        <v>4.7695840275996382E-3</v>
      </c>
      <c r="O171" s="68" t="s">
        <v>2761</v>
      </c>
      <c r="P171" s="63"/>
      <c r="Q171" s="62"/>
    </row>
    <row r="172" spans="1:17" ht="15" customHeight="1" x14ac:dyDescent="0.3">
      <c r="A172" s="70" t="s">
        <v>2920</v>
      </c>
      <c r="B172" s="112" t="s">
        <v>2201</v>
      </c>
      <c r="C172" s="101" t="s">
        <v>412</v>
      </c>
      <c r="D172" s="76" t="str">
        <f>IFERROR(INDEX(M_User!$A$12:$J$67,MATCH(C172,M_User!$D$12:$D$67,0),3),"UNMAPPED")</f>
        <v>Jonas Steven Michael</v>
      </c>
      <c r="E172" s="75" t="str">
        <f>IFERROR(INDEX(M_User!$A$12:$J$67,MATCH(C172,M_User!$D$12:$D$67,0),5),"UNMAPPED")</f>
        <v>MOS</v>
      </c>
      <c r="F172" s="101" t="s">
        <v>183</v>
      </c>
      <c r="G172" s="76" t="str">
        <f>IFERROR(INDEX(M_SKU!$A$18:$J$57,MATCH(F172,M_SKU!$B$18:$B$57,0),1),"UNKNOWN SKU")</f>
        <v>Fanta Pineapple RGB 350ml</v>
      </c>
      <c r="H172" s="101" t="s">
        <v>533</v>
      </c>
      <c r="I172" s="102">
        <f>IFERROR(INDEX(T_Unload!$K$10:$K$433,MATCH(B172,T_Unload!$B$10:$B$433,0)),0)</f>
        <v>1.2663159816965113</v>
      </c>
      <c r="J172" s="111">
        <v>1.27</v>
      </c>
      <c r="K172" s="113">
        <f t="shared" si="8"/>
        <v>-3.6840183034887453E-3</v>
      </c>
      <c r="L172" s="114" t="str">
        <f t="shared" si="9"/>
        <v>Adjust Unload Upward</v>
      </c>
      <c r="M172" s="115">
        <f t="shared" si="10"/>
        <v>0</v>
      </c>
      <c r="N172" s="115">
        <f t="shared" si="11"/>
        <v>3.6840183034887453E-3</v>
      </c>
      <c r="O172" s="116" t="s">
        <v>2761</v>
      </c>
      <c r="P172" s="117"/>
      <c r="Q172" s="118"/>
    </row>
    <row r="173" spans="1:17" ht="15" customHeight="1" x14ac:dyDescent="0.3">
      <c r="A173" s="60" t="s">
        <v>2921</v>
      </c>
      <c r="B173" s="97" t="s">
        <v>2203</v>
      </c>
      <c r="C173" s="63" t="s">
        <v>412</v>
      </c>
      <c r="D173" s="66" t="str">
        <f>IFERROR(INDEX(M_User!$A$12:$J$67,MATCH(C173,M_User!$D$12:$D$67,0),3),"UNMAPPED")</f>
        <v>Jonas Steven Michael</v>
      </c>
      <c r="E173" s="65" t="str">
        <f>IFERROR(INDEX(M_User!$A$12:$J$67,MATCH(C173,M_User!$D$12:$D$67,0),5),"UNMAPPED")</f>
        <v>MOS</v>
      </c>
      <c r="F173" s="63" t="s">
        <v>185</v>
      </c>
      <c r="G173" s="66" t="str">
        <f>IFERROR(INDEX(M_SKU!$A$18:$J$57,MATCH(F173,M_SKU!$B$18:$B$57,0),1),"UNKNOWN SKU")</f>
        <v>Fanta Fruit Blast RGB 350 ml</v>
      </c>
      <c r="H173" s="63" t="s">
        <v>534</v>
      </c>
      <c r="I173" s="98">
        <f>IFERROR(INDEX(T_Unload!$K$10:$K$433,MATCH(B173,T_Unload!$B$10:$B$433,0)),0)</f>
        <v>1.0555518403609696</v>
      </c>
      <c r="J173" s="111">
        <v>1.06</v>
      </c>
      <c r="K173" s="99">
        <f t="shared" si="8"/>
        <v>-4.4481596390304468E-3</v>
      </c>
      <c r="L173" s="105" t="str">
        <f t="shared" si="9"/>
        <v>Adjust Unload Upward</v>
      </c>
      <c r="M173" s="90">
        <f t="shared" si="10"/>
        <v>0</v>
      </c>
      <c r="N173" s="90">
        <f t="shared" si="11"/>
        <v>4.4481596390304468E-3</v>
      </c>
      <c r="O173" s="68" t="s">
        <v>2761</v>
      </c>
      <c r="P173" s="63"/>
      <c r="Q173" s="62"/>
    </row>
    <row r="174" spans="1:17" ht="15" customHeight="1" x14ac:dyDescent="0.3">
      <c r="A174" s="70" t="s">
        <v>2922</v>
      </c>
      <c r="B174" s="112" t="s">
        <v>2205</v>
      </c>
      <c r="C174" s="101" t="s">
        <v>412</v>
      </c>
      <c r="D174" s="76" t="str">
        <f>IFERROR(INDEX(M_User!$A$12:$J$67,MATCH(C174,M_User!$D$12:$D$67,0),3),"UNMAPPED")</f>
        <v>Jonas Steven Michael</v>
      </c>
      <c r="E174" s="75" t="str">
        <f>IFERROR(INDEX(M_User!$A$12:$J$67,MATCH(C174,M_User!$D$12:$D$67,0),5),"UNMAPPED")</f>
        <v>MOS</v>
      </c>
      <c r="F174" s="101" t="s">
        <v>187</v>
      </c>
      <c r="G174" s="76" t="str">
        <f>IFERROR(INDEX(M_SKU!$A$18:$J$57,MATCH(F174,M_SKU!$B$18:$B$57,0),1),"UNKNOWN SKU")</f>
        <v>Sprite 350ml</v>
      </c>
      <c r="H174" s="101" t="s">
        <v>535</v>
      </c>
      <c r="I174" s="102">
        <f>IFERROR(INDEX(T_Unload!$K$10:$K$433,MATCH(B174,T_Unload!$B$10:$B$433,0)),0)</f>
        <v>1.366293711960612</v>
      </c>
      <c r="J174" s="111">
        <v>1.37</v>
      </c>
      <c r="K174" s="113">
        <f t="shared" si="8"/>
        <v>-3.7062880393881059E-3</v>
      </c>
      <c r="L174" s="114" t="str">
        <f t="shared" si="9"/>
        <v>Adjust Unload Upward</v>
      </c>
      <c r="M174" s="115">
        <f t="shared" si="10"/>
        <v>0</v>
      </c>
      <c r="N174" s="115">
        <f t="shared" si="11"/>
        <v>3.7062880393881059E-3</v>
      </c>
      <c r="O174" s="116" t="s">
        <v>2761</v>
      </c>
      <c r="P174" s="117"/>
      <c r="Q174" s="118"/>
    </row>
    <row r="175" spans="1:17" ht="15" customHeight="1" x14ac:dyDescent="0.3">
      <c r="A175" s="60" t="s">
        <v>2923</v>
      </c>
      <c r="B175" s="97" t="s">
        <v>2207</v>
      </c>
      <c r="C175" s="63" t="s">
        <v>412</v>
      </c>
      <c r="D175" s="66" t="str">
        <f>IFERROR(INDEX(M_User!$A$12:$J$67,MATCH(C175,M_User!$D$12:$D$67,0),3),"UNMAPPED")</f>
        <v>Jonas Steven Michael</v>
      </c>
      <c r="E175" s="65" t="str">
        <f>IFERROR(INDEX(M_User!$A$12:$J$67,MATCH(C175,M_User!$D$12:$D$67,0),5),"UNMAPPED")</f>
        <v>MOS</v>
      </c>
      <c r="F175" s="63" t="s">
        <v>190</v>
      </c>
      <c r="G175" s="66" t="str">
        <f>IFERROR(INDEX(M_SKU!$A$18:$J$57,MATCH(F175,M_SKU!$B$18:$B$57,0),1),"UNKNOWN SKU")</f>
        <v>Stoney Tangawizi RGB 350ml</v>
      </c>
      <c r="H175" s="63" t="s">
        <v>536</v>
      </c>
      <c r="I175" s="98">
        <f>IFERROR(INDEX(T_Unload!$K$10:$K$433,MATCH(B175,T_Unload!$B$10:$B$433,0)),0)</f>
        <v>1.2277491423116196</v>
      </c>
      <c r="J175" s="111">
        <v>1.23</v>
      </c>
      <c r="K175" s="99">
        <f t="shared" si="8"/>
        <v>-2.2508576883804032E-3</v>
      </c>
      <c r="L175" s="105" t="str">
        <f t="shared" si="9"/>
        <v>Adjust Unload Upward</v>
      </c>
      <c r="M175" s="90">
        <f t="shared" si="10"/>
        <v>0</v>
      </c>
      <c r="N175" s="90">
        <f t="shared" si="11"/>
        <v>2.2508576883804032E-3</v>
      </c>
      <c r="O175" s="68" t="s">
        <v>2761</v>
      </c>
      <c r="P175" s="63"/>
      <c r="Q175" s="62"/>
    </row>
    <row r="176" spans="1:17" ht="15" customHeight="1" x14ac:dyDescent="0.3">
      <c r="A176" s="70" t="s">
        <v>2924</v>
      </c>
      <c r="B176" s="112" t="s">
        <v>2209</v>
      </c>
      <c r="C176" s="101" t="s">
        <v>412</v>
      </c>
      <c r="D176" s="76" t="str">
        <f>IFERROR(INDEX(M_User!$A$12:$J$67,MATCH(C176,M_User!$D$12:$D$67,0),3),"UNMAPPED")</f>
        <v>Jonas Steven Michael</v>
      </c>
      <c r="E176" s="75" t="str">
        <f>IFERROR(INDEX(M_User!$A$12:$J$67,MATCH(C176,M_User!$D$12:$D$67,0),5),"UNMAPPED")</f>
        <v>MOS</v>
      </c>
      <c r="F176" s="101" t="s">
        <v>193</v>
      </c>
      <c r="G176" s="76" t="str">
        <f>IFERROR(INDEX(M_SKU!$A$18:$J$57,MATCH(F176,M_SKU!$B$18:$B$57,0),1),"UNKNOWN SKU")</f>
        <v>Sparletta Pinenut RGB 350ml</v>
      </c>
      <c r="H176" s="101" t="s">
        <v>537</v>
      </c>
      <c r="I176" s="102">
        <f>IFERROR(INDEX(T_Unload!$K$10:$K$433,MATCH(B176,T_Unload!$B$10:$B$433,0)),0)</f>
        <v>0.90424666842110035</v>
      </c>
      <c r="J176" s="111">
        <v>0.9</v>
      </c>
      <c r="K176" s="113">
        <f t="shared" si="8"/>
        <v>4.2466684211003303E-3</v>
      </c>
      <c r="L176" s="114" t="str">
        <f t="shared" si="9"/>
        <v>Post to Default Outlet</v>
      </c>
      <c r="M176" s="115">
        <f t="shared" si="10"/>
        <v>4.2466684211003303E-3</v>
      </c>
      <c r="N176" s="115">
        <f t="shared" si="11"/>
        <v>0</v>
      </c>
      <c r="O176" s="116" t="s">
        <v>2761</v>
      </c>
      <c r="P176" s="117"/>
      <c r="Q176" s="118"/>
    </row>
    <row r="177" spans="1:17" ht="15" customHeight="1" x14ac:dyDescent="0.3">
      <c r="A177" s="60" t="s">
        <v>2925</v>
      </c>
      <c r="B177" s="97" t="s">
        <v>2211</v>
      </c>
      <c r="C177" s="63" t="s">
        <v>412</v>
      </c>
      <c r="D177" s="66" t="str">
        <f>IFERROR(INDEX(M_User!$A$12:$J$67,MATCH(C177,M_User!$D$12:$D$67,0),3),"UNMAPPED")</f>
        <v>Jonas Steven Michael</v>
      </c>
      <c r="E177" s="65" t="str">
        <f>IFERROR(INDEX(M_User!$A$12:$J$67,MATCH(C177,M_User!$D$12:$D$67,0),5),"UNMAPPED")</f>
        <v>MOS</v>
      </c>
      <c r="F177" s="63" t="s">
        <v>196</v>
      </c>
      <c r="G177" s="66" t="str">
        <f>IFERROR(INDEX(M_SKU!$A$18:$J$57,MATCH(F177,M_SKU!$B$18:$B$57,0),1),"UNKNOWN SKU")</f>
        <v>Krest Bitter Lemon RGB 300ml</v>
      </c>
      <c r="H177" s="63" t="s">
        <v>538</v>
      </c>
      <c r="I177" s="98">
        <f>IFERROR(INDEX(T_Unload!$K$10:$K$433,MATCH(B177,T_Unload!$B$10:$B$433,0)),0)</f>
        <v>0.71749901363029611</v>
      </c>
      <c r="J177" s="111">
        <v>0.72</v>
      </c>
      <c r="K177" s="99">
        <f t="shared" si="8"/>
        <v>-2.5009863697038615E-3</v>
      </c>
      <c r="L177" s="105" t="str">
        <f t="shared" si="9"/>
        <v>Adjust Unload Upward</v>
      </c>
      <c r="M177" s="90">
        <f t="shared" si="10"/>
        <v>0</v>
      </c>
      <c r="N177" s="90">
        <f t="shared" si="11"/>
        <v>2.5009863697038615E-3</v>
      </c>
      <c r="O177" s="68" t="s">
        <v>2761</v>
      </c>
      <c r="P177" s="63"/>
      <c r="Q177" s="62"/>
    </row>
    <row r="178" spans="1:17" ht="15" customHeight="1" x14ac:dyDescent="0.3">
      <c r="A178" s="70" t="s">
        <v>2926</v>
      </c>
      <c r="B178" s="112" t="s">
        <v>2213</v>
      </c>
      <c r="C178" s="101" t="s">
        <v>412</v>
      </c>
      <c r="D178" s="76" t="str">
        <f>IFERROR(INDEX(M_User!$A$12:$J$67,MATCH(C178,M_User!$D$12:$D$67,0),3),"UNMAPPED")</f>
        <v>Jonas Steven Michael</v>
      </c>
      <c r="E178" s="75" t="str">
        <f>IFERROR(INDEX(M_User!$A$12:$J$67,MATCH(C178,M_User!$D$12:$D$67,0),5),"UNMAPPED")</f>
        <v>MOS</v>
      </c>
      <c r="F178" s="101" t="s">
        <v>199</v>
      </c>
      <c r="G178" s="76" t="str">
        <f>IFERROR(INDEX(M_SKU!$A$18:$J$57,MATCH(F178,M_SKU!$B$18:$B$57,0),1),"UNKNOWN SKU")</f>
        <v>Krest Club Soda RGB 300ml</v>
      </c>
      <c r="H178" s="101" t="s">
        <v>539</v>
      </c>
      <c r="I178" s="102">
        <f>IFERROR(INDEX(T_Unload!$K$10:$K$433,MATCH(B178,T_Unload!$B$10:$B$433,0)),0)</f>
        <v>0.71722825330980022</v>
      </c>
      <c r="J178" s="111">
        <v>0.72</v>
      </c>
      <c r="K178" s="113">
        <f t="shared" si="8"/>
        <v>-2.7717466901997501E-3</v>
      </c>
      <c r="L178" s="114" t="str">
        <f t="shared" si="9"/>
        <v>Adjust Unload Upward</v>
      </c>
      <c r="M178" s="115">
        <f t="shared" si="10"/>
        <v>0</v>
      </c>
      <c r="N178" s="115">
        <f t="shared" si="11"/>
        <v>2.7717466901997501E-3</v>
      </c>
      <c r="O178" s="116" t="s">
        <v>2761</v>
      </c>
      <c r="P178" s="117"/>
      <c r="Q178" s="118"/>
    </row>
    <row r="179" spans="1:17" ht="15" customHeight="1" x14ac:dyDescent="0.3">
      <c r="A179" s="60" t="s">
        <v>2927</v>
      </c>
      <c r="B179" s="97" t="s">
        <v>2215</v>
      </c>
      <c r="C179" s="63" t="s">
        <v>412</v>
      </c>
      <c r="D179" s="66" t="str">
        <f>IFERROR(INDEX(M_User!$A$12:$J$67,MATCH(C179,M_User!$D$12:$D$67,0),3),"UNMAPPED")</f>
        <v>Jonas Steven Michael</v>
      </c>
      <c r="E179" s="65" t="str">
        <f>IFERROR(INDEX(M_User!$A$12:$J$67,MATCH(C179,M_User!$D$12:$D$67,0),5),"UNMAPPED")</f>
        <v>MOS</v>
      </c>
      <c r="F179" s="63" t="s">
        <v>201</v>
      </c>
      <c r="G179" s="66" t="str">
        <f>IFERROR(INDEX(M_SKU!$A$18:$J$57,MATCH(F179,M_SKU!$B$18:$B$57,0),1),"UNKNOWN SKU")</f>
        <v>Krest Tonic Water RGB 300ml</v>
      </c>
      <c r="H179" s="63" t="s">
        <v>540</v>
      </c>
      <c r="I179" s="98">
        <f>IFERROR(INDEX(T_Unload!$K$10:$K$433,MATCH(B179,T_Unload!$B$10:$B$433,0)),0)</f>
        <v>0.42810817856611516</v>
      </c>
      <c r="J179" s="111">
        <v>0.43</v>
      </c>
      <c r="K179" s="99">
        <f t="shared" si="8"/>
        <v>-1.8918214338848327E-3</v>
      </c>
      <c r="L179" s="105" t="str">
        <f t="shared" si="9"/>
        <v>Adjust Unload Upward</v>
      </c>
      <c r="M179" s="90">
        <f t="shared" si="10"/>
        <v>0</v>
      </c>
      <c r="N179" s="90">
        <f t="shared" si="11"/>
        <v>1.8918214338848327E-3</v>
      </c>
      <c r="O179" s="68" t="s">
        <v>2761</v>
      </c>
      <c r="P179" s="63"/>
      <c r="Q179" s="62"/>
    </row>
    <row r="180" spans="1:17" ht="15" customHeight="1" x14ac:dyDescent="0.3">
      <c r="A180" s="70" t="s">
        <v>2928</v>
      </c>
      <c r="B180" s="112" t="s">
        <v>2217</v>
      </c>
      <c r="C180" s="101" t="s">
        <v>412</v>
      </c>
      <c r="D180" s="76" t="str">
        <f>IFERROR(INDEX(M_User!$A$12:$J$67,MATCH(C180,M_User!$D$12:$D$67,0),3),"UNMAPPED")</f>
        <v>Jonas Steven Michael</v>
      </c>
      <c r="E180" s="75" t="str">
        <f>IFERROR(INDEX(M_User!$A$12:$J$67,MATCH(C180,M_User!$D$12:$D$67,0),5),"UNMAPPED")</f>
        <v>MOS</v>
      </c>
      <c r="F180" s="101" t="s">
        <v>203</v>
      </c>
      <c r="G180" s="76" t="str">
        <f>IFERROR(INDEX(M_SKU!$A$18:$J$57,MATCH(F180,M_SKU!$B$18:$B$57,0),1),"UNKNOWN SKU")</f>
        <v>Krest Ginger Ale RGB 300ml</v>
      </c>
      <c r="H180" s="101" t="s">
        <v>541</v>
      </c>
      <c r="I180" s="102">
        <f>IFERROR(INDEX(T_Unload!$K$10:$K$433,MATCH(B180,T_Unload!$B$10:$B$433,0)),0)</f>
        <v>0.16897712316879021</v>
      </c>
      <c r="J180" s="111">
        <v>0.17</v>
      </c>
      <c r="K180" s="113">
        <f t="shared" si="8"/>
        <v>-1.0228768312098013E-3</v>
      </c>
      <c r="L180" s="114" t="str">
        <f t="shared" si="9"/>
        <v>Adjust Unload Upward</v>
      </c>
      <c r="M180" s="115">
        <f t="shared" si="10"/>
        <v>0</v>
      </c>
      <c r="N180" s="115">
        <f t="shared" si="11"/>
        <v>1.0228768312098013E-3</v>
      </c>
      <c r="O180" s="116" t="s">
        <v>2761</v>
      </c>
      <c r="P180" s="117"/>
      <c r="Q180" s="118"/>
    </row>
    <row r="181" spans="1:17" ht="15" customHeight="1" x14ac:dyDescent="0.3">
      <c r="A181" s="60" t="s">
        <v>2929</v>
      </c>
      <c r="B181" s="97" t="s">
        <v>2219</v>
      </c>
      <c r="C181" s="63" t="s">
        <v>412</v>
      </c>
      <c r="D181" s="66" t="str">
        <f>IFERROR(INDEX(M_User!$A$12:$J$67,MATCH(C181,M_User!$D$12:$D$67,0),3),"UNMAPPED")</f>
        <v>Jonas Steven Michael</v>
      </c>
      <c r="E181" s="65" t="str">
        <f>IFERROR(INDEX(M_User!$A$12:$J$67,MATCH(C181,M_User!$D$12:$D$67,0),5),"UNMAPPED")</f>
        <v>MOS</v>
      </c>
      <c r="F181" s="63" t="s">
        <v>209</v>
      </c>
      <c r="G181" s="66" t="str">
        <f>IFERROR(INDEX(M_SKU!$A$18:$J$57,MATCH(F181,M_SKU!$B$18:$B$57,0),1),"UNKNOWN SKU")</f>
        <v>Sparletta Red Apple RGB 350ml</v>
      </c>
      <c r="H181" s="63" t="s">
        <v>542</v>
      </c>
      <c r="I181" s="98">
        <f>IFERROR(INDEX(T_Unload!$K$10:$K$433,MATCH(B181,T_Unload!$B$10:$B$433,0)),0)</f>
        <v>0.17881263659293989</v>
      </c>
      <c r="J181" s="111">
        <v>0.18</v>
      </c>
      <c r="K181" s="99">
        <f t="shared" si="8"/>
        <v>-1.1873634070601047E-3</v>
      </c>
      <c r="L181" s="105" t="str">
        <f t="shared" si="9"/>
        <v>Adjust Unload Upward</v>
      </c>
      <c r="M181" s="90">
        <f t="shared" si="10"/>
        <v>0</v>
      </c>
      <c r="N181" s="90">
        <f t="shared" si="11"/>
        <v>1.1873634070601047E-3</v>
      </c>
      <c r="O181" s="68" t="s">
        <v>2761</v>
      </c>
      <c r="P181" s="63"/>
      <c r="Q181" s="62"/>
    </row>
    <row r="182" spans="1:17" ht="15" customHeight="1" x14ac:dyDescent="0.3">
      <c r="A182" s="70" t="s">
        <v>2930</v>
      </c>
      <c r="B182" s="112" t="s">
        <v>2221</v>
      </c>
      <c r="C182" s="101" t="s">
        <v>412</v>
      </c>
      <c r="D182" s="76" t="str">
        <f>IFERROR(INDEX(M_User!$A$12:$J$67,MATCH(C182,M_User!$D$12:$D$67,0),3),"UNMAPPED")</f>
        <v>Jonas Steven Michael</v>
      </c>
      <c r="E182" s="75" t="str">
        <f>IFERROR(INDEX(M_User!$A$12:$J$67,MATCH(C182,M_User!$D$12:$D$67,0),5),"UNMAPPED")</f>
        <v>MOS</v>
      </c>
      <c r="F182" s="101" t="s">
        <v>211</v>
      </c>
      <c r="G182" s="76" t="str">
        <f>IFERROR(INDEX(M_SKU!$A$18:$J$57,MATCH(F182,M_SKU!$B$18:$B$57,0),1),"UNKNOWN SKU")</f>
        <v>KNMW 500ml</v>
      </c>
      <c r="H182" s="101" t="s">
        <v>543</v>
      </c>
      <c r="I182" s="102">
        <f>IFERROR(INDEX(T_Unload!$K$10:$K$433,MATCH(B182,T_Unload!$B$10:$B$433,0)),0)</f>
        <v>30</v>
      </c>
      <c r="J182" s="111">
        <v>30</v>
      </c>
      <c r="K182" s="113">
        <f t="shared" si="8"/>
        <v>0</v>
      </c>
      <c r="L182" s="114" t="str">
        <f t="shared" si="9"/>
        <v>CLEAN</v>
      </c>
      <c r="M182" s="115">
        <f t="shared" si="10"/>
        <v>0</v>
      </c>
      <c r="N182" s="115">
        <f t="shared" si="11"/>
        <v>0</v>
      </c>
      <c r="O182" s="116" t="s">
        <v>2761</v>
      </c>
      <c r="P182" s="117"/>
      <c r="Q182" s="118"/>
    </row>
    <row r="183" spans="1:17" ht="15" customHeight="1" x14ac:dyDescent="0.3">
      <c r="A183" s="60" t="s">
        <v>2931</v>
      </c>
      <c r="B183" s="97" t="s">
        <v>2223</v>
      </c>
      <c r="C183" s="63" t="s">
        <v>412</v>
      </c>
      <c r="D183" s="66" t="str">
        <f>IFERROR(INDEX(M_User!$A$12:$J$67,MATCH(C183,M_User!$D$12:$D$67,0),3),"UNMAPPED")</f>
        <v>Jonas Steven Michael</v>
      </c>
      <c r="E183" s="65" t="str">
        <f>IFERROR(INDEX(M_User!$A$12:$J$67,MATCH(C183,M_User!$D$12:$D$67,0),5),"UNMAPPED")</f>
        <v>MOS</v>
      </c>
      <c r="F183" s="63" t="s">
        <v>217</v>
      </c>
      <c r="G183" s="66" t="str">
        <f>IFERROR(INDEX(M_SKU!$A$18:$J$57,MATCH(F183,M_SKU!$B$18:$B$57,0),1),"UNKNOWN SKU")</f>
        <v>KNMW 1500ml</v>
      </c>
      <c r="H183" s="63" t="s">
        <v>551</v>
      </c>
      <c r="I183" s="98">
        <f>IFERROR(INDEX(T_Unload!$K$10:$K$433,MATCH(B183,T_Unload!$B$10:$B$433,0)),0)</f>
        <v>7</v>
      </c>
      <c r="J183" s="111">
        <v>7</v>
      </c>
      <c r="K183" s="99">
        <f t="shared" si="8"/>
        <v>0</v>
      </c>
      <c r="L183" s="105" t="str">
        <f t="shared" si="9"/>
        <v>CLEAN</v>
      </c>
      <c r="M183" s="90">
        <f t="shared" si="10"/>
        <v>0</v>
      </c>
      <c r="N183" s="90">
        <f t="shared" si="11"/>
        <v>0</v>
      </c>
      <c r="O183" s="68" t="s">
        <v>2761</v>
      </c>
      <c r="P183" s="63"/>
      <c r="Q183" s="62"/>
    </row>
    <row r="184" spans="1:17" ht="15" customHeight="1" x14ac:dyDescent="0.3">
      <c r="A184" s="70" t="s">
        <v>2932</v>
      </c>
      <c r="B184" s="112" t="s">
        <v>2225</v>
      </c>
      <c r="C184" s="101" t="s">
        <v>412</v>
      </c>
      <c r="D184" s="76" t="str">
        <f>IFERROR(INDEX(M_User!$A$12:$J$67,MATCH(C184,M_User!$D$12:$D$67,0),3),"UNMAPPED")</f>
        <v>Jonas Steven Michael</v>
      </c>
      <c r="E184" s="75" t="str">
        <f>IFERROR(INDEX(M_User!$A$12:$J$67,MATCH(C184,M_User!$D$12:$D$67,0),5),"UNMAPPED")</f>
        <v>MOS</v>
      </c>
      <c r="F184" s="101" t="s">
        <v>229</v>
      </c>
      <c r="G184" s="76" t="str">
        <f>IFERROR(INDEX(M_SKU!$A$18:$J$57,MATCH(F184,M_SKU!$B$18:$B$57,0),1),"UNKNOWN SKU")</f>
        <v>Coke Pet 500ML ( x12)</v>
      </c>
      <c r="H184" s="101" t="s">
        <v>520</v>
      </c>
      <c r="I184" s="102">
        <f>IFERROR(INDEX(T_Unload!$K$10:$K$433,MATCH(B184,T_Unload!$B$10:$B$433,0)),0)</f>
        <v>4</v>
      </c>
      <c r="J184" s="111">
        <v>4</v>
      </c>
      <c r="K184" s="113">
        <f t="shared" si="8"/>
        <v>0</v>
      </c>
      <c r="L184" s="114" t="str">
        <f t="shared" si="9"/>
        <v>CLEAN</v>
      </c>
      <c r="M184" s="115">
        <f t="shared" si="10"/>
        <v>0</v>
      </c>
      <c r="N184" s="115">
        <f t="shared" si="11"/>
        <v>0</v>
      </c>
      <c r="O184" s="116" t="s">
        <v>2761</v>
      </c>
      <c r="P184" s="117"/>
      <c r="Q184" s="118"/>
    </row>
    <row r="185" spans="1:17" ht="15" customHeight="1" x14ac:dyDescent="0.3">
      <c r="A185" s="60" t="s">
        <v>2933</v>
      </c>
      <c r="B185" s="97" t="s">
        <v>2227</v>
      </c>
      <c r="C185" s="63" t="s">
        <v>412</v>
      </c>
      <c r="D185" s="66" t="str">
        <f>IFERROR(INDEX(M_User!$A$12:$J$67,MATCH(C185,M_User!$D$12:$D$67,0),3),"UNMAPPED")</f>
        <v>Jonas Steven Michael</v>
      </c>
      <c r="E185" s="65" t="str">
        <f>IFERROR(INDEX(M_User!$A$12:$J$67,MATCH(C185,M_User!$D$12:$D$67,0),5),"UNMAPPED")</f>
        <v>MOS</v>
      </c>
      <c r="F185" s="63" t="s">
        <v>232</v>
      </c>
      <c r="G185" s="66" t="str">
        <f>IFERROR(INDEX(M_SKU!$A$18:$J$57,MATCH(F185,M_SKU!$B$18:$B$57,0),1),"UNKNOWN SKU")</f>
        <v>Sprite Pet 500ML (x 12)</v>
      </c>
      <c r="H185" s="63" t="s">
        <v>522</v>
      </c>
      <c r="I185" s="98">
        <f>IFERROR(INDEX(T_Unload!$K$10:$K$433,MATCH(B185,T_Unload!$B$10:$B$433,0)),0)</f>
        <v>1</v>
      </c>
      <c r="J185" s="111">
        <v>1</v>
      </c>
      <c r="K185" s="99">
        <f t="shared" si="8"/>
        <v>0</v>
      </c>
      <c r="L185" s="105" t="str">
        <f t="shared" si="9"/>
        <v>CLEAN</v>
      </c>
      <c r="M185" s="90">
        <f t="shared" si="10"/>
        <v>0</v>
      </c>
      <c r="N185" s="90">
        <f t="shared" si="11"/>
        <v>0</v>
      </c>
      <c r="O185" s="68" t="s">
        <v>2761</v>
      </c>
      <c r="P185" s="63"/>
      <c r="Q185" s="62"/>
    </row>
    <row r="186" spans="1:17" ht="15" customHeight="1" x14ac:dyDescent="0.3">
      <c r="A186" s="70" t="s">
        <v>2934</v>
      </c>
      <c r="B186" s="112" t="s">
        <v>2229</v>
      </c>
      <c r="C186" s="101" t="s">
        <v>412</v>
      </c>
      <c r="D186" s="76" t="str">
        <f>IFERROR(INDEX(M_User!$A$12:$J$67,MATCH(C186,M_User!$D$12:$D$67,0),3),"UNMAPPED")</f>
        <v>Jonas Steven Michael</v>
      </c>
      <c r="E186" s="75" t="str">
        <f>IFERROR(INDEX(M_User!$A$12:$J$67,MATCH(C186,M_User!$D$12:$D$67,0),5),"UNMAPPED")</f>
        <v>MOS</v>
      </c>
      <c r="F186" s="101" t="s">
        <v>234</v>
      </c>
      <c r="G186" s="76" t="str">
        <f>IFERROR(INDEX(M_SKU!$A$18:$J$57,MATCH(F186,M_SKU!$B$18:$B$57,0),1),"UNKNOWN SKU")</f>
        <v>Fanta Orange Pet 500ML ( x 12)</v>
      </c>
      <c r="H186" s="101" t="s">
        <v>523</v>
      </c>
      <c r="I186" s="102">
        <f>IFERROR(INDEX(T_Unload!$K$10:$K$433,MATCH(B186,T_Unload!$B$10:$B$433,0)),0)</f>
        <v>4</v>
      </c>
      <c r="J186" s="111">
        <v>4</v>
      </c>
      <c r="K186" s="113">
        <f t="shared" si="8"/>
        <v>0</v>
      </c>
      <c r="L186" s="114" t="str">
        <f t="shared" si="9"/>
        <v>CLEAN</v>
      </c>
      <c r="M186" s="115">
        <f t="shared" si="10"/>
        <v>0</v>
      </c>
      <c r="N186" s="115">
        <f t="shared" si="11"/>
        <v>0</v>
      </c>
      <c r="O186" s="116" t="s">
        <v>2761</v>
      </c>
      <c r="P186" s="117"/>
      <c r="Q186" s="118"/>
    </row>
    <row r="187" spans="1:17" ht="15" customHeight="1" x14ac:dyDescent="0.3">
      <c r="A187" s="60" t="s">
        <v>2935</v>
      </c>
      <c r="B187" s="97" t="s">
        <v>2231</v>
      </c>
      <c r="C187" s="63" t="s">
        <v>412</v>
      </c>
      <c r="D187" s="66" t="str">
        <f>IFERROR(INDEX(M_User!$A$12:$J$67,MATCH(C187,M_User!$D$12:$D$67,0),3),"UNMAPPED")</f>
        <v>Jonas Steven Michael</v>
      </c>
      <c r="E187" s="65" t="str">
        <f>IFERROR(INDEX(M_User!$A$12:$J$67,MATCH(C187,M_User!$D$12:$D$67,0),5),"UNMAPPED")</f>
        <v>MOS</v>
      </c>
      <c r="F187" s="63" t="s">
        <v>236</v>
      </c>
      <c r="G187" s="66" t="str">
        <f>IFERROR(INDEX(M_SKU!$A$18:$J$57,MATCH(F187,M_SKU!$B$18:$B$57,0),1),"UNKNOWN SKU")</f>
        <v>Fanta Passion Pet 500ML ( x12)</v>
      </c>
      <c r="H187" s="63" t="s">
        <v>524</v>
      </c>
      <c r="I187" s="98">
        <f>IFERROR(INDEX(T_Unload!$K$10:$K$433,MATCH(B187,T_Unload!$B$10:$B$433,0)),0)</f>
        <v>1</v>
      </c>
      <c r="J187" s="111">
        <v>1</v>
      </c>
      <c r="K187" s="99">
        <f t="shared" si="8"/>
        <v>0</v>
      </c>
      <c r="L187" s="105" t="str">
        <f t="shared" si="9"/>
        <v>CLEAN</v>
      </c>
      <c r="M187" s="90">
        <f t="shared" si="10"/>
        <v>0</v>
      </c>
      <c r="N187" s="90">
        <f t="shared" si="11"/>
        <v>0</v>
      </c>
      <c r="O187" s="68" t="s">
        <v>2761</v>
      </c>
      <c r="P187" s="63"/>
      <c r="Q187" s="62"/>
    </row>
    <row r="188" spans="1:17" ht="15" customHeight="1" x14ac:dyDescent="0.3">
      <c r="A188" s="70" t="s">
        <v>2936</v>
      </c>
      <c r="B188" s="112" t="s">
        <v>2233</v>
      </c>
      <c r="C188" s="101" t="s">
        <v>412</v>
      </c>
      <c r="D188" s="76" t="str">
        <f>IFERROR(INDEX(M_User!$A$12:$J$67,MATCH(C188,M_User!$D$12:$D$67,0),3),"UNMAPPED")</f>
        <v>Jonas Steven Michael</v>
      </c>
      <c r="E188" s="75" t="str">
        <f>IFERROR(INDEX(M_User!$A$12:$J$67,MATCH(C188,M_User!$D$12:$D$67,0),5),"UNMAPPED")</f>
        <v>MOS</v>
      </c>
      <c r="F188" s="101" t="s">
        <v>242</v>
      </c>
      <c r="G188" s="76" t="str">
        <f>IFERROR(INDEX(M_SKU!$A$18:$J$57,MATCH(F188,M_SKU!$B$18:$B$57,0),1),"UNKNOWN SKU")</f>
        <v>Stoney Tangawizi Pet 500 ml ( x12)</v>
      </c>
      <c r="H188" s="101" t="s">
        <v>525</v>
      </c>
      <c r="I188" s="102">
        <f>IFERROR(INDEX(T_Unload!$K$10:$K$433,MATCH(B188,T_Unload!$B$10:$B$433,0)),0)</f>
        <v>1</v>
      </c>
      <c r="J188" s="111">
        <v>1</v>
      </c>
      <c r="K188" s="113">
        <f t="shared" si="8"/>
        <v>0</v>
      </c>
      <c r="L188" s="114" t="str">
        <f t="shared" si="9"/>
        <v>CLEAN</v>
      </c>
      <c r="M188" s="115">
        <f t="shared" si="10"/>
        <v>0</v>
      </c>
      <c r="N188" s="115">
        <f t="shared" si="11"/>
        <v>0</v>
      </c>
      <c r="O188" s="116" t="s">
        <v>2761</v>
      </c>
      <c r="P188" s="117"/>
      <c r="Q188" s="118"/>
    </row>
    <row r="189" spans="1:17" ht="15" customHeight="1" x14ac:dyDescent="0.3">
      <c r="A189" s="60" t="s">
        <v>2937</v>
      </c>
      <c r="B189" s="97" t="s">
        <v>2235</v>
      </c>
      <c r="C189" s="63" t="s">
        <v>412</v>
      </c>
      <c r="D189" s="66" t="str">
        <f>IFERROR(INDEX(M_User!$A$12:$J$67,MATCH(C189,M_User!$D$12:$D$67,0),3),"UNMAPPED")</f>
        <v>Jonas Steven Michael</v>
      </c>
      <c r="E189" s="65" t="str">
        <f>IFERROR(INDEX(M_User!$A$12:$J$67,MATCH(C189,M_User!$D$12:$D$67,0),5),"UNMAPPED")</f>
        <v>MOS</v>
      </c>
      <c r="F189" s="63" t="s">
        <v>244</v>
      </c>
      <c r="G189" s="66" t="str">
        <f>IFERROR(INDEX(M_SKU!$A$18:$J$57,MATCH(F189,M_SKU!$B$18:$B$57,0),1),"UNKNOWN SKU")</f>
        <v>Sparletta Pinenut Pet 500 ml ( x12)</v>
      </c>
      <c r="H189" s="63" t="s">
        <v>526</v>
      </c>
      <c r="I189" s="98">
        <f>IFERROR(INDEX(T_Unload!$K$10:$K$433,MATCH(B189,T_Unload!$B$10:$B$433,0)),0)</f>
        <v>1</v>
      </c>
      <c r="J189" s="111">
        <v>1</v>
      </c>
      <c r="K189" s="99">
        <f t="shared" si="8"/>
        <v>0</v>
      </c>
      <c r="L189" s="105" t="str">
        <f t="shared" si="9"/>
        <v>CLEAN</v>
      </c>
      <c r="M189" s="90">
        <f t="shared" si="10"/>
        <v>0</v>
      </c>
      <c r="N189" s="90">
        <f t="shared" si="11"/>
        <v>0</v>
      </c>
      <c r="O189" s="68" t="s">
        <v>2761</v>
      </c>
      <c r="P189" s="63"/>
      <c r="Q189" s="62"/>
    </row>
    <row r="190" spans="1:17" ht="15" customHeight="1" x14ac:dyDescent="0.3">
      <c r="A190" s="70" t="s">
        <v>2938</v>
      </c>
      <c r="B190" s="112" t="s">
        <v>2237</v>
      </c>
      <c r="C190" s="101" t="s">
        <v>412</v>
      </c>
      <c r="D190" s="76" t="str">
        <f>IFERROR(INDEX(M_User!$A$12:$J$67,MATCH(C190,M_User!$D$12:$D$67,0),3),"UNMAPPED")</f>
        <v>Jonas Steven Michael</v>
      </c>
      <c r="E190" s="75" t="str">
        <f>IFERROR(INDEX(M_User!$A$12:$J$67,MATCH(C190,M_User!$D$12:$D$67,0),5),"UNMAPPED")</f>
        <v>MOS</v>
      </c>
      <c r="F190" s="101" t="s">
        <v>252</v>
      </c>
      <c r="G190" s="76" t="str">
        <f>IFERROR(INDEX(M_SKU!$A$18:$J$57,MATCH(F190,M_SKU!$B$18:$B$57,0),1),"UNKNOWN SKU")</f>
        <v>Sprite Zero Pet 300ML (x 12)</v>
      </c>
      <c r="H190" s="101" t="s">
        <v>545</v>
      </c>
      <c r="I190" s="102">
        <f>IFERROR(INDEX(T_Unload!$K$10:$K$433,MATCH(B190,T_Unload!$B$10:$B$433,0)),0)</f>
        <v>1</v>
      </c>
      <c r="J190" s="111">
        <v>1</v>
      </c>
      <c r="K190" s="113">
        <f t="shared" si="8"/>
        <v>0</v>
      </c>
      <c r="L190" s="114" t="str">
        <f t="shared" si="9"/>
        <v>CLEAN</v>
      </c>
      <c r="M190" s="115">
        <f t="shared" si="10"/>
        <v>0</v>
      </c>
      <c r="N190" s="115">
        <f t="shared" si="11"/>
        <v>0</v>
      </c>
      <c r="O190" s="116" t="s">
        <v>2761</v>
      </c>
      <c r="P190" s="117"/>
      <c r="Q190" s="118"/>
    </row>
    <row r="191" spans="1:17" ht="15" customHeight="1" x14ac:dyDescent="0.3">
      <c r="A191" s="60" t="s">
        <v>2939</v>
      </c>
      <c r="B191" s="97" t="s">
        <v>2239</v>
      </c>
      <c r="C191" s="63" t="s">
        <v>412</v>
      </c>
      <c r="D191" s="66" t="str">
        <f>IFERROR(INDEX(M_User!$A$12:$J$67,MATCH(C191,M_User!$D$12:$D$67,0),3),"UNMAPPED")</f>
        <v>Jonas Steven Michael</v>
      </c>
      <c r="E191" s="65" t="str">
        <f>IFERROR(INDEX(M_User!$A$12:$J$67,MATCH(C191,M_User!$D$12:$D$67,0),5),"UNMAPPED")</f>
        <v>MOS</v>
      </c>
      <c r="F191" s="63" t="s">
        <v>254</v>
      </c>
      <c r="G191" s="66" t="str">
        <f>IFERROR(INDEX(M_SKU!$A$18:$J$57,MATCH(F191,M_SKU!$B$18:$B$57,0),1),"UNKNOWN SKU")</f>
        <v>Fanta Zero Pet 300ML (x 12)</v>
      </c>
      <c r="H191" s="63" t="s">
        <v>546</v>
      </c>
      <c r="I191" s="98">
        <f>IFERROR(INDEX(T_Unload!$K$10:$K$433,MATCH(B191,T_Unload!$B$10:$B$433,0)),0)</f>
        <v>0</v>
      </c>
      <c r="J191" s="111">
        <v>0</v>
      </c>
      <c r="K191" s="99">
        <f t="shared" si="8"/>
        <v>0</v>
      </c>
      <c r="L191" s="105" t="str">
        <f t="shared" si="9"/>
        <v>CLEAN</v>
      </c>
      <c r="M191" s="90">
        <f t="shared" si="10"/>
        <v>0</v>
      </c>
      <c r="N191" s="90">
        <f t="shared" si="11"/>
        <v>0</v>
      </c>
      <c r="O191" s="68" t="s">
        <v>2761</v>
      </c>
      <c r="P191" s="63"/>
      <c r="Q191" s="62"/>
    </row>
    <row r="192" spans="1:17" ht="15" customHeight="1" x14ac:dyDescent="0.3">
      <c r="A192" s="70" t="s">
        <v>2940</v>
      </c>
      <c r="B192" s="112" t="s">
        <v>2241</v>
      </c>
      <c r="C192" s="101" t="s">
        <v>412</v>
      </c>
      <c r="D192" s="76" t="str">
        <f>IFERROR(INDEX(M_User!$A$12:$J$67,MATCH(C192,M_User!$D$12:$D$67,0),3),"UNMAPPED")</f>
        <v>Jonas Steven Michael</v>
      </c>
      <c r="E192" s="75" t="str">
        <f>IFERROR(INDEX(M_User!$A$12:$J$67,MATCH(C192,M_User!$D$12:$D$67,0),5),"UNMAPPED")</f>
        <v>MOS</v>
      </c>
      <c r="F192" s="101" t="s">
        <v>256</v>
      </c>
      <c r="G192" s="76" t="str">
        <f>IFERROR(INDEX(M_SKU!$A$18:$J$57,MATCH(F192,M_SKU!$B$18:$B$57,0),1),"UNKNOWN SKU")</f>
        <v>Sparletta Red Apple Pet 300ML(x 12)</v>
      </c>
      <c r="H192" s="101" t="s">
        <v>555</v>
      </c>
      <c r="I192" s="102">
        <f>IFERROR(INDEX(T_Unload!$K$10:$K$433,MATCH(B192,T_Unload!$B$10:$B$433,0)),0)</f>
        <v>0</v>
      </c>
      <c r="J192" s="111">
        <v>0</v>
      </c>
      <c r="K192" s="113">
        <f t="shared" si="8"/>
        <v>0</v>
      </c>
      <c r="L192" s="114" t="str">
        <f t="shared" si="9"/>
        <v>CLEAN</v>
      </c>
      <c r="M192" s="115">
        <f t="shared" si="10"/>
        <v>0</v>
      </c>
      <c r="N192" s="115">
        <f t="shared" si="11"/>
        <v>0</v>
      </c>
      <c r="O192" s="116" t="s">
        <v>2761</v>
      </c>
      <c r="P192" s="117"/>
      <c r="Q192" s="118"/>
    </row>
    <row r="193" spans="1:17" ht="15" customHeight="1" x14ac:dyDescent="0.3">
      <c r="A193" s="60" t="s">
        <v>2941</v>
      </c>
      <c r="B193" s="97" t="s">
        <v>2243</v>
      </c>
      <c r="C193" s="63" t="s">
        <v>412</v>
      </c>
      <c r="D193" s="66" t="str">
        <f>IFERROR(INDEX(M_User!$A$12:$J$67,MATCH(C193,M_User!$D$12:$D$67,0),3),"UNMAPPED")</f>
        <v>Jonas Steven Michael</v>
      </c>
      <c r="E193" s="65" t="str">
        <f>IFERROR(INDEX(M_User!$A$12:$J$67,MATCH(C193,M_User!$D$12:$D$67,0),5),"UNMAPPED")</f>
        <v>MOS</v>
      </c>
      <c r="F193" s="63" t="s">
        <v>261</v>
      </c>
      <c r="G193" s="66" t="str">
        <f>IFERROR(INDEX(M_SKU!$A$18:$J$57,MATCH(F193,M_SKU!$B$18:$B$57,0),1),"UNKNOWN SKU")</f>
        <v>Sparletta Pine Apple Pet 300ML (x 12)</v>
      </c>
      <c r="H193" s="63" t="s">
        <v>547</v>
      </c>
      <c r="I193" s="98">
        <f>IFERROR(INDEX(T_Unload!$K$10:$K$433,MATCH(B193,T_Unload!$B$10:$B$433,0)),0)</f>
        <v>2</v>
      </c>
      <c r="J193" s="111">
        <v>2</v>
      </c>
      <c r="K193" s="99">
        <f t="shared" si="8"/>
        <v>0</v>
      </c>
      <c r="L193" s="105" t="str">
        <f t="shared" si="9"/>
        <v>CLEAN</v>
      </c>
      <c r="M193" s="90">
        <f t="shared" si="10"/>
        <v>0</v>
      </c>
      <c r="N193" s="90">
        <f t="shared" si="11"/>
        <v>0</v>
      </c>
      <c r="O193" s="68" t="s">
        <v>2761</v>
      </c>
      <c r="P193" s="63"/>
      <c r="Q193" s="62"/>
    </row>
    <row r="194" spans="1:17" ht="15" customHeight="1" x14ac:dyDescent="0.3">
      <c r="A194" s="70" t="s">
        <v>2942</v>
      </c>
      <c r="B194" s="112" t="s">
        <v>2245</v>
      </c>
      <c r="C194" s="101" t="s">
        <v>384</v>
      </c>
      <c r="D194" s="76" t="str">
        <f>IFERROR(INDEX(M_User!$A$12:$J$67,MATCH(C194,M_User!$D$12:$D$67,0),3),"UNMAPPED")</f>
        <v>Gastory S Msaki</v>
      </c>
      <c r="E194" s="75" t="str">
        <f>IFERROR(INDEX(M_User!$A$12:$J$67,MATCH(C194,M_User!$D$12:$D$67,0),5),"UNMAPPED")</f>
        <v>MOS</v>
      </c>
      <c r="F194" s="101" t="s">
        <v>170</v>
      </c>
      <c r="G194" s="76" t="str">
        <f>IFERROR(INDEX(M_SKU!$A$18:$J$57,MATCH(F194,M_SKU!$B$18:$B$57,0),1),"UNKNOWN SKU")</f>
        <v>Coke RGB 350ml</v>
      </c>
      <c r="H194" s="101" t="s">
        <v>530</v>
      </c>
      <c r="I194" s="102">
        <f>IFERROR(INDEX(T_Unload!$K$10:$K$433,MATCH(B194,T_Unload!$B$10:$B$433,0)),0)</f>
        <v>8.7235482308155952</v>
      </c>
      <c r="J194" s="111">
        <v>8.7200000000000006</v>
      </c>
      <c r="K194" s="113">
        <f t="shared" si="8"/>
        <v>3.5482308155945219E-3</v>
      </c>
      <c r="L194" s="114" t="str">
        <f t="shared" si="9"/>
        <v>Post to Default Outlet</v>
      </c>
      <c r="M194" s="115">
        <f t="shared" si="10"/>
        <v>3.5482308155945219E-3</v>
      </c>
      <c r="N194" s="115">
        <f t="shared" si="11"/>
        <v>0</v>
      </c>
      <c r="O194" s="116" t="s">
        <v>2761</v>
      </c>
      <c r="P194" s="117"/>
      <c r="Q194" s="118"/>
    </row>
    <row r="195" spans="1:17" ht="15" customHeight="1" x14ac:dyDescent="0.3">
      <c r="A195" s="60" t="s">
        <v>2943</v>
      </c>
      <c r="B195" s="97" t="s">
        <v>2247</v>
      </c>
      <c r="C195" s="63" t="s">
        <v>384</v>
      </c>
      <c r="D195" s="66" t="str">
        <f>IFERROR(INDEX(M_User!$A$12:$J$67,MATCH(C195,M_User!$D$12:$D$67,0),3),"UNMAPPED")</f>
        <v>Gastory S Msaki</v>
      </c>
      <c r="E195" s="65" t="str">
        <f>IFERROR(INDEX(M_User!$A$12:$J$67,MATCH(C195,M_User!$D$12:$D$67,0),5),"UNMAPPED")</f>
        <v>MOS</v>
      </c>
      <c r="F195" s="63" t="s">
        <v>178</v>
      </c>
      <c r="G195" s="66" t="str">
        <f>IFERROR(INDEX(M_SKU!$A$18:$J$57,MATCH(F195,M_SKU!$B$18:$B$57,0),1),"UNKNOWN SKU")</f>
        <v>Fanta Orange RGB 350ml</v>
      </c>
      <c r="H195" s="63" t="s">
        <v>531</v>
      </c>
      <c r="I195" s="98">
        <f>IFERROR(INDEX(T_Unload!$K$10:$K$433,MATCH(B195,T_Unload!$B$10:$B$433,0)),0)</f>
        <v>1.7897517482047611</v>
      </c>
      <c r="J195" s="111">
        <v>1.79</v>
      </c>
      <c r="K195" s="99">
        <f t="shared" si="8"/>
        <v>-2.4825179523890739E-4</v>
      </c>
      <c r="L195" s="105" t="str">
        <f t="shared" si="9"/>
        <v>Adjust Unload Upward</v>
      </c>
      <c r="M195" s="90">
        <f t="shared" si="10"/>
        <v>0</v>
      </c>
      <c r="N195" s="90">
        <f t="shared" si="11"/>
        <v>2.4825179523890739E-4</v>
      </c>
      <c r="O195" s="68" t="s">
        <v>2761</v>
      </c>
      <c r="P195" s="63"/>
      <c r="Q195" s="62"/>
    </row>
    <row r="196" spans="1:17" ht="15" customHeight="1" x14ac:dyDescent="0.3">
      <c r="A196" s="70" t="s">
        <v>2944</v>
      </c>
      <c r="B196" s="112" t="s">
        <v>2249</v>
      </c>
      <c r="C196" s="101" t="s">
        <v>384</v>
      </c>
      <c r="D196" s="76" t="str">
        <f>IFERROR(INDEX(M_User!$A$12:$J$67,MATCH(C196,M_User!$D$12:$D$67,0),3),"UNMAPPED")</f>
        <v>Gastory S Msaki</v>
      </c>
      <c r="E196" s="75" t="str">
        <f>IFERROR(INDEX(M_User!$A$12:$J$67,MATCH(C196,M_User!$D$12:$D$67,0),5),"UNMAPPED")</f>
        <v>MOS</v>
      </c>
      <c r="F196" s="101" t="s">
        <v>181</v>
      </c>
      <c r="G196" s="76" t="str">
        <f>IFERROR(INDEX(M_SKU!$A$18:$J$57,MATCH(F196,M_SKU!$B$18:$B$57,0),1),"UNKNOWN SKU")</f>
        <v>Fanta Passion RGB 350ml</v>
      </c>
      <c r="H196" s="101" t="s">
        <v>550</v>
      </c>
      <c r="I196" s="102">
        <f>IFERROR(INDEX(T_Unload!$K$10:$K$433,MATCH(B196,T_Unload!$B$10:$B$433,0)),0)</f>
        <v>1.3887341588443505</v>
      </c>
      <c r="J196" s="111">
        <v>1.39</v>
      </c>
      <c r="K196" s="113">
        <f t="shared" si="8"/>
        <v>-1.2658411556494276E-3</v>
      </c>
      <c r="L196" s="114" t="str">
        <f t="shared" si="9"/>
        <v>Adjust Unload Upward</v>
      </c>
      <c r="M196" s="115">
        <f t="shared" si="10"/>
        <v>0</v>
      </c>
      <c r="N196" s="115">
        <f t="shared" si="11"/>
        <v>1.2658411556494276E-3</v>
      </c>
      <c r="O196" s="116" t="s">
        <v>2761</v>
      </c>
      <c r="P196" s="117"/>
      <c r="Q196" s="118"/>
    </row>
    <row r="197" spans="1:17" ht="15" customHeight="1" x14ac:dyDescent="0.3">
      <c r="A197" s="60" t="s">
        <v>2945</v>
      </c>
      <c r="B197" s="97" t="s">
        <v>2251</v>
      </c>
      <c r="C197" s="63" t="s">
        <v>384</v>
      </c>
      <c r="D197" s="66" t="str">
        <f>IFERROR(INDEX(M_User!$A$12:$J$67,MATCH(C197,M_User!$D$12:$D$67,0),3),"UNMAPPED")</f>
        <v>Gastory S Msaki</v>
      </c>
      <c r="E197" s="65" t="str">
        <f>IFERROR(INDEX(M_User!$A$12:$J$67,MATCH(C197,M_User!$D$12:$D$67,0),5),"UNMAPPED")</f>
        <v>MOS</v>
      </c>
      <c r="F197" s="63" t="s">
        <v>183</v>
      </c>
      <c r="G197" s="66" t="str">
        <f>IFERROR(INDEX(M_SKU!$A$18:$J$57,MATCH(F197,M_SKU!$B$18:$B$57,0),1),"UNKNOWN SKU")</f>
        <v>Fanta Pineapple RGB 350ml</v>
      </c>
      <c r="H197" s="63" t="s">
        <v>533</v>
      </c>
      <c r="I197" s="98">
        <f>IFERROR(INDEX(T_Unload!$K$10:$K$433,MATCH(B197,T_Unload!$B$10:$B$433,0)),0)</f>
        <v>3.5408413736479698</v>
      </c>
      <c r="J197" s="111">
        <v>3.54</v>
      </c>
      <c r="K197" s="99">
        <f t="shared" si="8"/>
        <v>8.4137364796976755E-4</v>
      </c>
      <c r="L197" s="105" t="str">
        <f t="shared" si="9"/>
        <v>Post to Default Outlet</v>
      </c>
      <c r="M197" s="90">
        <f t="shared" si="10"/>
        <v>8.4137364796976755E-4</v>
      </c>
      <c r="N197" s="90">
        <f t="shared" si="11"/>
        <v>0</v>
      </c>
      <c r="O197" s="68" t="s">
        <v>2761</v>
      </c>
      <c r="P197" s="63"/>
      <c r="Q197" s="62"/>
    </row>
    <row r="198" spans="1:17" ht="15" customHeight="1" x14ac:dyDescent="0.3">
      <c r="A198" s="70" t="s">
        <v>2946</v>
      </c>
      <c r="B198" s="112" t="s">
        <v>2253</v>
      </c>
      <c r="C198" s="101" t="s">
        <v>384</v>
      </c>
      <c r="D198" s="76" t="str">
        <f>IFERROR(INDEX(M_User!$A$12:$J$67,MATCH(C198,M_User!$D$12:$D$67,0),3),"UNMAPPED")</f>
        <v>Gastory S Msaki</v>
      </c>
      <c r="E198" s="75" t="str">
        <f>IFERROR(INDEX(M_User!$A$12:$J$67,MATCH(C198,M_User!$D$12:$D$67,0),5),"UNMAPPED")</f>
        <v>MOS</v>
      </c>
      <c r="F198" s="101" t="s">
        <v>185</v>
      </c>
      <c r="G198" s="76" t="str">
        <f>IFERROR(INDEX(M_SKU!$A$18:$J$57,MATCH(F198,M_SKU!$B$18:$B$57,0),1),"UNKNOWN SKU")</f>
        <v>Fanta Fruit Blast RGB 350 ml</v>
      </c>
      <c r="H198" s="101" t="s">
        <v>534</v>
      </c>
      <c r="I198" s="102">
        <f>IFERROR(INDEX(T_Unload!$K$10:$K$433,MATCH(B198,T_Unload!$B$10:$B$433,0)),0)</f>
        <v>0.54865710429351022</v>
      </c>
      <c r="J198" s="111">
        <v>0.55000000000000004</v>
      </c>
      <c r="K198" s="113">
        <f t="shared" si="8"/>
        <v>-1.3428957064898217E-3</v>
      </c>
      <c r="L198" s="114" t="str">
        <f t="shared" si="9"/>
        <v>Adjust Unload Upward</v>
      </c>
      <c r="M198" s="115">
        <f t="shared" si="10"/>
        <v>0</v>
      </c>
      <c r="N198" s="115">
        <f t="shared" si="11"/>
        <v>1.3428957064898217E-3</v>
      </c>
      <c r="O198" s="116" t="s">
        <v>2761</v>
      </c>
      <c r="P198" s="117"/>
      <c r="Q198" s="118"/>
    </row>
    <row r="199" spans="1:17" ht="15" customHeight="1" x14ac:dyDescent="0.3">
      <c r="A199" s="60" t="s">
        <v>2947</v>
      </c>
      <c r="B199" s="97" t="s">
        <v>2255</v>
      </c>
      <c r="C199" s="63" t="s">
        <v>384</v>
      </c>
      <c r="D199" s="66" t="str">
        <f>IFERROR(INDEX(M_User!$A$12:$J$67,MATCH(C199,M_User!$D$12:$D$67,0),3),"UNMAPPED")</f>
        <v>Gastory S Msaki</v>
      </c>
      <c r="E199" s="65" t="str">
        <f>IFERROR(INDEX(M_User!$A$12:$J$67,MATCH(C199,M_User!$D$12:$D$67,0),5),"UNMAPPED")</f>
        <v>MOS</v>
      </c>
      <c r="F199" s="63" t="s">
        <v>187</v>
      </c>
      <c r="G199" s="66" t="str">
        <f>IFERROR(INDEX(M_SKU!$A$18:$J$57,MATCH(F199,M_SKU!$B$18:$B$57,0),1),"UNKNOWN SKU")</f>
        <v>Sprite 350ml</v>
      </c>
      <c r="H199" s="63" t="s">
        <v>535</v>
      </c>
      <c r="I199" s="98">
        <f>IFERROR(INDEX(T_Unload!$K$10:$K$433,MATCH(B199,T_Unload!$B$10:$B$433,0)),0)</f>
        <v>1.8226427930387104</v>
      </c>
      <c r="J199" s="111">
        <v>1.82</v>
      </c>
      <c r="K199" s="99">
        <f t="shared" si="8"/>
        <v>2.6427930387102894E-3</v>
      </c>
      <c r="L199" s="105" t="str">
        <f t="shared" si="9"/>
        <v>Post to Default Outlet</v>
      </c>
      <c r="M199" s="90">
        <f t="shared" si="10"/>
        <v>2.6427930387102894E-3</v>
      </c>
      <c r="N199" s="90">
        <f t="shared" si="11"/>
        <v>0</v>
      </c>
      <c r="O199" s="68" t="s">
        <v>2761</v>
      </c>
      <c r="P199" s="63"/>
      <c r="Q199" s="62"/>
    </row>
    <row r="200" spans="1:17" ht="15" customHeight="1" x14ac:dyDescent="0.3">
      <c r="A200" s="70" t="s">
        <v>2948</v>
      </c>
      <c r="B200" s="112" t="s">
        <v>2257</v>
      </c>
      <c r="C200" s="101" t="s">
        <v>384</v>
      </c>
      <c r="D200" s="76" t="str">
        <f>IFERROR(INDEX(M_User!$A$12:$J$67,MATCH(C200,M_User!$D$12:$D$67,0),3),"UNMAPPED")</f>
        <v>Gastory S Msaki</v>
      </c>
      <c r="E200" s="75" t="str">
        <f>IFERROR(INDEX(M_User!$A$12:$J$67,MATCH(C200,M_User!$D$12:$D$67,0),5),"UNMAPPED")</f>
        <v>MOS</v>
      </c>
      <c r="F200" s="101" t="s">
        <v>190</v>
      </c>
      <c r="G200" s="76" t="str">
        <f>IFERROR(INDEX(M_SKU!$A$18:$J$57,MATCH(F200,M_SKU!$B$18:$B$57,0),1),"UNKNOWN SKU")</f>
        <v>Stoney Tangawizi RGB 350ml</v>
      </c>
      <c r="H200" s="101" t="s">
        <v>536</v>
      </c>
      <c r="I200" s="102">
        <f>IFERROR(INDEX(T_Unload!$K$10:$K$433,MATCH(B200,T_Unload!$B$10:$B$433,0)),0)</f>
        <v>0.6319028096838295</v>
      </c>
      <c r="J200" s="111">
        <v>0.63</v>
      </c>
      <c r="K200" s="113">
        <f t="shared" si="8"/>
        <v>1.9028096838294983E-3</v>
      </c>
      <c r="L200" s="114" t="str">
        <f t="shared" si="9"/>
        <v>Post to Default Outlet</v>
      </c>
      <c r="M200" s="115">
        <f t="shared" si="10"/>
        <v>1.9028096838294983E-3</v>
      </c>
      <c r="N200" s="115">
        <f t="shared" si="11"/>
        <v>0</v>
      </c>
      <c r="O200" s="116" t="s">
        <v>2761</v>
      </c>
      <c r="P200" s="117"/>
      <c r="Q200" s="118"/>
    </row>
    <row r="201" spans="1:17" ht="15" customHeight="1" x14ac:dyDescent="0.3">
      <c r="A201" s="60" t="s">
        <v>2949</v>
      </c>
      <c r="B201" s="97" t="s">
        <v>2259</v>
      </c>
      <c r="C201" s="63" t="s">
        <v>384</v>
      </c>
      <c r="D201" s="66" t="str">
        <f>IFERROR(INDEX(M_User!$A$12:$J$67,MATCH(C201,M_User!$D$12:$D$67,0),3),"UNMAPPED")</f>
        <v>Gastory S Msaki</v>
      </c>
      <c r="E201" s="65" t="str">
        <f>IFERROR(INDEX(M_User!$A$12:$J$67,MATCH(C201,M_User!$D$12:$D$67,0),5),"UNMAPPED")</f>
        <v>MOS</v>
      </c>
      <c r="F201" s="63" t="s">
        <v>193</v>
      </c>
      <c r="G201" s="66" t="str">
        <f>IFERROR(INDEX(M_SKU!$A$18:$J$57,MATCH(F201,M_SKU!$B$18:$B$57,0),1),"UNKNOWN SKU")</f>
        <v>Sparletta Pinenut RGB 350ml</v>
      </c>
      <c r="H201" s="63" t="s">
        <v>537</v>
      </c>
      <c r="I201" s="98">
        <f>IFERROR(INDEX(T_Unload!$K$10:$K$433,MATCH(B201,T_Unload!$B$10:$B$433,0)),0)</f>
        <v>0.93640934572117018</v>
      </c>
      <c r="J201" s="111">
        <v>0.94</v>
      </c>
      <c r="K201" s="99">
        <f t="shared" si="8"/>
        <v>-3.5906542788297635E-3</v>
      </c>
      <c r="L201" s="105" t="str">
        <f t="shared" si="9"/>
        <v>Adjust Unload Upward</v>
      </c>
      <c r="M201" s="90">
        <f t="shared" si="10"/>
        <v>0</v>
      </c>
      <c r="N201" s="90">
        <f t="shared" si="11"/>
        <v>3.5906542788297635E-3</v>
      </c>
      <c r="O201" s="68" t="s">
        <v>2761</v>
      </c>
      <c r="P201" s="63"/>
      <c r="Q201" s="62"/>
    </row>
    <row r="202" spans="1:17" ht="15" customHeight="1" x14ac:dyDescent="0.3">
      <c r="A202" s="70" t="s">
        <v>2950</v>
      </c>
      <c r="B202" s="112" t="s">
        <v>2261</v>
      </c>
      <c r="C202" s="101" t="s">
        <v>384</v>
      </c>
      <c r="D202" s="76" t="str">
        <f>IFERROR(INDEX(M_User!$A$12:$J$67,MATCH(C202,M_User!$D$12:$D$67,0),3),"UNMAPPED")</f>
        <v>Gastory S Msaki</v>
      </c>
      <c r="E202" s="75" t="str">
        <f>IFERROR(INDEX(M_User!$A$12:$J$67,MATCH(C202,M_User!$D$12:$D$67,0),5),"UNMAPPED")</f>
        <v>MOS</v>
      </c>
      <c r="F202" s="101" t="s">
        <v>196</v>
      </c>
      <c r="G202" s="76" t="str">
        <f>IFERROR(INDEX(M_SKU!$A$18:$J$57,MATCH(F202,M_SKU!$B$18:$B$57,0),1),"UNKNOWN SKU")</f>
        <v>Krest Bitter Lemon RGB 300ml</v>
      </c>
      <c r="H202" s="101" t="s">
        <v>538</v>
      </c>
      <c r="I202" s="102">
        <f>IFERROR(INDEX(T_Unload!$K$10:$K$433,MATCH(B202,T_Unload!$B$10:$B$433,0)),0)</f>
        <v>0.39812158721860813</v>
      </c>
      <c r="J202" s="111">
        <v>0.4</v>
      </c>
      <c r="K202" s="113">
        <f t="shared" si="8"/>
        <v>-1.8784127813918916E-3</v>
      </c>
      <c r="L202" s="114" t="str">
        <f t="shared" si="9"/>
        <v>Adjust Unload Upward</v>
      </c>
      <c r="M202" s="115">
        <f t="shared" si="10"/>
        <v>0</v>
      </c>
      <c r="N202" s="115">
        <f t="shared" si="11"/>
        <v>1.8784127813918916E-3</v>
      </c>
      <c r="O202" s="116" t="s">
        <v>2761</v>
      </c>
      <c r="P202" s="117"/>
      <c r="Q202" s="118"/>
    </row>
    <row r="203" spans="1:17" ht="15" customHeight="1" x14ac:dyDescent="0.3">
      <c r="A203" s="60" t="s">
        <v>2951</v>
      </c>
      <c r="B203" s="97" t="s">
        <v>2263</v>
      </c>
      <c r="C203" s="63" t="s">
        <v>384</v>
      </c>
      <c r="D203" s="66" t="str">
        <f>IFERROR(INDEX(M_User!$A$12:$J$67,MATCH(C203,M_User!$D$12:$D$67,0),3),"UNMAPPED")</f>
        <v>Gastory S Msaki</v>
      </c>
      <c r="E203" s="65" t="str">
        <f>IFERROR(INDEX(M_User!$A$12:$J$67,MATCH(C203,M_User!$D$12:$D$67,0),5),"UNMAPPED")</f>
        <v>MOS</v>
      </c>
      <c r="F203" s="63" t="s">
        <v>199</v>
      </c>
      <c r="G203" s="66" t="str">
        <f>IFERROR(INDEX(M_SKU!$A$18:$J$57,MATCH(F203,M_SKU!$B$18:$B$57,0),1),"UNKNOWN SKU")</f>
        <v>Krest Club Soda RGB 300ml</v>
      </c>
      <c r="H203" s="63" t="s">
        <v>539</v>
      </c>
      <c r="I203" s="98">
        <f>IFERROR(INDEX(T_Unload!$K$10:$K$433,MATCH(B203,T_Unload!$B$10:$B$433,0)),0)</f>
        <v>0.1215700727012009</v>
      </c>
      <c r="J203" s="111">
        <v>0.12</v>
      </c>
      <c r="K203" s="99">
        <f t="shared" si="8"/>
        <v>1.5700727012009086E-3</v>
      </c>
      <c r="L203" s="105" t="str">
        <f t="shared" si="9"/>
        <v>Post to Default Outlet</v>
      </c>
      <c r="M203" s="90">
        <f t="shared" si="10"/>
        <v>1.5700727012009086E-3</v>
      </c>
      <c r="N203" s="90">
        <f t="shared" si="11"/>
        <v>0</v>
      </c>
      <c r="O203" s="68" t="s">
        <v>2761</v>
      </c>
      <c r="P203" s="63"/>
      <c r="Q203" s="62"/>
    </row>
    <row r="204" spans="1:17" ht="15" customHeight="1" x14ac:dyDescent="0.3">
      <c r="A204" s="70" t="s">
        <v>2952</v>
      </c>
      <c r="B204" s="112" t="s">
        <v>2265</v>
      </c>
      <c r="C204" s="101" t="s">
        <v>384</v>
      </c>
      <c r="D204" s="76" t="str">
        <f>IFERROR(INDEX(M_User!$A$12:$J$67,MATCH(C204,M_User!$D$12:$D$67,0),3),"UNMAPPED")</f>
        <v>Gastory S Msaki</v>
      </c>
      <c r="E204" s="75" t="str">
        <f>IFERROR(INDEX(M_User!$A$12:$J$67,MATCH(C204,M_User!$D$12:$D$67,0),5),"UNMAPPED")</f>
        <v>MOS</v>
      </c>
      <c r="F204" s="101" t="s">
        <v>201</v>
      </c>
      <c r="G204" s="76" t="str">
        <f>IFERROR(INDEX(M_SKU!$A$18:$J$57,MATCH(F204,M_SKU!$B$18:$B$57,0),1),"UNKNOWN SKU")</f>
        <v>Krest Tonic Water RGB 300ml</v>
      </c>
      <c r="H204" s="101" t="s">
        <v>540</v>
      </c>
      <c r="I204" s="102">
        <f>IFERROR(INDEX(T_Unload!$K$10:$K$433,MATCH(B204,T_Unload!$B$10:$B$433,0)),0)</f>
        <v>9.2936463119206891E-2</v>
      </c>
      <c r="J204" s="111">
        <v>0.09</v>
      </c>
      <c r="K204" s="113">
        <f t="shared" si="8"/>
        <v>2.9364631192068946E-3</v>
      </c>
      <c r="L204" s="114" t="str">
        <f t="shared" si="9"/>
        <v>Post to Default Outlet</v>
      </c>
      <c r="M204" s="115">
        <f t="shared" si="10"/>
        <v>2.9364631192068946E-3</v>
      </c>
      <c r="N204" s="115">
        <f t="shared" si="11"/>
        <v>0</v>
      </c>
      <c r="O204" s="116" t="s">
        <v>2761</v>
      </c>
      <c r="P204" s="117"/>
      <c r="Q204" s="118"/>
    </row>
    <row r="205" spans="1:17" ht="15" customHeight="1" x14ac:dyDescent="0.3">
      <c r="A205" s="60" t="s">
        <v>2953</v>
      </c>
      <c r="B205" s="97" t="s">
        <v>2267</v>
      </c>
      <c r="C205" s="63" t="s">
        <v>384</v>
      </c>
      <c r="D205" s="66" t="str">
        <f>IFERROR(INDEX(M_User!$A$12:$J$67,MATCH(C205,M_User!$D$12:$D$67,0),3),"UNMAPPED")</f>
        <v>Gastory S Msaki</v>
      </c>
      <c r="E205" s="65" t="str">
        <f>IFERROR(INDEX(M_User!$A$12:$J$67,MATCH(C205,M_User!$D$12:$D$67,0),5),"UNMAPPED")</f>
        <v>MOS</v>
      </c>
      <c r="F205" s="63" t="s">
        <v>203</v>
      </c>
      <c r="G205" s="66" t="str">
        <f>IFERROR(INDEX(M_SKU!$A$18:$J$57,MATCH(F205,M_SKU!$B$18:$B$57,0),1),"UNKNOWN SKU")</f>
        <v>Krest Ginger Ale RGB 300ml</v>
      </c>
      <c r="H205" s="63" t="s">
        <v>541</v>
      </c>
      <c r="I205" s="98">
        <f>IFERROR(INDEX(T_Unload!$K$10:$K$433,MATCH(B205,T_Unload!$B$10:$B$433,0)),0)</f>
        <v>0.33177471599601294</v>
      </c>
      <c r="J205" s="111">
        <v>0.33</v>
      </c>
      <c r="K205" s="99">
        <f t="shared" ref="K205:K268" si="12">IF(ISBLANK(J205),"",I205-J205)</f>
        <v>1.7747159960129211E-3</v>
      </c>
      <c r="L205" s="105" t="str">
        <f t="shared" ref="L205:L268" si="13">IF(K205="","Awaiting Verification",IF(ABS(K205)&lt;0.0001,"CLEAN",IF(K205&gt;0,"Post to Default Outlet","Adjust Unload Upward")))</f>
        <v>Post to Default Outlet</v>
      </c>
      <c r="M205" s="90">
        <f t="shared" ref="M205:M268" si="14">IF(AND(ISNUMBER(K205),K205&gt;0.0001),K205,0)</f>
        <v>1.7747159960129211E-3</v>
      </c>
      <c r="N205" s="90">
        <f t="shared" ref="N205:N268" si="15">IF(AND(ISNUMBER(K205),K205&lt;-0.0001),-K205,0)</f>
        <v>0</v>
      </c>
      <c r="O205" s="68" t="s">
        <v>2761</v>
      </c>
      <c r="P205" s="63"/>
      <c r="Q205" s="62"/>
    </row>
    <row r="206" spans="1:17" ht="15" customHeight="1" x14ac:dyDescent="0.3">
      <c r="A206" s="70" t="s">
        <v>2954</v>
      </c>
      <c r="B206" s="112" t="s">
        <v>2269</v>
      </c>
      <c r="C206" s="101" t="s">
        <v>384</v>
      </c>
      <c r="D206" s="76" t="str">
        <f>IFERROR(INDEX(M_User!$A$12:$J$67,MATCH(C206,M_User!$D$12:$D$67,0),3),"UNMAPPED")</f>
        <v>Gastory S Msaki</v>
      </c>
      <c r="E206" s="75" t="str">
        <f>IFERROR(INDEX(M_User!$A$12:$J$67,MATCH(C206,M_User!$D$12:$D$67,0),5),"UNMAPPED")</f>
        <v>MOS</v>
      </c>
      <c r="F206" s="101" t="s">
        <v>209</v>
      </c>
      <c r="G206" s="76" t="str">
        <f>IFERROR(INDEX(M_SKU!$A$18:$J$57,MATCH(F206,M_SKU!$B$18:$B$57,0),1),"UNKNOWN SKU")</f>
        <v>Sparletta Red Apple RGB 350ml</v>
      </c>
      <c r="H206" s="101" t="s">
        <v>542</v>
      </c>
      <c r="I206" s="102">
        <f>IFERROR(INDEX(T_Unload!$K$10:$K$433,MATCH(B206,T_Unload!$B$10:$B$433,0)),0)</f>
        <v>0.28604540647086885</v>
      </c>
      <c r="J206" s="111">
        <v>0.28999999999999998</v>
      </c>
      <c r="K206" s="113">
        <f t="shared" si="12"/>
        <v>-3.954593529131134E-3</v>
      </c>
      <c r="L206" s="114" t="str">
        <f t="shared" si="13"/>
        <v>Adjust Unload Upward</v>
      </c>
      <c r="M206" s="115">
        <f t="shared" si="14"/>
        <v>0</v>
      </c>
      <c r="N206" s="115">
        <f t="shared" si="15"/>
        <v>3.954593529131134E-3</v>
      </c>
      <c r="O206" s="116" t="s">
        <v>2761</v>
      </c>
      <c r="P206" s="117"/>
      <c r="Q206" s="118"/>
    </row>
    <row r="207" spans="1:17" ht="15" customHeight="1" x14ac:dyDescent="0.3">
      <c r="A207" s="60" t="s">
        <v>2955</v>
      </c>
      <c r="B207" s="97" t="s">
        <v>2271</v>
      </c>
      <c r="C207" s="63" t="s">
        <v>384</v>
      </c>
      <c r="D207" s="66" t="str">
        <f>IFERROR(INDEX(M_User!$A$12:$J$67,MATCH(C207,M_User!$D$12:$D$67,0),3),"UNMAPPED")</f>
        <v>Gastory S Msaki</v>
      </c>
      <c r="E207" s="65" t="str">
        <f>IFERROR(INDEX(M_User!$A$12:$J$67,MATCH(C207,M_User!$D$12:$D$67,0),5),"UNMAPPED")</f>
        <v>MOS</v>
      </c>
      <c r="F207" s="63" t="s">
        <v>211</v>
      </c>
      <c r="G207" s="66" t="str">
        <f>IFERROR(INDEX(M_SKU!$A$18:$J$57,MATCH(F207,M_SKU!$B$18:$B$57,0),1),"UNKNOWN SKU")</f>
        <v>KNMW 500ml</v>
      </c>
      <c r="H207" s="63" t="s">
        <v>543</v>
      </c>
      <c r="I207" s="98">
        <f>IFERROR(INDEX(T_Unload!$K$10:$K$433,MATCH(B207,T_Unload!$B$10:$B$433,0)),0)</f>
        <v>2</v>
      </c>
      <c r="J207" s="111">
        <v>2</v>
      </c>
      <c r="K207" s="99">
        <f t="shared" si="12"/>
        <v>0</v>
      </c>
      <c r="L207" s="105" t="str">
        <f t="shared" si="13"/>
        <v>CLEAN</v>
      </c>
      <c r="M207" s="90">
        <f t="shared" si="14"/>
        <v>0</v>
      </c>
      <c r="N207" s="90">
        <f t="shared" si="15"/>
        <v>0</v>
      </c>
      <c r="O207" s="68" t="s">
        <v>2761</v>
      </c>
      <c r="P207" s="63"/>
      <c r="Q207" s="62"/>
    </row>
    <row r="208" spans="1:17" ht="15" customHeight="1" x14ac:dyDescent="0.3">
      <c r="A208" s="70" t="s">
        <v>2956</v>
      </c>
      <c r="B208" s="112" t="s">
        <v>2273</v>
      </c>
      <c r="C208" s="101" t="s">
        <v>384</v>
      </c>
      <c r="D208" s="76" t="str">
        <f>IFERROR(INDEX(M_User!$A$12:$J$67,MATCH(C208,M_User!$D$12:$D$67,0),3),"UNMAPPED")</f>
        <v>Gastory S Msaki</v>
      </c>
      <c r="E208" s="75" t="str">
        <f>IFERROR(INDEX(M_User!$A$12:$J$67,MATCH(C208,M_User!$D$12:$D$67,0),5),"UNMAPPED")</f>
        <v>MOS</v>
      </c>
      <c r="F208" s="101" t="s">
        <v>217</v>
      </c>
      <c r="G208" s="76" t="str">
        <f>IFERROR(INDEX(M_SKU!$A$18:$J$57,MATCH(F208,M_SKU!$B$18:$B$57,0),1),"UNKNOWN SKU")</f>
        <v>KNMW 1500ml</v>
      </c>
      <c r="H208" s="101" t="s">
        <v>551</v>
      </c>
      <c r="I208" s="102">
        <f>IFERROR(INDEX(T_Unload!$K$10:$K$433,MATCH(B208,T_Unload!$B$10:$B$433,0)),0)</f>
        <v>20</v>
      </c>
      <c r="J208" s="111">
        <v>20</v>
      </c>
      <c r="K208" s="113">
        <f t="shared" si="12"/>
        <v>0</v>
      </c>
      <c r="L208" s="114" t="str">
        <f t="shared" si="13"/>
        <v>CLEAN</v>
      </c>
      <c r="M208" s="115">
        <f t="shared" si="14"/>
        <v>0</v>
      </c>
      <c r="N208" s="115">
        <f t="shared" si="15"/>
        <v>0</v>
      </c>
      <c r="O208" s="116" t="s">
        <v>2761</v>
      </c>
      <c r="P208" s="117"/>
      <c r="Q208" s="118"/>
    </row>
    <row r="209" spans="1:17" ht="15" customHeight="1" x14ac:dyDescent="0.3">
      <c r="A209" s="60" t="s">
        <v>2957</v>
      </c>
      <c r="B209" s="97" t="s">
        <v>2275</v>
      </c>
      <c r="C209" s="63" t="s">
        <v>384</v>
      </c>
      <c r="D209" s="66" t="str">
        <f>IFERROR(INDEX(M_User!$A$12:$J$67,MATCH(C209,M_User!$D$12:$D$67,0),3),"UNMAPPED")</f>
        <v>Gastory S Msaki</v>
      </c>
      <c r="E209" s="65" t="str">
        <f>IFERROR(INDEX(M_User!$A$12:$J$67,MATCH(C209,M_User!$D$12:$D$67,0),5),"UNMAPPED")</f>
        <v>MOS</v>
      </c>
      <c r="F209" s="63" t="s">
        <v>219</v>
      </c>
      <c r="G209" s="66" t="str">
        <f>IFERROR(INDEX(M_SKU!$A$18:$J$57,MATCH(F209,M_SKU!$B$18:$B$57,0),1),"UNKNOWN SKU")</f>
        <v>Kilimanjaro Drinking Water 6000 ML</v>
      </c>
      <c r="H209" s="63" t="s">
        <v>571</v>
      </c>
      <c r="I209" s="98">
        <f>IFERROR(INDEX(T_Unload!$K$10:$K$433,MATCH(B209,T_Unload!$B$10:$B$433,0)),0)</f>
        <v>2</v>
      </c>
      <c r="J209" s="111">
        <v>2</v>
      </c>
      <c r="K209" s="99">
        <f t="shared" si="12"/>
        <v>0</v>
      </c>
      <c r="L209" s="105" t="str">
        <f t="shared" si="13"/>
        <v>CLEAN</v>
      </c>
      <c r="M209" s="90">
        <f t="shared" si="14"/>
        <v>0</v>
      </c>
      <c r="N209" s="90">
        <f t="shared" si="15"/>
        <v>0</v>
      </c>
      <c r="O209" s="68" t="s">
        <v>2761</v>
      </c>
      <c r="P209" s="63"/>
      <c r="Q209" s="62"/>
    </row>
    <row r="210" spans="1:17" ht="15" customHeight="1" x14ac:dyDescent="0.3">
      <c r="A210" s="70" t="s">
        <v>2958</v>
      </c>
      <c r="B210" s="112" t="s">
        <v>2277</v>
      </c>
      <c r="C210" s="101" t="s">
        <v>384</v>
      </c>
      <c r="D210" s="76" t="str">
        <f>IFERROR(INDEX(M_User!$A$12:$J$67,MATCH(C210,M_User!$D$12:$D$67,0),3),"UNMAPPED")</f>
        <v>Gastory S Msaki</v>
      </c>
      <c r="E210" s="75" t="str">
        <f>IFERROR(INDEX(M_User!$A$12:$J$67,MATCH(C210,M_User!$D$12:$D$67,0),5),"UNMAPPED")</f>
        <v>MOS</v>
      </c>
      <c r="F210" s="101" t="s">
        <v>225</v>
      </c>
      <c r="G210" s="76" t="str">
        <f>IFERROR(INDEX(M_SKU!$A$18:$J$57,MATCH(F210,M_SKU!$B$18:$B$57,0),1),"UNKNOWN SKU")</f>
        <v>Kilimanjaro Drinking Water 18900 ML</v>
      </c>
      <c r="H210" s="101" t="s">
        <v>567</v>
      </c>
      <c r="I210" s="102">
        <f>IFERROR(INDEX(T_Unload!$K$10:$K$433,MATCH(B210,T_Unload!$B$10:$B$433,0)),0)</f>
        <v>1</v>
      </c>
      <c r="J210" s="111">
        <v>1</v>
      </c>
      <c r="K210" s="113">
        <f t="shared" si="12"/>
        <v>0</v>
      </c>
      <c r="L210" s="114" t="str">
        <f t="shared" si="13"/>
        <v>CLEAN</v>
      </c>
      <c r="M210" s="115">
        <f t="shared" si="14"/>
        <v>0</v>
      </c>
      <c r="N210" s="115">
        <f t="shared" si="15"/>
        <v>0</v>
      </c>
      <c r="O210" s="116" t="s">
        <v>2761</v>
      </c>
      <c r="P210" s="117"/>
      <c r="Q210" s="118"/>
    </row>
    <row r="211" spans="1:17" ht="15" customHeight="1" x14ac:dyDescent="0.3">
      <c r="A211" s="60" t="s">
        <v>2959</v>
      </c>
      <c r="B211" s="97" t="s">
        <v>2279</v>
      </c>
      <c r="C211" s="63" t="s">
        <v>384</v>
      </c>
      <c r="D211" s="66" t="str">
        <f>IFERROR(INDEX(M_User!$A$12:$J$67,MATCH(C211,M_User!$D$12:$D$67,0),3),"UNMAPPED")</f>
        <v>Gastory S Msaki</v>
      </c>
      <c r="E211" s="65" t="str">
        <f>IFERROR(INDEX(M_User!$A$12:$J$67,MATCH(C211,M_User!$D$12:$D$67,0),5),"UNMAPPED")</f>
        <v>MOS</v>
      </c>
      <c r="F211" s="63" t="s">
        <v>229</v>
      </c>
      <c r="G211" s="66" t="str">
        <f>IFERROR(INDEX(M_SKU!$A$18:$J$57,MATCH(F211,M_SKU!$B$18:$B$57,0),1),"UNKNOWN SKU")</f>
        <v>Coke Pet 500ML ( x12)</v>
      </c>
      <c r="H211" s="63" t="s">
        <v>520</v>
      </c>
      <c r="I211" s="98">
        <f>IFERROR(INDEX(T_Unload!$K$10:$K$433,MATCH(B211,T_Unload!$B$10:$B$433,0)),0)</f>
        <v>14</v>
      </c>
      <c r="J211" s="111">
        <v>14</v>
      </c>
      <c r="K211" s="99">
        <f t="shared" si="12"/>
        <v>0</v>
      </c>
      <c r="L211" s="105" t="str">
        <f t="shared" si="13"/>
        <v>CLEAN</v>
      </c>
      <c r="M211" s="90">
        <f t="shared" si="14"/>
        <v>0</v>
      </c>
      <c r="N211" s="90">
        <f t="shared" si="15"/>
        <v>0</v>
      </c>
      <c r="O211" s="68" t="s">
        <v>2761</v>
      </c>
      <c r="P211" s="63"/>
      <c r="Q211" s="62"/>
    </row>
    <row r="212" spans="1:17" ht="15" customHeight="1" x14ac:dyDescent="0.3">
      <c r="A212" s="70" t="s">
        <v>2960</v>
      </c>
      <c r="B212" s="112" t="s">
        <v>2281</v>
      </c>
      <c r="C212" s="101" t="s">
        <v>384</v>
      </c>
      <c r="D212" s="76" t="str">
        <f>IFERROR(INDEX(M_User!$A$12:$J$67,MATCH(C212,M_User!$D$12:$D$67,0),3),"UNMAPPED")</f>
        <v>Gastory S Msaki</v>
      </c>
      <c r="E212" s="75" t="str">
        <f>IFERROR(INDEX(M_User!$A$12:$J$67,MATCH(C212,M_User!$D$12:$D$67,0),5),"UNMAPPED")</f>
        <v>MOS</v>
      </c>
      <c r="F212" s="101" t="s">
        <v>232</v>
      </c>
      <c r="G212" s="76" t="str">
        <f>IFERROR(INDEX(M_SKU!$A$18:$J$57,MATCH(F212,M_SKU!$B$18:$B$57,0),1),"UNKNOWN SKU")</f>
        <v>Sprite Pet 500ML (x 12)</v>
      </c>
      <c r="H212" s="101" t="s">
        <v>522</v>
      </c>
      <c r="I212" s="102">
        <f>IFERROR(INDEX(T_Unload!$K$10:$K$433,MATCH(B212,T_Unload!$B$10:$B$433,0)),0)</f>
        <v>9</v>
      </c>
      <c r="J212" s="111">
        <v>9</v>
      </c>
      <c r="K212" s="113">
        <f t="shared" si="12"/>
        <v>0</v>
      </c>
      <c r="L212" s="114" t="str">
        <f t="shared" si="13"/>
        <v>CLEAN</v>
      </c>
      <c r="M212" s="115">
        <f t="shared" si="14"/>
        <v>0</v>
      </c>
      <c r="N212" s="115">
        <f t="shared" si="15"/>
        <v>0</v>
      </c>
      <c r="O212" s="116" t="s">
        <v>2761</v>
      </c>
      <c r="P212" s="117"/>
      <c r="Q212" s="118"/>
    </row>
    <row r="213" spans="1:17" ht="15" customHeight="1" x14ac:dyDescent="0.3">
      <c r="A213" s="60" t="s">
        <v>2961</v>
      </c>
      <c r="B213" s="97" t="s">
        <v>2283</v>
      </c>
      <c r="C213" s="63" t="s">
        <v>384</v>
      </c>
      <c r="D213" s="66" t="str">
        <f>IFERROR(INDEX(M_User!$A$12:$J$67,MATCH(C213,M_User!$D$12:$D$67,0),3),"UNMAPPED")</f>
        <v>Gastory S Msaki</v>
      </c>
      <c r="E213" s="65" t="str">
        <f>IFERROR(INDEX(M_User!$A$12:$J$67,MATCH(C213,M_User!$D$12:$D$67,0),5),"UNMAPPED")</f>
        <v>MOS</v>
      </c>
      <c r="F213" s="63" t="s">
        <v>234</v>
      </c>
      <c r="G213" s="66" t="str">
        <f>IFERROR(INDEX(M_SKU!$A$18:$J$57,MATCH(F213,M_SKU!$B$18:$B$57,0),1),"UNKNOWN SKU")</f>
        <v>Fanta Orange Pet 500ML ( x 12)</v>
      </c>
      <c r="H213" s="63" t="s">
        <v>523</v>
      </c>
      <c r="I213" s="98">
        <f>IFERROR(INDEX(T_Unload!$K$10:$K$433,MATCH(B213,T_Unload!$B$10:$B$433,0)),0)</f>
        <v>7</v>
      </c>
      <c r="J213" s="111">
        <v>7</v>
      </c>
      <c r="K213" s="99">
        <f t="shared" si="12"/>
        <v>0</v>
      </c>
      <c r="L213" s="105" t="str">
        <f t="shared" si="13"/>
        <v>CLEAN</v>
      </c>
      <c r="M213" s="90">
        <f t="shared" si="14"/>
        <v>0</v>
      </c>
      <c r="N213" s="90">
        <f t="shared" si="15"/>
        <v>0</v>
      </c>
      <c r="O213" s="68" t="s">
        <v>2761</v>
      </c>
      <c r="P213" s="63"/>
      <c r="Q213" s="62"/>
    </row>
    <row r="214" spans="1:17" ht="15" customHeight="1" x14ac:dyDescent="0.3">
      <c r="A214" s="70" t="s">
        <v>2962</v>
      </c>
      <c r="B214" s="112" t="s">
        <v>2285</v>
      </c>
      <c r="C214" s="101" t="s">
        <v>384</v>
      </c>
      <c r="D214" s="76" t="str">
        <f>IFERROR(INDEX(M_User!$A$12:$J$67,MATCH(C214,M_User!$D$12:$D$67,0),3),"UNMAPPED")</f>
        <v>Gastory S Msaki</v>
      </c>
      <c r="E214" s="75" t="str">
        <f>IFERROR(INDEX(M_User!$A$12:$J$67,MATCH(C214,M_User!$D$12:$D$67,0),5),"UNMAPPED")</f>
        <v>MOS</v>
      </c>
      <c r="F214" s="101" t="s">
        <v>236</v>
      </c>
      <c r="G214" s="76" t="str">
        <f>IFERROR(INDEX(M_SKU!$A$18:$J$57,MATCH(F214,M_SKU!$B$18:$B$57,0),1),"UNKNOWN SKU")</f>
        <v>Fanta Passion Pet 500ML ( x12)</v>
      </c>
      <c r="H214" s="101" t="s">
        <v>524</v>
      </c>
      <c r="I214" s="102">
        <f>IFERROR(INDEX(T_Unload!$K$10:$K$433,MATCH(B214,T_Unload!$B$10:$B$433,0)),0)</f>
        <v>3</v>
      </c>
      <c r="J214" s="111">
        <v>3</v>
      </c>
      <c r="K214" s="113">
        <f t="shared" si="12"/>
        <v>0</v>
      </c>
      <c r="L214" s="114" t="str">
        <f t="shared" si="13"/>
        <v>CLEAN</v>
      </c>
      <c r="M214" s="115">
        <f t="shared" si="14"/>
        <v>0</v>
      </c>
      <c r="N214" s="115">
        <f t="shared" si="15"/>
        <v>0</v>
      </c>
      <c r="O214" s="116" t="s">
        <v>2761</v>
      </c>
      <c r="P214" s="117"/>
      <c r="Q214" s="118"/>
    </row>
    <row r="215" spans="1:17" ht="15" customHeight="1" x14ac:dyDescent="0.3">
      <c r="A215" s="60" t="s">
        <v>2963</v>
      </c>
      <c r="B215" s="97" t="s">
        <v>2287</v>
      </c>
      <c r="C215" s="63" t="s">
        <v>384</v>
      </c>
      <c r="D215" s="66" t="str">
        <f>IFERROR(INDEX(M_User!$A$12:$J$67,MATCH(C215,M_User!$D$12:$D$67,0),3),"UNMAPPED")</f>
        <v>Gastory S Msaki</v>
      </c>
      <c r="E215" s="65" t="str">
        <f>IFERROR(INDEX(M_User!$A$12:$J$67,MATCH(C215,M_User!$D$12:$D$67,0),5),"UNMAPPED")</f>
        <v>MOS</v>
      </c>
      <c r="F215" s="63" t="s">
        <v>242</v>
      </c>
      <c r="G215" s="66" t="str">
        <f>IFERROR(INDEX(M_SKU!$A$18:$J$57,MATCH(F215,M_SKU!$B$18:$B$57,0),1),"UNKNOWN SKU")</f>
        <v>Stoney Tangawizi Pet 500 ml ( x12)</v>
      </c>
      <c r="H215" s="63" t="s">
        <v>525</v>
      </c>
      <c r="I215" s="98">
        <f>IFERROR(INDEX(T_Unload!$K$10:$K$433,MATCH(B215,T_Unload!$B$10:$B$433,0)),0)</f>
        <v>2</v>
      </c>
      <c r="J215" s="111">
        <v>2</v>
      </c>
      <c r="K215" s="99">
        <f t="shared" si="12"/>
        <v>0</v>
      </c>
      <c r="L215" s="105" t="str">
        <f t="shared" si="13"/>
        <v>CLEAN</v>
      </c>
      <c r="M215" s="90">
        <f t="shared" si="14"/>
        <v>0</v>
      </c>
      <c r="N215" s="90">
        <f t="shared" si="15"/>
        <v>0</v>
      </c>
      <c r="O215" s="68" t="s">
        <v>2761</v>
      </c>
      <c r="P215" s="63"/>
      <c r="Q215" s="62"/>
    </row>
    <row r="216" spans="1:17" ht="15" customHeight="1" x14ac:dyDescent="0.3">
      <c r="A216" s="70" t="s">
        <v>2964</v>
      </c>
      <c r="B216" s="112" t="s">
        <v>2289</v>
      </c>
      <c r="C216" s="101" t="s">
        <v>384</v>
      </c>
      <c r="D216" s="76" t="str">
        <f>IFERROR(INDEX(M_User!$A$12:$J$67,MATCH(C216,M_User!$D$12:$D$67,0),3),"UNMAPPED")</f>
        <v>Gastory S Msaki</v>
      </c>
      <c r="E216" s="75" t="str">
        <f>IFERROR(INDEX(M_User!$A$12:$J$67,MATCH(C216,M_User!$D$12:$D$67,0),5),"UNMAPPED")</f>
        <v>MOS</v>
      </c>
      <c r="F216" s="101" t="s">
        <v>244</v>
      </c>
      <c r="G216" s="76" t="str">
        <f>IFERROR(INDEX(M_SKU!$A$18:$J$57,MATCH(F216,M_SKU!$B$18:$B$57,0),1),"UNKNOWN SKU")</f>
        <v>Sparletta Pinenut Pet 500 ml ( x12)</v>
      </c>
      <c r="H216" s="101" t="s">
        <v>526</v>
      </c>
      <c r="I216" s="102">
        <f>IFERROR(INDEX(T_Unload!$K$10:$K$433,MATCH(B216,T_Unload!$B$10:$B$433,0)),0)</f>
        <v>2</v>
      </c>
      <c r="J216" s="111">
        <v>2</v>
      </c>
      <c r="K216" s="113">
        <f t="shared" si="12"/>
        <v>0</v>
      </c>
      <c r="L216" s="114" t="str">
        <f t="shared" si="13"/>
        <v>CLEAN</v>
      </c>
      <c r="M216" s="115">
        <f t="shared" si="14"/>
        <v>0</v>
      </c>
      <c r="N216" s="115">
        <f t="shared" si="15"/>
        <v>0</v>
      </c>
      <c r="O216" s="116" t="s">
        <v>2761</v>
      </c>
      <c r="P216" s="117"/>
      <c r="Q216" s="118"/>
    </row>
    <row r="217" spans="1:17" ht="15" customHeight="1" x14ac:dyDescent="0.3">
      <c r="A217" s="60" t="s">
        <v>2965</v>
      </c>
      <c r="B217" s="97" t="s">
        <v>2291</v>
      </c>
      <c r="C217" s="63" t="s">
        <v>384</v>
      </c>
      <c r="D217" s="66" t="str">
        <f>IFERROR(INDEX(M_User!$A$12:$J$67,MATCH(C217,M_User!$D$12:$D$67,0),3),"UNMAPPED")</f>
        <v>Gastory S Msaki</v>
      </c>
      <c r="E217" s="65" t="str">
        <f>IFERROR(INDEX(M_User!$A$12:$J$67,MATCH(C217,M_User!$D$12:$D$67,0),5),"UNMAPPED")</f>
        <v>MOS</v>
      </c>
      <c r="F217" s="63" t="s">
        <v>252</v>
      </c>
      <c r="G217" s="66" t="str">
        <f>IFERROR(INDEX(M_SKU!$A$18:$J$57,MATCH(F217,M_SKU!$B$18:$B$57,0),1),"UNKNOWN SKU")</f>
        <v>Sprite Zero Pet 300ML (x 12)</v>
      </c>
      <c r="H217" s="63" t="s">
        <v>545</v>
      </c>
      <c r="I217" s="98">
        <f>IFERROR(INDEX(T_Unload!$K$10:$K$433,MATCH(B217,T_Unload!$B$10:$B$433,0)),0)</f>
        <v>1</v>
      </c>
      <c r="J217" s="111">
        <v>1</v>
      </c>
      <c r="K217" s="99">
        <f t="shared" si="12"/>
        <v>0</v>
      </c>
      <c r="L217" s="105" t="str">
        <f t="shared" si="13"/>
        <v>CLEAN</v>
      </c>
      <c r="M217" s="90">
        <f t="shared" si="14"/>
        <v>0</v>
      </c>
      <c r="N217" s="90">
        <f t="shared" si="15"/>
        <v>0</v>
      </c>
      <c r="O217" s="68" t="s">
        <v>2761</v>
      </c>
      <c r="P217" s="63"/>
      <c r="Q217" s="62"/>
    </row>
    <row r="218" spans="1:17" ht="15" customHeight="1" x14ac:dyDescent="0.3">
      <c r="A218" s="70" t="s">
        <v>2966</v>
      </c>
      <c r="B218" s="112" t="s">
        <v>2293</v>
      </c>
      <c r="C218" s="101" t="s">
        <v>384</v>
      </c>
      <c r="D218" s="76" t="str">
        <f>IFERROR(INDEX(M_User!$A$12:$J$67,MATCH(C218,M_User!$D$12:$D$67,0),3),"UNMAPPED")</f>
        <v>Gastory S Msaki</v>
      </c>
      <c r="E218" s="75" t="str">
        <f>IFERROR(INDEX(M_User!$A$12:$J$67,MATCH(C218,M_User!$D$12:$D$67,0),5),"UNMAPPED")</f>
        <v>MOS</v>
      </c>
      <c r="F218" s="101" t="s">
        <v>254</v>
      </c>
      <c r="G218" s="76" t="str">
        <f>IFERROR(INDEX(M_SKU!$A$18:$J$57,MATCH(F218,M_SKU!$B$18:$B$57,0),1),"UNKNOWN SKU")</f>
        <v>Fanta Zero Pet 300ML (x 12)</v>
      </c>
      <c r="H218" s="101" t="s">
        <v>546</v>
      </c>
      <c r="I218" s="102">
        <f>IFERROR(INDEX(T_Unload!$K$10:$K$433,MATCH(B218,T_Unload!$B$10:$B$433,0)),0)</f>
        <v>1</v>
      </c>
      <c r="J218" s="111">
        <v>1</v>
      </c>
      <c r="K218" s="113">
        <f t="shared" si="12"/>
        <v>0</v>
      </c>
      <c r="L218" s="114" t="str">
        <f t="shared" si="13"/>
        <v>CLEAN</v>
      </c>
      <c r="M218" s="115">
        <f t="shared" si="14"/>
        <v>0</v>
      </c>
      <c r="N218" s="115">
        <f t="shared" si="15"/>
        <v>0</v>
      </c>
      <c r="O218" s="116" t="s">
        <v>2761</v>
      </c>
      <c r="P218" s="117"/>
      <c r="Q218" s="118"/>
    </row>
    <row r="219" spans="1:17" ht="15" customHeight="1" x14ac:dyDescent="0.3">
      <c r="A219" s="60" t="s">
        <v>2967</v>
      </c>
      <c r="B219" s="97" t="s">
        <v>2295</v>
      </c>
      <c r="C219" s="63" t="s">
        <v>384</v>
      </c>
      <c r="D219" s="66" t="str">
        <f>IFERROR(INDEX(M_User!$A$12:$J$67,MATCH(C219,M_User!$D$12:$D$67,0),3),"UNMAPPED")</f>
        <v>Gastory S Msaki</v>
      </c>
      <c r="E219" s="65" t="str">
        <f>IFERROR(INDEX(M_User!$A$12:$J$67,MATCH(C219,M_User!$D$12:$D$67,0),5),"UNMAPPED")</f>
        <v>MOS</v>
      </c>
      <c r="F219" s="63" t="s">
        <v>261</v>
      </c>
      <c r="G219" s="66" t="str">
        <f>IFERROR(INDEX(M_SKU!$A$18:$J$57,MATCH(F219,M_SKU!$B$18:$B$57,0),1),"UNKNOWN SKU")</f>
        <v>Sparletta Pine Apple Pet 300ML (x 12)</v>
      </c>
      <c r="H219" s="63" t="s">
        <v>547</v>
      </c>
      <c r="I219" s="98">
        <f>IFERROR(INDEX(T_Unload!$K$10:$K$433,MATCH(B219,T_Unload!$B$10:$B$433,0)),0)</f>
        <v>5</v>
      </c>
      <c r="J219" s="111">
        <v>5</v>
      </c>
      <c r="K219" s="99">
        <f t="shared" si="12"/>
        <v>0</v>
      </c>
      <c r="L219" s="105" t="str">
        <f t="shared" si="13"/>
        <v>CLEAN</v>
      </c>
      <c r="M219" s="90">
        <f t="shared" si="14"/>
        <v>0</v>
      </c>
      <c r="N219" s="90">
        <f t="shared" si="15"/>
        <v>0</v>
      </c>
      <c r="O219" s="68" t="s">
        <v>2761</v>
      </c>
      <c r="P219" s="63"/>
      <c r="Q219" s="62"/>
    </row>
    <row r="220" spans="1:17" ht="15" customHeight="1" x14ac:dyDescent="0.3">
      <c r="A220" s="70" t="s">
        <v>2968</v>
      </c>
      <c r="B220" s="112" t="s">
        <v>2297</v>
      </c>
      <c r="C220" s="101" t="s">
        <v>404</v>
      </c>
      <c r="D220" s="76" t="str">
        <f>IFERROR(INDEX(M_User!$A$12:$J$67,MATCH(C220,M_User!$D$12:$D$67,0),3),"UNMAPPED")</f>
        <v>Riziki Rajabu Mghamba</v>
      </c>
      <c r="E220" s="75" t="str">
        <f>IFERROR(INDEX(M_User!$A$12:$J$67,MATCH(C220,M_User!$D$12:$D$67,0),5),"UNMAPPED")</f>
        <v>MOS</v>
      </c>
      <c r="F220" s="101" t="s">
        <v>170</v>
      </c>
      <c r="G220" s="76" t="str">
        <f>IFERROR(INDEX(M_SKU!$A$18:$J$57,MATCH(F220,M_SKU!$B$18:$B$57,0),1),"UNKNOWN SKU")</f>
        <v>Coke RGB 350ml</v>
      </c>
      <c r="H220" s="101" t="s">
        <v>529</v>
      </c>
      <c r="I220" s="102">
        <f>IFERROR(INDEX(T_Unload!$K$10:$K$433,MATCH(B220,T_Unload!$B$10:$B$433,0)),0)</f>
        <v>3.9248219807673213</v>
      </c>
      <c r="J220" s="111">
        <v>3.2871000000000001</v>
      </c>
      <c r="K220" s="113">
        <f t="shared" si="12"/>
        <v>0.63772198076732112</v>
      </c>
      <c r="L220" s="114" t="str">
        <f t="shared" si="13"/>
        <v>Post to Default Outlet</v>
      </c>
      <c r="M220" s="115">
        <f t="shared" si="14"/>
        <v>0.63772198076732112</v>
      </c>
      <c r="N220" s="115">
        <f t="shared" si="15"/>
        <v>0</v>
      </c>
      <c r="O220" s="116" t="s">
        <v>2761</v>
      </c>
      <c r="P220" s="117"/>
      <c r="Q220" s="118"/>
    </row>
    <row r="221" spans="1:17" ht="15" customHeight="1" x14ac:dyDescent="0.3">
      <c r="A221" s="60" t="s">
        <v>2969</v>
      </c>
      <c r="B221" s="97" t="s">
        <v>2299</v>
      </c>
      <c r="C221" s="63" t="s">
        <v>404</v>
      </c>
      <c r="D221" s="66" t="str">
        <f>IFERROR(INDEX(M_User!$A$12:$J$67,MATCH(C221,M_User!$D$12:$D$67,0),3),"UNMAPPED")</f>
        <v>Riziki Rajabu Mghamba</v>
      </c>
      <c r="E221" s="65" t="str">
        <f>IFERROR(INDEX(M_User!$A$12:$J$67,MATCH(C221,M_User!$D$12:$D$67,0),5),"UNMAPPED")</f>
        <v>MOS</v>
      </c>
      <c r="F221" s="63" t="s">
        <v>170</v>
      </c>
      <c r="G221" s="66" t="str">
        <f>IFERROR(INDEX(M_SKU!$A$18:$J$57,MATCH(F221,M_SKU!$B$18:$B$57,0),1),"UNKNOWN SKU")</f>
        <v>Coke RGB 350ml</v>
      </c>
      <c r="H221" s="63" t="s">
        <v>530</v>
      </c>
      <c r="I221" s="98">
        <f>IFERROR(INDEX(T_Unload!$K$10:$K$433,MATCH(B221,T_Unload!$B$10:$B$433,0)),0)</f>
        <v>15.233291046114502</v>
      </c>
      <c r="J221" s="111">
        <v>12.4795</v>
      </c>
      <c r="K221" s="99">
        <f t="shared" si="12"/>
        <v>2.7537910461145021</v>
      </c>
      <c r="L221" s="105" t="str">
        <f t="shared" si="13"/>
        <v>Post to Default Outlet</v>
      </c>
      <c r="M221" s="90">
        <f t="shared" si="14"/>
        <v>2.7537910461145021</v>
      </c>
      <c r="N221" s="90">
        <f t="shared" si="15"/>
        <v>0</v>
      </c>
      <c r="O221" s="68" t="s">
        <v>2761</v>
      </c>
      <c r="P221" s="63"/>
      <c r="Q221" s="62"/>
    </row>
    <row r="222" spans="1:17" ht="15" customHeight="1" x14ac:dyDescent="0.3">
      <c r="A222" s="70" t="s">
        <v>2970</v>
      </c>
      <c r="B222" s="112" t="s">
        <v>2301</v>
      </c>
      <c r="C222" s="101" t="s">
        <v>404</v>
      </c>
      <c r="D222" s="76" t="str">
        <f>IFERROR(INDEX(M_User!$A$12:$J$67,MATCH(C222,M_User!$D$12:$D$67,0),3),"UNMAPPED")</f>
        <v>Riziki Rajabu Mghamba</v>
      </c>
      <c r="E222" s="75" t="str">
        <f>IFERROR(INDEX(M_User!$A$12:$J$67,MATCH(C222,M_User!$D$12:$D$67,0),5),"UNMAPPED")</f>
        <v>MOS</v>
      </c>
      <c r="F222" s="101" t="s">
        <v>178</v>
      </c>
      <c r="G222" s="76" t="str">
        <f>IFERROR(INDEX(M_SKU!$A$18:$J$57,MATCH(F222,M_SKU!$B$18:$B$57,0),1),"UNKNOWN SKU")</f>
        <v>Fanta Orange RGB 350ml</v>
      </c>
      <c r="H222" s="101" t="s">
        <v>531</v>
      </c>
      <c r="I222" s="102">
        <f>IFERROR(INDEX(T_Unload!$K$10:$K$433,MATCH(B222,T_Unload!$B$10:$B$433,0)),0)</f>
        <v>6.530374953667291</v>
      </c>
      <c r="J222" s="111">
        <v>5.7952000000000004</v>
      </c>
      <c r="K222" s="113">
        <f t="shared" si="12"/>
        <v>0.73517495366729069</v>
      </c>
      <c r="L222" s="114" t="str">
        <f t="shared" si="13"/>
        <v>Post to Default Outlet</v>
      </c>
      <c r="M222" s="115">
        <f t="shared" si="14"/>
        <v>0.73517495366729069</v>
      </c>
      <c r="N222" s="115">
        <f t="shared" si="15"/>
        <v>0</v>
      </c>
      <c r="O222" s="116" t="s">
        <v>2761</v>
      </c>
      <c r="P222" s="117"/>
      <c r="Q222" s="118"/>
    </row>
    <row r="223" spans="1:17" ht="15" customHeight="1" x14ac:dyDescent="0.3">
      <c r="A223" s="60" t="s">
        <v>2971</v>
      </c>
      <c r="B223" s="97" t="s">
        <v>2303</v>
      </c>
      <c r="C223" s="63" t="s">
        <v>404</v>
      </c>
      <c r="D223" s="66" t="str">
        <f>IFERROR(INDEX(M_User!$A$12:$J$67,MATCH(C223,M_User!$D$12:$D$67,0),3),"UNMAPPED")</f>
        <v>Riziki Rajabu Mghamba</v>
      </c>
      <c r="E223" s="65" t="str">
        <f>IFERROR(INDEX(M_User!$A$12:$J$67,MATCH(C223,M_User!$D$12:$D$67,0),5),"UNMAPPED")</f>
        <v>MOS</v>
      </c>
      <c r="F223" s="63" t="s">
        <v>181</v>
      </c>
      <c r="G223" s="66" t="str">
        <f>IFERROR(INDEX(M_SKU!$A$18:$J$57,MATCH(F223,M_SKU!$B$18:$B$57,0),1),"UNKNOWN SKU")</f>
        <v>Fanta Passion RGB 350ml</v>
      </c>
      <c r="H223" s="63" t="s">
        <v>532</v>
      </c>
      <c r="I223" s="98">
        <f>IFERROR(INDEX(T_Unload!$K$10:$K$433,MATCH(B223,T_Unload!$B$10:$B$433,0)),0)</f>
        <v>3.1270046833093197</v>
      </c>
      <c r="J223" s="111">
        <v>2.6747999999999998</v>
      </c>
      <c r="K223" s="99">
        <f t="shared" si="12"/>
        <v>0.45220468330931984</v>
      </c>
      <c r="L223" s="105" t="str">
        <f t="shared" si="13"/>
        <v>Post to Default Outlet</v>
      </c>
      <c r="M223" s="90">
        <f t="shared" si="14"/>
        <v>0.45220468330931984</v>
      </c>
      <c r="N223" s="90">
        <f t="shared" si="15"/>
        <v>0</v>
      </c>
      <c r="O223" s="68" t="s">
        <v>2761</v>
      </c>
      <c r="P223" s="63"/>
      <c r="Q223" s="62"/>
    </row>
    <row r="224" spans="1:17" ht="15" customHeight="1" x14ac:dyDescent="0.3">
      <c r="A224" s="70" t="s">
        <v>2972</v>
      </c>
      <c r="B224" s="112" t="s">
        <v>2305</v>
      </c>
      <c r="C224" s="101" t="s">
        <v>404</v>
      </c>
      <c r="D224" s="76" t="str">
        <f>IFERROR(INDEX(M_User!$A$12:$J$67,MATCH(C224,M_User!$D$12:$D$67,0),3),"UNMAPPED")</f>
        <v>Riziki Rajabu Mghamba</v>
      </c>
      <c r="E224" s="75" t="str">
        <f>IFERROR(INDEX(M_User!$A$12:$J$67,MATCH(C224,M_User!$D$12:$D$67,0),5),"UNMAPPED")</f>
        <v>MOS</v>
      </c>
      <c r="F224" s="101" t="s">
        <v>183</v>
      </c>
      <c r="G224" s="76" t="str">
        <f>IFERROR(INDEX(M_SKU!$A$18:$J$57,MATCH(F224,M_SKU!$B$18:$B$57,0),1),"UNKNOWN SKU")</f>
        <v>Fanta Pineapple RGB 350ml</v>
      </c>
      <c r="H224" s="101" t="s">
        <v>533</v>
      </c>
      <c r="I224" s="102">
        <f>IFERROR(INDEX(T_Unload!$K$10:$K$433,MATCH(B224,T_Unload!$B$10:$B$433,0)),0)</f>
        <v>5.0966004677901893</v>
      </c>
      <c r="J224" s="111">
        <v>4.4622999999999999</v>
      </c>
      <c r="K224" s="113">
        <f t="shared" si="12"/>
        <v>0.63430046779018934</v>
      </c>
      <c r="L224" s="114" t="str">
        <f t="shared" si="13"/>
        <v>Post to Default Outlet</v>
      </c>
      <c r="M224" s="115">
        <f t="shared" si="14"/>
        <v>0.63430046779018934</v>
      </c>
      <c r="N224" s="115">
        <f t="shared" si="15"/>
        <v>0</v>
      </c>
      <c r="O224" s="116" t="s">
        <v>2761</v>
      </c>
      <c r="P224" s="117"/>
      <c r="Q224" s="118"/>
    </row>
    <row r="225" spans="1:17" ht="15" customHeight="1" x14ac:dyDescent="0.3">
      <c r="A225" s="60" t="s">
        <v>2973</v>
      </c>
      <c r="B225" s="97" t="s">
        <v>2307</v>
      </c>
      <c r="C225" s="63" t="s">
        <v>404</v>
      </c>
      <c r="D225" s="66" t="str">
        <f>IFERROR(INDEX(M_User!$A$12:$J$67,MATCH(C225,M_User!$D$12:$D$67,0),3),"UNMAPPED")</f>
        <v>Riziki Rajabu Mghamba</v>
      </c>
      <c r="E225" s="65" t="str">
        <f>IFERROR(INDEX(M_User!$A$12:$J$67,MATCH(C225,M_User!$D$12:$D$67,0),5),"UNMAPPED")</f>
        <v>MOS</v>
      </c>
      <c r="F225" s="63" t="s">
        <v>185</v>
      </c>
      <c r="G225" s="66" t="str">
        <f>IFERROR(INDEX(M_SKU!$A$18:$J$57,MATCH(F225,M_SKU!$B$18:$B$57,0),1),"UNKNOWN SKU")</f>
        <v>Fanta Fruit Blast RGB 350 ml</v>
      </c>
      <c r="H225" s="63" t="s">
        <v>534</v>
      </c>
      <c r="I225" s="98">
        <f>IFERROR(INDEX(T_Unload!$K$10:$K$433,MATCH(B225,T_Unload!$B$10:$B$433,0)),0)</f>
        <v>3.7713308171044204</v>
      </c>
      <c r="J225" s="111">
        <v>3.077</v>
      </c>
      <c r="K225" s="99">
        <f t="shared" si="12"/>
        <v>0.69433081710442046</v>
      </c>
      <c r="L225" s="105" t="str">
        <f t="shared" si="13"/>
        <v>Post to Default Outlet</v>
      </c>
      <c r="M225" s="90">
        <f t="shared" si="14"/>
        <v>0.69433081710442046</v>
      </c>
      <c r="N225" s="90">
        <f t="shared" si="15"/>
        <v>0</v>
      </c>
      <c r="O225" s="68" t="s">
        <v>2761</v>
      </c>
      <c r="P225" s="63"/>
      <c r="Q225" s="62"/>
    </row>
    <row r="226" spans="1:17" ht="15" customHeight="1" x14ac:dyDescent="0.3">
      <c r="A226" s="70" t="s">
        <v>2974</v>
      </c>
      <c r="B226" s="112" t="s">
        <v>2309</v>
      </c>
      <c r="C226" s="101" t="s">
        <v>404</v>
      </c>
      <c r="D226" s="76" t="str">
        <f>IFERROR(INDEX(M_User!$A$12:$J$67,MATCH(C226,M_User!$D$12:$D$67,0),3),"UNMAPPED")</f>
        <v>Riziki Rajabu Mghamba</v>
      </c>
      <c r="E226" s="75" t="str">
        <f>IFERROR(INDEX(M_User!$A$12:$J$67,MATCH(C226,M_User!$D$12:$D$67,0),5),"UNMAPPED")</f>
        <v>MOS</v>
      </c>
      <c r="F226" s="101" t="s">
        <v>187</v>
      </c>
      <c r="G226" s="76" t="str">
        <f>IFERROR(INDEX(M_SKU!$A$18:$J$57,MATCH(F226,M_SKU!$B$18:$B$57,0),1),"UNKNOWN SKU")</f>
        <v>Sprite 350ml</v>
      </c>
      <c r="H226" s="101" t="s">
        <v>535</v>
      </c>
      <c r="I226" s="102">
        <f>IFERROR(INDEX(T_Unload!$K$10:$K$433,MATCH(B226,T_Unload!$B$10:$B$433,0)),0)</f>
        <v>4.1627012206522096</v>
      </c>
      <c r="J226" s="111">
        <v>3.6758999999999999</v>
      </c>
      <c r="K226" s="113">
        <f t="shared" si="12"/>
        <v>0.48680122065220965</v>
      </c>
      <c r="L226" s="114" t="str">
        <f t="shared" si="13"/>
        <v>Post to Default Outlet</v>
      </c>
      <c r="M226" s="115">
        <f t="shared" si="14"/>
        <v>0.48680122065220965</v>
      </c>
      <c r="N226" s="115">
        <f t="shared" si="15"/>
        <v>0</v>
      </c>
      <c r="O226" s="116" t="s">
        <v>2761</v>
      </c>
      <c r="P226" s="117"/>
      <c r="Q226" s="118"/>
    </row>
    <row r="227" spans="1:17" ht="15" customHeight="1" x14ac:dyDescent="0.3">
      <c r="A227" s="60" t="s">
        <v>2975</v>
      </c>
      <c r="B227" s="97" t="s">
        <v>2311</v>
      </c>
      <c r="C227" s="63" t="s">
        <v>404</v>
      </c>
      <c r="D227" s="66" t="str">
        <f>IFERROR(INDEX(M_User!$A$12:$J$67,MATCH(C227,M_User!$D$12:$D$67,0),3),"UNMAPPED")</f>
        <v>Riziki Rajabu Mghamba</v>
      </c>
      <c r="E227" s="65" t="str">
        <f>IFERROR(INDEX(M_User!$A$12:$J$67,MATCH(C227,M_User!$D$12:$D$67,0),5),"UNMAPPED")</f>
        <v>MOS</v>
      </c>
      <c r="F227" s="63" t="s">
        <v>190</v>
      </c>
      <c r="G227" s="66" t="str">
        <f>IFERROR(INDEX(M_SKU!$A$18:$J$57,MATCH(F227,M_SKU!$B$18:$B$57,0),1),"UNKNOWN SKU")</f>
        <v>Stoney Tangawizi RGB 350ml</v>
      </c>
      <c r="H227" s="63" t="s">
        <v>536</v>
      </c>
      <c r="I227" s="98">
        <f>IFERROR(INDEX(T_Unload!$K$10:$K$433,MATCH(B227,T_Unload!$B$10:$B$433,0)),0)</f>
        <v>1.1670088952211199</v>
      </c>
      <c r="J227" s="111">
        <v>1.0058</v>
      </c>
      <c r="K227" s="99">
        <f t="shared" si="12"/>
        <v>0.16120889522111992</v>
      </c>
      <c r="L227" s="105" t="str">
        <f t="shared" si="13"/>
        <v>Post to Default Outlet</v>
      </c>
      <c r="M227" s="90">
        <f t="shared" si="14"/>
        <v>0.16120889522111992</v>
      </c>
      <c r="N227" s="90">
        <f t="shared" si="15"/>
        <v>0</v>
      </c>
      <c r="O227" s="68" t="s">
        <v>2761</v>
      </c>
      <c r="P227" s="63"/>
      <c r="Q227" s="62"/>
    </row>
    <row r="228" spans="1:17" ht="15" customHeight="1" x14ac:dyDescent="0.3">
      <c r="A228" s="70" t="s">
        <v>2976</v>
      </c>
      <c r="B228" s="112" t="s">
        <v>2313</v>
      </c>
      <c r="C228" s="101" t="s">
        <v>404</v>
      </c>
      <c r="D228" s="76" t="str">
        <f>IFERROR(INDEX(M_User!$A$12:$J$67,MATCH(C228,M_User!$D$12:$D$67,0),3),"UNMAPPED")</f>
        <v>Riziki Rajabu Mghamba</v>
      </c>
      <c r="E228" s="75" t="str">
        <f>IFERROR(INDEX(M_User!$A$12:$J$67,MATCH(C228,M_User!$D$12:$D$67,0),5),"UNMAPPED")</f>
        <v>MOS</v>
      </c>
      <c r="F228" s="101" t="s">
        <v>193</v>
      </c>
      <c r="G228" s="76" t="str">
        <f>IFERROR(INDEX(M_SKU!$A$18:$J$57,MATCH(F228,M_SKU!$B$18:$B$57,0),1),"UNKNOWN SKU")</f>
        <v>Sparletta Pinenut RGB 350ml</v>
      </c>
      <c r="H228" s="101" t="s">
        <v>537</v>
      </c>
      <c r="I228" s="102">
        <f>IFERROR(INDEX(T_Unload!$K$10:$K$433,MATCH(B228,T_Unload!$B$10:$B$433,0)),0)</f>
        <v>1.1199455650791199</v>
      </c>
      <c r="J228" s="111">
        <v>0.99719999999999998</v>
      </c>
      <c r="K228" s="113">
        <f t="shared" si="12"/>
        <v>0.12274556507911993</v>
      </c>
      <c r="L228" s="114" t="str">
        <f t="shared" si="13"/>
        <v>Post to Default Outlet</v>
      </c>
      <c r="M228" s="115">
        <f t="shared" si="14"/>
        <v>0.12274556507911993</v>
      </c>
      <c r="N228" s="115">
        <f t="shared" si="15"/>
        <v>0</v>
      </c>
      <c r="O228" s="116" t="s">
        <v>2761</v>
      </c>
      <c r="P228" s="117"/>
      <c r="Q228" s="118"/>
    </row>
    <row r="229" spans="1:17" ht="15" customHeight="1" x14ac:dyDescent="0.3">
      <c r="A229" s="60" t="s">
        <v>2977</v>
      </c>
      <c r="B229" s="97" t="s">
        <v>2315</v>
      </c>
      <c r="C229" s="63" t="s">
        <v>404</v>
      </c>
      <c r="D229" s="66" t="str">
        <f>IFERROR(INDEX(M_User!$A$12:$J$67,MATCH(C229,M_User!$D$12:$D$67,0),3),"UNMAPPED")</f>
        <v>Riziki Rajabu Mghamba</v>
      </c>
      <c r="E229" s="65" t="str">
        <f>IFERROR(INDEX(M_User!$A$12:$J$67,MATCH(C229,M_User!$D$12:$D$67,0),5),"UNMAPPED")</f>
        <v>MOS</v>
      </c>
      <c r="F229" s="63" t="s">
        <v>196</v>
      </c>
      <c r="G229" s="66" t="str">
        <f>IFERROR(INDEX(M_SKU!$A$18:$J$57,MATCH(F229,M_SKU!$B$18:$B$57,0),1),"UNKNOWN SKU")</f>
        <v>Krest Bitter Lemon RGB 300ml</v>
      </c>
      <c r="H229" s="63" t="s">
        <v>538</v>
      </c>
      <c r="I229" s="98">
        <f>IFERROR(INDEX(T_Unload!$K$10:$K$433,MATCH(B229,T_Unload!$B$10:$B$433,0)),0)</f>
        <v>0.49184497334207089</v>
      </c>
      <c r="J229" s="111">
        <v>0.41</v>
      </c>
      <c r="K229" s="99">
        <f t="shared" si="12"/>
        <v>8.1844973342070915E-2</v>
      </c>
      <c r="L229" s="105" t="str">
        <f t="shared" si="13"/>
        <v>Post to Default Outlet</v>
      </c>
      <c r="M229" s="90">
        <f t="shared" si="14"/>
        <v>8.1844973342070915E-2</v>
      </c>
      <c r="N229" s="90">
        <f t="shared" si="15"/>
        <v>0</v>
      </c>
      <c r="O229" s="68" t="s">
        <v>2761</v>
      </c>
      <c r="P229" s="63"/>
      <c r="Q229" s="62"/>
    </row>
    <row r="230" spans="1:17" ht="15" customHeight="1" x14ac:dyDescent="0.3">
      <c r="A230" s="70" t="s">
        <v>2978</v>
      </c>
      <c r="B230" s="112" t="s">
        <v>2317</v>
      </c>
      <c r="C230" s="101" t="s">
        <v>404</v>
      </c>
      <c r="D230" s="76" t="str">
        <f>IFERROR(INDEX(M_User!$A$12:$J$67,MATCH(C230,M_User!$D$12:$D$67,0),3),"UNMAPPED")</f>
        <v>Riziki Rajabu Mghamba</v>
      </c>
      <c r="E230" s="75" t="str">
        <f>IFERROR(INDEX(M_User!$A$12:$J$67,MATCH(C230,M_User!$D$12:$D$67,0),5),"UNMAPPED")</f>
        <v>MOS</v>
      </c>
      <c r="F230" s="101" t="s">
        <v>199</v>
      </c>
      <c r="G230" s="76" t="str">
        <f>IFERROR(INDEX(M_SKU!$A$18:$J$57,MATCH(F230,M_SKU!$B$18:$B$57,0),1),"UNKNOWN SKU")</f>
        <v>Krest Club Soda RGB 300ml</v>
      </c>
      <c r="H230" s="101" t="s">
        <v>539</v>
      </c>
      <c r="I230" s="102">
        <f>IFERROR(INDEX(T_Unload!$K$10:$K$433,MATCH(B230,T_Unload!$B$10:$B$433,0)),0)</f>
        <v>0.48905054242649282</v>
      </c>
      <c r="J230" s="111">
        <v>0.40510000000000002</v>
      </c>
      <c r="K230" s="113">
        <f t="shared" si="12"/>
        <v>8.3950542426492802E-2</v>
      </c>
      <c r="L230" s="114" t="str">
        <f t="shared" si="13"/>
        <v>Post to Default Outlet</v>
      </c>
      <c r="M230" s="115">
        <f t="shared" si="14"/>
        <v>8.3950542426492802E-2</v>
      </c>
      <c r="N230" s="115">
        <f t="shared" si="15"/>
        <v>0</v>
      </c>
      <c r="O230" s="116" t="s">
        <v>2761</v>
      </c>
      <c r="P230" s="117"/>
      <c r="Q230" s="118"/>
    </row>
    <row r="231" spans="1:17" ht="15" customHeight="1" x14ac:dyDescent="0.3">
      <c r="A231" s="60" t="s">
        <v>2979</v>
      </c>
      <c r="B231" s="97" t="s">
        <v>2319</v>
      </c>
      <c r="C231" s="63" t="s">
        <v>404</v>
      </c>
      <c r="D231" s="66" t="str">
        <f>IFERROR(INDEX(M_User!$A$12:$J$67,MATCH(C231,M_User!$D$12:$D$67,0),3),"UNMAPPED")</f>
        <v>Riziki Rajabu Mghamba</v>
      </c>
      <c r="E231" s="65" t="str">
        <f>IFERROR(INDEX(M_User!$A$12:$J$67,MATCH(C231,M_User!$D$12:$D$67,0),5),"UNMAPPED")</f>
        <v>MOS</v>
      </c>
      <c r="F231" s="63" t="s">
        <v>201</v>
      </c>
      <c r="G231" s="66" t="str">
        <f>IFERROR(INDEX(M_SKU!$A$18:$J$57,MATCH(F231,M_SKU!$B$18:$B$57,0),1),"UNKNOWN SKU")</f>
        <v>Krest Tonic Water RGB 300ml</v>
      </c>
      <c r="H231" s="63" t="s">
        <v>540</v>
      </c>
      <c r="I231" s="98">
        <f>IFERROR(INDEX(T_Unload!$K$10:$K$433,MATCH(B231,T_Unload!$B$10:$B$433,0)),0)</f>
        <v>0.65712728600862214</v>
      </c>
      <c r="J231" s="111">
        <v>0.56899999999999995</v>
      </c>
      <c r="K231" s="99">
        <f t="shared" si="12"/>
        <v>8.8127286008622185E-2</v>
      </c>
      <c r="L231" s="105" t="str">
        <f t="shared" si="13"/>
        <v>Post to Default Outlet</v>
      </c>
      <c r="M231" s="90">
        <f t="shared" si="14"/>
        <v>8.8127286008622185E-2</v>
      </c>
      <c r="N231" s="90">
        <f t="shared" si="15"/>
        <v>0</v>
      </c>
      <c r="O231" s="68" t="s">
        <v>2761</v>
      </c>
      <c r="P231" s="63"/>
      <c r="Q231" s="62"/>
    </row>
    <row r="232" spans="1:17" ht="15" customHeight="1" x14ac:dyDescent="0.3">
      <c r="A232" s="70" t="s">
        <v>2980</v>
      </c>
      <c r="B232" s="112" t="s">
        <v>2321</v>
      </c>
      <c r="C232" s="101" t="s">
        <v>404</v>
      </c>
      <c r="D232" s="76" t="str">
        <f>IFERROR(INDEX(M_User!$A$12:$J$67,MATCH(C232,M_User!$D$12:$D$67,0),3),"UNMAPPED")</f>
        <v>Riziki Rajabu Mghamba</v>
      </c>
      <c r="E232" s="75" t="str">
        <f>IFERROR(INDEX(M_User!$A$12:$J$67,MATCH(C232,M_User!$D$12:$D$67,0),5),"UNMAPPED")</f>
        <v>MOS</v>
      </c>
      <c r="F232" s="101" t="s">
        <v>203</v>
      </c>
      <c r="G232" s="76" t="str">
        <f>IFERROR(INDEX(M_SKU!$A$18:$J$57,MATCH(F232,M_SKU!$B$18:$B$57,0),1),"UNKNOWN SKU")</f>
        <v>Krest Ginger Ale RGB 300ml</v>
      </c>
      <c r="H232" s="101" t="s">
        <v>541</v>
      </c>
      <c r="I232" s="102">
        <f>IFERROR(INDEX(T_Unload!$K$10:$K$433,MATCH(B232,T_Unload!$B$10:$B$433,0)),0)</f>
        <v>0.301871175184111</v>
      </c>
      <c r="J232" s="111">
        <v>0.2429</v>
      </c>
      <c r="K232" s="113">
        <f t="shared" si="12"/>
        <v>5.8971175184110991E-2</v>
      </c>
      <c r="L232" s="114" t="str">
        <f t="shared" si="13"/>
        <v>Post to Default Outlet</v>
      </c>
      <c r="M232" s="115">
        <f t="shared" si="14"/>
        <v>5.8971175184110991E-2</v>
      </c>
      <c r="N232" s="115">
        <f t="shared" si="15"/>
        <v>0</v>
      </c>
      <c r="O232" s="116" t="s">
        <v>2761</v>
      </c>
      <c r="P232" s="117"/>
      <c r="Q232" s="118"/>
    </row>
    <row r="233" spans="1:17" ht="15" customHeight="1" x14ac:dyDescent="0.3">
      <c r="A233" s="60" t="s">
        <v>2981</v>
      </c>
      <c r="B233" s="97" t="s">
        <v>2323</v>
      </c>
      <c r="C233" s="63" t="s">
        <v>404</v>
      </c>
      <c r="D233" s="66" t="str">
        <f>IFERROR(INDEX(M_User!$A$12:$J$67,MATCH(C233,M_User!$D$12:$D$67,0),3),"UNMAPPED")</f>
        <v>Riziki Rajabu Mghamba</v>
      </c>
      <c r="E233" s="65" t="str">
        <f>IFERROR(INDEX(M_User!$A$12:$J$67,MATCH(C233,M_User!$D$12:$D$67,0),5),"UNMAPPED")</f>
        <v>MOS</v>
      </c>
      <c r="F233" s="63" t="s">
        <v>209</v>
      </c>
      <c r="G233" s="66" t="str">
        <f>IFERROR(INDEX(M_SKU!$A$18:$J$57,MATCH(F233,M_SKU!$B$18:$B$57,0),1),"UNKNOWN SKU")</f>
        <v>Sparletta Red Apple RGB 350ml</v>
      </c>
      <c r="H233" s="63" t="s">
        <v>542</v>
      </c>
      <c r="I233" s="98">
        <f>IFERROR(INDEX(T_Unload!$K$10:$K$433,MATCH(B233,T_Unload!$B$10:$B$433,0)),0)</f>
        <v>0.42927541038174999</v>
      </c>
      <c r="J233" s="111">
        <v>0.36480000000000001</v>
      </c>
      <c r="K233" s="99">
        <f t="shared" si="12"/>
        <v>6.4475410381749976E-2</v>
      </c>
      <c r="L233" s="105" t="str">
        <f t="shared" si="13"/>
        <v>Post to Default Outlet</v>
      </c>
      <c r="M233" s="90">
        <f t="shared" si="14"/>
        <v>6.4475410381749976E-2</v>
      </c>
      <c r="N233" s="90">
        <f t="shared" si="15"/>
        <v>0</v>
      </c>
      <c r="O233" s="68" t="s">
        <v>2761</v>
      </c>
      <c r="P233" s="63"/>
      <c r="Q233" s="62"/>
    </row>
    <row r="234" spans="1:17" ht="15" customHeight="1" x14ac:dyDescent="0.3">
      <c r="A234" s="70" t="s">
        <v>2982</v>
      </c>
      <c r="B234" s="112" t="s">
        <v>2325</v>
      </c>
      <c r="C234" s="101" t="s">
        <v>404</v>
      </c>
      <c r="D234" s="76" t="str">
        <f>IFERROR(INDEX(M_User!$A$12:$J$67,MATCH(C234,M_User!$D$12:$D$67,0),3),"UNMAPPED")</f>
        <v>Riziki Rajabu Mghamba</v>
      </c>
      <c r="E234" s="75" t="str">
        <f>IFERROR(INDEX(M_User!$A$12:$J$67,MATCH(C234,M_User!$D$12:$D$67,0),5),"UNMAPPED")</f>
        <v>MOS</v>
      </c>
      <c r="F234" s="101" t="s">
        <v>211</v>
      </c>
      <c r="G234" s="76" t="str">
        <f>IFERROR(INDEX(M_SKU!$A$18:$J$57,MATCH(F234,M_SKU!$B$18:$B$57,0),1),"UNKNOWN SKU")</f>
        <v>KNMW 500ml</v>
      </c>
      <c r="H234" s="101" t="s">
        <v>543</v>
      </c>
      <c r="I234" s="102">
        <f>IFERROR(INDEX(T_Unload!$K$10:$K$433,MATCH(B234,T_Unload!$B$10:$B$433,0)),0)</f>
        <v>32</v>
      </c>
      <c r="J234" s="111">
        <v>28</v>
      </c>
      <c r="K234" s="113">
        <f t="shared" si="12"/>
        <v>4</v>
      </c>
      <c r="L234" s="114" t="str">
        <f t="shared" si="13"/>
        <v>Post to Default Outlet</v>
      </c>
      <c r="M234" s="115">
        <f t="shared" si="14"/>
        <v>4</v>
      </c>
      <c r="N234" s="115">
        <f t="shared" si="15"/>
        <v>0</v>
      </c>
      <c r="O234" s="116" t="s">
        <v>2761</v>
      </c>
      <c r="P234" s="117"/>
      <c r="Q234" s="118"/>
    </row>
    <row r="235" spans="1:17" ht="15" customHeight="1" x14ac:dyDescent="0.3">
      <c r="A235" s="60" t="s">
        <v>2983</v>
      </c>
      <c r="B235" s="97" t="s">
        <v>2327</v>
      </c>
      <c r="C235" s="63" t="s">
        <v>404</v>
      </c>
      <c r="D235" s="66" t="str">
        <f>IFERROR(INDEX(M_User!$A$12:$J$67,MATCH(C235,M_User!$D$12:$D$67,0),3),"UNMAPPED")</f>
        <v>Riziki Rajabu Mghamba</v>
      </c>
      <c r="E235" s="65" t="str">
        <f>IFERROR(INDEX(M_User!$A$12:$J$67,MATCH(C235,M_User!$D$12:$D$67,0),5),"UNMAPPED")</f>
        <v>MOS</v>
      </c>
      <c r="F235" s="63" t="s">
        <v>217</v>
      </c>
      <c r="G235" s="66" t="str">
        <f>IFERROR(INDEX(M_SKU!$A$18:$J$57,MATCH(F235,M_SKU!$B$18:$B$57,0),1),"UNKNOWN SKU")</f>
        <v>KNMW 1500ml</v>
      </c>
      <c r="H235" s="63" t="s">
        <v>544</v>
      </c>
      <c r="I235" s="98">
        <f>IFERROR(INDEX(T_Unload!$K$10:$K$433,MATCH(B235,T_Unload!$B$10:$B$433,0)),0)</f>
        <v>31</v>
      </c>
      <c r="J235" s="111">
        <v>27</v>
      </c>
      <c r="K235" s="99">
        <f t="shared" si="12"/>
        <v>4</v>
      </c>
      <c r="L235" s="105" t="str">
        <f t="shared" si="13"/>
        <v>Post to Default Outlet</v>
      </c>
      <c r="M235" s="90">
        <f t="shared" si="14"/>
        <v>4</v>
      </c>
      <c r="N235" s="90">
        <f t="shared" si="15"/>
        <v>0</v>
      </c>
      <c r="O235" s="68" t="s">
        <v>2761</v>
      </c>
      <c r="P235" s="63"/>
      <c r="Q235" s="62"/>
    </row>
    <row r="236" spans="1:17" ht="15" customHeight="1" x14ac:dyDescent="0.3">
      <c r="A236" s="70" t="s">
        <v>2984</v>
      </c>
      <c r="B236" s="112" t="s">
        <v>2329</v>
      </c>
      <c r="C236" s="101" t="s">
        <v>404</v>
      </c>
      <c r="D236" s="76" t="str">
        <f>IFERROR(INDEX(M_User!$A$12:$J$67,MATCH(C236,M_User!$D$12:$D$67,0),3),"UNMAPPED")</f>
        <v>Riziki Rajabu Mghamba</v>
      </c>
      <c r="E236" s="75" t="str">
        <f>IFERROR(INDEX(M_User!$A$12:$J$67,MATCH(C236,M_User!$D$12:$D$67,0),5),"UNMAPPED")</f>
        <v>MOS</v>
      </c>
      <c r="F236" s="101" t="s">
        <v>229</v>
      </c>
      <c r="G236" s="76" t="str">
        <f>IFERROR(INDEX(M_SKU!$A$18:$J$57,MATCH(F236,M_SKU!$B$18:$B$57,0),1),"UNKNOWN SKU")</f>
        <v>Coke Pet 500ML ( x12)</v>
      </c>
      <c r="H236" s="101" t="s">
        <v>520</v>
      </c>
      <c r="I236" s="102">
        <f>IFERROR(INDEX(T_Unload!$K$10:$K$433,MATCH(B236,T_Unload!$B$10:$B$433,0)),0)</f>
        <v>24</v>
      </c>
      <c r="J236" s="111">
        <v>20</v>
      </c>
      <c r="K236" s="113">
        <f t="shared" si="12"/>
        <v>4</v>
      </c>
      <c r="L236" s="114" t="str">
        <f t="shared" si="13"/>
        <v>Post to Default Outlet</v>
      </c>
      <c r="M236" s="115">
        <f t="shared" si="14"/>
        <v>4</v>
      </c>
      <c r="N236" s="115">
        <f t="shared" si="15"/>
        <v>0</v>
      </c>
      <c r="O236" s="116" t="s">
        <v>2761</v>
      </c>
      <c r="P236" s="117"/>
      <c r="Q236" s="118"/>
    </row>
    <row r="237" spans="1:17" ht="15" customHeight="1" x14ac:dyDescent="0.3">
      <c r="A237" s="60" t="s">
        <v>2985</v>
      </c>
      <c r="B237" s="97" t="s">
        <v>2331</v>
      </c>
      <c r="C237" s="63" t="s">
        <v>404</v>
      </c>
      <c r="D237" s="66" t="str">
        <f>IFERROR(INDEX(M_User!$A$12:$J$67,MATCH(C237,M_User!$D$12:$D$67,0),3),"UNMAPPED")</f>
        <v>Riziki Rajabu Mghamba</v>
      </c>
      <c r="E237" s="65" t="str">
        <f>IFERROR(INDEX(M_User!$A$12:$J$67,MATCH(C237,M_User!$D$12:$D$67,0),5),"UNMAPPED")</f>
        <v>MOS</v>
      </c>
      <c r="F237" s="63" t="s">
        <v>232</v>
      </c>
      <c r="G237" s="66" t="str">
        <f>IFERROR(INDEX(M_SKU!$A$18:$J$57,MATCH(F237,M_SKU!$B$18:$B$57,0),1),"UNKNOWN SKU")</f>
        <v>Sprite Pet 500ML (x 12)</v>
      </c>
      <c r="H237" s="63" t="s">
        <v>522</v>
      </c>
      <c r="I237" s="98">
        <f>IFERROR(INDEX(T_Unload!$K$10:$K$433,MATCH(B237,T_Unload!$B$10:$B$433,0)),0)</f>
        <v>8</v>
      </c>
      <c r="J237" s="111">
        <v>7</v>
      </c>
      <c r="K237" s="99">
        <f t="shared" si="12"/>
        <v>1</v>
      </c>
      <c r="L237" s="105" t="str">
        <f t="shared" si="13"/>
        <v>Post to Default Outlet</v>
      </c>
      <c r="M237" s="90">
        <f t="shared" si="14"/>
        <v>1</v>
      </c>
      <c r="N237" s="90">
        <f t="shared" si="15"/>
        <v>0</v>
      </c>
      <c r="O237" s="68" t="s">
        <v>2761</v>
      </c>
      <c r="P237" s="63"/>
      <c r="Q237" s="62"/>
    </row>
    <row r="238" spans="1:17" ht="15" customHeight="1" x14ac:dyDescent="0.3">
      <c r="A238" s="70" t="s">
        <v>2986</v>
      </c>
      <c r="B238" s="112" t="s">
        <v>2333</v>
      </c>
      <c r="C238" s="101" t="s">
        <v>404</v>
      </c>
      <c r="D238" s="76" t="str">
        <f>IFERROR(INDEX(M_User!$A$12:$J$67,MATCH(C238,M_User!$D$12:$D$67,0),3),"UNMAPPED")</f>
        <v>Riziki Rajabu Mghamba</v>
      </c>
      <c r="E238" s="75" t="str">
        <f>IFERROR(INDEX(M_User!$A$12:$J$67,MATCH(C238,M_User!$D$12:$D$67,0),5),"UNMAPPED")</f>
        <v>MOS</v>
      </c>
      <c r="F238" s="101" t="s">
        <v>234</v>
      </c>
      <c r="G238" s="76" t="str">
        <f>IFERROR(INDEX(M_SKU!$A$18:$J$57,MATCH(F238,M_SKU!$B$18:$B$57,0),1),"UNKNOWN SKU")</f>
        <v>Fanta Orange Pet 500ML ( x 12)</v>
      </c>
      <c r="H238" s="101" t="s">
        <v>523</v>
      </c>
      <c r="I238" s="102">
        <f>IFERROR(INDEX(T_Unload!$K$10:$K$433,MATCH(B238,T_Unload!$B$10:$B$433,0)),0)</f>
        <v>14</v>
      </c>
      <c r="J238" s="111">
        <v>12</v>
      </c>
      <c r="K238" s="113">
        <f t="shared" si="12"/>
        <v>2</v>
      </c>
      <c r="L238" s="114" t="str">
        <f t="shared" si="13"/>
        <v>Post to Default Outlet</v>
      </c>
      <c r="M238" s="115">
        <f t="shared" si="14"/>
        <v>2</v>
      </c>
      <c r="N238" s="115">
        <f t="shared" si="15"/>
        <v>0</v>
      </c>
      <c r="O238" s="116" t="s">
        <v>2761</v>
      </c>
      <c r="P238" s="117"/>
      <c r="Q238" s="118"/>
    </row>
    <row r="239" spans="1:17" ht="15" customHeight="1" x14ac:dyDescent="0.3">
      <c r="A239" s="60" t="s">
        <v>2987</v>
      </c>
      <c r="B239" s="97" t="s">
        <v>2335</v>
      </c>
      <c r="C239" s="63" t="s">
        <v>404</v>
      </c>
      <c r="D239" s="66" t="str">
        <f>IFERROR(INDEX(M_User!$A$12:$J$67,MATCH(C239,M_User!$D$12:$D$67,0),3),"UNMAPPED")</f>
        <v>Riziki Rajabu Mghamba</v>
      </c>
      <c r="E239" s="65" t="str">
        <f>IFERROR(INDEX(M_User!$A$12:$J$67,MATCH(C239,M_User!$D$12:$D$67,0),5),"UNMAPPED")</f>
        <v>MOS</v>
      </c>
      <c r="F239" s="63" t="s">
        <v>236</v>
      </c>
      <c r="G239" s="66" t="str">
        <f>IFERROR(INDEX(M_SKU!$A$18:$J$57,MATCH(F239,M_SKU!$B$18:$B$57,0),1),"UNKNOWN SKU")</f>
        <v>Fanta Passion Pet 500ML ( x12)</v>
      </c>
      <c r="H239" s="63" t="s">
        <v>524</v>
      </c>
      <c r="I239" s="98">
        <f>IFERROR(INDEX(T_Unload!$K$10:$K$433,MATCH(B239,T_Unload!$B$10:$B$433,0)),0)</f>
        <v>14</v>
      </c>
      <c r="J239" s="111">
        <v>11</v>
      </c>
      <c r="K239" s="99">
        <f t="shared" si="12"/>
        <v>3</v>
      </c>
      <c r="L239" s="105" t="str">
        <f t="shared" si="13"/>
        <v>Post to Default Outlet</v>
      </c>
      <c r="M239" s="90">
        <f t="shared" si="14"/>
        <v>3</v>
      </c>
      <c r="N239" s="90">
        <f t="shared" si="15"/>
        <v>0</v>
      </c>
      <c r="O239" s="68" t="s">
        <v>2761</v>
      </c>
      <c r="P239" s="63"/>
      <c r="Q239" s="62"/>
    </row>
    <row r="240" spans="1:17" ht="15" customHeight="1" x14ac:dyDescent="0.3">
      <c r="A240" s="70" t="s">
        <v>2988</v>
      </c>
      <c r="B240" s="112" t="s">
        <v>2337</v>
      </c>
      <c r="C240" s="101" t="s">
        <v>404</v>
      </c>
      <c r="D240" s="76" t="str">
        <f>IFERROR(INDEX(M_User!$A$12:$J$67,MATCH(C240,M_User!$D$12:$D$67,0),3),"UNMAPPED")</f>
        <v>Riziki Rajabu Mghamba</v>
      </c>
      <c r="E240" s="75" t="str">
        <f>IFERROR(INDEX(M_User!$A$12:$J$67,MATCH(C240,M_User!$D$12:$D$67,0),5),"UNMAPPED")</f>
        <v>MOS</v>
      </c>
      <c r="F240" s="101" t="s">
        <v>242</v>
      </c>
      <c r="G240" s="76" t="str">
        <f>IFERROR(INDEX(M_SKU!$A$18:$J$57,MATCH(F240,M_SKU!$B$18:$B$57,0),1),"UNKNOWN SKU")</f>
        <v>Stoney Tangawizi Pet 500 ml ( x12)</v>
      </c>
      <c r="H240" s="101" t="s">
        <v>525</v>
      </c>
      <c r="I240" s="102">
        <f>IFERROR(INDEX(T_Unload!$K$10:$K$433,MATCH(B240,T_Unload!$B$10:$B$433,0)),0)</f>
        <v>3</v>
      </c>
      <c r="J240" s="111">
        <v>2</v>
      </c>
      <c r="K240" s="113">
        <f t="shared" si="12"/>
        <v>1</v>
      </c>
      <c r="L240" s="114" t="str">
        <f t="shared" si="13"/>
        <v>Post to Default Outlet</v>
      </c>
      <c r="M240" s="115">
        <f t="shared" si="14"/>
        <v>1</v>
      </c>
      <c r="N240" s="115">
        <f t="shared" si="15"/>
        <v>0</v>
      </c>
      <c r="O240" s="116" t="s">
        <v>2761</v>
      </c>
      <c r="P240" s="117"/>
      <c r="Q240" s="118"/>
    </row>
    <row r="241" spans="1:17" ht="15" customHeight="1" x14ac:dyDescent="0.3">
      <c r="A241" s="60" t="s">
        <v>2989</v>
      </c>
      <c r="B241" s="97" t="s">
        <v>2339</v>
      </c>
      <c r="C241" s="63" t="s">
        <v>404</v>
      </c>
      <c r="D241" s="66" t="str">
        <f>IFERROR(INDEX(M_User!$A$12:$J$67,MATCH(C241,M_User!$D$12:$D$67,0),3),"UNMAPPED")</f>
        <v>Riziki Rajabu Mghamba</v>
      </c>
      <c r="E241" s="65" t="str">
        <f>IFERROR(INDEX(M_User!$A$12:$J$67,MATCH(C241,M_User!$D$12:$D$67,0),5),"UNMAPPED")</f>
        <v>MOS</v>
      </c>
      <c r="F241" s="63" t="s">
        <v>244</v>
      </c>
      <c r="G241" s="66" t="str">
        <f>IFERROR(INDEX(M_SKU!$A$18:$J$57,MATCH(F241,M_SKU!$B$18:$B$57,0),1),"UNKNOWN SKU")</f>
        <v>Sparletta Pinenut Pet 500 ml ( x12)</v>
      </c>
      <c r="H241" s="63" t="s">
        <v>526</v>
      </c>
      <c r="I241" s="98">
        <f>IFERROR(INDEX(T_Unload!$K$10:$K$433,MATCH(B241,T_Unload!$B$10:$B$433,0)),0)</f>
        <v>2</v>
      </c>
      <c r="J241" s="111">
        <v>2</v>
      </c>
      <c r="K241" s="99">
        <f t="shared" si="12"/>
        <v>0</v>
      </c>
      <c r="L241" s="105" t="str">
        <f t="shared" si="13"/>
        <v>CLEAN</v>
      </c>
      <c r="M241" s="90">
        <f t="shared" si="14"/>
        <v>0</v>
      </c>
      <c r="N241" s="90">
        <f t="shared" si="15"/>
        <v>0</v>
      </c>
      <c r="O241" s="68" t="s">
        <v>2761</v>
      </c>
      <c r="P241" s="63"/>
      <c r="Q241" s="62"/>
    </row>
    <row r="242" spans="1:17" ht="15" customHeight="1" x14ac:dyDescent="0.3">
      <c r="A242" s="70" t="s">
        <v>2990</v>
      </c>
      <c r="B242" s="112" t="s">
        <v>2341</v>
      </c>
      <c r="C242" s="101" t="s">
        <v>404</v>
      </c>
      <c r="D242" s="76" t="str">
        <f>IFERROR(INDEX(M_User!$A$12:$J$67,MATCH(C242,M_User!$D$12:$D$67,0),3),"UNMAPPED")</f>
        <v>Riziki Rajabu Mghamba</v>
      </c>
      <c r="E242" s="75" t="str">
        <f>IFERROR(INDEX(M_User!$A$12:$J$67,MATCH(C242,M_User!$D$12:$D$67,0),5),"UNMAPPED")</f>
        <v>MOS</v>
      </c>
      <c r="F242" s="101" t="s">
        <v>252</v>
      </c>
      <c r="G242" s="76" t="str">
        <f>IFERROR(INDEX(M_SKU!$A$18:$J$57,MATCH(F242,M_SKU!$B$18:$B$57,0),1),"UNKNOWN SKU")</f>
        <v>Sprite Zero Pet 300ML (x 12)</v>
      </c>
      <c r="H242" s="101" t="s">
        <v>545</v>
      </c>
      <c r="I242" s="102">
        <f>IFERROR(INDEX(T_Unload!$K$10:$K$433,MATCH(B242,T_Unload!$B$10:$B$433,0)),0)</f>
        <v>6</v>
      </c>
      <c r="J242" s="111">
        <v>5</v>
      </c>
      <c r="K242" s="113">
        <f t="shared" si="12"/>
        <v>1</v>
      </c>
      <c r="L242" s="114" t="str">
        <f t="shared" si="13"/>
        <v>Post to Default Outlet</v>
      </c>
      <c r="M242" s="115">
        <f t="shared" si="14"/>
        <v>1</v>
      </c>
      <c r="N242" s="115">
        <f t="shared" si="15"/>
        <v>0</v>
      </c>
      <c r="O242" s="116" t="s">
        <v>2761</v>
      </c>
      <c r="P242" s="117"/>
      <c r="Q242" s="118"/>
    </row>
    <row r="243" spans="1:17" ht="15" customHeight="1" x14ac:dyDescent="0.3">
      <c r="A243" s="60" t="s">
        <v>2991</v>
      </c>
      <c r="B243" s="97" t="s">
        <v>2343</v>
      </c>
      <c r="C243" s="63" t="s">
        <v>404</v>
      </c>
      <c r="D243" s="66" t="str">
        <f>IFERROR(INDEX(M_User!$A$12:$J$67,MATCH(C243,M_User!$D$12:$D$67,0),3),"UNMAPPED")</f>
        <v>Riziki Rajabu Mghamba</v>
      </c>
      <c r="E243" s="65" t="str">
        <f>IFERROR(INDEX(M_User!$A$12:$J$67,MATCH(C243,M_User!$D$12:$D$67,0),5),"UNMAPPED")</f>
        <v>MOS</v>
      </c>
      <c r="F243" s="63" t="s">
        <v>254</v>
      </c>
      <c r="G243" s="66" t="str">
        <f>IFERROR(INDEX(M_SKU!$A$18:$J$57,MATCH(F243,M_SKU!$B$18:$B$57,0),1),"UNKNOWN SKU")</f>
        <v>Fanta Zero Pet 300ML (x 12)</v>
      </c>
      <c r="H243" s="63" t="s">
        <v>546</v>
      </c>
      <c r="I243" s="98">
        <f>IFERROR(INDEX(T_Unload!$K$10:$K$433,MATCH(B243,T_Unload!$B$10:$B$433,0)),0)</f>
        <v>2</v>
      </c>
      <c r="J243" s="111">
        <v>2</v>
      </c>
      <c r="K243" s="99">
        <f t="shared" si="12"/>
        <v>0</v>
      </c>
      <c r="L243" s="105" t="str">
        <f t="shared" si="13"/>
        <v>CLEAN</v>
      </c>
      <c r="M243" s="90">
        <f t="shared" si="14"/>
        <v>0</v>
      </c>
      <c r="N243" s="90">
        <f t="shared" si="15"/>
        <v>0</v>
      </c>
      <c r="O243" s="68" t="s">
        <v>2761</v>
      </c>
      <c r="P243" s="63"/>
      <c r="Q243" s="62"/>
    </row>
    <row r="244" spans="1:17" ht="15" customHeight="1" x14ac:dyDescent="0.3">
      <c r="A244" s="70" t="s">
        <v>2992</v>
      </c>
      <c r="B244" s="112" t="s">
        <v>2345</v>
      </c>
      <c r="C244" s="101" t="s">
        <v>404</v>
      </c>
      <c r="D244" s="76" t="str">
        <f>IFERROR(INDEX(M_User!$A$12:$J$67,MATCH(C244,M_User!$D$12:$D$67,0),3),"UNMAPPED")</f>
        <v>Riziki Rajabu Mghamba</v>
      </c>
      <c r="E244" s="75" t="str">
        <f>IFERROR(INDEX(M_User!$A$12:$J$67,MATCH(C244,M_User!$D$12:$D$67,0),5),"UNMAPPED")</f>
        <v>MOS</v>
      </c>
      <c r="F244" s="101" t="s">
        <v>261</v>
      </c>
      <c r="G244" s="76" t="str">
        <f>IFERROR(INDEX(M_SKU!$A$18:$J$57,MATCH(F244,M_SKU!$B$18:$B$57,0),1),"UNKNOWN SKU")</f>
        <v>Sparletta Pine Apple Pet 300ML (x 12)</v>
      </c>
      <c r="H244" s="101" t="s">
        <v>547</v>
      </c>
      <c r="I244" s="102">
        <f>IFERROR(INDEX(T_Unload!$K$10:$K$433,MATCH(B244,T_Unload!$B$10:$B$433,0)),0)</f>
        <v>5</v>
      </c>
      <c r="J244" s="111">
        <v>4</v>
      </c>
      <c r="K244" s="113">
        <f t="shared" si="12"/>
        <v>1</v>
      </c>
      <c r="L244" s="114" t="str">
        <f t="shared" si="13"/>
        <v>Post to Default Outlet</v>
      </c>
      <c r="M244" s="115">
        <f t="shared" si="14"/>
        <v>1</v>
      </c>
      <c r="N244" s="115">
        <f t="shared" si="15"/>
        <v>0</v>
      </c>
      <c r="O244" s="116" t="s">
        <v>2761</v>
      </c>
      <c r="P244" s="117"/>
      <c r="Q244" s="118"/>
    </row>
    <row r="245" spans="1:17" ht="15" customHeight="1" x14ac:dyDescent="0.3">
      <c r="A245" s="60" t="s">
        <v>2993</v>
      </c>
      <c r="B245" s="97" t="s">
        <v>2347</v>
      </c>
      <c r="C245" s="63" t="s">
        <v>427</v>
      </c>
      <c r="D245" s="66" t="str">
        <f>IFERROR(INDEX(M_User!$A$12:$J$67,MATCH(C245,M_User!$D$12:$D$67,0),3),"UNMAPPED")</f>
        <v>Piniel Julius Singo</v>
      </c>
      <c r="E245" s="65" t="str">
        <f>IFERROR(INDEX(M_User!$A$12:$J$67,MATCH(C245,M_User!$D$12:$D$67,0),5),"UNMAPPED")</f>
        <v>MOS</v>
      </c>
      <c r="F245" s="63" t="s">
        <v>170</v>
      </c>
      <c r="G245" s="66" t="str">
        <f>IFERROR(INDEX(M_SKU!$A$18:$J$57,MATCH(F245,M_SKU!$B$18:$B$57,0),1),"UNKNOWN SKU")</f>
        <v>Coke RGB 350ml</v>
      </c>
      <c r="H245" s="63" t="s">
        <v>530</v>
      </c>
      <c r="I245" s="98">
        <f>IFERROR(INDEX(T_Unload!$K$10:$K$433,MATCH(B245,T_Unload!$B$10:$B$433,0)),0)</f>
        <v>4.111092282109297</v>
      </c>
      <c r="J245" s="111">
        <v>4.1100000000000003</v>
      </c>
      <c r="K245" s="99">
        <f t="shared" si="12"/>
        <v>1.0922821092966828E-3</v>
      </c>
      <c r="L245" s="105" t="str">
        <f t="shared" si="13"/>
        <v>Post to Default Outlet</v>
      </c>
      <c r="M245" s="90">
        <f t="shared" si="14"/>
        <v>1.0922821092966828E-3</v>
      </c>
      <c r="N245" s="90">
        <f t="shared" si="15"/>
        <v>0</v>
      </c>
      <c r="O245" s="68" t="s">
        <v>2761</v>
      </c>
      <c r="P245" s="63"/>
      <c r="Q245" s="62"/>
    </row>
    <row r="246" spans="1:17" ht="15" customHeight="1" x14ac:dyDescent="0.3">
      <c r="A246" s="70" t="s">
        <v>2994</v>
      </c>
      <c r="B246" s="112" t="s">
        <v>2349</v>
      </c>
      <c r="C246" s="101" t="s">
        <v>427</v>
      </c>
      <c r="D246" s="76" t="str">
        <f>IFERROR(INDEX(M_User!$A$12:$J$67,MATCH(C246,M_User!$D$12:$D$67,0),3),"UNMAPPED")</f>
        <v>Piniel Julius Singo</v>
      </c>
      <c r="E246" s="75" t="str">
        <f>IFERROR(INDEX(M_User!$A$12:$J$67,MATCH(C246,M_User!$D$12:$D$67,0),5),"UNMAPPED")</f>
        <v>MOS</v>
      </c>
      <c r="F246" s="101" t="s">
        <v>178</v>
      </c>
      <c r="G246" s="76" t="str">
        <f>IFERROR(INDEX(M_SKU!$A$18:$J$57,MATCH(F246,M_SKU!$B$18:$B$57,0),1),"UNKNOWN SKU")</f>
        <v>Fanta Orange RGB 350ml</v>
      </c>
      <c r="H246" s="101" t="s">
        <v>531</v>
      </c>
      <c r="I246" s="102">
        <f>IFERROR(INDEX(T_Unload!$K$10:$K$433,MATCH(B246,T_Unload!$B$10:$B$433,0)),0)</f>
        <v>2.9908209840028093</v>
      </c>
      <c r="J246" s="111">
        <v>2.99</v>
      </c>
      <c r="K246" s="113">
        <f t="shared" si="12"/>
        <v>8.2098400280905537E-4</v>
      </c>
      <c r="L246" s="114" t="str">
        <f t="shared" si="13"/>
        <v>Post to Default Outlet</v>
      </c>
      <c r="M246" s="115">
        <f t="shared" si="14"/>
        <v>8.2098400280905537E-4</v>
      </c>
      <c r="N246" s="115">
        <f t="shared" si="15"/>
        <v>0</v>
      </c>
      <c r="O246" s="116" t="s">
        <v>2761</v>
      </c>
      <c r="P246" s="117"/>
      <c r="Q246" s="118"/>
    </row>
    <row r="247" spans="1:17" ht="15" customHeight="1" x14ac:dyDescent="0.3">
      <c r="A247" s="60" t="s">
        <v>2995</v>
      </c>
      <c r="B247" s="97" t="s">
        <v>2351</v>
      </c>
      <c r="C247" s="63" t="s">
        <v>427</v>
      </c>
      <c r="D247" s="66" t="str">
        <f>IFERROR(INDEX(M_User!$A$12:$J$67,MATCH(C247,M_User!$D$12:$D$67,0),3),"UNMAPPED")</f>
        <v>Piniel Julius Singo</v>
      </c>
      <c r="E247" s="65" t="str">
        <f>IFERROR(INDEX(M_User!$A$12:$J$67,MATCH(C247,M_User!$D$12:$D$67,0),5),"UNMAPPED")</f>
        <v>MOS</v>
      </c>
      <c r="F247" s="63" t="s">
        <v>181</v>
      </c>
      <c r="G247" s="66" t="str">
        <f>IFERROR(INDEX(M_SKU!$A$18:$J$57,MATCH(F247,M_SKU!$B$18:$B$57,0),1),"UNKNOWN SKU")</f>
        <v>Fanta Passion RGB 350ml</v>
      </c>
      <c r="H247" s="63" t="s">
        <v>550</v>
      </c>
      <c r="I247" s="98">
        <f>IFERROR(INDEX(T_Unload!$K$10:$K$433,MATCH(B247,T_Unload!$B$10:$B$433,0)),0)</f>
        <v>1.2286301627450493</v>
      </c>
      <c r="J247" s="111">
        <v>1.23</v>
      </c>
      <c r="K247" s="99">
        <f t="shared" si="12"/>
        <v>-1.3698372549506566E-3</v>
      </c>
      <c r="L247" s="105" t="str">
        <f t="shared" si="13"/>
        <v>Adjust Unload Upward</v>
      </c>
      <c r="M247" s="90">
        <f t="shared" si="14"/>
        <v>0</v>
      </c>
      <c r="N247" s="90">
        <f t="shared" si="15"/>
        <v>1.3698372549506566E-3</v>
      </c>
      <c r="O247" s="68" t="s">
        <v>2761</v>
      </c>
      <c r="P247" s="63"/>
      <c r="Q247" s="62"/>
    </row>
    <row r="248" spans="1:17" ht="15" customHeight="1" x14ac:dyDescent="0.3">
      <c r="A248" s="70" t="s">
        <v>2996</v>
      </c>
      <c r="B248" s="112" t="s">
        <v>2353</v>
      </c>
      <c r="C248" s="101" t="s">
        <v>427</v>
      </c>
      <c r="D248" s="76" t="str">
        <f>IFERROR(INDEX(M_User!$A$12:$J$67,MATCH(C248,M_User!$D$12:$D$67,0),3),"UNMAPPED")</f>
        <v>Piniel Julius Singo</v>
      </c>
      <c r="E248" s="75" t="str">
        <f>IFERROR(INDEX(M_User!$A$12:$J$67,MATCH(C248,M_User!$D$12:$D$67,0),5),"UNMAPPED")</f>
        <v>MOS</v>
      </c>
      <c r="F248" s="101" t="s">
        <v>183</v>
      </c>
      <c r="G248" s="76" t="str">
        <f>IFERROR(INDEX(M_SKU!$A$18:$J$57,MATCH(F248,M_SKU!$B$18:$B$57,0),1),"UNKNOWN SKU")</f>
        <v>Fanta Pineapple RGB 350ml</v>
      </c>
      <c r="H248" s="101" t="s">
        <v>533</v>
      </c>
      <c r="I248" s="102">
        <f>IFERROR(INDEX(T_Unload!$K$10:$K$433,MATCH(B248,T_Unload!$B$10:$B$433,0)),0)</f>
        <v>0.9980391600426497</v>
      </c>
      <c r="J248" s="111">
        <v>1</v>
      </c>
      <c r="K248" s="113">
        <f t="shared" si="12"/>
        <v>-1.9608399573503021E-3</v>
      </c>
      <c r="L248" s="114" t="str">
        <f t="shared" si="13"/>
        <v>Adjust Unload Upward</v>
      </c>
      <c r="M248" s="115">
        <f t="shared" si="14"/>
        <v>0</v>
      </c>
      <c r="N248" s="115">
        <f t="shared" si="15"/>
        <v>1.9608399573503021E-3</v>
      </c>
      <c r="O248" s="116" t="s">
        <v>2761</v>
      </c>
      <c r="P248" s="117"/>
      <c r="Q248" s="118"/>
    </row>
    <row r="249" spans="1:17" ht="15" customHeight="1" x14ac:dyDescent="0.3">
      <c r="A249" s="60" t="s">
        <v>2997</v>
      </c>
      <c r="B249" s="97" t="s">
        <v>2355</v>
      </c>
      <c r="C249" s="63" t="s">
        <v>427</v>
      </c>
      <c r="D249" s="66" t="str">
        <f>IFERROR(INDEX(M_User!$A$12:$J$67,MATCH(C249,M_User!$D$12:$D$67,0),3),"UNMAPPED")</f>
        <v>Piniel Julius Singo</v>
      </c>
      <c r="E249" s="65" t="str">
        <f>IFERROR(INDEX(M_User!$A$12:$J$67,MATCH(C249,M_User!$D$12:$D$67,0),5),"UNMAPPED")</f>
        <v>MOS</v>
      </c>
      <c r="F249" s="63" t="s">
        <v>185</v>
      </c>
      <c r="G249" s="66" t="str">
        <f>IFERROR(INDEX(M_SKU!$A$18:$J$57,MATCH(F249,M_SKU!$B$18:$B$57,0),1),"UNKNOWN SKU")</f>
        <v>Fanta Fruit Blast RGB 350 ml</v>
      </c>
      <c r="H249" s="63" t="s">
        <v>534</v>
      </c>
      <c r="I249" s="98">
        <f>IFERROR(INDEX(T_Unload!$K$10:$K$433,MATCH(B249,T_Unload!$B$10:$B$433,0)),0)</f>
        <v>0.61905102985668581</v>
      </c>
      <c r="J249" s="111">
        <v>0.62</v>
      </c>
      <c r="K249" s="99">
        <f t="shared" si="12"/>
        <v>-9.4897014331418728E-4</v>
      </c>
      <c r="L249" s="105" t="str">
        <f t="shared" si="13"/>
        <v>Adjust Unload Upward</v>
      </c>
      <c r="M249" s="90">
        <f t="shared" si="14"/>
        <v>0</v>
      </c>
      <c r="N249" s="90">
        <f t="shared" si="15"/>
        <v>9.4897014331418728E-4</v>
      </c>
      <c r="O249" s="68" t="s">
        <v>2761</v>
      </c>
      <c r="P249" s="63"/>
      <c r="Q249" s="62"/>
    </row>
    <row r="250" spans="1:17" ht="15" customHeight="1" x14ac:dyDescent="0.3">
      <c r="A250" s="70" t="s">
        <v>2998</v>
      </c>
      <c r="B250" s="112" t="s">
        <v>2357</v>
      </c>
      <c r="C250" s="101" t="s">
        <v>427</v>
      </c>
      <c r="D250" s="76" t="str">
        <f>IFERROR(INDEX(M_User!$A$12:$J$67,MATCH(C250,M_User!$D$12:$D$67,0),3),"UNMAPPED")</f>
        <v>Piniel Julius Singo</v>
      </c>
      <c r="E250" s="75" t="str">
        <f>IFERROR(INDEX(M_User!$A$12:$J$67,MATCH(C250,M_User!$D$12:$D$67,0),5),"UNMAPPED")</f>
        <v>MOS</v>
      </c>
      <c r="F250" s="101" t="s">
        <v>187</v>
      </c>
      <c r="G250" s="76" t="str">
        <f>IFERROR(INDEX(M_SKU!$A$18:$J$57,MATCH(F250,M_SKU!$B$18:$B$57,0),1),"UNKNOWN SKU")</f>
        <v>Sprite 350ml</v>
      </c>
      <c r="H250" s="101" t="s">
        <v>535</v>
      </c>
      <c r="I250" s="102">
        <f>IFERROR(INDEX(T_Unload!$K$10:$K$433,MATCH(B250,T_Unload!$B$10:$B$433,0)),0)</f>
        <v>1.1394540761921901</v>
      </c>
      <c r="J250" s="111">
        <v>1.1399999999999999</v>
      </c>
      <c r="K250" s="113">
        <f t="shared" si="12"/>
        <v>-5.4592380780982275E-4</v>
      </c>
      <c r="L250" s="114" t="str">
        <f t="shared" si="13"/>
        <v>Adjust Unload Upward</v>
      </c>
      <c r="M250" s="115">
        <f t="shared" si="14"/>
        <v>0</v>
      </c>
      <c r="N250" s="115">
        <f t="shared" si="15"/>
        <v>5.4592380780982275E-4</v>
      </c>
      <c r="O250" s="116" t="s">
        <v>2761</v>
      </c>
      <c r="P250" s="117"/>
      <c r="Q250" s="118"/>
    </row>
    <row r="251" spans="1:17" ht="15" customHeight="1" x14ac:dyDescent="0.3">
      <c r="A251" s="60" t="s">
        <v>2999</v>
      </c>
      <c r="B251" s="97" t="s">
        <v>2359</v>
      </c>
      <c r="C251" s="63" t="s">
        <v>427</v>
      </c>
      <c r="D251" s="66" t="str">
        <f>IFERROR(INDEX(M_User!$A$12:$J$67,MATCH(C251,M_User!$D$12:$D$67,0),3),"UNMAPPED")</f>
        <v>Piniel Julius Singo</v>
      </c>
      <c r="E251" s="65" t="str">
        <f>IFERROR(INDEX(M_User!$A$12:$J$67,MATCH(C251,M_User!$D$12:$D$67,0),5),"UNMAPPED")</f>
        <v>MOS</v>
      </c>
      <c r="F251" s="63" t="s">
        <v>190</v>
      </c>
      <c r="G251" s="66" t="str">
        <f>IFERROR(INDEX(M_SKU!$A$18:$J$57,MATCH(F251,M_SKU!$B$18:$B$57,0),1),"UNKNOWN SKU")</f>
        <v>Stoney Tangawizi RGB 350ml</v>
      </c>
      <c r="H251" s="63" t="s">
        <v>536</v>
      </c>
      <c r="I251" s="98">
        <f>IFERROR(INDEX(T_Unload!$K$10:$K$433,MATCH(B251,T_Unload!$B$10:$B$433,0)),0)</f>
        <v>0.81468075958622022</v>
      </c>
      <c r="J251" s="111">
        <v>0.81</v>
      </c>
      <c r="K251" s="99">
        <f t="shared" si="12"/>
        <v>4.6807595862201623E-3</v>
      </c>
      <c r="L251" s="105" t="str">
        <f t="shared" si="13"/>
        <v>Post to Default Outlet</v>
      </c>
      <c r="M251" s="90">
        <f t="shared" si="14"/>
        <v>4.6807595862201623E-3</v>
      </c>
      <c r="N251" s="90">
        <f t="shared" si="15"/>
        <v>0</v>
      </c>
      <c r="O251" s="68" t="s">
        <v>2761</v>
      </c>
      <c r="P251" s="63"/>
      <c r="Q251" s="62"/>
    </row>
    <row r="252" spans="1:17" ht="15" customHeight="1" x14ac:dyDescent="0.3">
      <c r="A252" s="70" t="s">
        <v>3000</v>
      </c>
      <c r="B252" s="112" t="s">
        <v>2361</v>
      </c>
      <c r="C252" s="101" t="s">
        <v>427</v>
      </c>
      <c r="D252" s="76" t="str">
        <f>IFERROR(INDEX(M_User!$A$12:$J$67,MATCH(C252,M_User!$D$12:$D$67,0),3),"UNMAPPED")</f>
        <v>Piniel Julius Singo</v>
      </c>
      <c r="E252" s="75" t="str">
        <f>IFERROR(INDEX(M_User!$A$12:$J$67,MATCH(C252,M_User!$D$12:$D$67,0),5),"UNMAPPED")</f>
        <v>MOS</v>
      </c>
      <c r="F252" s="101" t="s">
        <v>193</v>
      </c>
      <c r="G252" s="76" t="str">
        <f>IFERROR(INDEX(M_SKU!$A$18:$J$57,MATCH(F252,M_SKU!$B$18:$B$57,0),1),"UNKNOWN SKU")</f>
        <v>Sparletta Pinenut RGB 350ml</v>
      </c>
      <c r="H252" s="101" t="s">
        <v>537</v>
      </c>
      <c r="I252" s="102">
        <f>IFERROR(INDEX(T_Unload!$K$10:$K$433,MATCH(B252,T_Unload!$B$10:$B$433,0)),0)</f>
        <v>0.74784407619051674</v>
      </c>
      <c r="J252" s="111">
        <v>0.75</v>
      </c>
      <c r="K252" s="113">
        <f t="shared" si="12"/>
        <v>-2.1559238094832622E-3</v>
      </c>
      <c r="L252" s="114" t="str">
        <f t="shared" si="13"/>
        <v>Adjust Unload Upward</v>
      </c>
      <c r="M252" s="115">
        <f t="shared" si="14"/>
        <v>0</v>
      </c>
      <c r="N252" s="115">
        <f t="shared" si="15"/>
        <v>2.1559238094832622E-3</v>
      </c>
      <c r="O252" s="116" t="s">
        <v>2761</v>
      </c>
      <c r="P252" s="117"/>
      <c r="Q252" s="118"/>
    </row>
    <row r="253" spans="1:17" ht="15" customHeight="1" x14ac:dyDescent="0.3">
      <c r="A253" s="60" t="s">
        <v>3001</v>
      </c>
      <c r="B253" s="97" t="s">
        <v>2363</v>
      </c>
      <c r="C253" s="63" t="s">
        <v>427</v>
      </c>
      <c r="D253" s="66" t="str">
        <f>IFERROR(INDEX(M_User!$A$12:$J$67,MATCH(C253,M_User!$D$12:$D$67,0),3),"UNMAPPED")</f>
        <v>Piniel Julius Singo</v>
      </c>
      <c r="E253" s="65" t="str">
        <f>IFERROR(INDEX(M_User!$A$12:$J$67,MATCH(C253,M_User!$D$12:$D$67,0),5),"UNMAPPED")</f>
        <v>MOS</v>
      </c>
      <c r="F253" s="63" t="s">
        <v>199</v>
      </c>
      <c r="G253" s="66" t="str">
        <f>IFERROR(INDEX(M_SKU!$A$18:$J$57,MATCH(F253,M_SKU!$B$18:$B$57,0),1),"UNKNOWN SKU")</f>
        <v>Krest Club Soda RGB 300ml</v>
      </c>
      <c r="H253" s="63" t="s">
        <v>539</v>
      </c>
      <c r="I253" s="98">
        <f>IFERROR(INDEX(T_Unload!$K$10:$K$433,MATCH(B253,T_Unload!$B$10:$B$433,0)),0)</f>
        <v>0.23005047584384997</v>
      </c>
      <c r="J253" s="111">
        <v>0.23</v>
      </c>
      <c r="K253" s="99">
        <f t="shared" si="12"/>
        <v>5.0475843849956403E-5</v>
      </c>
      <c r="L253" s="105" t="str">
        <f t="shared" si="13"/>
        <v>CLEAN</v>
      </c>
      <c r="M253" s="90">
        <f t="shared" si="14"/>
        <v>0</v>
      </c>
      <c r="N253" s="90">
        <f t="shared" si="15"/>
        <v>0</v>
      </c>
      <c r="O253" s="68" t="s">
        <v>2761</v>
      </c>
      <c r="P253" s="63"/>
      <c r="Q253" s="62"/>
    </row>
    <row r="254" spans="1:17" ht="15" customHeight="1" x14ac:dyDescent="0.3">
      <c r="A254" s="70" t="s">
        <v>3002</v>
      </c>
      <c r="B254" s="112" t="s">
        <v>2365</v>
      </c>
      <c r="C254" s="101" t="s">
        <v>427</v>
      </c>
      <c r="D254" s="76" t="str">
        <f>IFERROR(INDEX(M_User!$A$12:$J$67,MATCH(C254,M_User!$D$12:$D$67,0),3),"UNMAPPED")</f>
        <v>Piniel Julius Singo</v>
      </c>
      <c r="E254" s="75" t="str">
        <f>IFERROR(INDEX(M_User!$A$12:$J$67,MATCH(C254,M_User!$D$12:$D$67,0),5),"UNMAPPED")</f>
        <v>MOS</v>
      </c>
      <c r="F254" s="101" t="s">
        <v>201</v>
      </c>
      <c r="G254" s="76" t="str">
        <f>IFERROR(INDEX(M_SKU!$A$18:$J$57,MATCH(F254,M_SKU!$B$18:$B$57,0),1),"UNKNOWN SKU")</f>
        <v>Krest Tonic Water RGB 300ml</v>
      </c>
      <c r="H254" s="101" t="s">
        <v>540</v>
      </c>
      <c r="I254" s="102">
        <f>IFERROR(INDEX(T_Unload!$K$10:$K$433,MATCH(B254,T_Unload!$B$10:$B$433,0)),0)</f>
        <v>0.7983028431080097</v>
      </c>
      <c r="J254" s="111">
        <v>0.8</v>
      </c>
      <c r="K254" s="113">
        <f t="shared" si="12"/>
        <v>-1.6971568919903479E-3</v>
      </c>
      <c r="L254" s="114" t="str">
        <f t="shared" si="13"/>
        <v>Adjust Unload Upward</v>
      </c>
      <c r="M254" s="115">
        <f t="shared" si="14"/>
        <v>0</v>
      </c>
      <c r="N254" s="115">
        <f t="shared" si="15"/>
        <v>1.6971568919903479E-3</v>
      </c>
      <c r="O254" s="116" t="s">
        <v>2761</v>
      </c>
      <c r="P254" s="117"/>
      <c r="Q254" s="118"/>
    </row>
    <row r="255" spans="1:17" ht="15" customHeight="1" x14ac:dyDescent="0.3">
      <c r="A255" s="60" t="s">
        <v>3003</v>
      </c>
      <c r="B255" s="97" t="s">
        <v>2367</v>
      </c>
      <c r="C255" s="63" t="s">
        <v>427</v>
      </c>
      <c r="D255" s="66" t="str">
        <f>IFERROR(INDEX(M_User!$A$12:$J$67,MATCH(C255,M_User!$D$12:$D$67,0),3),"UNMAPPED")</f>
        <v>Piniel Julius Singo</v>
      </c>
      <c r="E255" s="65" t="str">
        <f>IFERROR(INDEX(M_User!$A$12:$J$67,MATCH(C255,M_User!$D$12:$D$67,0),5),"UNMAPPED")</f>
        <v>MOS</v>
      </c>
      <c r="F255" s="63" t="s">
        <v>203</v>
      </c>
      <c r="G255" s="66" t="str">
        <f>IFERROR(INDEX(M_SKU!$A$18:$J$57,MATCH(F255,M_SKU!$B$18:$B$57,0),1),"UNKNOWN SKU")</f>
        <v>Krest Ginger Ale RGB 300ml</v>
      </c>
      <c r="H255" s="63" t="s">
        <v>541</v>
      </c>
      <c r="I255" s="98">
        <f>IFERROR(INDEX(T_Unload!$K$10:$K$433,MATCH(B255,T_Unload!$B$10:$B$433,0)),0)</f>
        <v>0.50493960025141993</v>
      </c>
      <c r="J255" s="111">
        <v>0.5</v>
      </c>
      <c r="K255" s="99">
        <f t="shared" si="12"/>
        <v>4.9396002514199289E-3</v>
      </c>
      <c r="L255" s="105" t="str">
        <f t="shared" si="13"/>
        <v>Post to Default Outlet</v>
      </c>
      <c r="M255" s="90">
        <f t="shared" si="14"/>
        <v>4.9396002514199289E-3</v>
      </c>
      <c r="N255" s="90">
        <f t="shared" si="15"/>
        <v>0</v>
      </c>
      <c r="O255" s="68" t="s">
        <v>2761</v>
      </c>
      <c r="P255" s="63"/>
      <c r="Q255" s="62"/>
    </row>
    <row r="256" spans="1:17" ht="15" customHeight="1" x14ac:dyDescent="0.3">
      <c r="A256" s="70" t="s">
        <v>3004</v>
      </c>
      <c r="B256" s="112" t="s">
        <v>2369</v>
      </c>
      <c r="C256" s="101" t="s">
        <v>427</v>
      </c>
      <c r="D256" s="76" t="str">
        <f>IFERROR(INDEX(M_User!$A$12:$J$67,MATCH(C256,M_User!$D$12:$D$67,0),3),"UNMAPPED")</f>
        <v>Piniel Julius Singo</v>
      </c>
      <c r="E256" s="75" t="str">
        <f>IFERROR(INDEX(M_User!$A$12:$J$67,MATCH(C256,M_User!$D$12:$D$67,0),5),"UNMAPPED")</f>
        <v>MOS</v>
      </c>
      <c r="F256" s="101" t="s">
        <v>209</v>
      </c>
      <c r="G256" s="76" t="str">
        <f>IFERROR(INDEX(M_SKU!$A$18:$J$57,MATCH(F256,M_SKU!$B$18:$B$57,0),1),"UNKNOWN SKU")</f>
        <v>Sparletta Red Apple RGB 350ml</v>
      </c>
      <c r="H256" s="101" t="s">
        <v>542</v>
      </c>
      <c r="I256" s="102">
        <f>IFERROR(INDEX(T_Unload!$K$10:$K$433,MATCH(B256,T_Unload!$B$10:$B$433,0)),0)</f>
        <v>0.20687932441203505</v>
      </c>
      <c r="J256" s="111">
        <v>0.21</v>
      </c>
      <c r="K256" s="113">
        <f t="shared" si="12"/>
        <v>-3.1206755879649439E-3</v>
      </c>
      <c r="L256" s="114" t="str">
        <f t="shared" si="13"/>
        <v>Adjust Unload Upward</v>
      </c>
      <c r="M256" s="115">
        <f t="shared" si="14"/>
        <v>0</v>
      </c>
      <c r="N256" s="115">
        <f t="shared" si="15"/>
        <v>3.1206755879649439E-3</v>
      </c>
      <c r="O256" s="116" t="s">
        <v>2761</v>
      </c>
      <c r="P256" s="117"/>
      <c r="Q256" s="118"/>
    </row>
    <row r="257" spans="1:17" ht="15" customHeight="1" x14ac:dyDescent="0.3">
      <c r="A257" s="60" t="s">
        <v>3005</v>
      </c>
      <c r="B257" s="97" t="s">
        <v>2371</v>
      </c>
      <c r="C257" s="63" t="s">
        <v>427</v>
      </c>
      <c r="D257" s="66" t="str">
        <f>IFERROR(INDEX(M_User!$A$12:$J$67,MATCH(C257,M_User!$D$12:$D$67,0),3),"UNMAPPED")</f>
        <v>Piniel Julius Singo</v>
      </c>
      <c r="E257" s="65" t="str">
        <f>IFERROR(INDEX(M_User!$A$12:$J$67,MATCH(C257,M_User!$D$12:$D$67,0),5),"UNMAPPED")</f>
        <v>MOS</v>
      </c>
      <c r="F257" s="63" t="s">
        <v>211</v>
      </c>
      <c r="G257" s="66" t="str">
        <f>IFERROR(INDEX(M_SKU!$A$18:$J$57,MATCH(F257,M_SKU!$B$18:$B$57,0),1),"UNKNOWN SKU")</f>
        <v>KNMW 500ml</v>
      </c>
      <c r="H257" s="63" t="s">
        <v>543</v>
      </c>
      <c r="I257" s="98">
        <f>IFERROR(INDEX(T_Unload!$K$10:$K$433,MATCH(B257,T_Unload!$B$10:$B$433,0)),0)</f>
        <v>7</v>
      </c>
      <c r="J257" s="111">
        <v>7</v>
      </c>
      <c r="K257" s="99">
        <f t="shared" si="12"/>
        <v>0</v>
      </c>
      <c r="L257" s="105" t="str">
        <f t="shared" si="13"/>
        <v>CLEAN</v>
      </c>
      <c r="M257" s="90">
        <f t="shared" si="14"/>
        <v>0</v>
      </c>
      <c r="N257" s="90">
        <f t="shared" si="15"/>
        <v>0</v>
      </c>
      <c r="O257" s="68" t="s">
        <v>2761</v>
      </c>
      <c r="P257" s="63"/>
      <c r="Q257" s="62"/>
    </row>
    <row r="258" spans="1:17" ht="15" customHeight="1" x14ac:dyDescent="0.3">
      <c r="A258" s="70" t="s">
        <v>3006</v>
      </c>
      <c r="B258" s="112" t="s">
        <v>2373</v>
      </c>
      <c r="C258" s="101" t="s">
        <v>427</v>
      </c>
      <c r="D258" s="76" t="str">
        <f>IFERROR(INDEX(M_User!$A$12:$J$67,MATCH(C258,M_User!$D$12:$D$67,0),3),"UNMAPPED")</f>
        <v>Piniel Julius Singo</v>
      </c>
      <c r="E258" s="75" t="str">
        <f>IFERROR(INDEX(M_User!$A$12:$J$67,MATCH(C258,M_User!$D$12:$D$67,0),5),"UNMAPPED")</f>
        <v>MOS</v>
      </c>
      <c r="F258" s="101" t="s">
        <v>217</v>
      </c>
      <c r="G258" s="76" t="str">
        <f>IFERROR(INDEX(M_SKU!$A$18:$J$57,MATCH(F258,M_SKU!$B$18:$B$57,0),1),"UNKNOWN SKU")</f>
        <v>KNMW 1500ml</v>
      </c>
      <c r="H258" s="101" t="s">
        <v>551</v>
      </c>
      <c r="I258" s="102">
        <f>IFERROR(INDEX(T_Unload!$K$10:$K$433,MATCH(B258,T_Unload!$B$10:$B$433,0)),0)</f>
        <v>19</v>
      </c>
      <c r="J258" s="111">
        <v>19</v>
      </c>
      <c r="K258" s="113">
        <f t="shared" si="12"/>
        <v>0</v>
      </c>
      <c r="L258" s="114" t="str">
        <f t="shared" si="13"/>
        <v>CLEAN</v>
      </c>
      <c r="M258" s="115">
        <f t="shared" si="14"/>
        <v>0</v>
      </c>
      <c r="N258" s="115">
        <f t="shared" si="15"/>
        <v>0</v>
      </c>
      <c r="O258" s="116" t="s">
        <v>2761</v>
      </c>
      <c r="P258" s="117"/>
      <c r="Q258" s="118"/>
    </row>
    <row r="259" spans="1:17" ht="15" customHeight="1" x14ac:dyDescent="0.3">
      <c r="A259" s="60" t="s">
        <v>3007</v>
      </c>
      <c r="B259" s="97" t="s">
        <v>2375</v>
      </c>
      <c r="C259" s="63" t="s">
        <v>427</v>
      </c>
      <c r="D259" s="66" t="str">
        <f>IFERROR(INDEX(M_User!$A$12:$J$67,MATCH(C259,M_User!$D$12:$D$67,0),3),"UNMAPPED")</f>
        <v>Piniel Julius Singo</v>
      </c>
      <c r="E259" s="65" t="str">
        <f>IFERROR(INDEX(M_User!$A$12:$J$67,MATCH(C259,M_User!$D$12:$D$67,0),5),"UNMAPPED")</f>
        <v>MOS</v>
      </c>
      <c r="F259" s="63" t="s">
        <v>222</v>
      </c>
      <c r="G259" s="66" t="str">
        <f>IFERROR(INDEX(M_SKU!$A$18:$J$57,MATCH(F259,M_SKU!$B$18:$B$57,0),1),"UNKNOWN SKU")</f>
        <v>Kilimanjaro Drinking Water 12000 ML</v>
      </c>
      <c r="H259" s="63" t="s">
        <v>566</v>
      </c>
      <c r="I259" s="98">
        <f>IFERROR(INDEX(T_Unload!$K$10:$K$433,MATCH(B259,T_Unload!$B$10:$B$433,0)),0)</f>
        <v>1</v>
      </c>
      <c r="J259" s="111">
        <v>1</v>
      </c>
      <c r="K259" s="99">
        <f t="shared" si="12"/>
        <v>0</v>
      </c>
      <c r="L259" s="105" t="str">
        <f t="shared" si="13"/>
        <v>CLEAN</v>
      </c>
      <c r="M259" s="90">
        <f t="shared" si="14"/>
        <v>0</v>
      </c>
      <c r="N259" s="90">
        <f t="shared" si="15"/>
        <v>0</v>
      </c>
      <c r="O259" s="68" t="s">
        <v>2761</v>
      </c>
      <c r="P259" s="63"/>
      <c r="Q259" s="62"/>
    </row>
    <row r="260" spans="1:17" ht="15" customHeight="1" x14ac:dyDescent="0.3">
      <c r="A260" s="70" t="s">
        <v>3008</v>
      </c>
      <c r="B260" s="112" t="s">
        <v>2377</v>
      </c>
      <c r="C260" s="101" t="s">
        <v>427</v>
      </c>
      <c r="D260" s="76" t="str">
        <f>IFERROR(INDEX(M_User!$A$12:$J$67,MATCH(C260,M_User!$D$12:$D$67,0),3),"UNMAPPED")</f>
        <v>Piniel Julius Singo</v>
      </c>
      <c r="E260" s="75" t="str">
        <f>IFERROR(INDEX(M_User!$A$12:$J$67,MATCH(C260,M_User!$D$12:$D$67,0),5),"UNMAPPED")</f>
        <v>MOS</v>
      </c>
      <c r="F260" s="101" t="s">
        <v>225</v>
      </c>
      <c r="G260" s="76" t="str">
        <f>IFERROR(INDEX(M_SKU!$A$18:$J$57,MATCH(F260,M_SKU!$B$18:$B$57,0),1),"UNKNOWN SKU")</f>
        <v>Kilimanjaro Drinking Water 18900 ML</v>
      </c>
      <c r="H260" s="101" t="s">
        <v>574</v>
      </c>
      <c r="I260" s="102">
        <f>IFERROR(INDEX(T_Unload!$K$10:$K$433,MATCH(B260,T_Unload!$B$10:$B$433,0)),0)</f>
        <v>1</v>
      </c>
      <c r="J260" s="111">
        <v>1</v>
      </c>
      <c r="K260" s="113">
        <f t="shared" si="12"/>
        <v>0</v>
      </c>
      <c r="L260" s="114" t="str">
        <f t="shared" si="13"/>
        <v>CLEAN</v>
      </c>
      <c r="M260" s="115">
        <f t="shared" si="14"/>
        <v>0</v>
      </c>
      <c r="N260" s="115">
        <f t="shared" si="15"/>
        <v>0</v>
      </c>
      <c r="O260" s="116" t="s">
        <v>2761</v>
      </c>
      <c r="P260" s="117"/>
      <c r="Q260" s="118"/>
    </row>
    <row r="261" spans="1:17" ht="15" customHeight="1" x14ac:dyDescent="0.3">
      <c r="A261" s="60" t="s">
        <v>3009</v>
      </c>
      <c r="B261" s="97" t="s">
        <v>2379</v>
      </c>
      <c r="C261" s="63" t="s">
        <v>427</v>
      </c>
      <c r="D261" s="66" t="str">
        <f>IFERROR(INDEX(M_User!$A$12:$J$67,MATCH(C261,M_User!$D$12:$D$67,0),3),"UNMAPPED")</f>
        <v>Piniel Julius Singo</v>
      </c>
      <c r="E261" s="65" t="str">
        <f>IFERROR(INDEX(M_User!$A$12:$J$67,MATCH(C261,M_User!$D$12:$D$67,0),5),"UNMAPPED")</f>
        <v>MOS</v>
      </c>
      <c r="F261" s="63" t="s">
        <v>229</v>
      </c>
      <c r="G261" s="66" t="str">
        <f>IFERROR(INDEX(M_SKU!$A$18:$J$57,MATCH(F261,M_SKU!$B$18:$B$57,0),1),"UNKNOWN SKU")</f>
        <v>Coke Pet 500ML ( x12)</v>
      </c>
      <c r="H261" s="63" t="s">
        <v>520</v>
      </c>
      <c r="I261" s="98">
        <f>IFERROR(INDEX(T_Unload!$K$10:$K$433,MATCH(B261,T_Unload!$B$10:$B$433,0)),0)</f>
        <v>2</v>
      </c>
      <c r="J261" s="111">
        <v>2</v>
      </c>
      <c r="K261" s="99">
        <f t="shared" si="12"/>
        <v>0</v>
      </c>
      <c r="L261" s="105" t="str">
        <f t="shared" si="13"/>
        <v>CLEAN</v>
      </c>
      <c r="M261" s="90">
        <f t="shared" si="14"/>
        <v>0</v>
      </c>
      <c r="N261" s="90">
        <f t="shared" si="15"/>
        <v>0</v>
      </c>
      <c r="O261" s="68" t="s">
        <v>2761</v>
      </c>
      <c r="P261" s="63"/>
      <c r="Q261" s="62"/>
    </row>
    <row r="262" spans="1:17" ht="15" customHeight="1" x14ac:dyDescent="0.3">
      <c r="A262" s="70" t="s">
        <v>3010</v>
      </c>
      <c r="B262" s="112" t="s">
        <v>2381</v>
      </c>
      <c r="C262" s="101" t="s">
        <v>427</v>
      </c>
      <c r="D262" s="76" t="str">
        <f>IFERROR(INDEX(M_User!$A$12:$J$67,MATCH(C262,M_User!$D$12:$D$67,0),3),"UNMAPPED")</f>
        <v>Piniel Julius Singo</v>
      </c>
      <c r="E262" s="75" t="str">
        <f>IFERROR(INDEX(M_User!$A$12:$J$67,MATCH(C262,M_User!$D$12:$D$67,0),5),"UNMAPPED")</f>
        <v>MOS</v>
      </c>
      <c r="F262" s="101" t="s">
        <v>232</v>
      </c>
      <c r="G262" s="76" t="str">
        <f>IFERROR(INDEX(M_SKU!$A$18:$J$57,MATCH(F262,M_SKU!$B$18:$B$57,0),1),"UNKNOWN SKU")</f>
        <v>Sprite Pet 500ML (x 12)</v>
      </c>
      <c r="H262" s="101" t="s">
        <v>522</v>
      </c>
      <c r="I262" s="102">
        <f>IFERROR(INDEX(T_Unload!$K$10:$K$433,MATCH(B262,T_Unload!$B$10:$B$433,0)),0)</f>
        <v>0</v>
      </c>
      <c r="J262" s="111">
        <v>0</v>
      </c>
      <c r="K262" s="113">
        <f t="shared" si="12"/>
        <v>0</v>
      </c>
      <c r="L262" s="114" t="str">
        <f t="shared" si="13"/>
        <v>CLEAN</v>
      </c>
      <c r="M262" s="115">
        <f t="shared" si="14"/>
        <v>0</v>
      </c>
      <c r="N262" s="115">
        <f t="shared" si="15"/>
        <v>0</v>
      </c>
      <c r="O262" s="116" t="s">
        <v>2761</v>
      </c>
      <c r="P262" s="117"/>
      <c r="Q262" s="118"/>
    </row>
    <row r="263" spans="1:17" ht="15" customHeight="1" x14ac:dyDescent="0.3">
      <c r="A263" s="60" t="s">
        <v>3011</v>
      </c>
      <c r="B263" s="97" t="s">
        <v>2383</v>
      </c>
      <c r="C263" s="63" t="s">
        <v>427</v>
      </c>
      <c r="D263" s="66" t="str">
        <f>IFERROR(INDEX(M_User!$A$12:$J$67,MATCH(C263,M_User!$D$12:$D$67,0),3),"UNMAPPED")</f>
        <v>Piniel Julius Singo</v>
      </c>
      <c r="E263" s="65" t="str">
        <f>IFERROR(INDEX(M_User!$A$12:$J$67,MATCH(C263,M_User!$D$12:$D$67,0),5),"UNMAPPED")</f>
        <v>MOS</v>
      </c>
      <c r="F263" s="63" t="s">
        <v>234</v>
      </c>
      <c r="G263" s="66" t="str">
        <f>IFERROR(INDEX(M_SKU!$A$18:$J$57,MATCH(F263,M_SKU!$B$18:$B$57,0),1),"UNKNOWN SKU")</f>
        <v>Fanta Orange Pet 500ML ( x 12)</v>
      </c>
      <c r="H263" s="63" t="s">
        <v>523</v>
      </c>
      <c r="I263" s="98">
        <f>IFERROR(INDEX(T_Unload!$K$10:$K$433,MATCH(B263,T_Unload!$B$10:$B$433,0)),0)</f>
        <v>1</v>
      </c>
      <c r="J263" s="111">
        <v>1</v>
      </c>
      <c r="K263" s="99">
        <f t="shared" si="12"/>
        <v>0</v>
      </c>
      <c r="L263" s="105" t="str">
        <f t="shared" si="13"/>
        <v>CLEAN</v>
      </c>
      <c r="M263" s="90">
        <f t="shared" si="14"/>
        <v>0</v>
      </c>
      <c r="N263" s="90">
        <f t="shared" si="15"/>
        <v>0</v>
      </c>
      <c r="O263" s="68" t="s">
        <v>2761</v>
      </c>
      <c r="P263" s="63"/>
      <c r="Q263" s="62"/>
    </row>
    <row r="264" spans="1:17" ht="15" customHeight="1" x14ac:dyDescent="0.3">
      <c r="A264" s="70" t="s">
        <v>3012</v>
      </c>
      <c r="B264" s="112" t="s">
        <v>2385</v>
      </c>
      <c r="C264" s="101" t="s">
        <v>427</v>
      </c>
      <c r="D264" s="76" t="str">
        <f>IFERROR(INDEX(M_User!$A$12:$J$67,MATCH(C264,M_User!$D$12:$D$67,0),3),"UNMAPPED")</f>
        <v>Piniel Julius Singo</v>
      </c>
      <c r="E264" s="75" t="str">
        <f>IFERROR(INDEX(M_User!$A$12:$J$67,MATCH(C264,M_User!$D$12:$D$67,0),5),"UNMAPPED")</f>
        <v>MOS</v>
      </c>
      <c r="F264" s="101" t="s">
        <v>236</v>
      </c>
      <c r="G264" s="76" t="str">
        <f>IFERROR(INDEX(M_SKU!$A$18:$J$57,MATCH(F264,M_SKU!$B$18:$B$57,0),1),"UNKNOWN SKU")</f>
        <v>Fanta Passion Pet 500ML ( x12)</v>
      </c>
      <c r="H264" s="101" t="s">
        <v>524</v>
      </c>
      <c r="I264" s="102">
        <f>IFERROR(INDEX(T_Unload!$K$10:$K$433,MATCH(B264,T_Unload!$B$10:$B$433,0)),0)</f>
        <v>1</v>
      </c>
      <c r="J264" s="111">
        <v>1</v>
      </c>
      <c r="K264" s="113">
        <f t="shared" si="12"/>
        <v>0</v>
      </c>
      <c r="L264" s="114" t="str">
        <f t="shared" si="13"/>
        <v>CLEAN</v>
      </c>
      <c r="M264" s="115">
        <f t="shared" si="14"/>
        <v>0</v>
      </c>
      <c r="N264" s="115">
        <f t="shared" si="15"/>
        <v>0</v>
      </c>
      <c r="O264" s="116" t="s">
        <v>2761</v>
      </c>
      <c r="P264" s="117"/>
      <c r="Q264" s="118"/>
    </row>
    <row r="265" spans="1:17" ht="15" customHeight="1" x14ac:dyDescent="0.3">
      <c r="A265" s="60" t="s">
        <v>3013</v>
      </c>
      <c r="B265" s="97" t="s">
        <v>2387</v>
      </c>
      <c r="C265" s="63" t="s">
        <v>427</v>
      </c>
      <c r="D265" s="66" t="str">
        <f>IFERROR(INDEX(M_User!$A$12:$J$67,MATCH(C265,M_User!$D$12:$D$67,0),3),"UNMAPPED")</f>
        <v>Piniel Julius Singo</v>
      </c>
      <c r="E265" s="65" t="str">
        <f>IFERROR(INDEX(M_User!$A$12:$J$67,MATCH(C265,M_User!$D$12:$D$67,0),5),"UNMAPPED")</f>
        <v>MOS</v>
      </c>
      <c r="F265" s="63" t="s">
        <v>242</v>
      </c>
      <c r="G265" s="66" t="str">
        <f>IFERROR(INDEX(M_SKU!$A$18:$J$57,MATCH(F265,M_SKU!$B$18:$B$57,0),1),"UNKNOWN SKU")</f>
        <v>Stoney Tangawizi Pet 500 ml ( x12)</v>
      </c>
      <c r="H265" s="63" t="s">
        <v>525</v>
      </c>
      <c r="I265" s="98">
        <f>IFERROR(INDEX(T_Unload!$K$10:$K$433,MATCH(B265,T_Unload!$B$10:$B$433,0)),0)</f>
        <v>0</v>
      </c>
      <c r="J265" s="111">
        <v>0</v>
      </c>
      <c r="K265" s="99">
        <f t="shared" si="12"/>
        <v>0</v>
      </c>
      <c r="L265" s="105" t="str">
        <f t="shared" si="13"/>
        <v>CLEAN</v>
      </c>
      <c r="M265" s="90">
        <f t="shared" si="14"/>
        <v>0</v>
      </c>
      <c r="N265" s="90">
        <f t="shared" si="15"/>
        <v>0</v>
      </c>
      <c r="O265" s="68" t="s">
        <v>2761</v>
      </c>
      <c r="P265" s="63"/>
      <c r="Q265" s="62"/>
    </row>
    <row r="266" spans="1:17" ht="15" customHeight="1" x14ac:dyDescent="0.3">
      <c r="A266" s="70" t="s">
        <v>3014</v>
      </c>
      <c r="B266" s="112" t="s">
        <v>2389</v>
      </c>
      <c r="C266" s="101" t="s">
        <v>427</v>
      </c>
      <c r="D266" s="76" t="str">
        <f>IFERROR(INDEX(M_User!$A$12:$J$67,MATCH(C266,M_User!$D$12:$D$67,0),3),"UNMAPPED")</f>
        <v>Piniel Julius Singo</v>
      </c>
      <c r="E266" s="75" t="str">
        <f>IFERROR(INDEX(M_User!$A$12:$J$67,MATCH(C266,M_User!$D$12:$D$67,0),5),"UNMAPPED")</f>
        <v>MOS</v>
      </c>
      <c r="F266" s="101" t="s">
        <v>244</v>
      </c>
      <c r="G266" s="76" t="str">
        <f>IFERROR(INDEX(M_SKU!$A$18:$J$57,MATCH(F266,M_SKU!$B$18:$B$57,0),1),"UNKNOWN SKU")</f>
        <v>Sparletta Pinenut Pet 500 ml ( x12)</v>
      </c>
      <c r="H266" s="101" t="s">
        <v>526</v>
      </c>
      <c r="I266" s="102">
        <f>IFERROR(INDEX(T_Unload!$K$10:$K$433,MATCH(B266,T_Unload!$B$10:$B$433,0)),0)</f>
        <v>0</v>
      </c>
      <c r="J266" s="111">
        <v>0</v>
      </c>
      <c r="K266" s="113">
        <f t="shared" si="12"/>
        <v>0</v>
      </c>
      <c r="L266" s="114" t="str">
        <f t="shared" si="13"/>
        <v>CLEAN</v>
      </c>
      <c r="M266" s="115">
        <f t="shared" si="14"/>
        <v>0</v>
      </c>
      <c r="N266" s="115">
        <f t="shared" si="15"/>
        <v>0</v>
      </c>
      <c r="O266" s="116" t="s">
        <v>2761</v>
      </c>
      <c r="P266" s="117"/>
      <c r="Q266" s="118"/>
    </row>
    <row r="267" spans="1:17" ht="15" customHeight="1" x14ac:dyDescent="0.3">
      <c r="A267" s="60" t="s">
        <v>3015</v>
      </c>
      <c r="B267" s="97" t="s">
        <v>2391</v>
      </c>
      <c r="C267" s="63" t="s">
        <v>424</v>
      </c>
      <c r="D267" s="66" t="str">
        <f>IFERROR(INDEX(M_User!$A$12:$J$67,MATCH(C267,M_User!$D$12:$D$67,0),3),"UNMAPPED")</f>
        <v>Raymond P Sangawe</v>
      </c>
      <c r="E267" s="65" t="str">
        <f>IFERROR(INDEX(M_User!$A$12:$J$67,MATCH(C267,M_User!$D$12:$D$67,0),5),"UNMAPPED")</f>
        <v>MOS</v>
      </c>
      <c r="F267" s="63" t="s">
        <v>170</v>
      </c>
      <c r="G267" s="66" t="str">
        <f>IFERROR(INDEX(M_SKU!$A$18:$J$57,MATCH(F267,M_SKU!$B$18:$B$57,0),1),"UNKNOWN SKU")</f>
        <v>Coke RGB 350ml</v>
      </c>
      <c r="H267" s="63" t="s">
        <v>530</v>
      </c>
      <c r="I267" s="98">
        <f>IFERROR(INDEX(T_Unload!$K$10:$K$433,MATCH(B267,T_Unload!$B$10:$B$433,0)),0)</f>
        <v>10.792612934986195</v>
      </c>
      <c r="J267" s="111">
        <v>10.79</v>
      </c>
      <c r="K267" s="99">
        <f t="shared" si="12"/>
        <v>2.6129349861960804E-3</v>
      </c>
      <c r="L267" s="105" t="str">
        <f t="shared" si="13"/>
        <v>Post to Default Outlet</v>
      </c>
      <c r="M267" s="90">
        <f t="shared" si="14"/>
        <v>2.6129349861960804E-3</v>
      </c>
      <c r="N267" s="90">
        <f t="shared" si="15"/>
        <v>0</v>
      </c>
      <c r="O267" s="68" t="s">
        <v>2761</v>
      </c>
      <c r="P267" s="63"/>
      <c r="Q267" s="62"/>
    </row>
    <row r="268" spans="1:17" ht="15" customHeight="1" x14ac:dyDescent="0.3">
      <c r="A268" s="70" t="s">
        <v>3016</v>
      </c>
      <c r="B268" s="112" t="s">
        <v>2393</v>
      </c>
      <c r="C268" s="101" t="s">
        <v>424</v>
      </c>
      <c r="D268" s="76" t="str">
        <f>IFERROR(INDEX(M_User!$A$12:$J$67,MATCH(C268,M_User!$D$12:$D$67,0),3),"UNMAPPED")</f>
        <v>Raymond P Sangawe</v>
      </c>
      <c r="E268" s="75" t="str">
        <f>IFERROR(INDEX(M_User!$A$12:$J$67,MATCH(C268,M_User!$D$12:$D$67,0),5),"UNMAPPED")</f>
        <v>MOS</v>
      </c>
      <c r="F268" s="101" t="s">
        <v>178</v>
      </c>
      <c r="G268" s="76" t="str">
        <f>IFERROR(INDEX(M_SKU!$A$18:$J$57,MATCH(F268,M_SKU!$B$18:$B$57,0),1),"UNKNOWN SKU")</f>
        <v>Fanta Orange RGB 350ml</v>
      </c>
      <c r="H268" s="101" t="s">
        <v>531</v>
      </c>
      <c r="I268" s="102">
        <f>IFERROR(INDEX(T_Unload!$K$10:$K$433,MATCH(B268,T_Unload!$B$10:$B$433,0)),0)</f>
        <v>3.4846550723706997</v>
      </c>
      <c r="J268" s="111">
        <v>3.48</v>
      </c>
      <c r="K268" s="113">
        <f t="shared" si="12"/>
        <v>4.655072370699731E-3</v>
      </c>
      <c r="L268" s="114" t="str">
        <f t="shared" si="13"/>
        <v>Post to Default Outlet</v>
      </c>
      <c r="M268" s="115">
        <f t="shared" si="14"/>
        <v>4.655072370699731E-3</v>
      </c>
      <c r="N268" s="115">
        <f t="shared" si="15"/>
        <v>0</v>
      </c>
      <c r="O268" s="116" t="s">
        <v>2761</v>
      </c>
      <c r="P268" s="117"/>
      <c r="Q268" s="118"/>
    </row>
    <row r="269" spans="1:17" ht="15" customHeight="1" x14ac:dyDescent="0.3">
      <c r="A269" s="60" t="s">
        <v>3017</v>
      </c>
      <c r="B269" s="97" t="s">
        <v>2395</v>
      </c>
      <c r="C269" s="63" t="s">
        <v>424</v>
      </c>
      <c r="D269" s="66" t="str">
        <f>IFERROR(INDEX(M_User!$A$12:$J$67,MATCH(C269,M_User!$D$12:$D$67,0),3),"UNMAPPED")</f>
        <v>Raymond P Sangawe</v>
      </c>
      <c r="E269" s="65" t="str">
        <f>IFERROR(INDEX(M_User!$A$12:$J$67,MATCH(C269,M_User!$D$12:$D$67,0),5),"UNMAPPED")</f>
        <v>MOS</v>
      </c>
      <c r="F269" s="63" t="s">
        <v>181</v>
      </c>
      <c r="G269" s="66" t="str">
        <f>IFERROR(INDEX(M_SKU!$A$18:$J$57,MATCH(F269,M_SKU!$B$18:$B$57,0),1),"UNKNOWN SKU")</f>
        <v>Fanta Passion RGB 350ml</v>
      </c>
      <c r="H269" s="63" t="s">
        <v>550</v>
      </c>
      <c r="I269" s="98">
        <f>IFERROR(INDEX(T_Unload!$K$10:$K$433,MATCH(B269,T_Unload!$B$10:$B$433,0)),0)</f>
        <v>1.3001014268956794</v>
      </c>
      <c r="J269" s="111">
        <v>1.3</v>
      </c>
      <c r="K269" s="99">
        <f t="shared" ref="K269:K332" si="16">IF(ISBLANK(J269),"",I269-J269)</f>
        <v>1.0142689567937957E-4</v>
      </c>
      <c r="L269" s="105" t="str">
        <f t="shared" ref="L269:L332" si="17">IF(K269="","Awaiting Verification",IF(ABS(K269)&lt;0.0001,"CLEAN",IF(K269&gt;0,"Post to Default Outlet","Adjust Unload Upward")))</f>
        <v>Post to Default Outlet</v>
      </c>
      <c r="M269" s="90">
        <f t="shared" ref="M269:M332" si="18">IF(AND(ISNUMBER(K269),K269&gt;0.0001),K269,0)</f>
        <v>1.0142689567937957E-4</v>
      </c>
      <c r="N269" s="90">
        <f t="shared" ref="N269:N332" si="19">IF(AND(ISNUMBER(K269),K269&lt;-0.0001),-K269,0)</f>
        <v>0</v>
      </c>
      <c r="O269" s="68" t="s">
        <v>2761</v>
      </c>
      <c r="P269" s="63"/>
      <c r="Q269" s="62"/>
    </row>
    <row r="270" spans="1:17" ht="15" customHeight="1" x14ac:dyDescent="0.3">
      <c r="A270" s="70" t="s">
        <v>3018</v>
      </c>
      <c r="B270" s="112" t="s">
        <v>2397</v>
      </c>
      <c r="C270" s="101" t="s">
        <v>424</v>
      </c>
      <c r="D270" s="76" t="str">
        <f>IFERROR(INDEX(M_User!$A$12:$J$67,MATCH(C270,M_User!$D$12:$D$67,0),3),"UNMAPPED")</f>
        <v>Raymond P Sangawe</v>
      </c>
      <c r="E270" s="75" t="str">
        <f>IFERROR(INDEX(M_User!$A$12:$J$67,MATCH(C270,M_User!$D$12:$D$67,0),5),"UNMAPPED")</f>
        <v>MOS</v>
      </c>
      <c r="F270" s="101" t="s">
        <v>183</v>
      </c>
      <c r="G270" s="76" t="str">
        <f>IFERROR(INDEX(M_SKU!$A$18:$J$57,MATCH(F270,M_SKU!$B$18:$B$57,0),1),"UNKNOWN SKU")</f>
        <v>Fanta Pineapple RGB 350ml</v>
      </c>
      <c r="H270" s="101" t="s">
        <v>533</v>
      </c>
      <c r="I270" s="102">
        <f>IFERROR(INDEX(T_Unload!$K$10:$K$433,MATCH(B270,T_Unload!$B$10:$B$433,0)),0)</f>
        <v>1.7643569747067112</v>
      </c>
      <c r="J270" s="111">
        <v>1.76</v>
      </c>
      <c r="K270" s="113">
        <f t="shared" si="16"/>
        <v>4.3569747067111475E-3</v>
      </c>
      <c r="L270" s="114" t="str">
        <f t="shared" si="17"/>
        <v>Post to Default Outlet</v>
      </c>
      <c r="M270" s="115">
        <f t="shared" si="18"/>
        <v>4.3569747067111475E-3</v>
      </c>
      <c r="N270" s="115">
        <f t="shared" si="19"/>
        <v>0</v>
      </c>
      <c r="O270" s="116" t="s">
        <v>2761</v>
      </c>
      <c r="P270" s="117"/>
      <c r="Q270" s="118"/>
    </row>
    <row r="271" spans="1:17" ht="15" customHeight="1" x14ac:dyDescent="0.3">
      <c r="A271" s="60" t="s">
        <v>3019</v>
      </c>
      <c r="B271" s="97" t="s">
        <v>2399</v>
      </c>
      <c r="C271" s="63" t="s">
        <v>424</v>
      </c>
      <c r="D271" s="66" t="str">
        <f>IFERROR(INDEX(M_User!$A$12:$J$67,MATCH(C271,M_User!$D$12:$D$67,0),3),"UNMAPPED")</f>
        <v>Raymond P Sangawe</v>
      </c>
      <c r="E271" s="65" t="str">
        <f>IFERROR(INDEX(M_User!$A$12:$J$67,MATCH(C271,M_User!$D$12:$D$67,0),5),"UNMAPPED")</f>
        <v>MOS</v>
      </c>
      <c r="F271" s="63" t="s">
        <v>185</v>
      </c>
      <c r="G271" s="66" t="str">
        <f>IFERROR(INDEX(M_SKU!$A$18:$J$57,MATCH(F271,M_SKU!$B$18:$B$57,0),1),"UNKNOWN SKU")</f>
        <v>Fanta Fruit Blast RGB 350 ml</v>
      </c>
      <c r="H271" s="63" t="s">
        <v>534</v>
      </c>
      <c r="I271" s="98">
        <f>IFERROR(INDEX(T_Unload!$K$10:$K$433,MATCH(B271,T_Unload!$B$10:$B$433,0)),0)</f>
        <v>0.31098526066227006</v>
      </c>
      <c r="J271" s="111">
        <v>0.31</v>
      </c>
      <c r="K271" s="99">
        <f t="shared" si="16"/>
        <v>9.8526066227005993E-4</v>
      </c>
      <c r="L271" s="105" t="str">
        <f t="shared" si="17"/>
        <v>Post to Default Outlet</v>
      </c>
      <c r="M271" s="90">
        <f t="shared" si="18"/>
        <v>9.8526066227005993E-4</v>
      </c>
      <c r="N271" s="90">
        <f t="shared" si="19"/>
        <v>0</v>
      </c>
      <c r="O271" s="68" t="s">
        <v>2761</v>
      </c>
      <c r="P271" s="63"/>
      <c r="Q271" s="62"/>
    </row>
    <row r="272" spans="1:17" ht="15" customHeight="1" x14ac:dyDescent="0.3">
      <c r="A272" s="70" t="s">
        <v>3020</v>
      </c>
      <c r="B272" s="112" t="s">
        <v>2401</v>
      </c>
      <c r="C272" s="101" t="s">
        <v>424</v>
      </c>
      <c r="D272" s="76" t="str">
        <f>IFERROR(INDEX(M_User!$A$12:$J$67,MATCH(C272,M_User!$D$12:$D$67,0),3),"UNMAPPED")</f>
        <v>Raymond P Sangawe</v>
      </c>
      <c r="E272" s="75" t="str">
        <f>IFERROR(INDEX(M_User!$A$12:$J$67,MATCH(C272,M_User!$D$12:$D$67,0),5),"UNMAPPED")</f>
        <v>MOS</v>
      </c>
      <c r="F272" s="101" t="s">
        <v>187</v>
      </c>
      <c r="G272" s="76" t="str">
        <f>IFERROR(INDEX(M_SKU!$A$18:$J$57,MATCH(F272,M_SKU!$B$18:$B$57,0),1),"UNKNOWN SKU")</f>
        <v>Sprite 350ml</v>
      </c>
      <c r="H272" s="101" t="s">
        <v>558</v>
      </c>
      <c r="I272" s="102">
        <f>IFERROR(INDEX(T_Unload!$K$10:$K$433,MATCH(B272,T_Unload!$B$10:$B$433,0)),0)</f>
        <v>1.4775418349739606</v>
      </c>
      <c r="J272" s="111">
        <v>1.48</v>
      </c>
      <c r="K272" s="113">
        <f t="shared" si="16"/>
        <v>-2.4581650260393495E-3</v>
      </c>
      <c r="L272" s="114" t="str">
        <f t="shared" si="17"/>
        <v>Adjust Unload Upward</v>
      </c>
      <c r="M272" s="115">
        <f t="shared" si="18"/>
        <v>0</v>
      </c>
      <c r="N272" s="115">
        <f t="shared" si="19"/>
        <v>2.4581650260393495E-3</v>
      </c>
      <c r="O272" s="116" t="s">
        <v>2761</v>
      </c>
      <c r="P272" s="117"/>
      <c r="Q272" s="118"/>
    </row>
    <row r="273" spans="1:17" ht="15" customHeight="1" x14ac:dyDescent="0.3">
      <c r="A273" s="60" t="s">
        <v>3021</v>
      </c>
      <c r="B273" s="97" t="s">
        <v>2403</v>
      </c>
      <c r="C273" s="63" t="s">
        <v>424</v>
      </c>
      <c r="D273" s="66" t="str">
        <f>IFERROR(INDEX(M_User!$A$12:$J$67,MATCH(C273,M_User!$D$12:$D$67,0),3),"UNMAPPED")</f>
        <v>Raymond P Sangawe</v>
      </c>
      <c r="E273" s="65" t="str">
        <f>IFERROR(INDEX(M_User!$A$12:$J$67,MATCH(C273,M_User!$D$12:$D$67,0),5),"UNMAPPED")</f>
        <v>MOS</v>
      </c>
      <c r="F273" s="63" t="s">
        <v>190</v>
      </c>
      <c r="G273" s="66" t="str">
        <f>IFERROR(INDEX(M_SKU!$A$18:$J$57,MATCH(F273,M_SKU!$B$18:$B$57,0),1),"UNKNOWN SKU")</f>
        <v>Stoney Tangawizi RGB 350ml</v>
      </c>
      <c r="H273" s="63" t="s">
        <v>536</v>
      </c>
      <c r="I273" s="98">
        <f>IFERROR(INDEX(T_Unload!$K$10:$K$433,MATCH(B273,T_Unload!$B$10:$B$433,0)),0)</f>
        <v>0.25369226143960022</v>
      </c>
      <c r="J273" s="111">
        <v>0.25</v>
      </c>
      <c r="K273" s="99">
        <f t="shared" si="16"/>
        <v>3.6922614396002196E-3</v>
      </c>
      <c r="L273" s="105" t="str">
        <f t="shared" si="17"/>
        <v>Post to Default Outlet</v>
      </c>
      <c r="M273" s="90">
        <f t="shared" si="18"/>
        <v>3.6922614396002196E-3</v>
      </c>
      <c r="N273" s="90">
        <f t="shared" si="19"/>
        <v>0</v>
      </c>
      <c r="O273" s="68" t="s">
        <v>2761</v>
      </c>
      <c r="P273" s="63"/>
      <c r="Q273" s="62"/>
    </row>
    <row r="274" spans="1:17" ht="15" customHeight="1" x14ac:dyDescent="0.3">
      <c r="A274" s="70" t="s">
        <v>3022</v>
      </c>
      <c r="B274" s="112" t="s">
        <v>2405</v>
      </c>
      <c r="C274" s="101" t="s">
        <v>424</v>
      </c>
      <c r="D274" s="76" t="str">
        <f>IFERROR(INDEX(M_User!$A$12:$J$67,MATCH(C274,M_User!$D$12:$D$67,0),3),"UNMAPPED")</f>
        <v>Raymond P Sangawe</v>
      </c>
      <c r="E274" s="75" t="str">
        <f>IFERROR(INDEX(M_User!$A$12:$J$67,MATCH(C274,M_User!$D$12:$D$67,0),5),"UNMAPPED")</f>
        <v>MOS</v>
      </c>
      <c r="F274" s="101" t="s">
        <v>193</v>
      </c>
      <c r="G274" s="76" t="str">
        <f>IFERROR(INDEX(M_SKU!$A$18:$J$57,MATCH(F274,M_SKU!$B$18:$B$57,0),1),"UNKNOWN SKU")</f>
        <v>Sparletta Pinenut RGB 350ml</v>
      </c>
      <c r="H274" s="101" t="s">
        <v>537</v>
      </c>
      <c r="I274" s="102">
        <f>IFERROR(INDEX(T_Unload!$K$10:$K$433,MATCH(B274,T_Unload!$B$10:$B$433,0)),0)</f>
        <v>0.72229033952053623</v>
      </c>
      <c r="J274" s="111">
        <v>0.72</v>
      </c>
      <c r="K274" s="113">
        <f t="shared" si="16"/>
        <v>2.2903395205362553E-3</v>
      </c>
      <c r="L274" s="114" t="str">
        <f t="shared" si="17"/>
        <v>Post to Default Outlet</v>
      </c>
      <c r="M274" s="115">
        <f t="shared" si="18"/>
        <v>2.2903395205362553E-3</v>
      </c>
      <c r="N274" s="115">
        <f t="shared" si="19"/>
        <v>0</v>
      </c>
      <c r="O274" s="116" t="s">
        <v>2761</v>
      </c>
      <c r="P274" s="117"/>
      <c r="Q274" s="118"/>
    </row>
    <row r="275" spans="1:17" ht="15" customHeight="1" x14ac:dyDescent="0.3">
      <c r="A275" s="60" t="s">
        <v>3023</v>
      </c>
      <c r="B275" s="97" t="s">
        <v>2407</v>
      </c>
      <c r="C275" s="63" t="s">
        <v>424</v>
      </c>
      <c r="D275" s="66" t="str">
        <f>IFERROR(INDEX(M_User!$A$12:$J$67,MATCH(C275,M_User!$D$12:$D$67,0),3),"UNMAPPED")</f>
        <v>Raymond P Sangawe</v>
      </c>
      <c r="E275" s="65" t="str">
        <f>IFERROR(INDEX(M_User!$A$12:$J$67,MATCH(C275,M_User!$D$12:$D$67,0),5),"UNMAPPED")</f>
        <v>MOS</v>
      </c>
      <c r="F275" s="63" t="s">
        <v>196</v>
      </c>
      <c r="G275" s="66" t="str">
        <f>IFERROR(INDEX(M_SKU!$A$18:$J$57,MATCH(F275,M_SKU!$B$18:$B$57,0),1),"UNKNOWN SKU")</f>
        <v>Krest Bitter Lemon RGB 300ml</v>
      </c>
      <c r="H275" s="63" t="s">
        <v>538</v>
      </c>
      <c r="I275" s="98">
        <f>IFERROR(INDEX(T_Unload!$K$10:$K$433,MATCH(B275,T_Unload!$B$10:$B$433,0)),0)</f>
        <v>0.39623283877204907</v>
      </c>
      <c r="J275" s="111">
        <v>0.4</v>
      </c>
      <c r="K275" s="99">
        <f t="shared" si="16"/>
        <v>-3.7671612279509548E-3</v>
      </c>
      <c r="L275" s="105" t="str">
        <f t="shared" si="17"/>
        <v>Adjust Unload Upward</v>
      </c>
      <c r="M275" s="90">
        <f t="shared" si="18"/>
        <v>0</v>
      </c>
      <c r="N275" s="90">
        <f t="shared" si="19"/>
        <v>3.7671612279509548E-3</v>
      </c>
      <c r="O275" s="68" t="s">
        <v>2761</v>
      </c>
      <c r="P275" s="63"/>
      <c r="Q275" s="62"/>
    </row>
    <row r="276" spans="1:17" ht="15" customHeight="1" x14ac:dyDescent="0.3">
      <c r="A276" s="70" t="s">
        <v>3024</v>
      </c>
      <c r="B276" s="112" t="s">
        <v>2409</v>
      </c>
      <c r="C276" s="101" t="s">
        <v>424</v>
      </c>
      <c r="D276" s="76" t="str">
        <f>IFERROR(INDEX(M_User!$A$12:$J$67,MATCH(C276,M_User!$D$12:$D$67,0),3),"UNMAPPED")</f>
        <v>Raymond P Sangawe</v>
      </c>
      <c r="E276" s="75" t="str">
        <f>IFERROR(INDEX(M_User!$A$12:$J$67,MATCH(C276,M_User!$D$12:$D$67,0),5),"UNMAPPED")</f>
        <v>MOS</v>
      </c>
      <c r="F276" s="101" t="s">
        <v>199</v>
      </c>
      <c r="G276" s="76" t="str">
        <f>IFERROR(INDEX(M_SKU!$A$18:$J$57,MATCH(F276,M_SKU!$B$18:$B$57,0),1),"UNKNOWN SKU")</f>
        <v>Krest Club Soda RGB 300ml</v>
      </c>
      <c r="H276" s="101" t="s">
        <v>539</v>
      </c>
      <c r="I276" s="102">
        <f>IFERROR(INDEX(T_Unload!$K$10:$K$433,MATCH(B276,T_Unload!$B$10:$B$433,0)),0)</f>
        <v>0.41727950704083394</v>
      </c>
      <c r="J276" s="111">
        <v>0.42</v>
      </c>
      <c r="K276" s="113">
        <f t="shared" si="16"/>
        <v>-2.7204929591660432E-3</v>
      </c>
      <c r="L276" s="114" t="str">
        <f t="shared" si="17"/>
        <v>Adjust Unload Upward</v>
      </c>
      <c r="M276" s="115">
        <f t="shared" si="18"/>
        <v>0</v>
      </c>
      <c r="N276" s="115">
        <f t="shared" si="19"/>
        <v>2.7204929591660432E-3</v>
      </c>
      <c r="O276" s="116" t="s">
        <v>2761</v>
      </c>
      <c r="P276" s="117"/>
      <c r="Q276" s="118"/>
    </row>
    <row r="277" spans="1:17" ht="15" customHeight="1" x14ac:dyDescent="0.3">
      <c r="A277" s="60" t="s">
        <v>3025</v>
      </c>
      <c r="B277" s="97" t="s">
        <v>2411</v>
      </c>
      <c r="C277" s="63" t="s">
        <v>424</v>
      </c>
      <c r="D277" s="66" t="str">
        <f>IFERROR(INDEX(M_User!$A$12:$J$67,MATCH(C277,M_User!$D$12:$D$67,0),3),"UNMAPPED")</f>
        <v>Raymond P Sangawe</v>
      </c>
      <c r="E277" s="65" t="str">
        <f>IFERROR(INDEX(M_User!$A$12:$J$67,MATCH(C277,M_User!$D$12:$D$67,0),5),"UNMAPPED")</f>
        <v>MOS</v>
      </c>
      <c r="F277" s="63" t="s">
        <v>201</v>
      </c>
      <c r="G277" s="66" t="str">
        <f>IFERROR(INDEX(M_SKU!$A$18:$J$57,MATCH(F277,M_SKU!$B$18:$B$57,0),1),"UNKNOWN SKU")</f>
        <v>Krest Tonic Water RGB 300ml</v>
      </c>
      <c r="H277" s="63" t="s">
        <v>540</v>
      </c>
      <c r="I277" s="98">
        <f>IFERROR(INDEX(T_Unload!$K$10:$K$433,MATCH(B277,T_Unload!$B$10:$B$433,0)),0)</f>
        <v>0.27603239936279511</v>
      </c>
      <c r="J277" s="111">
        <v>0.28000000000000003</v>
      </c>
      <c r="K277" s="99">
        <f t="shared" si="16"/>
        <v>-3.9676006372049155E-3</v>
      </c>
      <c r="L277" s="105" t="str">
        <f t="shared" si="17"/>
        <v>Adjust Unload Upward</v>
      </c>
      <c r="M277" s="90">
        <f t="shared" si="18"/>
        <v>0</v>
      </c>
      <c r="N277" s="90">
        <f t="shared" si="19"/>
        <v>3.9676006372049155E-3</v>
      </c>
      <c r="O277" s="68" t="s">
        <v>2761</v>
      </c>
      <c r="P277" s="63"/>
      <c r="Q277" s="62"/>
    </row>
    <row r="278" spans="1:17" ht="15" customHeight="1" x14ac:dyDescent="0.3">
      <c r="A278" s="70" t="s">
        <v>3026</v>
      </c>
      <c r="B278" s="112" t="s">
        <v>2413</v>
      </c>
      <c r="C278" s="101" t="s">
        <v>424</v>
      </c>
      <c r="D278" s="76" t="str">
        <f>IFERROR(INDEX(M_User!$A$12:$J$67,MATCH(C278,M_User!$D$12:$D$67,0),3),"UNMAPPED")</f>
        <v>Raymond P Sangawe</v>
      </c>
      <c r="E278" s="75" t="str">
        <f>IFERROR(INDEX(M_User!$A$12:$J$67,MATCH(C278,M_User!$D$12:$D$67,0),5),"UNMAPPED")</f>
        <v>MOS</v>
      </c>
      <c r="F278" s="101" t="s">
        <v>203</v>
      </c>
      <c r="G278" s="76" t="str">
        <f>IFERROR(INDEX(M_SKU!$A$18:$J$57,MATCH(F278,M_SKU!$B$18:$B$57,0),1),"UNKNOWN SKU")</f>
        <v>Krest Ginger Ale RGB 300ml</v>
      </c>
      <c r="H278" s="101" t="s">
        <v>541</v>
      </c>
      <c r="I278" s="102">
        <f>IFERROR(INDEX(T_Unload!$K$10:$K$433,MATCH(B278,T_Unload!$B$10:$B$433,0)),0)</f>
        <v>0.27447486145900024</v>
      </c>
      <c r="J278" s="111">
        <v>0.27</v>
      </c>
      <c r="K278" s="113">
        <f t="shared" si="16"/>
        <v>4.4748614590002234E-3</v>
      </c>
      <c r="L278" s="114" t="str">
        <f t="shared" si="17"/>
        <v>Post to Default Outlet</v>
      </c>
      <c r="M278" s="115">
        <f t="shared" si="18"/>
        <v>4.4748614590002234E-3</v>
      </c>
      <c r="N278" s="115">
        <f t="shared" si="19"/>
        <v>0</v>
      </c>
      <c r="O278" s="116" t="s">
        <v>2761</v>
      </c>
      <c r="P278" s="117"/>
      <c r="Q278" s="118"/>
    </row>
    <row r="279" spans="1:17" ht="15" customHeight="1" x14ac:dyDescent="0.3">
      <c r="A279" s="60" t="s">
        <v>3027</v>
      </c>
      <c r="B279" s="97" t="s">
        <v>2415</v>
      </c>
      <c r="C279" s="63" t="s">
        <v>424</v>
      </c>
      <c r="D279" s="66" t="str">
        <f>IFERROR(INDEX(M_User!$A$12:$J$67,MATCH(C279,M_User!$D$12:$D$67,0),3),"UNMAPPED")</f>
        <v>Raymond P Sangawe</v>
      </c>
      <c r="E279" s="65" t="str">
        <f>IFERROR(INDEX(M_User!$A$12:$J$67,MATCH(C279,M_User!$D$12:$D$67,0),5),"UNMAPPED")</f>
        <v>MOS</v>
      </c>
      <c r="F279" s="63" t="s">
        <v>209</v>
      </c>
      <c r="G279" s="66" t="str">
        <f>IFERROR(INDEX(M_SKU!$A$18:$J$57,MATCH(F279,M_SKU!$B$18:$B$57,0),1),"UNKNOWN SKU")</f>
        <v>Sparletta Red Apple RGB 350ml</v>
      </c>
      <c r="H279" s="63" t="s">
        <v>542</v>
      </c>
      <c r="I279" s="98">
        <f>IFERROR(INDEX(T_Unload!$K$10:$K$433,MATCH(B279,T_Unload!$B$10:$B$433,0)),0)</f>
        <v>0.40817839684587698</v>
      </c>
      <c r="J279" s="111">
        <v>0.41</v>
      </c>
      <c r="K279" s="99">
        <f t="shared" si="16"/>
        <v>-1.8216031541229971E-3</v>
      </c>
      <c r="L279" s="105" t="str">
        <f t="shared" si="17"/>
        <v>Adjust Unload Upward</v>
      </c>
      <c r="M279" s="90">
        <f t="shared" si="18"/>
        <v>0</v>
      </c>
      <c r="N279" s="90">
        <f t="shared" si="19"/>
        <v>1.8216031541229971E-3</v>
      </c>
      <c r="O279" s="68" t="s">
        <v>2761</v>
      </c>
      <c r="P279" s="63"/>
      <c r="Q279" s="62"/>
    </row>
    <row r="280" spans="1:17" ht="15" customHeight="1" x14ac:dyDescent="0.3">
      <c r="A280" s="70" t="s">
        <v>3028</v>
      </c>
      <c r="B280" s="112" t="s">
        <v>2417</v>
      </c>
      <c r="C280" s="101" t="s">
        <v>424</v>
      </c>
      <c r="D280" s="76" t="str">
        <f>IFERROR(INDEX(M_User!$A$12:$J$67,MATCH(C280,M_User!$D$12:$D$67,0),3),"UNMAPPED")</f>
        <v>Raymond P Sangawe</v>
      </c>
      <c r="E280" s="75" t="str">
        <f>IFERROR(INDEX(M_User!$A$12:$J$67,MATCH(C280,M_User!$D$12:$D$67,0),5),"UNMAPPED")</f>
        <v>MOS</v>
      </c>
      <c r="F280" s="101" t="s">
        <v>211</v>
      </c>
      <c r="G280" s="76" t="str">
        <f>IFERROR(INDEX(M_SKU!$A$18:$J$57,MATCH(F280,M_SKU!$B$18:$B$57,0),1),"UNKNOWN SKU")</f>
        <v>KNMW 500ml</v>
      </c>
      <c r="H280" s="101" t="s">
        <v>543</v>
      </c>
      <c r="I280" s="102">
        <f>IFERROR(INDEX(T_Unload!$K$10:$K$433,MATCH(B280,T_Unload!$B$10:$B$433,0)),0)</f>
        <v>6</v>
      </c>
      <c r="J280" s="111">
        <v>6</v>
      </c>
      <c r="K280" s="113">
        <f t="shared" si="16"/>
        <v>0</v>
      </c>
      <c r="L280" s="114" t="str">
        <f t="shared" si="17"/>
        <v>CLEAN</v>
      </c>
      <c r="M280" s="115">
        <f t="shared" si="18"/>
        <v>0</v>
      </c>
      <c r="N280" s="115">
        <f t="shared" si="19"/>
        <v>0</v>
      </c>
      <c r="O280" s="116" t="s">
        <v>2761</v>
      </c>
      <c r="P280" s="117"/>
      <c r="Q280" s="118"/>
    </row>
    <row r="281" spans="1:17" ht="15" customHeight="1" x14ac:dyDescent="0.3">
      <c r="A281" s="60" t="s">
        <v>3029</v>
      </c>
      <c r="B281" s="97" t="s">
        <v>2419</v>
      </c>
      <c r="C281" s="63" t="s">
        <v>424</v>
      </c>
      <c r="D281" s="66" t="str">
        <f>IFERROR(INDEX(M_User!$A$12:$J$67,MATCH(C281,M_User!$D$12:$D$67,0),3),"UNMAPPED")</f>
        <v>Raymond P Sangawe</v>
      </c>
      <c r="E281" s="65" t="str">
        <f>IFERROR(INDEX(M_User!$A$12:$J$67,MATCH(C281,M_User!$D$12:$D$67,0),5),"UNMAPPED")</f>
        <v>MOS</v>
      </c>
      <c r="F281" s="63" t="s">
        <v>217</v>
      </c>
      <c r="G281" s="66" t="str">
        <f>IFERROR(INDEX(M_SKU!$A$18:$J$57,MATCH(F281,M_SKU!$B$18:$B$57,0),1),"UNKNOWN SKU")</f>
        <v>KNMW 1500ml</v>
      </c>
      <c r="H281" s="63" t="s">
        <v>551</v>
      </c>
      <c r="I281" s="98">
        <f>IFERROR(INDEX(T_Unload!$K$10:$K$433,MATCH(B281,T_Unload!$B$10:$B$433,0)),0)</f>
        <v>22</v>
      </c>
      <c r="J281" s="111">
        <v>22</v>
      </c>
      <c r="K281" s="99">
        <f t="shared" si="16"/>
        <v>0</v>
      </c>
      <c r="L281" s="105" t="str">
        <f t="shared" si="17"/>
        <v>CLEAN</v>
      </c>
      <c r="M281" s="90">
        <f t="shared" si="18"/>
        <v>0</v>
      </c>
      <c r="N281" s="90">
        <f t="shared" si="19"/>
        <v>0</v>
      </c>
      <c r="O281" s="68" t="s">
        <v>2761</v>
      </c>
      <c r="P281" s="63"/>
      <c r="Q281" s="62"/>
    </row>
    <row r="282" spans="1:17" ht="15" customHeight="1" x14ac:dyDescent="0.3">
      <c r="A282" s="70" t="s">
        <v>3030</v>
      </c>
      <c r="B282" s="112" t="s">
        <v>2421</v>
      </c>
      <c r="C282" s="101" t="s">
        <v>424</v>
      </c>
      <c r="D282" s="76" t="str">
        <f>IFERROR(INDEX(M_User!$A$12:$J$67,MATCH(C282,M_User!$D$12:$D$67,0),3),"UNMAPPED")</f>
        <v>Raymond P Sangawe</v>
      </c>
      <c r="E282" s="75" t="str">
        <f>IFERROR(INDEX(M_User!$A$12:$J$67,MATCH(C282,M_User!$D$12:$D$67,0),5),"UNMAPPED")</f>
        <v>MOS</v>
      </c>
      <c r="F282" s="101" t="s">
        <v>229</v>
      </c>
      <c r="G282" s="76" t="str">
        <f>IFERROR(INDEX(M_SKU!$A$18:$J$57,MATCH(F282,M_SKU!$B$18:$B$57,0),1),"UNKNOWN SKU")</f>
        <v>Coke Pet 500ML ( x12)</v>
      </c>
      <c r="H282" s="101" t="s">
        <v>520</v>
      </c>
      <c r="I282" s="102">
        <f>IFERROR(INDEX(T_Unload!$K$10:$K$433,MATCH(B282,T_Unload!$B$10:$B$433,0)),0)</f>
        <v>4</v>
      </c>
      <c r="J282" s="111">
        <v>4</v>
      </c>
      <c r="K282" s="113">
        <f t="shared" si="16"/>
        <v>0</v>
      </c>
      <c r="L282" s="114" t="str">
        <f t="shared" si="17"/>
        <v>CLEAN</v>
      </c>
      <c r="M282" s="115">
        <f t="shared" si="18"/>
        <v>0</v>
      </c>
      <c r="N282" s="115">
        <f t="shared" si="19"/>
        <v>0</v>
      </c>
      <c r="O282" s="116" t="s">
        <v>2761</v>
      </c>
      <c r="P282" s="117"/>
      <c r="Q282" s="118"/>
    </row>
    <row r="283" spans="1:17" ht="15" customHeight="1" x14ac:dyDescent="0.3">
      <c r="A283" s="60" t="s">
        <v>3031</v>
      </c>
      <c r="B283" s="97" t="s">
        <v>2423</v>
      </c>
      <c r="C283" s="63" t="s">
        <v>424</v>
      </c>
      <c r="D283" s="66" t="str">
        <f>IFERROR(INDEX(M_User!$A$12:$J$67,MATCH(C283,M_User!$D$12:$D$67,0),3),"UNMAPPED")</f>
        <v>Raymond P Sangawe</v>
      </c>
      <c r="E283" s="65" t="str">
        <f>IFERROR(INDEX(M_User!$A$12:$J$67,MATCH(C283,M_User!$D$12:$D$67,0),5),"UNMAPPED")</f>
        <v>MOS</v>
      </c>
      <c r="F283" s="63" t="s">
        <v>232</v>
      </c>
      <c r="G283" s="66" t="str">
        <f>IFERROR(INDEX(M_SKU!$A$18:$J$57,MATCH(F283,M_SKU!$B$18:$B$57,0),1),"UNKNOWN SKU")</f>
        <v>Sprite Pet 500ML (x 12)</v>
      </c>
      <c r="H283" s="63" t="s">
        <v>522</v>
      </c>
      <c r="I283" s="98">
        <f>IFERROR(INDEX(T_Unload!$K$10:$K$433,MATCH(B283,T_Unload!$B$10:$B$433,0)),0)</f>
        <v>1</v>
      </c>
      <c r="J283" s="111">
        <v>1</v>
      </c>
      <c r="K283" s="99">
        <f t="shared" si="16"/>
        <v>0</v>
      </c>
      <c r="L283" s="105" t="str">
        <f t="shared" si="17"/>
        <v>CLEAN</v>
      </c>
      <c r="M283" s="90">
        <f t="shared" si="18"/>
        <v>0</v>
      </c>
      <c r="N283" s="90">
        <f t="shared" si="19"/>
        <v>0</v>
      </c>
      <c r="O283" s="68" t="s">
        <v>2761</v>
      </c>
      <c r="P283" s="63"/>
      <c r="Q283" s="62"/>
    </row>
    <row r="284" spans="1:17" ht="15" customHeight="1" x14ac:dyDescent="0.3">
      <c r="A284" s="70" t="s">
        <v>3032</v>
      </c>
      <c r="B284" s="112" t="s">
        <v>2425</v>
      </c>
      <c r="C284" s="101" t="s">
        <v>424</v>
      </c>
      <c r="D284" s="76" t="str">
        <f>IFERROR(INDEX(M_User!$A$12:$J$67,MATCH(C284,M_User!$D$12:$D$67,0),3),"UNMAPPED")</f>
        <v>Raymond P Sangawe</v>
      </c>
      <c r="E284" s="75" t="str">
        <f>IFERROR(INDEX(M_User!$A$12:$J$67,MATCH(C284,M_User!$D$12:$D$67,0),5),"UNMAPPED")</f>
        <v>MOS</v>
      </c>
      <c r="F284" s="101" t="s">
        <v>234</v>
      </c>
      <c r="G284" s="76" t="str">
        <f>IFERROR(INDEX(M_SKU!$A$18:$J$57,MATCH(F284,M_SKU!$B$18:$B$57,0),1),"UNKNOWN SKU")</f>
        <v>Fanta Orange Pet 500ML ( x 12)</v>
      </c>
      <c r="H284" s="101" t="s">
        <v>523</v>
      </c>
      <c r="I284" s="102">
        <f>IFERROR(INDEX(T_Unload!$K$10:$K$433,MATCH(B284,T_Unload!$B$10:$B$433,0)),0)</f>
        <v>2</v>
      </c>
      <c r="J284" s="111">
        <v>2</v>
      </c>
      <c r="K284" s="113">
        <f t="shared" si="16"/>
        <v>0</v>
      </c>
      <c r="L284" s="114" t="str">
        <f t="shared" si="17"/>
        <v>CLEAN</v>
      </c>
      <c r="M284" s="115">
        <f t="shared" si="18"/>
        <v>0</v>
      </c>
      <c r="N284" s="115">
        <f t="shared" si="19"/>
        <v>0</v>
      </c>
      <c r="O284" s="116" t="s">
        <v>2761</v>
      </c>
      <c r="P284" s="117"/>
      <c r="Q284" s="118"/>
    </row>
    <row r="285" spans="1:17" ht="15" customHeight="1" x14ac:dyDescent="0.3">
      <c r="A285" s="60" t="s">
        <v>3033</v>
      </c>
      <c r="B285" s="97" t="s">
        <v>2427</v>
      </c>
      <c r="C285" s="63" t="s">
        <v>424</v>
      </c>
      <c r="D285" s="66" t="str">
        <f>IFERROR(INDEX(M_User!$A$12:$J$67,MATCH(C285,M_User!$D$12:$D$67,0),3),"UNMAPPED")</f>
        <v>Raymond P Sangawe</v>
      </c>
      <c r="E285" s="65" t="str">
        <f>IFERROR(INDEX(M_User!$A$12:$J$67,MATCH(C285,M_User!$D$12:$D$67,0),5),"UNMAPPED")</f>
        <v>MOS</v>
      </c>
      <c r="F285" s="63" t="s">
        <v>236</v>
      </c>
      <c r="G285" s="66" t="str">
        <f>IFERROR(INDEX(M_SKU!$A$18:$J$57,MATCH(F285,M_SKU!$B$18:$B$57,0),1),"UNKNOWN SKU")</f>
        <v>Fanta Passion Pet 500ML ( x12)</v>
      </c>
      <c r="H285" s="63" t="s">
        <v>524</v>
      </c>
      <c r="I285" s="98">
        <f>IFERROR(INDEX(T_Unload!$K$10:$K$433,MATCH(B285,T_Unload!$B$10:$B$433,0)),0)</f>
        <v>1</v>
      </c>
      <c r="J285" s="111">
        <v>1</v>
      </c>
      <c r="K285" s="99">
        <f t="shared" si="16"/>
        <v>0</v>
      </c>
      <c r="L285" s="105" t="str">
        <f t="shared" si="17"/>
        <v>CLEAN</v>
      </c>
      <c r="M285" s="90">
        <f t="shared" si="18"/>
        <v>0</v>
      </c>
      <c r="N285" s="90">
        <f t="shared" si="19"/>
        <v>0</v>
      </c>
      <c r="O285" s="68" t="s">
        <v>2761</v>
      </c>
      <c r="P285" s="63"/>
      <c r="Q285" s="62"/>
    </row>
    <row r="286" spans="1:17" ht="15" customHeight="1" x14ac:dyDescent="0.3">
      <c r="A286" s="70" t="s">
        <v>3034</v>
      </c>
      <c r="B286" s="112" t="s">
        <v>2429</v>
      </c>
      <c r="C286" s="101" t="s">
        <v>424</v>
      </c>
      <c r="D286" s="76" t="str">
        <f>IFERROR(INDEX(M_User!$A$12:$J$67,MATCH(C286,M_User!$D$12:$D$67,0),3),"UNMAPPED")</f>
        <v>Raymond P Sangawe</v>
      </c>
      <c r="E286" s="75" t="str">
        <f>IFERROR(INDEX(M_User!$A$12:$J$67,MATCH(C286,M_User!$D$12:$D$67,0),5),"UNMAPPED")</f>
        <v>MOS</v>
      </c>
      <c r="F286" s="101" t="s">
        <v>242</v>
      </c>
      <c r="G286" s="76" t="str">
        <f>IFERROR(INDEX(M_SKU!$A$18:$J$57,MATCH(F286,M_SKU!$B$18:$B$57,0),1),"UNKNOWN SKU")</f>
        <v>Stoney Tangawizi Pet 500 ml ( x12)</v>
      </c>
      <c r="H286" s="101" t="s">
        <v>525</v>
      </c>
      <c r="I286" s="102">
        <f>IFERROR(INDEX(T_Unload!$K$10:$K$433,MATCH(B286,T_Unload!$B$10:$B$433,0)),0)</f>
        <v>0</v>
      </c>
      <c r="J286" s="111">
        <v>0</v>
      </c>
      <c r="K286" s="113">
        <f t="shared" si="16"/>
        <v>0</v>
      </c>
      <c r="L286" s="114" t="str">
        <f t="shared" si="17"/>
        <v>CLEAN</v>
      </c>
      <c r="M286" s="115">
        <f t="shared" si="18"/>
        <v>0</v>
      </c>
      <c r="N286" s="115">
        <f t="shared" si="19"/>
        <v>0</v>
      </c>
      <c r="O286" s="116" t="s">
        <v>2761</v>
      </c>
      <c r="P286" s="117"/>
      <c r="Q286" s="118"/>
    </row>
    <row r="287" spans="1:17" ht="15" customHeight="1" x14ac:dyDescent="0.3">
      <c r="A287" s="60" t="s">
        <v>3035</v>
      </c>
      <c r="B287" s="97" t="s">
        <v>2431</v>
      </c>
      <c r="C287" s="63" t="s">
        <v>424</v>
      </c>
      <c r="D287" s="66" t="str">
        <f>IFERROR(INDEX(M_User!$A$12:$J$67,MATCH(C287,M_User!$D$12:$D$67,0),3),"UNMAPPED")</f>
        <v>Raymond P Sangawe</v>
      </c>
      <c r="E287" s="65" t="str">
        <f>IFERROR(INDEX(M_User!$A$12:$J$67,MATCH(C287,M_User!$D$12:$D$67,0),5),"UNMAPPED")</f>
        <v>MOS</v>
      </c>
      <c r="F287" s="63" t="s">
        <v>244</v>
      </c>
      <c r="G287" s="66" t="str">
        <f>IFERROR(INDEX(M_SKU!$A$18:$J$57,MATCH(F287,M_SKU!$B$18:$B$57,0),1),"UNKNOWN SKU")</f>
        <v>Sparletta Pinenut Pet 500 ml ( x12)</v>
      </c>
      <c r="H287" s="63" t="s">
        <v>526</v>
      </c>
      <c r="I287" s="98">
        <f>IFERROR(INDEX(T_Unload!$K$10:$K$433,MATCH(B287,T_Unload!$B$10:$B$433,0)),0)</f>
        <v>0</v>
      </c>
      <c r="J287" s="111">
        <v>0</v>
      </c>
      <c r="K287" s="99">
        <f t="shared" si="16"/>
        <v>0</v>
      </c>
      <c r="L287" s="105" t="str">
        <f t="shared" si="17"/>
        <v>CLEAN</v>
      </c>
      <c r="M287" s="90">
        <f t="shared" si="18"/>
        <v>0</v>
      </c>
      <c r="N287" s="90">
        <f t="shared" si="19"/>
        <v>0</v>
      </c>
      <c r="O287" s="68" t="s">
        <v>2761</v>
      </c>
      <c r="P287" s="63"/>
      <c r="Q287" s="62"/>
    </row>
    <row r="288" spans="1:17" ht="15" customHeight="1" x14ac:dyDescent="0.3">
      <c r="A288" s="70" t="s">
        <v>3036</v>
      </c>
      <c r="B288" s="112" t="s">
        <v>2433</v>
      </c>
      <c r="C288" s="101" t="s">
        <v>424</v>
      </c>
      <c r="D288" s="76" t="str">
        <f>IFERROR(INDEX(M_User!$A$12:$J$67,MATCH(C288,M_User!$D$12:$D$67,0),3),"UNMAPPED")</f>
        <v>Raymond P Sangawe</v>
      </c>
      <c r="E288" s="75" t="str">
        <f>IFERROR(INDEX(M_User!$A$12:$J$67,MATCH(C288,M_User!$D$12:$D$67,0),5),"UNMAPPED")</f>
        <v>MOS</v>
      </c>
      <c r="F288" s="101" t="s">
        <v>252</v>
      </c>
      <c r="G288" s="76" t="str">
        <f>IFERROR(INDEX(M_SKU!$A$18:$J$57,MATCH(F288,M_SKU!$B$18:$B$57,0),1),"UNKNOWN SKU")</f>
        <v>Sprite Zero Pet 300ML (x 12)</v>
      </c>
      <c r="H288" s="101" t="s">
        <v>545</v>
      </c>
      <c r="I288" s="102">
        <f>IFERROR(INDEX(T_Unload!$K$10:$K$433,MATCH(B288,T_Unload!$B$10:$B$433,0)),0)</f>
        <v>0</v>
      </c>
      <c r="J288" s="111">
        <v>0</v>
      </c>
      <c r="K288" s="113">
        <f t="shared" si="16"/>
        <v>0</v>
      </c>
      <c r="L288" s="114" t="str">
        <f t="shared" si="17"/>
        <v>CLEAN</v>
      </c>
      <c r="M288" s="115">
        <f t="shared" si="18"/>
        <v>0</v>
      </c>
      <c r="N288" s="115">
        <f t="shared" si="19"/>
        <v>0</v>
      </c>
      <c r="O288" s="116" t="s">
        <v>2761</v>
      </c>
      <c r="P288" s="117"/>
      <c r="Q288" s="118"/>
    </row>
    <row r="289" spans="1:17" ht="15" customHeight="1" x14ac:dyDescent="0.3">
      <c r="A289" s="60" t="s">
        <v>3037</v>
      </c>
      <c r="B289" s="97" t="s">
        <v>2435</v>
      </c>
      <c r="C289" s="63" t="s">
        <v>424</v>
      </c>
      <c r="D289" s="66" t="str">
        <f>IFERROR(INDEX(M_User!$A$12:$J$67,MATCH(C289,M_User!$D$12:$D$67,0),3),"UNMAPPED")</f>
        <v>Raymond P Sangawe</v>
      </c>
      <c r="E289" s="65" t="str">
        <f>IFERROR(INDEX(M_User!$A$12:$J$67,MATCH(C289,M_User!$D$12:$D$67,0),5),"UNMAPPED")</f>
        <v>MOS</v>
      </c>
      <c r="F289" s="63" t="s">
        <v>254</v>
      </c>
      <c r="G289" s="66" t="str">
        <f>IFERROR(INDEX(M_SKU!$A$18:$J$57,MATCH(F289,M_SKU!$B$18:$B$57,0),1),"UNKNOWN SKU")</f>
        <v>Fanta Zero Pet 300ML (x 12)</v>
      </c>
      <c r="H289" s="63" t="s">
        <v>546</v>
      </c>
      <c r="I289" s="98">
        <f>IFERROR(INDEX(T_Unload!$K$10:$K$433,MATCH(B289,T_Unload!$B$10:$B$433,0)),0)</f>
        <v>0</v>
      </c>
      <c r="J289" s="111">
        <v>0</v>
      </c>
      <c r="K289" s="99">
        <f t="shared" si="16"/>
        <v>0</v>
      </c>
      <c r="L289" s="105" t="str">
        <f t="shared" si="17"/>
        <v>CLEAN</v>
      </c>
      <c r="M289" s="90">
        <f t="shared" si="18"/>
        <v>0</v>
      </c>
      <c r="N289" s="90">
        <f t="shared" si="19"/>
        <v>0</v>
      </c>
      <c r="O289" s="68" t="s">
        <v>2761</v>
      </c>
      <c r="P289" s="63"/>
      <c r="Q289" s="62"/>
    </row>
    <row r="290" spans="1:17" ht="15" customHeight="1" x14ac:dyDescent="0.3">
      <c r="A290" s="70" t="s">
        <v>3038</v>
      </c>
      <c r="B290" s="112" t="s">
        <v>2437</v>
      </c>
      <c r="C290" s="101" t="s">
        <v>424</v>
      </c>
      <c r="D290" s="76" t="str">
        <f>IFERROR(INDEX(M_User!$A$12:$J$67,MATCH(C290,M_User!$D$12:$D$67,0),3),"UNMAPPED")</f>
        <v>Raymond P Sangawe</v>
      </c>
      <c r="E290" s="75" t="str">
        <f>IFERROR(INDEX(M_User!$A$12:$J$67,MATCH(C290,M_User!$D$12:$D$67,0),5),"UNMAPPED")</f>
        <v>MOS</v>
      </c>
      <c r="F290" s="101" t="s">
        <v>261</v>
      </c>
      <c r="G290" s="76" t="str">
        <f>IFERROR(INDEX(M_SKU!$A$18:$J$57,MATCH(F290,M_SKU!$B$18:$B$57,0),1),"UNKNOWN SKU")</f>
        <v>Sparletta Pine Apple Pet 300ML (x 12)</v>
      </c>
      <c r="H290" s="101" t="s">
        <v>547</v>
      </c>
      <c r="I290" s="102">
        <f>IFERROR(INDEX(T_Unload!$K$10:$K$433,MATCH(B290,T_Unload!$B$10:$B$433,0)),0)</f>
        <v>0</v>
      </c>
      <c r="J290" s="111">
        <v>0</v>
      </c>
      <c r="K290" s="113">
        <f t="shared" si="16"/>
        <v>0</v>
      </c>
      <c r="L290" s="114" t="str">
        <f t="shared" si="17"/>
        <v>CLEAN</v>
      </c>
      <c r="M290" s="115">
        <f t="shared" si="18"/>
        <v>0</v>
      </c>
      <c r="N290" s="115">
        <f t="shared" si="19"/>
        <v>0</v>
      </c>
      <c r="O290" s="116" t="s">
        <v>2761</v>
      </c>
      <c r="P290" s="117"/>
      <c r="Q290" s="118"/>
    </row>
    <row r="291" spans="1:17" ht="15" customHeight="1" x14ac:dyDescent="0.3">
      <c r="A291" s="60" t="s">
        <v>3039</v>
      </c>
      <c r="B291" s="97" t="s">
        <v>2439</v>
      </c>
      <c r="C291" s="63" t="s">
        <v>370</v>
      </c>
      <c r="D291" s="66" t="str">
        <f>IFERROR(INDEX(M_User!$A$12:$J$67,MATCH(C291,M_User!$D$12:$D$67,0),3),"UNMAPPED")</f>
        <v>Zawadi Jastin Laizer</v>
      </c>
      <c r="E291" s="65" t="str">
        <f>IFERROR(INDEX(M_User!$A$12:$J$67,MATCH(C291,M_User!$D$12:$D$67,0),5),"UNMAPPED")</f>
        <v>MOS</v>
      </c>
      <c r="F291" s="63" t="s">
        <v>170</v>
      </c>
      <c r="G291" s="66" t="str">
        <f>IFERROR(INDEX(M_SKU!$A$18:$J$57,MATCH(F291,M_SKU!$B$18:$B$57,0),1),"UNKNOWN SKU")</f>
        <v>Coke RGB 350ml</v>
      </c>
      <c r="H291" s="63" t="s">
        <v>530</v>
      </c>
      <c r="I291" s="98">
        <f>IFERROR(INDEX(T_Unload!$K$10:$K$433,MATCH(B291,T_Unload!$B$10:$B$433,0)),0)</f>
        <v>18.856412843292205</v>
      </c>
      <c r="J291" s="111">
        <v>18.86</v>
      </c>
      <c r="K291" s="99">
        <f t="shared" si="16"/>
        <v>-3.5871567077947475E-3</v>
      </c>
      <c r="L291" s="105" t="str">
        <f t="shared" si="17"/>
        <v>Adjust Unload Upward</v>
      </c>
      <c r="M291" s="90">
        <f t="shared" si="18"/>
        <v>0</v>
      </c>
      <c r="N291" s="90">
        <f t="shared" si="19"/>
        <v>3.5871567077947475E-3</v>
      </c>
      <c r="O291" s="68" t="s">
        <v>2761</v>
      </c>
      <c r="P291" s="63"/>
      <c r="Q291" s="62"/>
    </row>
    <row r="292" spans="1:17" ht="15" customHeight="1" x14ac:dyDescent="0.3">
      <c r="A292" s="70" t="s">
        <v>3040</v>
      </c>
      <c r="B292" s="112" t="s">
        <v>2441</v>
      </c>
      <c r="C292" s="101" t="s">
        <v>370</v>
      </c>
      <c r="D292" s="76" t="str">
        <f>IFERROR(INDEX(M_User!$A$12:$J$67,MATCH(C292,M_User!$D$12:$D$67,0),3),"UNMAPPED")</f>
        <v>Zawadi Jastin Laizer</v>
      </c>
      <c r="E292" s="75" t="str">
        <f>IFERROR(INDEX(M_User!$A$12:$J$67,MATCH(C292,M_User!$D$12:$D$67,0),5),"UNMAPPED")</f>
        <v>MOS</v>
      </c>
      <c r="F292" s="101" t="s">
        <v>178</v>
      </c>
      <c r="G292" s="76" t="str">
        <f>IFERROR(INDEX(M_SKU!$A$18:$J$57,MATCH(F292,M_SKU!$B$18:$B$57,0),1),"UNKNOWN SKU")</f>
        <v>Fanta Orange RGB 350ml</v>
      </c>
      <c r="H292" s="101" t="s">
        <v>531</v>
      </c>
      <c r="I292" s="102">
        <f>IFERROR(INDEX(T_Unload!$K$10:$K$433,MATCH(B292,T_Unload!$B$10:$B$433,0)),0)</f>
        <v>5.6607072550333015</v>
      </c>
      <c r="J292" s="111">
        <v>5.66</v>
      </c>
      <c r="K292" s="113">
        <f t="shared" si="16"/>
        <v>7.072550333013794E-4</v>
      </c>
      <c r="L292" s="114" t="str">
        <f t="shared" si="17"/>
        <v>Post to Default Outlet</v>
      </c>
      <c r="M292" s="115">
        <f t="shared" si="18"/>
        <v>7.072550333013794E-4</v>
      </c>
      <c r="N292" s="115">
        <f t="shared" si="19"/>
        <v>0</v>
      </c>
      <c r="O292" s="116" t="s">
        <v>2761</v>
      </c>
      <c r="P292" s="117"/>
      <c r="Q292" s="118"/>
    </row>
    <row r="293" spans="1:17" ht="15" customHeight="1" x14ac:dyDescent="0.3">
      <c r="A293" s="60" t="s">
        <v>3041</v>
      </c>
      <c r="B293" s="97" t="s">
        <v>2443</v>
      </c>
      <c r="C293" s="63" t="s">
        <v>370</v>
      </c>
      <c r="D293" s="66" t="str">
        <f>IFERROR(INDEX(M_User!$A$12:$J$67,MATCH(C293,M_User!$D$12:$D$67,0),3),"UNMAPPED")</f>
        <v>Zawadi Jastin Laizer</v>
      </c>
      <c r="E293" s="65" t="str">
        <f>IFERROR(INDEX(M_User!$A$12:$J$67,MATCH(C293,M_User!$D$12:$D$67,0),5),"UNMAPPED")</f>
        <v>MOS</v>
      </c>
      <c r="F293" s="63" t="s">
        <v>181</v>
      </c>
      <c r="G293" s="66" t="str">
        <f>IFERROR(INDEX(M_SKU!$A$18:$J$57,MATCH(F293,M_SKU!$B$18:$B$57,0),1),"UNKNOWN SKU")</f>
        <v>Fanta Passion RGB 350ml</v>
      </c>
      <c r="H293" s="63" t="s">
        <v>550</v>
      </c>
      <c r="I293" s="98">
        <f>IFERROR(INDEX(T_Unload!$K$10:$K$433,MATCH(B293,T_Unload!$B$10:$B$433,0)),0)</f>
        <v>1.5840427254948608</v>
      </c>
      <c r="J293" s="111">
        <v>1.58</v>
      </c>
      <c r="K293" s="99">
        <f t="shared" si="16"/>
        <v>4.0427254948607327E-3</v>
      </c>
      <c r="L293" s="105" t="str">
        <f t="shared" si="17"/>
        <v>Post to Default Outlet</v>
      </c>
      <c r="M293" s="90">
        <f t="shared" si="18"/>
        <v>4.0427254948607327E-3</v>
      </c>
      <c r="N293" s="90">
        <f t="shared" si="19"/>
        <v>0</v>
      </c>
      <c r="O293" s="68" t="s">
        <v>2761</v>
      </c>
      <c r="P293" s="63"/>
      <c r="Q293" s="62"/>
    </row>
    <row r="294" spans="1:17" ht="15" customHeight="1" x14ac:dyDescent="0.3">
      <c r="A294" s="70" t="s">
        <v>3042</v>
      </c>
      <c r="B294" s="112" t="s">
        <v>2445</v>
      </c>
      <c r="C294" s="101" t="s">
        <v>370</v>
      </c>
      <c r="D294" s="76" t="str">
        <f>IFERROR(INDEX(M_User!$A$12:$J$67,MATCH(C294,M_User!$D$12:$D$67,0),3),"UNMAPPED")</f>
        <v>Zawadi Jastin Laizer</v>
      </c>
      <c r="E294" s="75" t="str">
        <f>IFERROR(INDEX(M_User!$A$12:$J$67,MATCH(C294,M_User!$D$12:$D$67,0),5),"UNMAPPED")</f>
        <v>MOS</v>
      </c>
      <c r="F294" s="101" t="s">
        <v>183</v>
      </c>
      <c r="G294" s="76" t="str">
        <f>IFERROR(INDEX(M_SKU!$A$18:$J$57,MATCH(F294,M_SKU!$B$18:$B$57,0),1),"UNKNOWN SKU")</f>
        <v>Fanta Pineapple RGB 350ml</v>
      </c>
      <c r="H294" s="101" t="s">
        <v>533</v>
      </c>
      <c r="I294" s="102">
        <f>IFERROR(INDEX(T_Unload!$K$10:$K$433,MATCH(B294,T_Unload!$B$10:$B$433,0)),0)</f>
        <v>3.4041023449725394</v>
      </c>
      <c r="J294" s="111">
        <v>3.4</v>
      </c>
      <c r="K294" s="113">
        <f t="shared" si="16"/>
        <v>4.1023449725394734E-3</v>
      </c>
      <c r="L294" s="114" t="str">
        <f t="shared" si="17"/>
        <v>Post to Default Outlet</v>
      </c>
      <c r="M294" s="115">
        <f t="shared" si="18"/>
        <v>4.1023449725394734E-3</v>
      </c>
      <c r="N294" s="115">
        <f t="shared" si="19"/>
        <v>0</v>
      </c>
      <c r="O294" s="116" t="s">
        <v>2761</v>
      </c>
      <c r="P294" s="117"/>
      <c r="Q294" s="118"/>
    </row>
    <row r="295" spans="1:17" ht="15" customHeight="1" x14ac:dyDescent="0.3">
      <c r="A295" s="60" t="s">
        <v>3043</v>
      </c>
      <c r="B295" s="97" t="s">
        <v>2447</v>
      </c>
      <c r="C295" s="63" t="s">
        <v>370</v>
      </c>
      <c r="D295" s="66" t="str">
        <f>IFERROR(INDEX(M_User!$A$12:$J$67,MATCH(C295,M_User!$D$12:$D$67,0),3),"UNMAPPED")</f>
        <v>Zawadi Jastin Laizer</v>
      </c>
      <c r="E295" s="65" t="str">
        <f>IFERROR(INDEX(M_User!$A$12:$J$67,MATCH(C295,M_User!$D$12:$D$67,0),5),"UNMAPPED")</f>
        <v>MOS</v>
      </c>
      <c r="F295" s="63" t="s">
        <v>185</v>
      </c>
      <c r="G295" s="66" t="str">
        <f>IFERROR(INDEX(M_SKU!$A$18:$J$57,MATCH(F295,M_SKU!$B$18:$B$57,0),1),"UNKNOWN SKU")</f>
        <v>Fanta Fruit Blast RGB 350 ml</v>
      </c>
      <c r="H295" s="63" t="s">
        <v>534</v>
      </c>
      <c r="I295" s="98">
        <f>IFERROR(INDEX(T_Unload!$K$10:$K$433,MATCH(B295,T_Unload!$B$10:$B$433,0)),0)</f>
        <v>1.1301437195141899</v>
      </c>
      <c r="J295" s="111">
        <v>1.1299999999999999</v>
      </c>
      <c r="K295" s="99">
        <f t="shared" si="16"/>
        <v>1.437195141900105E-4</v>
      </c>
      <c r="L295" s="105" t="str">
        <f t="shared" si="17"/>
        <v>Post to Default Outlet</v>
      </c>
      <c r="M295" s="90">
        <f t="shared" si="18"/>
        <v>1.437195141900105E-4</v>
      </c>
      <c r="N295" s="90">
        <f t="shared" si="19"/>
        <v>0</v>
      </c>
      <c r="O295" s="68" t="s">
        <v>2761</v>
      </c>
      <c r="P295" s="63"/>
      <c r="Q295" s="62"/>
    </row>
    <row r="296" spans="1:17" ht="15" customHeight="1" x14ac:dyDescent="0.3">
      <c r="A296" s="70" t="s">
        <v>3044</v>
      </c>
      <c r="B296" s="112" t="s">
        <v>2449</v>
      </c>
      <c r="C296" s="101" t="s">
        <v>370</v>
      </c>
      <c r="D296" s="76" t="str">
        <f>IFERROR(INDEX(M_User!$A$12:$J$67,MATCH(C296,M_User!$D$12:$D$67,0),3),"UNMAPPED")</f>
        <v>Zawadi Jastin Laizer</v>
      </c>
      <c r="E296" s="75" t="str">
        <f>IFERROR(INDEX(M_User!$A$12:$J$67,MATCH(C296,M_User!$D$12:$D$67,0),5),"UNMAPPED")</f>
        <v>MOS</v>
      </c>
      <c r="F296" s="101" t="s">
        <v>187</v>
      </c>
      <c r="G296" s="76" t="str">
        <f>IFERROR(INDEX(M_SKU!$A$18:$J$57,MATCH(F296,M_SKU!$B$18:$B$57,0),1),"UNKNOWN SKU")</f>
        <v>Sprite 350ml</v>
      </c>
      <c r="H296" s="101" t="s">
        <v>535</v>
      </c>
      <c r="I296" s="102">
        <f>IFERROR(INDEX(T_Unload!$K$10:$K$433,MATCH(B296,T_Unload!$B$10:$B$433,0)),0)</f>
        <v>3.3842523884126585</v>
      </c>
      <c r="J296" s="111">
        <v>3.38</v>
      </c>
      <c r="K296" s="113">
        <f t="shared" si="16"/>
        <v>4.2523884126586253E-3</v>
      </c>
      <c r="L296" s="114" t="str">
        <f t="shared" si="17"/>
        <v>Post to Default Outlet</v>
      </c>
      <c r="M296" s="115">
        <f t="shared" si="18"/>
        <v>4.2523884126586253E-3</v>
      </c>
      <c r="N296" s="115">
        <f t="shared" si="19"/>
        <v>0</v>
      </c>
      <c r="O296" s="116" t="s">
        <v>2761</v>
      </c>
      <c r="P296" s="117"/>
      <c r="Q296" s="118"/>
    </row>
    <row r="297" spans="1:17" ht="15" customHeight="1" x14ac:dyDescent="0.3">
      <c r="A297" s="60" t="s">
        <v>3045</v>
      </c>
      <c r="B297" s="97" t="s">
        <v>2451</v>
      </c>
      <c r="C297" s="63" t="s">
        <v>370</v>
      </c>
      <c r="D297" s="66" t="str">
        <f>IFERROR(INDEX(M_User!$A$12:$J$67,MATCH(C297,M_User!$D$12:$D$67,0),3),"UNMAPPED")</f>
        <v>Zawadi Jastin Laizer</v>
      </c>
      <c r="E297" s="65" t="str">
        <f>IFERROR(INDEX(M_User!$A$12:$J$67,MATCH(C297,M_User!$D$12:$D$67,0),5),"UNMAPPED")</f>
        <v>MOS</v>
      </c>
      <c r="F297" s="63" t="s">
        <v>190</v>
      </c>
      <c r="G297" s="66" t="str">
        <f>IFERROR(INDEX(M_SKU!$A$18:$J$57,MATCH(F297,M_SKU!$B$18:$B$57,0),1),"UNKNOWN SKU")</f>
        <v>Stoney Tangawizi RGB 350ml</v>
      </c>
      <c r="H297" s="63" t="s">
        <v>536</v>
      </c>
      <c r="I297" s="98">
        <f>IFERROR(INDEX(T_Unload!$K$10:$K$433,MATCH(B297,T_Unload!$B$10:$B$433,0)),0)</f>
        <v>0.82245389661185531</v>
      </c>
      <c r="J297" s="111">
        <v>0.82</v>
      </c>
      <c r="K297" s="99">
        <f t="shared" si="16"/>
        <v>2.4538966118553551E-3</v>
      </c>
      <c r="L297" s="105" t="str">
        <f t="shared" si="17"/>
        <v>Post to Default Outlet</v>
      </c>
      <c r="M297" s="90">
        <f t="shared" si="18"/>
        <v>2.4538966118553551E-3</v>
      </c>
      <c r="N297" s="90">
        <f t="shared" si="19"/>
        <v>0</v>
      </c>
      <c r="O297" s="68" t="s">
        <v>2761</v>
      </c>
      <c r="P297" s="63"/>
      <c r="Q297" s="62"/>
    </row>
    <row r="298" spans="1:17" ht="15" customHeight="1" x14ac:dyDescent="0.3">
      <c r="A298" s="70" t="s">
        <v>3046</v>
      </c>
      <c r="B298" s="112" t="s">
        <v>2453</v>
      </c>
      <c r="C298" s="101" t="s">
        <v>370</v>
      </c>
      <c r="D298" s="76" t="str">
        <f>IFERROR(INDEX(M_User!$A$12:$J$67,MATCH(C298,M_User!$D$12:$D$67,0),3),"UNMAPPED")</f>
        <v>Zawadi Jastin Laizer</v>
      </c>
      <c r="E298" s="75" t="str">
        <f>IFERROR(INDEX(M_User!$A$12:$J$67,MATCH(C298,M_User!$D$12:$D$67,0),5),"UNMAPPED")</f>
        <v>MOS</v>
      </c>
      <c r="F298" s="101" t="s">
        <v>193</v>
      </c>
      <c r="G298" s="76" t="str">
        <f>IFERROR(INDEX(M_SKU!$A$18:$J$57,MATCH(F298,M_SKU!$B$18:$B$57,0),1),"UNKNOWN SKU")</f>
        <v>Sparletta Pinenut RGB 350ml</v>
      </c>
      <c r="H298" s="101" t="s">
        <v>537</v>
      </c>
      <c r="I298" s="102">
        <f>IFERROR(INDEX(T_Unload!$K$10:$K$433,MATCH(B298,T_Unload!$B$10:$B$433,0)),0)</f>
        <v>0.76820012403362004</v>
      </c>
      <c r="J298" s="111">
        <v>0.77</v>
      </c>
      <c r="K298" s="113">
        <f t="shared" si="16"/>
        <v>-1.7998759663799824E-3</v>
      </c>
      <c r="L298" s="114" t="str">
        <f t="shared" si="17"/>
        <v>Adjust Unload Upward</v>
      </c>
      <c r="M298" s="115">
        <f t="shared" si="18"/>
        <v>0</v>
      </c>
      <c r="N298" s="115">
        <f t="shared" si="19"/>
        <v>1.7998759663799824E-3</v>
      </c>
      <c r="O298" s="116" t="s">
        <v>2761</v>
      </c>
      <c r="P298" s="117"/>
      <c r="Q298" s="118"/>
    </row>
    <row r="299" spans="1:17" ht="15" customHeight="1" x14ac:dyDescent="0.3">
      <c r="A299" s="60" t="s">
        <v>3047</v>
      </c>
      <c r="B299" s="97" t="s">
        <v>2455</v>
      </c>
      <c r="C299" s="63" t="s">
        <v>370</v>
      </c>
      <c r="D299" s="66" t="str">
        <f>IFERROR(INDEX(M_User!$A$12:$J$67,MATCH(C299,M_User!$D$12:$D$67,0),3),"UNMAPPED")</f>
        <v>Zawadi Jastin Laizer</v>
      </c>
      <c r="E299" s="65" t="str">
        <f>IFERROR(INDEX(M_User!$A$12:$J$67,MATCH(C299,M_User!$D$12:$D$67,0),5),"UNMAPPED")</f>
        <v>MOS</v>
      </c>
      <c r="F299" s="63" t="s">
        <v>196</v>
      </c>
      <c r="G299" s="66" t="str">
        <f>IFERROR(INDEX(M_SKU!$A$18:$J$57,MATCH(F299,M_SKU!$B$18:$B$57,0),1),"UNKNOWN SKU")</f>
        <v>Krest Bitter Lemon RGB 300ml</v>
      </c>
      <c r="H299" s="63" t="s">
        <v>538</v>
      </c>
      <c r="I299" s="98">
        <f>IFERROR(INDEX(T_Unload!$K$10:$K$433,MATCH(B299,T_Unload!$B$10:$B$433,0)),0)</f>
        <v>0.55569628012374084</v>
      </c>
      <c r="J299" s="111">
        <v>0.56000000000000005</v>
      </c>
      <c r="K299" s="99">
        <f t="shared" si="16"/>
        <v>-4.3037198762592155E-3</v>
      </c>
      <c r="L299" s="105" t="str">
        <f t="shared" si="17"/>
        <v>Adjust Unload Upward</v>
      </c>
      <c r="M299" s="90">
        <f t="shared" si="18"/>
        <v>0</v>
      </c>
      <c r="N299" s="90">
        <f t="shared" si="19"/>
        <v>4.3037198762592155E-3</v>
      </c>
      <c r="O299" s="68" t="s">
        <v>2761</v>
      </c>
      <c r="P299" s="63"/>
      <c r="Q299" s="62"/>
    </row>
    <row r="300" spans="1:17" ht="15" customHeight="1" x14ac:dyDescent="0.3">
      <c r="A300" s="70" t="s">
        <v>3048</v>
      </c>
      <c r="B300" s="112" t="s">
        <v>2457</v>
      </c>
      <c r="C300" s="101" t="s">
        <v>370</v>
      </c>
      <c r="D300" s="76" t="str">
        <f>IFERROR(INDEX(M_User!$A$12:$J$67,MATCH(C300,M_User!$D$12:$D$67,0),3),"UNMAPPED")</f>
        <v>Zawadi Jastin Laizer</v>
      </c>
      <c r="E300" s="75" t="str">
        <f>IFERROR(INDEX(M_User!$A$12:$J$67,MATCH(C300,M_User!$D$12:$D$67,0),5),"UNMAPPED")</f>
        <v>MOS</v>
      </c>
      <c r="F300" s="101" t="s">
        <v>199</v>
      </c>
      <c r="G300" s="76" t="str">
        <f>IFERROR(INDEX(M_SKU!$A$18:$J$57,MATCH(F300,M_SKU!$B$18:$B$57,0),1),"UNKNOWN SKU")</f>
        <v>Krest Club Soda RGB 300ml</v>
      </c>
      <c r="H300" s="101" t="s">
        <v>539</v>
      </c>
      <c r="I300" s="102">
        <f>IFERROR(INDEX(T_Unload!$K$10:$K$433,MATCH(B300,T_Unload!$B$10:$B$433,0)),0)</f>
        <v>0.67693838912336979</v>
      </c>
      <c r="J300" s="111">
        <v>0.68</v>
      </c>
      <c r="K300" s="113">
        <f t="shared" si="16"/>
        <v>-3.0616108766302608E-3</v>
      </c>
      <c r="L300" s="114" t="str">
        <f t="shared" si="17"/>
        <v>Adjust Unload Upward</v>
      </c>
      <c r="M300" s="115">
        <f t="shared" si="18"/>
        <v>0</v>
      </c>
      <c r="N300" s="115">
        <f t="shared" si="19"/>
        <v>3.0616108766302608E-3</v>
      </c>
      <c r="O300" s="116" t="s">
        <v>2761</v>
      </c>
      <c r="P300" s="117"/>
      <c r="Q300" s="118"/>
    </row>
    <row r="301" spans="1:17" ht="15" customHeight="1" x14ac:dyDescent="0.3">
      <c r="A301" s="60" t="s">
        <v>3049</v>
      </c>
      <c r="B301" s="97" t="s">
        <v>2459</v>
      </c>
      <c r="C301" s="63" t="s">
        <v>370</v>
      </c>
      <c r="D301" s="66" t="str">
        <f>IFERROR(INDEX(M_User!$A$12:$J$67,MATCH(C301,M_User!$D$12:$D$67,0),3),"UNMAPPED")</f>
        <v>Zawadi Jastin Laizer</v>
      </c>
      <c r="E301" s="65" t="str">
        <f>IFERROR(INDEX(M_User!$A$12:$J$67,MATCH(C301,M_User!$D$12:$D$67,0),5),"UNMAPPED")</f>
        <v>MOS</v>
      </c>
      <c r="F301" s="63" t="s">
        <v>201</v>
      </c>
      <c r="G301" s="66" t="str">
        <f>IFERROR(INDEX(M_SKU!$A$18:$J$57,MATCH(F301,M_SKU!$B$18:$B$57,0),1),"UNKNOWN SKU")</f>
        <v>Krest Tonic Water RGB 300ml</v>
      </c>
      <c r="H301" s="63" t="s">
        <v>540</v>
      </c>
      <c r="I301" s="98">
        <f>IFERROR(INDEX(T_Unload!$K$10:$K$433,MATCH(B301,T_Unload!$B$10:$B$433,0)),0)</f>
        <v>0.50927121465729686</v>
      </c>
      <c r="J301" s="111">
        <v>0.51</v>
      </c>
      <c r="K301" s="99">
        <f t="shared" si="16"/>
        <v>-7.287853427031532E-4</v>
      </c>
      <c r="L301" s="105" t="str">
        <f t="shared" si="17"/>
        <v>Adjust Unload Upward</v>
      </c>
      <c r="M301" s="90">
        <f t="shared" si="18"/>
        <v>0</v>
      </c>
      <c r="N301" s="90">
        <f t="shared" si="19"/>
        <v>7.287853427031532E-4</v>
      </c>
      <c r="O301" s="68" t="s">
        <v>2761</v>
      </c>
      <c r="P301" s="63"/>
      <c r="Q301" s="62"/>
    </row>
    <row r="302" spans="1:17" ht="15" customHeight="1" x14ac:dyDescent="0.3">
      <c r="A302" s="70" t="s">
        <v>3050</v>
      </c>
      <c r="B302" s="112" t="s">
        <v>2461</v>
      </c>
      <c r="C302" s="101" t="s">
        <v>370</v>
      </c>
      <c r="D302" s="76" t="str">
        <f>IFERROR(INDEX(M_User!$A$12:$J$67,MATCH(C302,M_User!$D$12:$D$67,0),3),"UNMAPPED")</f>
        <v>Zawadi Jastin Laizer</v>
      </c>
      <c r="E302" s="75" t="str">
        <f>IFERROR(INDEX(M_User!$A$12:$J$67,MATCH(C302,M_User!$D$12:$D$67,0),5),"UNMAPPED")</f>
        <v>MOS</v>
      </c>
      <c r="F302" s="101" t="s">
        <v>203</v>
      </c>
      <c r="G302" s="76" t="str">
        <f>IFERROR(INDEX(M_SKU!$A$18:$J$57,MATCH(F302,M_SKU!$B$18:$B$57,0),1),"UNKNOWN SKU")</f>
        <v>Krest Ginger Ale RGB 300ml</v>
      </c>
      <c r="H302" s="101" t="s">
        <v>541</v>
      </c>
      <c r="I302" s="102">
        <f>IFERROR(INDEX(T_Unload!$K$10:$K$433,MATCH(B302,T_Unload!$B$10:$B$433,0)),0)</f>
        <v>0.4771569344867741</v>
      </c>
      <c r="J302" s="111">
        <v>0.48</v>
      </c>
      <c r="K302" s="113">
        <f t="shared" si="16"/>
        <v>-2.8430655132258842E-3</v>
      </c>
      <c r="L302" s="114" t="str">
        <f t="shared" si="17"/>
        <v>Adjust Unload Upward</v>
      </c>
      <c r="M302" s="115">
        <f t="shared" si="18"/>
        <v>0</v>
      </c>
      <c r="N302" s="115">
        <f t="shared" si="19"/>
        <v>2.8430655132258842E-3</v>
      </c>
      <c r="O302" s="116" t="s">
        <v>2761</v>
      </c>
      <c r="P302" s="117"/>
      <c r="Q302" s="118"/>
    </row>
    <row r="303" spans="1:17" ht="15" customHeight="1" x14ac:dyDescent="0.3">
      <c r="A303" s="60" t="s">
        <v>3051</v>
      </c>
      <c r="B303" s="97" t="s">
        <v>2463</v>
      </c>
      <c r="C303" s="63" t="s">
        <v>370</v>
      </c>
      <c r="D303" s="66" t="str">
        <f>IFERROR(INDEX(M_User!$A$12:$J$67,MATCH(C303,M_User!$D$12:$D$67,0),3),"UNMAPPED")</f>
        <v>Zawadi Jastin Laizer</v>
      </c>
      <c r="E303" s="65" t="str">
        <f>IFERROR(INDEX(M_User!$A$12:$J$67,MATCH(C303,M_User!$D$12:$D$67,0),5),"UNMAPPED")</f>
        <v>MOS</v>
      </c>
      <c r="F303" s="63" t="s">
        <v>209</v>
      </c>
      <c r="G303" s="66" t="str">
        <f>IFERROR(INDEX(M_SKU!$A$18:$J$57,MATCH(F303,M_SKU!$B$18:$B$57,0),1),"UNKNOWN SKU")</f>
        <v>Sparletta Red Apple RGB 350ml</v>
      </c>
      <c r="H303" s="63" t="s">
        <v>542</v>
      </c>
      <c r="I303" s="98">
        <f>IFERROR(INDEX(T_Unload!$K$10:$K$433,MATCH(B303,T_Unload!$B$10:$B$433,0)),0)</f>
        <v>0.36503193694441993</v>
      </c>
      <c r="J303" s="111">
        <v>0.37</v>
      </c>
      <c r="K303" s="99">
        <f t="shared" si="16"/>
        <v>-4.9680630555800631E-3</v>
      </c>
      <c r="L303" s="105" t="str">
        <f t="shared" si="17"/>
        <v>Adjust Unload Upward</v>
      </c>
      <c r="M303" s="90">
        <f t="shared" si="18"/>
        <v>0</v>
      </c>
      <c r="N303" s="90">
        <f t="shared" si="19"/>
        <v>4.9680630555800631E-3</v>
      </c>
      <c r="O303" s="68" t="s">
        <v>2761</v>
      </c>
      <c r="P303" s="63"/>
      <c r="Q303" s="62"/>
    </row>
    <row r="304" spans="1:17" ht="15" customHeight="1" x14ac:dyDescent="0.3">
      <c r="A304" s="70" t="s">
        <v>3052</v>
      </c>
      <c r="B304" s="112" t="s">
        <v>2465</v>
      </c>
      <c r="C304" s="101" t="s">
        <v>370</v>
      </c>
      <c r="D304" s="76" t="str">
        <f>IFERROR(INDEX(M_User!$A$12:$J$67,MATCH(C304,M_User!$D$12:$D$67,0),3),"UNMAPPED")</f>
        <v>Zawadi Jastin Laizer</v>
      </c>
      <c r="E304" s="75" t="str">
        <f>IFERROR(INDEX(M_User!$A$12:$J$67,MATCH(C304,M_User!$D$12:$D$67,0),5),"UNMAPPED")</f>
        <v>MOS</v>
      </c>
      <c r="F304" s="101" t="s">
        <v>211</v>
      </c>
      <c r="G304" s="76" t="str">
        <f>IFERROR(INDEX(M_SKU!$A$18:$J$57,MATCH(F304,M_SKU!$B$18:$B$57,0),1),"UNKNOWN SKU")</f>
        <v>KNMW 500ml</v>
      </c>
      <c r="H304" s="101" t="s">
        <v>543</v>
      </c>
      <c r="I304" s="102">
        <f>IFERROR(INDEX(T_Unload!$K$10:$K$433,MATCH(B304,T_Unload!$B$10:$B$433,0)),0)</f>
        <v>8</v>
      </c>
      <c r="J304" s="111">
        <v>8</v>
      </c>
      <c r="K304" s="113">
        <f t="shared" si="16"/>
        <v>0</v>
      </c>
      <c r="L304" s="114" t="str">
        <f t="shared" si="17"/>
        <v>CLEAN</v>
      </c>
      <c r="M304" s="115">
        <f t="shared" si="18"/>
        <v>0</v>
      </c>
      <c r="N304" s="115">
        <f t="shared" si="19"/>
        <v>0</v>
      </c>
      <c r="O304" s="116" t="s">
        <v>2761</v>
      </c>
      <c r="P304" s="117"/>
      <c r="Q304" s="118"/>
    </row>
    <row r="305" spans="1:17" ht="15" customHeight="1" x14ac:dyDescent="0.3">
      <c r="A305" s="60" t="s">
        <v>3053</v>
      </c>
      <c r="B305" s="97" t="s">
        <v>2467</v>
      </c>
      <c r="C305" s="63" t="s">
        <v>370</v>
      </c>
      <c r="D305" s="66" t="str">
        <f>IFERROR(INDEX(M_User!$A$12:$J$67,MATCH(C305,M_User!$D$12:$D$67,0),3),"UNMAPPED")</f>
        <v>Zawadi Jastin Laizer</v>
      </c>
      <c r="E305" s="65" t="str">
        <f>IFERROR(INDEX(M_User!$A$12:$J$67,MATCH(C305,M_User!$D$12:$D$67,0),5),"UNMAPPED")</f>
        <v>MOS</v>
      </c>
      <c r="F305" s="63" t="s">
        <v>217</v>
      </c>
      <c r="G305" s="66" t="str">
        <f>IFERROR(INDEX(M_SKU!$A$18:$J$57,MATCH(F305,M_SKU!$B$18:$B$57,0),1),"UNKNOWN SKU")</f>
        <v>KNMW 1500ml</v>
      </c>
      <c r="H305" s="63" t="s">
        <v>551</v>
      </c>
      <c r="I305" s="98">
        <f>IFERROR(INDEX(T_Unload!$K$10:$K$433,MATCH(B305,T_Unload!$B$10:$B$433,0)),0)</f>
        <v>19</v>
      </c>
      <c r="J305" s="111">
        <v>19</v>
      </c>
      <c r="K305" s="99">
        <f t="shared" si="16"/>
        <v>0</v>
      </c>
      <c r="L305" s="105" t="str">
        <f t="shared" si="17"/>
        <v>CLEAN</v>
      </c>
      <c r="M305" s="90">
        <f t="shared" si="18"/>
        <v>0</v>
      </c>
      <c r="N305" s="90">
        <f t="shared" si="19"/>
        <v>0</v>
      </c>
      <c r="O305" s="68" t="s">
        <v>2761</v>
      </c>
      <c r="P305" s="63"/>
      <c r="Q305" s="62"/>
    </row>
    <row r="306" spans="1:17" ht="15" customHeight="1" x14ac:dyDescent="0.3">
      <c r="A306" s="70" t="s">
        <v>3054</v>
      </c>
      <c r="B306" s="112" t="s">
        <v>2469</v>
      </c>
      <c r="C306" s="101" t="s">
        <v>370</v>
      </c>
      <c r="D306" s="76" t="str">
        <f>IFERROR(INDEX(M_User!$A$12:$J$67,MATCH(C306,M_User!$D$12:$D$67,0),3),"UNMAPPED")</f>
        <v>Zawadi Jastin Laizer</v>
      </c>
      <c r="E306" s="75" t="str">
        <f>IFERROR(INDEX(M_User!$A$12:$J$67,MATCH(C306,M_User!$D$12:$D$67,0),5),"UNMAPPED")</f>
        <v>MOS</v>
      </c>
      <c r="F306" s="101" t="s">
        <v>222</v>
      </c>
      <c r="G306" s="76" t="str">
        <f>IFERROR(INDEX(M_SKU!$A$18:$J$57,MATCH(F306,M_SKU!$B$18:$B$57,0),1),"UNKNOWN SKU")</f>
        <v>Kilimanjaro Drinking Water 12000 ML</v>
      </c>
      <c r="H306" s="101" t="s">
        <v>566</v>
      </c>
      <c r="I306" s="102">
        <f>IFERROR(INDEX(T_Unload!$K$10:$K$433,MATCH(B306,T_Unload!$B$10:$B$433,0)),0)</f>
        <v>1</v>
      </c>
      <c r="J306" s="111">
        <v>1</v>
      </c>
      <c r="K306" s="113">
        <f t="shared" si="16"/>
        <v>0</v>
      </c>
      <c r="L306" s="114" t="str">
        <f t="shared" si="17"/>
        <v>CLEAN</v>
      </c>
      <c r="M306" s="115">
        <f t="shared" si="18"/>
        <v>0</v>
      </c>
      <c r="N306" s="115">
        <f t="shared" si="19"/>
        <v>0</v>
      </c>
      <c r="O306" s="116" t="s">
        <v>2761</v>
      </c>
      <c r="P306" s="117"/>
      <c r="Q306" s="118"/>
    </row>
    <row r="307" spans="1:17" ht="15" customHeight="1" x14ac:dyDescent="0.3">
      <c r="A307" s="60" t="s">
        <v>3055</v>
      </c>
      <c r="B307" s="97" t="s">
        <v>2471</v>
      </c>
      <c r="C307" s="63" t="s">
        <v>370</v>
      </c>
      <c r="D307" s="66" t="str">
        <f>IFERROR(INDEX(M_User!$A$12:$J$67,MATCH(C307,M_User!$D$12:$D$67,0),3),"UNMAPPED")</f>
        <v>Zawadi Jastin Laizer</v>
      </c>
      <c r="E307" s="65" t="str">
        <f>IFERROR(INDEX(M_User!$A$12:$J$67,MATCH(C307,M_User!$D$12:$D$67,0),5),"UNMAPPED")</f>
        <v>MOS</v>
      </c>
      <c r="F307" s="63" t="s">
        <v>225</v>
      </c>
      <c r="G307" s="66" t="str">
        <f>IFERROR(INDEX(M_SKU!$A$18:$J$57,MATCH(F307,M_SKU!$B$18:$B$57,0),1),"UNKNOWN SKU")</f>
        <v>Kilimanjaro Drinking Water 18900 ML</v>
      </c>
      <c r="H307" s="63" t="s">
        <v>567</v>
      </c>
      <c r="I307" s="98">
        <f>IFERROR(INDEX(T_Unload!$K$10:$K$433,MATCH(B307,T_Unload!$B$10:$B$433,0)),0)</f>
        <v>2</v>
      </c>
      <c r="J307" s="111">
        <v>2</v>
      </c>
      <c r="K307" s="99">
        <f t="shared" si="16"/>
        <v>0</v>
      </c>
      <c r="L307" s="105" t="str">
        <f t="shared" si="17"/>
        <v>CLEAN</v>
      </c>
      <c r="M307" s="90">
        <f t="shared" si="18"/>
        <v>0</v>
      </c>
      <c r="N307" s="90">
        <f t="shared" si="19"/>
        <v>0</v>
      </c>
      <c r="O307" s="68" t="s">
        <v>2761</v>
      </c>
      <c r="P307" s="63"/>
      <c r="Q307" s="62"/>
    </row>
    <row r="308" spans="1:17" ht="15" customHeight="1" x14ac:dyDescent="0.3">
      <c r="A308" s="70" t="s">
        <v>3056</v>
      </c>
      <c r="B308" s="112" t="s">
        <v>2473</v>
      </c>
      <c r="C308" s="101" t="s">
        <v>370</v>
      </c>
      <c r="D308" s="76" t="str">
        <f>IFERROR(INDEX(M_User!$A$12:$J$67,MATCH(C308,M_User!$D$12:$D$67,0),3),"UNMAPPED")</f>
        <v>Zawadi Jastin Laizer</v>
      </c>
      <c r="E308" s="75" t="str">
        <f>IFERROR(INDEX(M_User!$A$12:$J$67,MATCH(C308,M_User!$D$12:$D$67,0),5),"UNMAPPED")</f>
        <v>MOS</v>
      </c>
      <c r="F308" s="101" t="s">
        <v>229</v>
      </c>
      <c r="G308" s="76" t="str">
        <f>IFERROR(INDEX(M_SKU!$A$18:$J$57,MATCH(F308,M_SKU!$B$18:$B$57,0),1),"UNKNOWN SKU")</f>
        <v>Coke Pet 500ML ( x12)</v>
      </c>
      <c r="H308" s="101" t="s">
        <v>520</v>
      </c>
      <c r="I308" s="102">
        <f>IFERROR(INDEX(T_Unload!$K$10:$K$433,MATCH(B308,T_Unload!$B$10:$B$433,0)),0)</f>
        <v>2</v>
      </c>
      <c r="J308" s="111">
        <v>2</v>
      </c>
      <c r="K308" s="113">
        <f t="shared" si="16"/>
        <v>0</v>
      </c>
      <c r="L308" s="114" t="str">
        <f t="shared" si="17"/>
        <v>CLEAN</v>
      </c>
      <c r="M308" s="115">
        <f t="shared" si="18"/>
        <v>0</v>
      </c>
      <c r="N308" s="115">
        <f t="shared" si="19"/>
        <v>0</v>
      </c>
      <c r="O308" s="116" t="s">
        <v>2761</v>
      </c>
      <c r="P308" s="117"/>
      <c r="Q308" s="118"/>
    </row>
    <row r="309" spans="1:17" ht="15" customHeight="1" x14ac:dyDescent="0.3">
      <c r="A309" s="60" t="s">
        <v>3057</v>
      </c>
      <c r="B309" s="97" t="s">
        <v>2475</v>
      </c>
      <c r="C309" s="63" t="s">
        <v>370</v>
      </c>
      <c r="D309" s="66" t="str">
        <f>IFERROR(INDEX(M_User!$A$12:$J$67,MATCH(C309,M_User!$D$12:$D$67,0),3),"UNMAPPED")</f>
        <v>Zawadi Jastin Laizer</v>
      </c>
      <c r="E309" s="65" t="str">
        <f>IFERROR(INDEX(M_User!$A$12:$J$67,MATCH(C309,M_User!$D$12:$D$67,0),5),"UNMAPPED")</f>
        <v>MOS</v>
      </c>
      <c r="F309" s="63" t="s">
        <v>232</v>
      </c>
      <c r="G309" s="66" t="str">
        <f>IFERROR(INDEX(M_SKU!$A$18:$J$57,MATCH(F309,M_SKU!$B$18:$B$57,0),1),"UNKNOWN SKU")</f>
        <v>Sprite Pet 500ML (x 12)</v>
      </c>
      <c r="H309" s="63" t="s">
        <v>522</v>
      </c>
      <c r="I309" s="98">
        <f>IFERROR(INDEX(T_Unload!$K$10:$K$433,MATCH(B309,T_Unload!$B$10:$B$433,0)),0)</f>
        <v>1</v>
      </c>
      <c r="J309" s="111">
        <v>1</v>
      </c>
      <c r="K309" s="99">
        <f t="shared" si="16"/>
        <v>0</v>
      </c>
      <c r="L309" s="105" t="str">
        <f t="shared" si="17"/>
        <v>CLEAN</v>
      </c>
      <c r="M309" s="90">
        <f t="shared" si="18"/>
        <v>0</v>
      </c>
      <c r="N309" s="90">
        <f t="shared" si="19"/>
        <v>0</v>
      </c>
      <c r="O309" s="68" t="s">
        <v>2761</v>
      </c>
      <c r="P309" s="63"/>
      <c r="Q309" s="62"/>
    </row>
    <row r="310" spans="1:17" ht="15" customHeight="1" x14ac:dyDescent="0.3">
      <c r="A310" s="70" t="s">
        <v>3058</v>
      </c>
      <c r="B310" s="112" t="s">
        <v>2477</v>
      </c>
      <c r="C310" s="101" t="s">
        <v>370</v>
      </c>
      <c r="D310" s="76" t="str">
        <f>IFERROR(INDEX(M_User!$A$12:$J$67,MATCH(C310,M_User!$D$12:$D$67,0),3),"UNMAPPED")</f>
        <v>Zawadi Jastin Laizer</v>
      </c>
      <c r="E310" s="75" t="str">
        <f>IFERROR(INDEX(M_User!$A$12:$J$67,MATCH(C310,M_User!$D$12:$D$67,0),5),"UNMAPPED")</f>
        <v>MOS</v>
      </c>
      <c r="F310" s="101" t="s">
        <v>234</v>
      </c>
      <c r="G310" s="76" t="str">
        <f>IFERROR(INDEX(M_SKU!$A$18:$J$57,MATCH(F310,M_SKU!$B$18:$B$57,0),1),"UNKNOWN SKU")</f>
        <v>Fanta Orange Pet 500ML ( x 12)</v>
      </c>
      <c r="H310" s="101" t="s">
        <v>523</v>
      </c>
      <c r="I310" s="102">
        <f>IFERROR(INDEX(T_Unload!$K$10:$K$433,MATCH(B310,T_Unload!$B$10:$B$433,0)),0)</f>
        <v>4</v>
      </c>
      <c r="J310" s="111">
        <v>4</v>
      </c>
      <c r="K310" s="113">
        <f t="shared" si="16"/>
        <v>0</v>
      </c>
      <c r="L310" s="114" t="str">
        <f t="shared" si="17"/>
        <v>CLEAN</v>
      </c>
      <c r="M310" s="115">
        <f t="shared" si="18"/>
        <v>0</v>
      </c>
      <c r="N310" s="115">
        <f t="shared" si="19"/>
        <v>0</v>
      </c>
      <c r="O310" s="116" t="s">
        <v>2761</v>
      </c>
      <c r="P310" s="117"/>
      <c r="Q310" s="118"/>
    </row>
    <row r="311" spans="1:17" ht="15" customHeight="1" x14ac:dyDescent="0.3">
      <c r="A311" s="60" t="s">
        <v>3059</v>
      </c>
      <c r="B311" s="97" t="s">
        <v>2479</v>
      </c>
      <c r="C311" s="63" t="s">
        <v>370</v>
      </c>
      <c r="D311" s="66" t="str">
        <f>IFERROR(INDEX(M_User!$A$12:$J$67,MATCH(C311,M_User!$D$12:$D$67,0),3),"UNMAPPED")</f>
        <v>Zawadi Jastin Laizer</v>
      </c>
      <c r="E311" s="65" t="str">
        <f>IFERROR(INDEX(M_User!$A$12:$J$67,MATCH(C311,M_User!$D$12:$D$67,0),5),"UNMAPPED")</f>
        <v>MOS</v>
      </c>
      <c r="F311" s="63" t="s">
        <v>236</v>
      </c>
      <c r="G311" s="66" t="str">
        <f>IFERROR(INDEX(M_SKU!$A$18:$J$57,MATCH(F311,M_SKU!$B$18:$B$57,0),1),"UNKNOWN SKU")</f>
        <v>Fanta Passion Pet 500ML ( x12)</v>
      </c>
      <c r="H311" s="63" t="s">
        <v>524</v>
      </c>
      <c r="I311" s="98">
        <f>IFERROR(INDEX(T_Unload!$K$10:$K$433,MATCH(B311,T_Unload!$B$10:$B$433,0)),0)</f>
        <v>1</v>
      </c>
      <c r="J311" s="111">
        <v>1</v>
      </c>
      <c r="K311" s="99">
        <f t="shared" si="16"/>
        <v>0</v>
      </c>
      <c r="L311" s="105" t="str">
        <f t="shared" si="17"/>
        <v>CLEAN</v>
      </c>
      <c r="M311" s="90">
        <f t="shared" si="18"/>
        <v>0</v>
      </c>
      <c r="N311" s="90">
        <f t="shared" si="19"/>
        <v>0</v>
      </c>
      <c r="O311" s="68" t="s">
        <v>2761</v>
      </c>
      <c r="P311" s="63"/>
      <c r="Q311" s="62"/>
    </row>
    <row r="312" spans="1:17" ht="15" customHeight="1" x14ac:dyDescent="0.3">
      <c r="A312" s="70" t="s">
        <v>3060</v>
      </c>
      <c r="B312" s="112" t="s">
        <v>2481</v>
      </c>
      <c r="C312" s="101" t="s">
        <v>370</v>
      </c>
      <c r="D312" s="76" t="str">
        <f>IFERROR(INDEX(M_User!$A$12:$J$67,MATCH(C312,M_User!$D$12:$D$67,0),3),"UNMAPPED")</f>
        <v>Zawadi Jastin Laizer</v>
      </c>
      <c r="E312" s="75" t="str">
        <f>IFERROR(INDEX(M_User!$A$12:$J$67,MATCH(C312,M_User!$D$12:$D$67,0),5),"UNMAPPED")</f>
        <v>MOS</v>
      </c>
      <c r="F312" s="101" t="s">
        <v>242</v>
      </c>
      <c r="G312" s="76" t="str">
        <f>IFERROR(INDEX(M_SKU!$A$18:$J$57,MATCH(F312,M_SKU!$B$18:$B$57,0),1),"UNKNOWN SKU")</f>
        <v>Stoney Tangawizi Pet 500 ml ( x12)</v>
      </c>
      <c r="H312" s="101" t="s">
        <v>525</v>
      </c>
      <c r="I312" s="102">
        <f>IFERROR(INDEX(T_Unload!$K$10:$K$433,MATCH(B312,T_Unload!$B$10:$B$433,0)),0)</f>
        <v>0</v>
      </c>
      <c r="J312" s="111">
        <v>0</v>
      </c>
      <c r="K312" s="113">
        <f t="shared" si="16"/>
        <v>0</v>
      </c>
      <c r="L312" s="114" t="str">
        <f t="shared" si="17"/>
        <v>CLEAN</v>
      </c>
      <c r="M312" s="115">
        <f t="shared" si="18"/>
        <v>0</v>
      </c>
      <c r="N312" s="115">
        <f t="shared" si="19"/>
        <v>0</v>
      </c>
      <c r="O312" s="116" t="s">
        <v>2761</v>
      </c>
      <c r="P312" s="117"/>
      <c r="Q312" s="118"/>
    </row>
    <row r="313" spans="1:17" ht="15" customHeight="1" x14ac:dyDescent="0.3">
      <c r="A313" s="60" t="s">
        <v>3061</v>
      </c>
      <c r="B313" s="97" t="s">
        <v>2483</v>
      </c>
      <c r="C313" s="63" t="s">
        <v>370</v>
      </c>
      <c r="D313" s="66" t="str">
        <f>IFERROR(INDEX(M_User!$A$12:$J$67,MATCH(C313,M_User!$D$12:$D$67,0),3),"UNMAPPED")</f>
        <v>Zawadi Jastin Laizer</v>
      </c>
      <c r="E313" s="65" t="str">
        <f>IFERROR(INDEX(M_User!$A$12:$J$67,MATCH(C313,M_User!$D$12:$D$67,0),5),"UNMAPPED")</f>
        <v>MOS</v>
      </c>
      <c r="F313" s="63" t="s">
        <v>244</v>
      </c>
      <c r="G313" s="66" t="str">
        <f>IFERROR(INDEX(M_SKU!$A$18:$J$57,MATCH(F313,M_SKU!$B$18:$B$57,0),1),"UNKNOWN SKU")</f>
        <v>Sparletta Pinenut Pet 500 ml ( x12)</v>
      </c>
      <c r="H313" s="63" t="s">
        <v>526</v>
      </c>
      <c r="I313" s="98">
        <f>IFERROR(INDEX(T_Unload!$K$10:$K$433,MATCH(B313,T_Unload!$B$10:$B$433,0)),0)</f>
        <v>1</v>
      </c>
      <c r="J313" s="111">
        <v>1</v>
      </c>
      <c r="K313" s="99">
        <f t="shared" si="16"/>
        <v>0</v>
      </c>
      <c r="L313" s="105" t="str">
        <f t="shared" si="17"/>
        <v>CLEAN</v>
      </c>
      <c r="M313" s="90">
        <f t="shared" si="18"/>
        <v>0</v>
      </c>
      <c r="N313" s="90">
        <f t="shared" si="19"/>
        <v>0</v>
      </c>
      <c r="O313" s="68" t="s">
        <v>2761</v>
      </c>
      <c r="P313" s="63"/>
      <c r="Q313" s="62"/>
    </row>
    <row r="314" spans="1:17" ht="15" customHeight="1" x14ac:dyDescent="0.3">
      <c r="A314" s="70" t="s">
        <v>3062</v>
      </c>
      <c r="B314" s="112" t="s">
        <v>2485</v>
      </c>
      <c r="C314" s="101" t="s">
        <v>370</v>
      </c>
      <c r="D314" s="76" t="str">
        <f>IFERROR(INDEX(M_User!$A$12:$J$67,MATCH(C314,M_User!$D$12:$D$67,0),3),"UNMAPPED")</f>
        <v>Zawadi Jastin Laizer</v>
      </c>
      <c r="E314" s="75" t="str">
        <f>IFERROR(INDEX(M_User!$A$12:$J$67,MATCH(C314,M_User!$D$12:$D$67,0),5),"UNMAPPED")</f>
        <v>MOS</v>
      </c>
      <c r="F314" s="101" t="s">
        <v>252</v>
      </c>
      <c r="G314" s="76" t="str">
        <f>IFERROR(INDEX(M_SKU!$A$18:$J$57,MATCH(F314,M_SKU!$B$18:$B$57,0),1),"UNKNOWN SKU")</f>
        <v>Sprite Zero Pet 300ML (x 12)</v>
      </c>
      <c r="H314" s="101" t="s">
        <v>545</v>
      </c>
      <c r="I314" s="102">
        <f>IFERROR(INDEX(T_Unload!$K$10:$K$433,MATCH(B314,T_Unload!$B$10:$B$433,0)),0)</f>
        <v>0</v>
      </c>
      <c r="J314" s="111">
        <v>0</v>
      </c>
      <c r="K314" s="113">
        <f t="shared" si="16"/>
        <v>0</v>
      </c>
      <c r="L314" s="114" t="str">
        <f t="shared" si="17"/>
        <v>CLEAN</v>
      </c>
      <c r="M314" s="115">
        <f t="shared" si="18"/>
        <v>0</v>
      </c>
      <c r="N314" s="115">
        <f t="shared" si="19"/>
        <v>0</v>
      </c>
      <c r="O314" s="116" t="s">
        <v>2761</v>
      </c>
      <c r="P314" s="117"/>
      <c r="Q314" s="118"/>
    </row>
    <row r="315" spans="1:17" ht="15" customHeight="1" x14ac:dyDescent="0.3">
      <c r="A315" s="60" t="s">
        <v>3063</v>
      </c>
      <c r="B315" s="97" t="s">
        <v>2487</v>
      </c>
      <c r="C315" s="63" t="s">
        <v>370</v>
      </c>
      <c r="D315" s="66" t="str">
        <f>IFERROR(INDEX(M_User!$A$12:$J$67,MATCH(C315,M_User!$D$12:$D$67,0),3),"UNMAPPED")</f>
        <v>Zawadi Jastin Laizer</v>
      </c>
      <c r="E315" s="65" t="str">
        <f>IFERROR(INDEX(M_User!$A$12:$J$67,MATCH(C315,M_User!$D$12:$D$67,0),5),"UNMAPPED")</f>
        <v>MOS</v>
      </c>
      <c r="F315" s="63" t="s">
        <v>254</v>
      </c>
      <c r="G315" s="66" t="str">
        <f>IFERROR(INDEX(M_SKU!$A$18:$J$57,MATCH(F315,M_SKU!$B$18:$B$57,0),1),"UNKNOWN SKU")</f>
        <v>Fanta Zero Pet 300ML (x 12)</v>
      </c>
      <c r="H315" s="63" t="s">
        <v>546</v>
      </c>
      <c r="I315" s="98">
        <f>IFERROR(INDEX(T_Unload!$K$10:$K$433,MATCH(B315,T_Unload!$B$10:$B$433,0)),0)</f>
        <v>0</v>
      </c>
      <c r="J315" s="111">
        <v>0</v>
      </c>
      <c r="K315" s="99">
        <f t="shared" si="16"/>
        <v>0</v>
      </c>
      <c r="L315" s="105" t="str">
        <f t="shared" si="17"/>
        <v>CLEAN</v>
      </c>
      <c r="M315" s="90">
        <f t="shared" si="18"/>
        <v>0</v>
      </c>
      <c r="N315" s="90">
        <f t="shared" si="19"/>
        <v>0</v>
      </c>
      <c r="O315" s="68" t="s">
        <v>2761</v>
      </c>
      <c r="P315" s="63"/>
      <c r="Q315" s="62"/>
    </row>
    <row r="316" spans="1:17" ht="15" customHeight="1" x14ac:dyDescent="0.3">
      <c r="A316" s="70" t="s">
        <v>3064</v>
      </c>
      <c r="B316" s="112" t="s">
        <v>2489</v>
      </c>
      <c r="C316" s="101" t="s">
        <v>370</v>
      </c>
      <c r="D316" s="76" t="str">
        <f>IFERROR(INDEX(M_User!$A$12:$J$67,MATCH(C316,M_User!$D$12:$D$67,0),3),"UNMAPPED")</f>
        <v>Zawadi Jastin Laizer</v>
      </c>
      <c r="E316" s="75" t="str">
        <f>IFERROR(INDEX(M_User!$A$12:$J$67,MATCH(C316,M_User!$D$12:$D$67,0),5),"UNMAPPED")</f>
        <v>MOS</v>
      </c>
      <c r="F316" s="101" t="s">
        <v>261</v>
      </c>
      <c r="G316" s="76" t="str">
        <f>IFERROR(INDEX(M_SKU!$A$18:$J$57,MATCH(F316,M_SKU!$B$18:$B$57,0),1),"UNKNOWN SKU")</f>
        <v>Sparletta Pine Apple Pet 300ML (x 12)</v>
      </c>
      <c r="H316" s="101" t="s">
        <v>547</v>
      </c>
      <c r="I316" s="102">
        <f>IFERROR(INDEX(T_Unload!$K$10:$K$433,MATCH(B316,T_Unload!$B$10:$B$433,0)),0)</f>
        <v>1</v>
      </c>
      <c r="J316" s="111">
        <v>1</v>
      </c>
      <c r="K316" s="113">
        <f t="shared" si="16"/>
        <v>0</v>
      </c>
      <c r="L316" s="114" t="str">
        <f t="shared" si="17"/>
        <v>CLEAN</v>
      </c>
      <c r="M316" s="115">
        <f t="shared" si="18"/>
        <v>0</v>
      </c>
      <c r="N316" s="115">
        <f t="shared" si="19"/>
        <v>0</v>
      </c>
      <c r="O316" s="116" t="s">
        <v>2761</v>
      </c>
      <c r="P316" s="117"/>
      <c r="Q316" s="118"/>
    </row>
    <row r="317" spans="1:17" ht="15" customHeight="1" x14ac:dyDescent="0.3">
      <c r="A317" s="60" t="s">
        <v>3065</v>
      </c>
      <c r="B317" s="97" t="s">
        <v>2491</v>
      </c>
      <c r="C317" s="63" t="s">
        <v>361</v>
      </c>
      <c r="D317" s="66" t="str">
        <f>IFERROR(INDEX(M_User!$A$12:$J$67,MATCH(C317,M_User!$D$12:$D$67,0),3),"UNMAPPED")</f>
        <v>Masunga Mwala Ramadhani</v>
      </c>
      <c r="E317" s="65" t="str">
        <f>IFERROR(INDEX(M_User!$A$12:$J$67,MATCH(C317,M_User!$D$12:$D$67,0),5),"UNMAPPED")</f>
        <v>MOS</v>
      </c>
      <c r="F317" s="63" t="s">
        <v>170</v>
      </c>
      <c r="G317" s="66" t="str">
        <f>IFERROR(INDEX(M_SKU!$A$18:$J$57,MATCH(F317,M_SKU!$B$18:$B$57,0),1),"UNKNOWN SKU")</f>
        <v>Coke RGB 350ml</v>
      </c>
      <c r="H317" s="63" t="s">
        <v>529</v>
      </c>
      <c r="I317" s="98">
        <f>IFERROR(INDEX(T_Unload!$K$10:$K$433,MATCH(B317,T_Unload!$B$10:$B$433,0)),0)</f>
        <v>1.1562929978906205</v>
      </c>
      <c r="J317" s="111">
        <v>1.1599999999999999</v>
      </c>
      <c r="K317" s="99">
        <f t="shared" si="16"/>
        <v>-3.7070021093794647E-3</v>
      </c>
      <c r="L317" s="105" t="str">
        <f t="shared" si="17"/>
        <v>Adjust Unload Upward</v>
      </c>
      <c r="M317" s="90">
        <f t="shared" si="18"/>
        <v>0</v>
      </c>
      <c r="N317" s="90">
        <f t="shared" si="19"/>
        <v>3.7070021093794647E-3</v>
      </c>
      <c r="O317" s="68" t="s">
        <v>2761</v>
      </c>
      <c r="P317" s="63"/>
      <c r="Q317" s="62"/>
    </row>
    <row r="318" spans="1:17" ht="15" customHeight="1" x14ac:dyDescent="0.3">
      <c r="A318" s="70" t="s">
        <v>3066</v>
      </c>
      <c r="B318" s="112" t="s">
        <v>2493</v>
      </c>
      <c r="C318" s="101" t="s">
        <v>361</v>
      </c>
      <c r="D318" s="76" t="str">
        <f>IFERROR(INDEX(M_User!$A$12:$J$67,MATCH(C318,M_User!$D$12:$D$67,0),3),"UNMAPPED")</f>
        <v>Masunga Mwala Ramadhani</v>
      </c>
      <c r="E318" s="75" t="str">
        <f>IFERROR(INDEX(M_User!$A$12:$J$67,MATCH(C318,M_User!$D$12:$D$67,0),5),"UNMAPPED")</f>
        <v>MOS</v>
      </c>
      <c r="F318" s="101" t="s">
        <v>170</v>
      </c>
      <c r="G318" s="76" t="str">
        <f>IFERROR(INDEX(M_SKU!$A$18:$J$57,MATCH(F318,M_SKU!$B$18:$B$57,0),1),"UNKNOWN SKU")</f>
        <v>Coke RGB 350ml</v>
      </c>
      <c r="H318" s="101" t="s">
        <v>585</v>
      </c>
      <c r="I318" s="102">
        <f>IFERROR(INDEX(T_Unload!$K$10:$K$433,MATCH(B318,T_Unload!$B$10:$B$433,0)),0)</f>
        <v>10.453069529529195</v>
      </c>
      <c r="J318" s="111">
        <v>10.45</v>
      </c>
      <c r="K318" s="113">
        <f t="shared" si="16"/>
        <v>3.0695295291955915E-3</v>
      </c>
      <c r="L318" s="114" t="str">
        <f t="shared" si="17"/>
        <v>Post to Default Outlet</v>
      </c>
      <c r="M318" s="115">
        <f t="shared" si="18"/>
        <v>3.0695295291955915E-3</v>
      </c>
      <c r="N318" s="115">
        <f t="shared" si="19"/>
        <v>0</v>
      </c>
      <c r="O318" s="116" t="s">
        <v>2761</v>
      </c>
      <c r="P318" s="117"/>
      <c r="Q318" s="118"/>
    </row>
    <row r="319" spans="1:17" ht="15" customHeight="1" x14ac:dyDescent="0.3">
      <c r="A319" s="60" t="s">
        <v>3067</v>
      </c>
      <c r="B319" s="97" t="s">
        <v>2495</v>
      </c>
      <c r="C319" s="63" t="s">
        <v>361</v>
      </c>
      <c r="D319" s="66" t="str">
        <f>IFERROR(INDEX(M_User!$A$12:$J$67,MATCH(C319,M_User!$D$12:$D$67,0),3),"UNMAPPED")</f>
        <v>Masunga Mwala Ramadhani</v>
      </c>
      <c r="E319" s="65" t="str">
        <f>IFERROR(INDEX(M_User!$A$12:$J$67,MATCH(C319,M_User!$D$12:$D$67,0),5),"UNMAPPED")</f>
        <v>MOS</v>
      </c>
      <c r="F319" s="63" t="s">
        <v>178</v>
      </c>
      <c r="G319" s="66" t="str">
        <f>IFERROR(INDEX(M_SKU!$A$18:$J$57,MATCH(F319,M_SKU!$B$18:$B$57,0),1),"UNKNOWN SKU")</f>
        <v>Fanta Orange RGB 350ml</v>
      </c>
      <c r="H319" s="63" t="s">
        <v>531</v>
      </c>
      <c r="I319" s="98">
        <f>IFERROR(INDEX(T_Unload!$K$10:$K$433,MATCH(B319,T_Unload!$B$10:$B$433,0)),0)</f>
        <v>5.2562031323890004</v>
      </c>
      <c r="J319" s="111">
        <v>5.26</v>
      </c>
      <c r="K319" s="99">
        <f t="shared" si="16"/>
        <v>-3.7968676109993993E-3</v>
      </c>
      <c r="L319" s="105" t="str">
        <f t="shared" si="17"/>
        <v>Adjust Unload Upward</v>
      </c>
      <c r="M319" s="90">
        <f t="shared" si="18"/>
        <v>0</v>
      </c>
      <c r="N319" s="90">
        <f t="shared" si="19"/>
        <v>3.7968676109993993E-3</v>
      </c>
      <c r="O319" s="68" t="s">
        <v>2761</v>
      </c>
      <c r="P319" s="63"/>
      <c r="Q319" s="62"/>
    </row>
    <row r="320" spans="1:17" ht="15" customHeight="1" x14ac:dyDescent="0.3">
      <c r="A320" s="70" t="s">
        <v>3068</v>
      </c>
      <c r="B320" s="112" t="s">
        <v>2497</v>
      </c>
      <c r="C320" s="101" t="s">
        <v>361</v>
      </c>
      <c r="D320" s="76" t="str">
        <f>IFERROR(INDEX(M_User!$A$12:$J$67,MATCH(C320,M_User!$D$12:$D$67,0),3),"UNMAPPED")</f>
        <v>Masunga Mwala Ramadhani</v>
      </c>
      <c r="E320" s="75" t="str">
        <f>IFERROR(INDEX(M_User!$A$12:$J$67,MATCH(C320,M_User!$D$12:$D$67,0),5),"UNMAPPED")</f>
        <v>MOS</v>
      </c>
      <c r="F320" s="101" t="s">
        <v>181</v>
      </c>
      <c r="G320" s="76" t="str">
        <f>IFERROR(INDEX(M_SKU!$A$18:$J$57,MATCH(F320,M_SKU!$B$18:$B$57,0),1),"UNKNOWN SKU")</f>
        <v>Fanta Passion RGB 350ml</v>
      </c>
      <c r="H320" s="101" t="s">
        <v>550</v>
      </c>
      <c r="I320" s="102">
        <f>IFERROR(INDEX(T_Unload!$K$10:$K$433,MATCH(B320,T_Unload!$B$10:$B$433,0)),0)</f>
        <v>0.92259230746848964</v>
      </c>
      <c r="J320" s="111">
        <v>0.92</v>
      </c>
      <c r="K320" s="113">
        <f t="shared" si="16"/>
        <v>2.5923074684895964E-3</v>
      </c>
      <c r="L320" s="114" t="str">
        <f t="shared" si="17"/>
        <v>Post to Default Outlet</v>
      </c>
      <c r="M320" s="115">
        <f t="shared" si="18"/>
        <v>2.5923074684895964E-3</v>
      </c>
      <c r="N320" s="115">
        <f t="shared" si="19"/>
        <v>0</v>
      </c>
      <c r="O320" s="116" t="s">
        <v>2761</v>
      </c>
      <c r="P320" s="117"/>
      <c r="Q320" s="118"/>
    </row>
    <row r="321" spans="1:17" ht="15" customHeight="1" x14ac:dyDescent="0.3">
      <c r="A321" s="60" t="s">
        <v>3069</v>
      </c>
      <c r="B321" s="97" t="s">
        <v>2499</v>
      </c>
      <c r="C321" s="63" t="s">
        <v>361</v>
      </c>
      <c r="D321" s="66" t="str">
        <f>IFERROR(INDEX(M_User!$A$12:$J$67,MATCH(C321,M_User!$D$12:$D$67,0),3),"UNMAPPED")</f>
        <v>Masunga Mwala Ramadhani</v>
      </c>
      <c r="E321" s="65" t="str">
        <f>IFERROR(INDEX(M_User!$A$12:$J$67,MATCH(C321,M_User!$D$12:$D$67,0),5),"UNMAPPED")</f>
        <v>MOS</v>
      </c>
      <c r="F321" s="63" t="s">
        <v>183</v>
      </c>
      <c r="G321" s="66" t="str">
        <f>IFERROR(INDEX(M_SKU!$A$18:$J$57,MATCH(F321,M_SKU!$B$18:$B$57,0),1),"UNKNOWN SKU")</f>
        <v>Fanta Pineapple RGB 350ml</v>
      </c>
      <c r="H321" s="63" t="s">
        <v>533</v>
      </c>
      <c r="I321" s="98">
        <f>IFERROR(INDEX(T_Unload!$K$10:$K$433,MATCH(B321,T_Unload!$B$10:$B$433,0)),0)</f>
        <v>2.4536650319059294</v>
      </c>
      <c r="J321" s="111">
        <v>2.4500000000000002</v>
      </c>
      <c r="K321" s="99">
        <f t="shared" si="16"/>
        <v>3.6650319059292613E-3</v>
      </c>
      <c r="L321" s="105" t="str">
        <f t="shared" si="17"/>
        <v>Post to Default Outlet</v>
      </c>
      <c r="M321" s="90">
        <f t="shared" si="18"/>
        <v>3.6650319059292613E-3</v>
      </c>
      <c r="N321" s="90">
        <f t="shared" si="19"/>
        <v>0</v>
      </c>
      <c r="O321" s="68" t="s">
        <v>2761</v>
      </c>
      <c r="P321" s="63"/>
      <c r="Q321" s="62"/>
    </row>
    <row r="322" spans="1:17" ht="15" customHeight="1" x14ac:dyDescent="0.3">
      <c r="A322" s="70" t="s">
        <v>3070</v>
      </c>
      <c r="B322" s="112" t="s">
        <v>2501</v>
      </c>
      <c r="C322" s="101" t="s">
        <v>361</v>
      </c>
      <c r="D322" s="76" t="str">
        <f>IFERROR(INDEX(M_User!$A$12:$J$67,MATCH(C322,M_User!$D$12:$D$67,0),3),"UNMAPPED")</f>
        <v>Masunga Mwala Ramadhani</v>
      </c>
      <c r="E322" s="75" t="str">
        <f>IFERROR(INDEX(M_User!$A$12:$J$67,MATCH(C322,M_User!$D$12:$D$67,0),5),"UNMAPPED")</f>
        <v>MOS</v>
      </c>
      <c r="F322" s="101" t="s">
        <v>185</v>
      </c>
      <c r="G322" s="76" t="str">
        <f>IFERROR(INDEX(M_SKU!$A$18:$J$57,MATCH(F322,M_SKU!$B$18:$B$57,0),1),"UNKNOWN SKU")</f>
        <v>Fanta Fruit Blast RGB 350 ml</v>
      </c>
      <c r="H322" s="101" t="s">
        <v>534</v>
      </c>
      <c r="I322" s="102">
        <f>IFERROR(INDEX(T_Unload!$K$10:$K$433,MATCH(B322,T_Unload!$B$10:$B$433,0)),0)</f>
        <v>0.60952900502740981</v>
      </c>
      <c r="J322" s="111">
        <v>0.61</v>
      </c>
      <c r="K322" s="113">
        <f t="shared" si="16"/>
        <v>-4.7099497259017742E-4</v>
      </c>
      <c r="L322" s="114" t="str">
        <f t="shared" si="17"/>
        <v>Adjust Unload Upward</v>
      </c>
      <c r="M322" s="115">
        <f t="shared" si="18"/>
        <v>0</v>
      </c>
      <c r="N322" s="115">
        <f t="shared" si="19"/>
        <v>4.7099497259017742E-4</v>
      </c>
      <c r="O322" s="116" t="s">
        <v>2761</v>
      </c>
      <c r="P322" s="117"/>
      <c r="Q322" s="118"/>
    </row>
    <row r="323" spans="1:17" ht="15" customHeight="1" x14ac:dyDescent="0.3">
      <c r="A323" s="60" t="s">
        <v>3071</v>
      </c>
      <c r="B323" s="97" t="s">
        <v>2503</v>
      </c>
      <c r="C323" s="63" t="s">
        <v>361</v>
      </c>
      <c r="D323" s="66" t="str">
        <f>IFERROR(INDEX(M_User!$A$12:$J$67,MATCH(C323,M_User!$D$12:$D$67,0),3),"UNMAPPED")</f>
        <v>Masunga Mwala Ramadhani</v>
      </c>
      <c r="E323" s="65" t="str">
        <f>IFERROR(INDEX(M_User!$A$12:$J$67,MATCH(C323,M_User!$D$12:$D$67,0),5),"UNMAPPED")</f>
        <v>MOS</v>
      </c>
      <c r="F323" s="63" t="s">
        <v>187</v>
      </c>
      <c r="G323" s="66" t="str">
        <f>IFERROR(INDEX(M_SKU!$A$18:$J$57,MATCH(F323,M_SKU!$B$18:$B$57,0),1),"UNKNOWN SKU")</f>
        <v>Sprite 350ml</v>
      </c>
      <c r="H323" s="63" t="s">
        <v>535</v>
      </c>
      <c r="I323" s="98">
        <f>IFERROR(INDEX(T_Unload!$K$10:$K$433,MATCH(B323,T_Unload!$B$10:$B$433,0)),0)</f>
        <v>2.0208396097597401</v>
      </c>
      <c r="J323" s="111">
        <v>2.02</v>
      </c>
      <c r="K323" s="99">
        <f t="shared" si="16"/>
        <v>8.3960975974006757E-4</v>
      </c>
      <c r="L323" s="105" t="str">
        <f t="shared" si="17"/>
        <v>Post to Default Outlet</v>
      </c>
      <c r="M323" s="90">
        <f t="shared" si="18"/>
        <v>8.3960975974006757E-4</v>
      </c>
      <c r="N323" s="90">
        <f t="shared" si="19"/>
        <v>0</v>
      </c>
      <c r="O323" s="68" t="s">
        <v>2761</v>
      </c>
      <c r="P323" s="63"/>
      <c r="Q323" s="62"/>
    </row>
    <row r="324" spans="1:17" ht="15" customHeight="1" x14ac:dyDescent="0.3">
      <c r="A324" s="70" t="s">
        <v>3072</v>
      </c>
      <c r="B324" s="112" t="s">
        <v>2505</v>
      </c>
      <c r="C324" s="101" t="s">
        <v>361</v>
      </c>
      <c r="D324" s="76" t="str">
        <f>IFERROR(INDEX(M_User!$A$12:$J$67,MATCH(C324,M_User!$D$12:$D$67,0),3),"UNMAPPED")</f>
        <v>Masunga Mwala Ramadhani</v>
      </c>
      <c r="E324" s="75" t="str">
        <f>IFERROR(INDEX(M_User!$A$12:$J$67,MATCH(C324,M_User!$D$12:$D$67,0),5),"UNMAPPED")</f>
        <v>MOS</v>
      </c>
      <c r="F324" s="101" t="s">
        <v>190</v>
      </c>
      <c r="G324" s="76" t="str">
        <f>IFERROR(INDEX(M_SKU!$A$18:$J$57,MATCH(F324,M_SKU!$B$18:$B$57,0),1),"UNKNOWN SKU")</f>
        <v>Stoney Tangawizi RGB 350ml</v>
      </c>
      <c r="H324" s="101" t="s">
        <v>536</v>
      </c>
      <c r="I324" s="102">
        <f>IFERROR(INDEX(T_Unload!$K$10:$K$433,MATCH(B324,T_Unload!$B$10:$B$433,0)),0)</f>
        <v>1.0486707677969491</v>
      </c>
      <c r="J324" s="111">
        <v>1.05</v>
      </c>
      <c r="K324" s="113">
        <f t="shared" si="16"/>
        <v>-1.3292322030509229E-3</v>
      </c>
      <c r="L324" s="114" t="str">
        <f t="shared" si="17"/>
        <v>Adjust Unload Upward</v>
      </c>
      <c r="M324" s="115">
        <f t="shared" si="18"/>
        <v>0</v>
      </c>
      <c r="N324" s="115">
        <f t="shared" si="19"/>
        <v>1.3292322030509229E-3</v>
      </c>
      <c r="O324" s="116" t="s">
        <v>2761</v>
      </c>
      <c r="P324" s="117"/>
      <c r="Q324" s="118"/>
    </row>
    <row r="325" spans="1:17" ht="15" customHeight="1" x14ac:dyDescent="0.3">
      <c r="A325" s="60" t="s">
        <v>3073</v>
      </c>
      <c r="B325" s="97" t="s">
        <v>2507</v>
      </c>
      <c r="C325" s="63" t="s">
        <v>361</v>
      </c>
      <c r="D325" s="66" t="str">
        <f>IFERROR(INDEX(M_User!$A$12:$J$67,MATCH(C325,M_User!$D$12:$D$67,0),3),"UNMAPPED")</f>
        <v>Masunga Mwala Ramadhani</v>
      </c>
      <c r="E325" s="65" t="str">
        <f>IFERROR(INDEX(M_User!$A$12:$J$67,MATCH(C325,M_User!$D$12:$D$67,0),5),"UNMAPPED")</f>
        <v>MOS</v>
      </c>
      <c r="F325" s="63" t="s">
        <v>193</v>
      </c>
      <c r="G325" s="66" t="str">
        <f>IFERROR(INDEX(M_SKU!$A$18:$J$57,MATCH(F325,M_SKU!$B$18:$B$57,0),1),"UNKNOWN SKU")</f>
        <v>Sparletta Pinenut RGB 350ml</v>
      </c>
      <c r="H325" s="63" t="s">
        <v>537</v>
      </c>
      <c r="I325" s="98">
        <f>IFERROR(INDEX(T_Unload!$K$10:$K$433,MATCH(B325,T_Unload!$B$10:$B$433,0)),0)</f>
        <v>1.0717758042589303</v>
      </c>
      <c r="J325" s="111">
        <v>1.07</v>
      </c>
      <c r="K325" s="99">
        <f t="shared" si="16"/>
        <v>1.7758042589302026E-3</v>
      </c>
      <c r="L325" s="105" t="str">
        <f t="shared" si="17"/>
        <v>Post to Default Outlet</v>
      </c>
      <c r="M325" s="90">
        <f t="shared" si="18"/>
        <v>1.7758042589302026E-3</v>
      </c>
      <c r="N325" s="90">
        <f t="shared" si="19"/>
        <v>0</v>
      </c>
      <c r="O325" s="68" t="s">
        <v>2761</v>
      </c>
      <c r="P325" s="63"/>
      <c r="Q325" s="62"/>
    </row>
    <row r="326" spans="1:17" ht="15" customHeight="1" x14ac:dyDescent="0.3">
      <c r="A326" s="70" t="s">
        <v>3074</v>
      </c>
      <c r="B326" s="112" t="s">
        <v>2509</v>
      </c>
      <c r="C326" s="101" t="s">
        <v>361</v>
      </c>
      <c r="D326" s="76" t="str">
        <f>IFERROR(INDEX(M_User!$A$12:$J$67,MATCH(C326,M_User!$D$12:$D$67,0),3),"UNMAPPED")</f>
        <v>Masunga Mwala Ramadhani</v>
      </c>
      <c r="E326" s="75" t="str">
        <f>IFERROR(INDEX(M_User!$A$12:$J$67,MATCH(C326,M_User!$D$12:$D$67,0),5),"UNMAPPED")</f>
        <v>MOS</v>
      </c>
      <c r="F326" s="101" t="s">
        <v>196</v>
      </c>
      <c r="G326" s="76" t="str">
        <f>IFERROR(INDEX(M_SKU!$A$18:$J$57,MATCH(F326,M_SKU!$B$18:$B$57,0),1),"UNKNOWN SKU")</f>
        <v>Krest Bitter Lemon RGB 300ml</v>
      </c>
      <c r="H326" s="101" t="s">
        <v>538</v>
      </c>
      <c r="I326" s="102">
        <f>IFERROR(INDEX(T_Unload!$K$10:$K$433,MATCH(B326,T_Unload!$B$10:$B$433,0)),0)</f>
        <v>0.54676949403909969</v>
      </c>
      <c r="J326" s="111">
        <v>0.55000000000000004</v>
      </c>
      <c r="K326" s="113">
        <f t="shared" si="16"/>
        <v>-3.2305059609003539E-3</v>
      </c>
      <c r="L326" s="114" t="str">
        <f t="shared" si="17"/>
        <v>Adjust Unload Upward</v>
      </c>
      <c r="M326" s="115">
        <f t="shared" si="18"/>
        <v>0</v>
      </c>
      <c r="N326" s="115">
        <f t="shared" si="19"/>
        <v>3.2305059609003539E-3</v>
      </c>
      <c r="O326" s="116" t="s">
        <v>2761</v>
      </c>
      <c r="P326" s="117"/>
      <c r="Q326" s="118"/>
    </row>
    <row r="327" spans="1:17" ht="15" customHeight="1" x14ac:dyDescent="0.3">
      <c r="A327" s="60" t="s">
        <v>3075</v>
      </c>
      <c r="B327" s="97" t="s">
        <v>2511</v>
      </c>
      <c r="C327" s="63" t="s">
        <v>361</v>
      </c>
      <c r="D327" s="66" t="str">
        <f>IFERROR(INDEX(M_User!$A$12:$J$67,MATCH(C327,M_User!$D$12:$D$67,0),3),"UNMAPPED")</f>
        <v>Masunga Mwala Ramadhani</v>
      </c>
      <c r="E327" s="65" t="str">
        <f>IFERROR(INDEX(M_User!$A$12:$J$67,MATCH(C327,M_User!$D$12:$D$67,0),5),"UNMAPPED")</f>
        <v>MOS</v>
      </c>
      <c r="F327" s="63" t="s">
        <v>199</v>
      </c>
      <c r="G327" s="66" t="str">
        <f>IFERROR(INDEX(M_SKU!$A$18:$J$57,MATCH(F327,M_SKU!$B$18:$B$57,0),1),"UNKNOWN SKU")</f>
        <v>Krest Club Soda RGB 300ml</v>
      </c>
      <c r="H327" s="63" t="s">
        <v>539</v>
      </c>
      <c r="I327" s="98">
        <f>IFERROR(INDEX(T_Unload!$K$10:$K$433,MATCH(B327,T_Unload!$B$10:$B$433,0)),0)</f>
        <v>0.87163043137378793</v>
      </c>
      <c r="J327" s="111">
        <v>0.87</v>
      </c>
      <c r="K327" s="99">
        <f t="shared" si="16"/>
        <v>1.6304313737879328E-3</v>
      </c>
      <c r="L327" s="105" t="str">
        <f t="shared" si="17"/>
        <v>Post to Default Outlet</v>
      </c>
      <c r="M327" s="90">
        <f t="shared" si="18"/>
        <v>1.6304313737879328E-3</v>
      </c>
      <c r="N327" s="90">
        <f t="shared" si="19"/>
        <v>0</v>
      </c>
      <c r="O327" s="68" t="s">
        <v>2761</v>
      </c>
      <c r="P327" s="63"/>
      <c r="Q327" s="62"/>
    </row>
    <row r="328" spans="1:17" ht="15" customHeight="1" x14ac:dyDescent="0.3">
      <c r="A328" s="70" t="s">
        <v>3076</v>
      </c>
      <c r="B328" s="112" t="s">
        <v>2513</v>
      </c>
      <c r="C328" s="101" t="s">
        <v>361</v>
      </c>
      <c r="D328" s="76" t="str">
        <f>IFERROR(INDEX(M_User!$A$12:$J$67,MATCH(C328,M_User!$D$12:$D$67,0),3),"UNMAPPED")</f>
        <v>Masunga Mwala Ramadhani</v>
      </c>
      <c r="E328" s="75" t="str">
        <f>IFERROR(INDEX(M_User!$A$12:$J$67,MATCH(C328,M_User!$D$12:$D$67,0),5),"UNMAPPED")</f>
        <v>MOS</v>
      </c>
      <c r="F328" s="101" t="s">
        <v>201</v>
      </c>
      <c r="G328" s="76" t="str">
        <f>IFERROR(INDEX(M_SKU!$A$18:$J$57,MATCH(F328,M_SKU!$B$18:$B$57,0),1),"UNKNOWN SKU")</f>
        <v>Krest Tonic Water RGB 300ml</v>
      </c>
      <c r="H328" s="101" t="s">
        <v>540</v>
      </c>
      <c r="I328" s="102">
        <f>IFERROR(INDEX(T_Unload!$K$10:$K$433,MATCH(B328,T_Unload!$B$10:$B$433,0)),0)</f>
        <v>0.58590440599534066</v>
      </c>
      <c r="J328" s="111">
        <v>0.59</v>
      </c>
      <c r="K328" s="113">
        <f t="shared" si="16"/>
        <v>-4.0955940046593087E-3</v>
      </c>
      <c r="L328" s="114" t="str">
        <f t="shared" si="17"/>
        <v>Adjust Unload Upward</v>
      </c>
      <c r="M328" s="115">
        <f t="shared" si="18"/>
        <v>0</v>
      </c>
      <c r="N328" s="115">
        <f t="shared" si="19"/>
        <v>4.0955940046593087E-3</v>
      </c>
      <c r="O328" s="116" t="s">
        <v>2761</v>
      </c>
      <c r="P328" s="117"/>
      <c r="Q328" s="118"/>
    </row>
    <row r="329" spans="1:17" ht="15" customHeight="1" x14ac:dyDescent="0.3">
      <c r="A329" s="60" t="s">
        <v>3077</v>
      </c>
      <c r="B329" s="97" t="s">
        <v>2515</v>
      </c>
      <c r="C329" s="63" t="s">
        <v>361</v>
      </c>
      <c r="D329" s="66" t="str">
        <f>IFERROR(INDEX(M_User!$A$12:$J$67,MATCH(C329,M_User!$D$12:$D$67,0),3),"UNMAPPED")</f>
        <v>Masunga Mwala Ramadhani</v>
      </c>
      <c r="E329" s="65" t="str">
        <f>IFERROR(INDEX(M_User!$A$12:$J$67,MATCH(C329,M_User!$D$12:$D$67,0),5),"UNMAPPED")</f>
        <v>MOS</v>
      </c>
      <c r="F329" s="63" t="s">
        <v>203</v>
      </c>
      <c r="G329" s="66" t="str">
        <f>IFERROR(INDEX(M_SKU!$A$18:$J$57,MATCH(F329,M_SKU!$B$18:$B$57,0),1),"UNKNOWN SKU")</f>
        <v>Krest Ginger Ale RGB 300ml</v>
      </c>
      <c r="H329" s="63" t="s">
        <v>541</v>
      </c>
      <c r="I329" s="98">
        <f>IFERROR(INDEX(T_Unload!$K$10:$K$433,MATCH(B329,T_Unload!$B$10:$B$433,0)),0)</f>
        <v>0.69605159089369018</v>
      </c>
      <c r="J329" s="111">
        <v>0.7</v>
      </c>
      <c r="K329" s="99">
        <f t="shared" si="16"/>
        <v>-3.9484091063097804E-3</v>
      </c>
      <c r="L329" s="105" t="str">
        <f t="shared" si="17"/>
        <v>Adjust Unload Upward</v>
      </c>
      <c r="M329" s="90">
        <f t="shared" si="18"/>
        <v>0</v>
      </c>
      <c r="N329" s="90">
        <f t="shared" si="19"/>
        <v>3.9484091063097804E-3</v>
      </c>
      <c r="O329" s="68" t="s">
        <v>2761</v>
      </c>
      <c r="P329" s="63"/>
      <c r="Q329" s="62"/>
    </row>
    <row r="330" spans="1:17" ht="15" customHeight="1" x14ac:dyDescent="0.3">
      <c r="A330" s="70" t="s">
        <v>3078</v>
      </c>
      <c r="B330" s="112" t="s">
        <v>2517</v>
      </c>
      <c r="C330" s="101" t="s">
        <v>361</v>
      </c>
      <c r="D330" s="76" t="str">
        <f>IFERROR(INDEX(M_User!$A$12:$J$67,MATCH(C330,M_User!$D$12:$D$67,0),3),"UNMAPPED")</f>
        <v>Masunga Mwala Ramadhani</v>
      </c>
      <c r="E330" s="75" t="str">
        <f>IFERROR(INDEX(M_User!$A$12:$J$67,MATCH(C330,M_User!$D$12:$D$67,0),5),"UNMAPPED")</f>
        <v>MOS</v>
      </c>
      <c r="F330" s="101" t="s">
        <v>209</v>
      </c>
      <c r="G330" s="76" t="str">
        <f>IFERROR(INDEX(M_SKU!$A$18:$J$57,MATCH(F330,M_SKU!$B$18:$B$57,0),1),"UNKNOWN SKU")</f>
        <v>Sparletta Red Apple RGB 350ml</v>
      </c>
      <c r="H330" s="101" t="s">
        <v>542</v>
      </c>
      <c r="I330" s="102">
        <f>IFERROR(INDEX(T_Unload!$K$10:$K$433,MATCH(B330,T_Unload!$B$10:$B$433,0)),0)</f>
        <v>0.25769793094867</v>
      </c>
      <c r="J330" s="111">
        <v>0.26</v>
      </c>
      <c r="K330" s="113">
        <f t="shared" si="16"/>
        <v>-2.3020690513300135E-3</v>
      </c>
      <c r="L330" s="114" t="str">
        <f t="shared" si="17"/>
        <v>Adjust Unload Upward</v>
      </c>
      <c r="M330" s="115">
        <f t="shared" si="18"/>
        <v>0</v>
      </c>
      <c r="N330" s="115">
        <f t="shared" si="19"/>
        <v>2.3020690513300135E-3</v>
      </c>
      <c r="O330" s="116" t="s">
        <v>2761</v>
      </c>
      <c r="P330" s="117"/>
      <c r="Q330" s="118"/>
    </row>
    <row r="331" spans="1:17" ht="15" customHeight="1" x14ac:dyDescent="0.3">
      <c r="A331" s="60" t="s">
        <v>3079</v>
      </c>
      <c r="B331" s="97" t="s">
        <v>2519</v>
      </c>
      <c r="C331" s="63" t="s">
        <v>361</v>
      </c>
      <c r="D331" s="66" t="str">
        <f>IFERROR(INDEX(M_User!$A$12:$J$67,MATCH(C331,M_User!$D$12:$D$67,0),3),"UNMAPPED")</f>
        <v>Masunga Mwala Ramadhani</v>
      </c>
      <c r="E331" s="65" t="str">
        <f>IFERROR(INDEX(M_User!$A$12:$J$67,MATCH(C331,M_User!$D$12:$D$67,0),5),"UNMAPPED")</f>
        <v>MOS</v>
      </c>
      <c r="F331" s="63" t="s">
        <v>211</v>
      </c>
      <c r="G331" s="66" t="str">
        <f>IFERROR(INDEX(M_SKU!$A$18:$J$57,MATCH(F331,M_SKU!$B$18:$B$57,0),1),"UNKNOWN SKU")</f>
        <v>KNMW 500ml</v>
      </c>
      <c r="H331" s="63" t="s">
        <v>543</v>
      </c>
      <c r="I331" s="98">
        <f>IFERROR(INDEX(T_Unload!$K$10:$K$433,MATCH(B331,T_Unload!$B$10:$B$433,0)),0)</f>
        <v>9</v>
      </c>
      <c r="J331" s="111">
        <v>9</v>
      </c>
      <c r="K331" s="99">
        <f t="shared" si="16"/>
        <v>0</v>
      </c>
      <c r="L331" s="105" t="str">
        <f t="shared" si="17"/>
        <v>CLEAN</v>
      </c>
      <c r="M331" s="90">
        <f t="shared" si="18"/>
        <v>0</v>
      </c>
      <c r="N331" s="90">
        <f t="shared" si="19"/>
        <v>0</v>
      </c>
      <c r="O331" s="68" t="s">
        <v>2761</v>
      </c>
      <c r="P331" s="63"/>
      <c r="Q331" s="62"/>
    </row>
    <row r="332" spans="1:17" ht="15" customHeight="1" x14ac:dyDescent="0.3">
      <c r="A332" s="70" t="s">
        <v>3080</v>
      </c>
      <c r="B332" s="112" t="s">
        <v>2521</v>
      </c>
      <c r="C332" s="101" t="s">
        <v>361</v>
      </c>
      <c r="D332" s="76" t="str">
        <f>IFERROR(INDEX(M_User!$A$12:$J$67,MATCH(C332,M_User!$D$12:$D$67,0),3),"UNMAPPED")</f>
        <v>Masunga Mwala Ramadhani</v>
      </c>
      <c r="E332" s="75" t="str">
        <f>IFERROR(INDEX(M_User!$A$12:$J$67,MATCH(C332,M_User!$D$12:$D$67,0),5),"UNMAPPED")</f>
        <v>MOS</v>
      </c>
      <c r="F332" s="101" t="s">
        <v>217</v>
      </c>
      <c r="G332" s="76" t="str">
        <f>IFERROR(INDEX(M_SKU!$A$18:$J$57,MATCH(F332,M_SKU!$B$18:$B$57,0),1),"UNKNOWN SKU")</f>
        <v>KNMW 1500ml</v>
      </c>
      <c r="H332" s="101" t="s">
        <v>551</v>
      </c>
      <c r="I332" s="102">
        <f>IFERROR(INDEX(T_Unload!$K$10:$K$433,MATCH(B332,T_Unload!$B$10:$B$433,0)),0)</f>
        <v>45</v>
      </c>
      <c r="J332" s="111">
        <v>45</v>
      </c>
      <c r="K332" s="113">
        <f t="shared" si="16"/>
        <v>0</v>
      </c>
      <c r="L332" s="114" t="str">
        <f t="shared" si="17"/>
        <v>CLEAN</v>
      </c>
      <c r="M332" s="115">
        <f t="shared" si="18"/>
        <v>0</v>
      </c>
      <c r="N332" s="115">
        <f t="shared" si="19"/>
        <v>0</v>
      </c>
      <c r="O332" s="116" t="s">
        <v>2761</v>
      </c>
      <c r="P332" s="117"/>
      <c r="Q332" s="118"/>
    </row>
    <row r="333" spans="1:17" ht="15" customHeight="1" x14ac:dyDescent="0.3">
      <c r="A333" s="60" t="s">
        <v>3081</v>
      </c>
      <c r="B333" s="97" t="s">
        <v>2523</v>
      </c>
      <c r="C333" s="63" t="s">
        <v>361</v>
      </c>
      <c r="D333" s="66" t="str">
        <f>IFERROR(INDEX(M_User!$A$12:$J$67,MATCH(C333,M_User!$D$12:$D$67,0),3),"UNMAPPED")</f>
        <v>Masunga Mwala Ramadhani</v>
      </c>
      <c r="E333" s="65" t="str">
        <f>IFERROR(INDEX(M_User!$A$12:$J$67,MATCH(C333,M_User!$D$12:$D$67,0),5),"UNMAPPED")</f>
        <v>MOS</v>
      </c>
      <c r="F333" s="63" t="s">
        <v>229</v>
      </c>
      <c r="G333" s="66" t="str">
        <f>IFERROR(INDEX(M_SKU!$A$18:$J$57,MATCH(F333,M_SKU!$B$18:$B$57,0),1),"UNKNOWN SKU")</f>
        <v>Coke Pet 500ML ( x12)</v>
      </c>
      <c r="H333" s="63" t="s">
        <v>520</v>
      </c>
      <c r="I333" s="98">
        <f>IFERROR(INDEX(T_Unload!$K$10:$K$433,MATCH(B333,T_Unload!$B$10:$B$433,0)),0)</f>
        <v>11</v>
      </c>
      <c r="J333" s="111">
        <v>11</v>
      </c>
      <c r="K333" s="99">
        <f t="shared" ref="K333:K341" si="20">IF(ISBLANK(J333),"",I333-J333)</f>
        <v>0</v>
      </c>
      <c r="L333" s="105" t="str">
        <f t="shared" ref="L333:L341" si="21">IF(K333="","Awaiting Verification",IF(ABS(K333)&lt;0.0001,"CLEAN",IF(K333&gt;0,"Post to Default Outlet","Adjust Unload Upward")))</f>
        <v>CLEAN</v>
      </c>
      <c r="M333" s="90">
        <f t="shared" ref="M333:M341" si="22">IF(AND(ISNUMBER(K333),K333&gt;0.0001),K333,0)</f>
        <v>0</v>
      </c>
      <c r="N333" s="90">
        <f t="shared" ref="N333:N341" si="23">IF(AND(ISNUMBER(K333),K333&lt;-0.0001),-K333,0)</f>
        <v>0</v>
      </c>
      <c r="O333" s="68" t="s">
        <v>2761</v>
      </c>
      <c r="P333" s="63"/>
      <c r="Q333" s="62"/>
    </row>
    <row r="334" spans="1:17" ht="15" customHeight="1" x14ac:dyDescent="0.3">
      <c r="A334" s="70" t="s">
        <v>3082</v>
      </c>
      <c r="B334" s="112" t="s">
        <v>2525</v>
      </c>
      <c r="C334" s="101" t="s">
        <v>361</v>
      </c>
      <c r="D334" s="76" t="str">
        <f>IFERROR(INDEX(M_User!$A$12:$J$67,MATCH(C334,M_User!$D$12:$D$67,0),3),"UNMAPPED")</f>
        <v>Masunga Mwala Ramadhani</v>
      </c>
      <c r="E334" s="75" t="str">
        <f>IFERROR(INDEX(M_User!$A$12:$J$67,MATCH(C334,M_User!$D$12:$D$67,0),5),"UNMAPPED")</f>
        <v>MOS</v>
      </c>
      <c r="F334" s="101" t="s">
        <v>232</v>
      </c>
      <c r="G334" s="76" t="str">
        <f>IFERROR(INDEX(M_SKU!$A$18:$J$57,MATCH(F334,M_SKU!$B$18:$B$57,0),1),"UNKNOWN SKU")</f>
        <v>Sprite Pet 500ML (x 12)</v>
      </c>
      <c r="H334" s="101" t="s">
        <v>522</v>
      </c>
      <c r="I334" s="102">
        <f>IFERROR(INDEX(T_Unload!$K$10:$K$433,MATCH(B334,T_Unload!$B$10:$B$433,0)),0)</f>
        <v>2</v>
      </c>
      <c r="J334" s="111">
        <v>2</v>
      </c>
      <c r="K334" s="113">
        <f t="shared" si="20"/>
        <v>0</v>
      </c>
      <c r="L334" s="114" t="str">
        <f t="shared" si="21"/>
        <v>CLEAN</v>
      </c>
      <c r="M334" s="115">
        <f t="shared" si="22"/>
        <v>0</v>
      </c>
      <c r="N334" s="115">
        <f t="shared" si="23"/>
        <v>0</v>
      </c>
      <c r="O334" s="116" t="s">
        <v>2761</v>
      </c>
      <c r="P334" s="117"/>
      <c r="Q334" s="118"/>
    </row>
    <row r="335" spans="1:17" ht="15" customHeight="1" x14ac:dyDescent="0.3">
      <c r="A335" s="60" t="s">
        <v>3083</v>
      </c>
      <c r="B335" s="97" t="s">
        <v>2527</v>
      </c>
      <c r="C335" s="63" t="s">
        <v>361</v>
      </c>
      <c r="D335" s="66" t="str">
        <f>IFERROR(INDEX(M_User!$A$12:$J$67,MATCH(C335,M_User!$D$12:$D$67,0),3),"UNMAPPED")</f>
        <v>Masunga Mwala Ramadhani</v>
      </c>
      <c r="E335" s="65" t="str">
        <f>IFERROR(INDEX(M_User!$A$12:$J$67,MATCH(C335,M_User!$D$12:$D$67,0),5),"UNMAPPED")</f>
        <v>MOS</v>
      </c>
      <c r="F335" s="63" t="s">
        <v>234</v>
      </c>
      <c r="G335" s="66" t="str">
        <f>IFERROR(INDEX(M_SKU!$A$18:$J$57,MATCH(F335,M_SKU!$B$18:$B$57,0),1),"UNKNOWN SKU")</f>
        <v>Fanta Orange Pet 500ML ( x 12)</v>
      </c>
      <c r="H335" s="63" t="s">
        <v>523</v>
      </c>
      <c r="I335" s="98">
        <f>IFERROR(INDEX(T_Unload!$K$10:$K$433,MATCH(B335,T_Unload!$B$10:$B$433,0)),0)</f>
        <v>3</v>
      </c>
      <c r="J335" s="111">
        <v>3</v>
      </c>
      <c r="K335" s="99">
        <f t="shared" si="20"/>
        <v>0</v>
      </c>
      <c r="L335" s="105" t="str">
        <f t="shared" si="21"/>
        <v>CLEAN</v>
      </c>
      <c r="M335" s="90">
        <f t="shared" si="22"/>
        <v>0</v>
      </c>
      <c r="N335" s="90">
        <f t="shared" si="23"/>
        <v>0</v>
      </c>
      <c r="O335" s="68" t="s">
        <v>2761</v>
      </c>
      <c r="P335" s="63"/>
      <c r="Q335" s="62"/>
    </row>
    <row r="336" spans="1:17" ht="15" customHeight="1" x14ac:dyDescent="0.3">
      <c r="A336" s="70" t="s">
        <v>3084</v>
      </c>
      <c r="B336" s="112" t="s">
        <v>2529</v>
      </c>
      <c r="C336" s="101" t="s">
        <v>361</v>
      </c>
      <c r="D336" s="76" t="str">
        <f>IFERROR(INDEX(M_User!$A$12:$J$67,MATCH(C336,M_User!$D$12:$D$67,0),3),"UNMAPPED")</f>
        <v>Masunga Mwala Ramadhani</v>
      </c>
      <c r="E336" s="75" t="str">
        <f>IFERROR(INDEX(M_User!$A$12:$J$67,MATCH(C336,M_User!$D$12:$D$67,0),5),"UNMAPPED")</f>
        <v>MOS</v>
      </c>
      <c r="F336" s="101" t="s">
        <v>236</v>
      </c>
      <c r="G336" s="76" t="str">
        <f>IFERROR(INDEX(M_SKU!$A$18:$J$57,MATCH(F336,M_SKU!$B$18:$B$57,0),1),"UNKNOWN SKU")</f>
        <v>Fanta Passion Pet 500ML ( x12)</v>
      </c>
      <c r="H336" s="101" t="s">
        <v>524</v>
      </c>
      <c r="I336" s="102">
        <f>IFERROR(INDEX(T_Unload!$K$10:$K$433,MATCH(B336,T_Unload!$B$10:$B$433,0)),0)</f>
        <v>2</v>
      </c>
      <c r="J336" s="111">
        <v>2</v>
      </c>
      <c r="K336" s="113">
        <f t="shared" si="20"/>
        <v>0</v>
      </c>
      <c r="L336" s="114" t="str">
        <f t="shared" si="21"/>
        <v>CLEAN</v>
      </c>
      <c r="M336" s="115">
        <f t="shared" si="22"/>
        <v>0</v>
      </c>
      <c r="N336" s="115">
        <f t="shared" si="23"/>
        <v>0</v>
      </c>
      <c r="O336" s="116" t="s">
        <v>2761</v>
      </c>
      <c r="P336" s="117"/>
      <c r="Q336" s="118"/>
    </row>
    <row r="337" spans="1:17" ht="15" customHeight="1" x14ac:dyDescent="0.3">
      <c r="A337" s="60" t="s">
        <v>3085</v>
      </c>
      <c r="B337" s="97" t="s">
        <v>2531</v>
      </c>
      <c r="C337" s="63" t="s">
        <v>361</v>
      </c>
      <c r="D337" s="66" t="str">
        <f>IFERROR(INDEX(M_User!$A$12:$J$67,MATCH(C337,M_User!$D$12:$D$67,0),3),"UNMAPPED")</f>
        <v>Masunga Mwala Ramadhani</v>
      </c>
      <c r="E337" s="65" t="str">
        <f>IFERROR(INDEX(M_User!$A$12:$J$67,MATCH(C337,M_User!$D$12:$D$67,0),5),"UNMAPPED")</f>
        <v>MOS</v>
      </c>
      <c r="F337" s="63" t="s">
        <v>242</v>
      </c>
      <c r="G337" s="66" t="str">
        <f>IFERROR(INDEX(M_SKU!$A$18:$J$57,MATCH(F337,M_SKU!$B$18:$B$57,0),1),"UNKNOWN SKU")</f>
        <v>Stoney Tangawizi Pet 500 ml ( x12)</v>
      </c>
      <c r="H337" s="63" t="s">
        <v>525</v>
      </c>
      <c r="I337" s="98">
        <f>IFERROR(INDEX(T_Unload!$K$10:$K$433,MATCH(B337,T_Unload!$B$10:$B$433,0)),0)</f>
        <v>1</v>
      </c>
      <c r="J337" s="111">
        <v>1</v>
      </c>
      <c r="K337" s="99">
        <f t="shared" si="20"/>
        <v>0</v>
      </c>
      <c r="L337" s="105" t="str">
        <f t="shared" si="21"/>
        <v>CLEAN</v>
      </c>
      <c r="M337" s="90">
        <f t="shared" si="22"/>
        <v>0</v>
      </c>
      <c r="N337" s="90">
        <f t="shared" si="23"/>
        <v>0</v>
      </c>
      <c r="O337" s="68" t="s">
        <v>2761</v>
      </c>
      <c r="P337" s="63"/>
      <c r="Q337" s="62"/>
    </row>
    <row r="338" spans="1:17" ht="15" customHeight="1" x14ac:dyDescent="0.3">
      <c r="A338" s="70" t="s">
        <v>3086</v>
      </c>
      <c r="B338" s="112" t="s">
        <v>2533</v>
      </c>
      <c r="C338" s="101" t="s">
        <v>361</v>
      </c>
      <c r="D338" s="76" t="str">
        <f>IFERROR(INDEX(M_User!$A$12:$J$67,MATCH(C338,M_User!$D$12:$D$67,0),3),"UNMAPPED")</f>
        <v>Masunga Mwala Ramadhani</v>
      </c>
      <c r="E338" s="75" t="str">
        <f>IFERROR(INDEX(M_User!$A$12:$J$67,MATCH(C338,M_User!$D$12:$D$67,0),5),"UNMAPPED")</f>
        <v>MOS</v>
      </c>
      <c r="F338" s="101" t="s">
        <v>244</v>
      </c>
      <c r="G338" s="76" t="str">
        <f>IFERROR(INDEX(M_SKU!$A$18:$J$57,MATCH(F338,M_SKU!$B$18:$B$57,0),1),"UNKNOWN SKU")</f>
        <v>Sparletta Pinenut Pet 500 ml ( x12)</v>
      </c>
      <c r="H338" s="101" t="s">
        <v>526</v>
      </c>
      <c r="I338" s="102">
        <f>IFERROR(INDEX(T_Unload!$K$10:$K$433,MATCH(B338,T_Unload!$B$10:$B$433,0)),0)</f>
        <v>1</v>
      </c>
      <c r="J338" s="111">
        <v>1</v>
      </c>
      <c r="K338" s="113">
        <f t="shared" si="20"/>
        <v>0</v>
      </c>
      <c r="L338" s="114" t="str">
        <f t="shared" si="21"/>
        <v>CLEAN</v>
      </c>
      <c r="M338" s="115">
        <f t="shared" si="22"/>
        <v>0</v>
      </c>
      <c r="N338" s="115">
        <f t="shared" si="23"/>
        <v>0</v>
      </c>
      <c r="O338" s="116" t="s">
        <v>2761</v>
      </c>
      <c r="P338" s="117"/>
      <c r="Q338" s="118"/>
    </row>
    <row r="339" spans="1:17" ht="15" customHeight="1" x14ac:dyDescent="0.3">
      <c r="A339" s="60" t="s">
        <v>3087</v>
      </c>
      <c r="B339" s="97" t="s">
        <v>2535</v>
      </c>
      <c r="C339" s="63" t="s">
        <v>361</v>
      </c>
      <c r="D339" s="66" t="str">
        <f>IFERROR(INDEX(M_User!$A$12:$J$67,MATCH(C339,M_User!$D$12:$D$67,0),3),"UNMAPPED")</f>
        <v>Masunga Mwala Ramadhani</v>
      </c>
      <c r="E339" s="65" t="str">
        <f>IFERROR(INDEX(M_User!$A$12:$J$67,MATCH(C339,M_User!$D$12:$D$67,0),5),"UNMAPPED")</f>
        <v>MOS</v>
      </c>
      <c r="F339" s="63" t="s">
        <v>252</v>
      </c>
      <c r="G339" s="66" t="str">
        <f>IFERROR(INDEX(M_SKU!$A$18:$J$57,MATCH(F339,M_SKU!$B$18:$B$57,0),1),"UNKNOWN SKU")</f>
        <v>Sprite Zero Pet 300ML (x 12)</v>
      </c>
      <c r="H339" s="63" t="s">
        <v>545</v>
      </c>
      <c r="I339" s="98">
        <f>IFERROR(INDEX(T_Unload!$K$10:$K$433,MATCH(B339,T_Unload!$B$10:$B$433,0)),0)</f>
        <v>0</v>
      </c>
      <c r="J339" s="111">
        <v>0</v>
      </c>
      <c r="K339" s="99">
        <f t="shared" si="20"/>
        <v>0</v>
      </c>
      <c r="L339" s="105" t="str">
        <f t="shared" si="21"/>
        <v>CLEAN</v>
      </c>
      <c r="M339" s="90">
        <f t="shared" si="22"/>
        <v>0</v>
      </c>
      <c r="N339" s="90">
        <f t="shared" si="23"/>
        <v>0</v>
      </c>
      <c r="O339" s="68" t="s">
        <v>2761</v>
      </c>
      <c r="P339" s="63"/>
      <c r="Q339" s="62"/>
    </row>
    <row r="340" spans="1:17" ht="15" customHeight="1" x14ac:dyDescent="0.3">
      <c r="A340" s="70" t="s">
        <v>3088</v>
      </c>
      <c r="B340" s="112" t="s">
        <v>2537</v>
      </c>
      <c r="C340" s="101" t="s">
        <v>361</v>
      </c>
      <c r="D340" s="76" t="str">
        <f>IFERROR(INDEX(M_User!$A$12:$J$67,MATCH(C340,M_User!$D$12:$D$67,0),3),"UNMAPPED")</f>
        <v>Masunga Mwala Ramadhani</v>
      </c>
      <c r="E340" s="75" t="str">
        <f>IFERROR(INDEX(M_User!$A$12:$J$67,MATCH(C340,M_User!$D$12:$D$67,0),5),"UNMAPPED")</f>
        <v>MOS</v>
      </c>
      <c r="F340" s="101" t="s">
        <v>254</v>
      </c>
      <c r="G340" s="76" t="str">
        <f>IFERROR(INDEX(M_SKU!$A$18:$J$57,MATCH(F340,M_SKU!$B$18:$B$57,0),1),"UNKNOWN SKU")</f>
        <v>Fanta Zero Pet 300ML (x 12)</v>
      </c>
      <c r="H340" s="101" t="s">
        <v>546</v>
      </c>
      <c r="I340" s="102">
        <f>IFERROR(INDEX(T_Unload!$K$10:$K$433,MATCH(B340,T_Unload!$B$10:$B$433,0)),0)</f>
        <v>1</v>
      </c>
      <c r="J340" s="111">
        <v>1</v>
      </c>
      <c r="K340" s="113">
        <f t="shared" si="20"/>
        <v>0</v>
      </c>
      <c r="L340" s="114" t="str">
        <f t="shared" si="21"/>
        <v>CLEAN</v>
      </c>
      <c r="M340" s="115">
        <f t="shared" si="22"/>
        <v>0</v>
      </c>
      <c r="N340" s="115">
        <f t="shared" si="23"/>
        <v>0</v>
      </c>
      <c r="O340" s="116" t="s">
        <v>2761</v>
      </c>
      <c r="P340" s="117"/>
      <c r="Q340" s="118"/>
    </row>
    <row r="341" spans="1:17" ht="15" customHeight="1" x14ac:dyDescent="0.3">
      <c r="A341" s="60" t="s">
        <v>3089</v>
      </c>
      <c r="B341" s="97" t="s">
        <v>2539</v>
      </c>
      <c r="C341" s="63" t="s">
        <v>361</v>
      </c>
      <c r="D341" s="66" t="str">
        <f>IFERROR(INDEX(M_User!$A$12:$J$67,MATCH(C341,M_User!$D$12:$D$67,0),3),"UNMAPPED")</f>
        <v>Masunga Mwala Ramadhani</v>
      </c>
      <c r="E341" s="65" t="str">
        <f>IFERROR(INDEX(M_User!$A$12:$J$67,MATCH(C341,M_User!$D$12:$D$67,0),5),"UNMAPPED")</f>
        <v>MOS</v>
      </c>
      <c r="F341" s="63" t="s">
        <v>261</v>
      </c>
      <c r="G341" s="66" t="str">
        <f>IFERROR(INDEX(M_SKU!$A$18:$J$57,MATCH(F341,M_SKU!$B$18:$B$57,0),1),"UNKNOWN SKU")</f>
        <v>Sparletta Pine Apple Pet 300ML (x 12)</v>
      </c>
      <c r="H341" s="63" t="s">
        <v>547</v>
      </c>
      <c r="I341" s="98">
        <f>IFERROR(INDEX(T_Unload!$K$10:$K$433,MATCH(B341,T_Unload!$B$10:$B$433,0)),0)</f>
        <v>2</v>
      </c>
      <c r="J341" s="111">
        <v>2</v>
      </c>
      <c r="K341" s="99">
        <f t="shared" si="20"/>
        <v>0</v>
      </c>
      <c r="L341" s="105" t="str">
        <f t="shared" si="21"/>
        <v>CLEAN</v>
      </c>
      <c r="M341" s="90">
        <f t="shared" si="22"/>
        <v>0</v>
      </c>
      <c r="N341" s="90">
        <f t="shared" si="23"/>
        <v>0</v>
      </c>
      <c r="O341" s="68" t="s">
        <v>2761</v>
      </c>
      <c r="P341" s="63"/>
      <c r="Q341" s="62"/>
    </row>
    <row r="342" spans="1:17" ht="15" customHeight="1" x14ac:dyDescent="0.3">
      <c r="A342" s="70" t="s">
        <v>3090</v>
      </c>
      <c r="B342" s="112" t="s">
        <v>2541</v>
      </c>
      <c r="C342" s="101" t="s">
        <v>562</v>
      </c>
      <c r="D342" s="76" t="str">
        <f>IFERROR(INDEX(M_User!$A$12:$J$67,MATCH(C342,M_User!$D$12:$D$67,0),3),"UNMAPPED")</f>
        <v>UNMAPPED</v>
      </c>
      <c r="E342" s="75" t="str">
        <f>IFERROR(INDEX(M_User!$A$12:$J$67,MATCH(C342,M_User!$D$12:$D$67,0),5),"UNMAPPED")</f>
        <v>UNMAPPED</v>
      </c>
      <c r="F342" s="101" t="s">
        <v>170</v>
      </c>
      <c r="G342" s="76" t="str">
        <f>IFERROR(INDEX(M_SKU!$A$18:$J$57,MATCH(F342,M_SKU!$B$18:$B$57,0),1),"UNKNOWN SKU")</f>
        <v>Coke RGB 350ml</v>
      </c>
      <c r="H342" s="101" t="s">
        <v>530</v>
      </c>
      <c r="I342" s="102">
        <f>IFERROR(INDEX(T_Unload!$K$10:$K$433,MATCH(B342,T_Unload!$B$10:$B$433,0)),0)</f>
        <v>40</v>
      </c>
      <c r="J342" s="119"/>
      <c r="K342" s="120"/>
      <c r="L342" s="114" t="s">
        <v>3091</v>
      </c>
      <c r="M342" s="121"/>
      <c r="N342" s="121"/>
      <c r="O342" s="122" t="s">
        <v>3092</v>
      </c>
      <c r="P342" s="117"/>
      <c r="Q342" s="118"/>
    </row>
    <row r="343" spans="1:17" ht="15" customHeight="1" x14ac:dyDescent="0.3">
      <c r="A343" s="60" t="s">
        <v>3093</v>
      </c>
      <c r="B343" s="97" t="s">
        <v>2544</v>
      </c>
      <c r="C343" s="63" t="s">
        <v>562</v>
      </c>
      <c r="D343" s="66" t="str">
        <f>IFERROR(INDEX(M_User!$A$12:$J$67,MATCH(C343,M_User!$D$12:$D$67,0),3),"UNMAPPED")</f>
        <v>UNMAPPED</v>
      </c>
      <c r="E343" s="65" t="str">
        <f>IFERROR(INDEX(M_User!$A$12:$J$67,MATCH(C343,M_User!$D$12:$D$67,0),5),"UNMAPPED")</f>
        <v>UNMAPPED</v>
      </c>
      <c r="F343" s="63" t="s">
        <v>178</v>
      </c>
      <c r="G343" s="66" t="str">
        <f>IFERROR(INDEX(M_SKU!$A$18:$J$57,MATCH(F343,M_SKU!$B$18:$B$57,0),1),"UNKNOWN SKU")</f>
        <v>Fanta Orange RGB 350ml</v>
      </c>
      <c r="H343" s="63" t="s">
        <v>531</v>
      </c>
      <c r="I343" s="98">
        <f>IFERROR(INDEX(T_Unload!$K$10:$K$433,MATCH(B343,T_Unload!$B$10:$B$433,0)),0)</f>
        <v>15</v>
      </c>
      <c r="J343" s="119"/>
      <c r="K343" s="123"/>
      <c r="L343" s="105" t="s">
        <v>3091</v>
      </c>
      <c r="M343" s="123"/>
      <c r="N343" s="123"/>
      <c r="O343" s="105" t="s">
        <v>3092</v>
      </c>
      <c r="P343" s="63"/>
      <c r="Q343" s="62"/>
    </row>
    <row r="344" spans="1:17" ht="15" customHeight="1" x14ac:dyDescent="0.3">
      <c r="A344" s="70" t="s">
        <v>3094</v>
      </c>
      <c r="B344" s="112" t="s">
        <v>2546</v>
      </c>
      <c r="C344" s="101" t="s">
        <v>562</v>
      </c>
      <c r="D344" s="76" t="str">
        <f>IFERROR(INDEX(M_User!$A$12:$J$67,MATCH(C344,M_User!$D$12:$D$67,0),3),"UNMAPPED")</f>
        <v>UNMAPPED</v>
      </c>
      <c r="E344" s="75" t="str">
        <f>IFERROR(INDEX(M_User!$A$12:$J$67,MATCH(C344,M_User!$D$12:$D$67,0),5),"UNMAPPED")</f>
        <v>UNMAPPED</v>
      </c>
      <c r="F344" s="101" t="s">
        <v>181</v>
      </c>
      <c r="G344" s="76" t="str">
        <f>IFERROR(INDEX(M_SKU!$A$18:$J$57,MATCH(F344,M_SKU!$B$18:$B$57,0),1),"UNKNOWN SKU")</f>
        <v>Fanta Passion RGB 350ml</v>
      </c>
      <c r="H344" s="101" t="s">
        <v>550</v>
      </c>
      <c r="I344" s="102">
        <f>IFERROR(INDEX(T_Unload!$K$10:$K$433,MATCH(B344,T_Unload!$B$10:$B$433,0)),0)</f>
        <v>7</v>
      </c>
      <c r="J344" s="119"/>
      <c r="K344" s="120"/>
      <c r="L344" s="114" t="s">
        <v>3091</v>
      </c>
      <c r="M344" s="121"/>
      <c r="N344" s="121"/>
      <c r="O344" s="122" t="s">
        <v>3092</v>
      </c>
      <c r="P344" s="117"/>
      <c r="Q344" s="118"/>
    </row>
    <row r="345" spans="1:17" ht="15" customHeight="1" x14ac:dyDescent="0.3">
      <c r="A345" s="60" t="s">
        <v>3095</v>
      </c>
      <c r="B345" s="97" t="s">
        <v>2548</v>
      </c>
      <c r="C345" s="63" t="s">
        <v>562</v>
      </c>
      <c r="D345" s="66" t="str">
        <f>IFERROR(INDEX(M_User!$A$12:$J$67,MATCH(C345,M_User!$D$12:$D$67,0),3),"UNMAPPED")</f>
        <v>UNMAPPED</v>
      </c>
      <c r="E345" s="65" t="str">
        <f>IFERROR(INDEX(M_User!$A$12:$J$67,MATCH(C345,M_User!$D$12:$D$67,0),5),"UNMAPPED")</f>
        <v>UNMAPPED</v>
      </c>
      <c r="F345" s="63" t="s">
        <v>183</v>
      </c>
      <c r="G345" s="66" t="str">
        <f>IFERROR(INDEX(M_SKU!$A$18:$J$57,MATCH(F345,M_SKU!$B$18:$B$57,0),1),"UNKNOWN SKU")</f>
        <v>Fanta Pineapple RGB 350ml</v>
      </c>
      <c r="H345" s="63" t="s">
        <v>533</v>
      </c>
      <c r="I345" s="98">
        <f>IFERROR(INDEX(T_Unload!$K$10:$K$433,MATCH(B345,T_Unload!$B$10:$B$433,0)),0)</f>
        <v>7</v>
      </c>
      <c r="J345" s="119"/>
      <c r="K345" s="123"/>
      <c r="L345" s="105" t="s">
        <v>3091</v>
      </c>
      <c r="M345" s="123"/>
      <c r="N345" s="123"/>
      <c r="O345" s="105" t="s">
        <v>3092</v>
      </c>
      <c r="P345" s="63"/>
      <c r="Q345" s="62"/>
    </row>
    <row r="346" spans="1:17" ht="15" customHeight="1" x14ac:dyDescent="0.3">
      <c r="A346" s="70" t="s">
        <v>3096</v>
      </c>
      <c r="B346" s="112" t="s">
        <v>2550</v>
      </c>
      <c r="C346" s="101" t="s">
        <v>562</v>
      </c>
      <c r="D346" s="76" t="str">
        <f>IFERROR(INDEX(M_User!$A$12:$J$67,MATCH(C346,M_User!$D$12:$D$67,0),3),"UNMAPPED")</f>
        <v>UNMAPPED</v>
      </c>
      <c r="E346" s="75" t="str">
        <f>IFERROR(INDEX(M_User!$A$12:$J$67,MATCH(C346,M_User!$D$12:$D$67,0),5),"UNMAPPED")</f>
        <v>UNMAPPED</v>
      </c>
      <c r="F346" s="101" t="s">
        <v>185</v>
      </c>
      <c r="G346" s="76" t="str">
        <f>IFERROR(INDEX(M_SKU!$A$18:$J$57,MATCH(F346,M_SKU!$B$18:$B$57,0),1),"UNKNOWN SKU")</f>
        <v>Fanta Fruit Blast RGB 350 ml</v>
      </c>
      <c r="H346" s="101" t="s">
        <v>534</v>
      </c>
      <c r="I346" s="102">
        <f>IFERROR(INDEX(T_Unload!$K$10:$K$433,MATCH(B346,T_Unload!$B$10:$B$433,0)),0)</f>
        <v>5</v>
      </c>
      <c r="J346" s="119"/>
      <c r="K346" s="120"/>
      <c r="L346" s="114" t="s">
        <v>3091</v>
      </c>
      <c r="M346" s="121"/>
      <c r="N346" s="121"/>
      <c r="O346" s="122" t="s">
        <v>3092</v>
      </c>
      <c r="P346" s="117"/>
      <c r="Q346" s="118"/>
    </row>
    <row r="347" spans="1:17" ht="15" customHeight="1" x14ac:dyDescent="0.3">
      <c r="A347" s="60" t="s">
        <v>3097</v>
      </c>
      <c r="B347" s="97" t="s">
        <v>2552</v>
      </c>
      <c r="C347" s="63" t="s">
        <v>562</v>
      </c>
      <c r="D347" s="66" t="str">
        <f>IFERROR(INDEX(M_User!$A$12:$J$67,MATCH(C347,M_User!$D$12:$D$67,0),3),"UNMAPPED")</f>
        <v>UNMAPPED</v>
      </c>
      <c r="E347" s="65" t="str">
        <f>IFERROR(INDEX(M_User!$A$12:$J$67,MATCH(C347,M_User!$D$12:$D$67,0),5),"UNMAPPED")</f>
        <v>UNMAPPED</v>
      </c>
      <c r="F347" s="63" t="s">
        <v>187</v>
      </c>
      <c r="G347" s="66" t="str">
        <f>IFERROR(INDEX(M_SKU!$A$18:$J$57,MATCH(F347,M_SKU!$B$18:$B$57,0),1),"UNKNOWN SKU")</f>
        <v>Sprite 350ml</v>
      </c>
      <c r="H347" s="63" t="s">
        <v>535</v>
      </c>
      <c r="I347" s="98">
        <f>IFERROR(INDEX(T_Unload!$K$10:$K$433,MATCH(B347,T_Unload!$B$10:$B$433,0)),0)</f>
        <v>7</v>
      </c>
      <c r="J347" s="119"/>
      <c r="K347" s="123"/>
      <c r="L347" s="105" t="s">
        <v>3091</v>
      </c>
      <c r="M347" s="123"/>
      <c r="N347" s="123"/>
      <c r="O347" s="105" t="s">
        <v>3092</v>
      </c>
      <c r="P347" s="63"/>
      <c r="Q347" s="62"/>
    </row>
    <row r="348" spans="1:17" ht="15" customHeight="1" x14ac:dyDescent="0.3">
      <c r="A348" s="70" t="s">
        <v>3098</v>
      </c>
      <c r="B348" s="112" t="s">
        <v>2554</v>
      </c>
      <c r="C348" s="101" t="s">
        <v>562</v>
      </c>
      <c r="D348" s="76" t="str">
        <f>IFERROR(INDEX(M_User!$A$12:$J$67,MATCH(C348,M_User!$D$12:$D$67,0),3),"UNMAPPED")</f>
        <v>UNMAPPED</v>
      </c>
      <c r="E348" s="75" t="str">
        <f>IFERROR(INDEX(M_User!$A$12:$J$67,MATCH(C348,M_User!$D$12:$D$67,0),5),"UNMAPPED")</f>
        <v>UNMAPPED</v>
      </c>
      <c r="F348" s="101" t="s">
        <v>190</v>
      </c>
      <c r="G348" s="76" t="str">
        <f>IFERROR(INDEX(M_SKU!$A$18:$J$57,MATCH(F348,M_SKU!$B$18:$B$57,0),1),"UNKNOWN SKU")</f>
        <v>Stoney Tangawizi RGB 350ml</v>
      </c>
      <c r="H348" s="101" t="s">
        <v>536</v>
      </c>
      <c r="I348" s="102">
        <f>IFERROR(INDEX(T_Unload!$K$10:$K$433,MATCH(B348,T_Unload!$B$10:$B$433,0)),0)</f>
        <v>5</v>
      </c>
      <c r="J348" s="119"/>
      <c r="K348" s="120"/>
      <c r="L348" s="114" t="s">
        <v>3091</v>
      </c>
      <c r="M348" s="121"/>
      <c r="N348" s="121"/>
      <c r="O348" s="122" t="s">
        <v>3092</v>
      </c>
      <c r="P348" s="117"/>
      <c r="Q348" s="118"/>
    </row>
    <row r="349" spans="1:17" ht="15" customHeight="1" x14ac:dyDescent="0.3">
      <c r="A349" s="60" t="s">
        <v>3099</v>
      </c>
      <c r="B349" s="97" t="s">
        <v>2556</v>
      </c>
      <c r="C349" s="63" t="s">
        <v>562</v>
      </c>
      <c r="D349" s="66" t="str">
        <f>IFERROR(INDEX(M_User!$A$12:$J$67,MATCH(C349,M_User!$D$12:$D$67,0),3),"UNMAPPED")</f>
        <v>UNMAPPED</v>
      </c>
      <c r="E349" s="65" t="str">
        <f>IFERROR(INDEX(M_User!$A$12:$J$67,MATCH(C349,M_User!$D$12:$D$67,0),5),"UNMAPPED")</f>
        <v>UNMAPPED</v>
      </c>
      <c r="F349" s="63" t="s">
        <v>193</v>
      </c>
      <c r="G349" s="66" t="str">
        <f>IFERROR(INDEX(M_SKU!$A$18:$J$57,MATCH(F349,M_SKU!$B$18:$B$57,0),1),"UNKNOWN SKU")</f>
        <v>Sparletta Pinenut RGB 350ml</v>
      </c>
      <c r="H349" s="63" t="s">
        <v>537</v>
      </c>
      <c r="I349" s="98">
        <f>IFERROR(INDEX(T_Unload!$K$10:$K$433,MATCH(B349,T_Unload!$B$10:$B$433,0)),0)</f>
        <v>5</v>
      </c>
      <c r="J349" s="119"/>
      <c r="K349" s="123"/>
      <c r="L349" s="105" t="s">
        <v>3091</v>
      </c>
      <c r="M349" s="123"/>
      <c r="N349" s="123"/>
      <c r="O349" s="105" t="s">
        <v>3092</v>
      </c>
      <c r="P349" s="63"/>
      <c r="Q349" s="62"/>
    </row>
    <row r="350" spans="1:17" ht="15" customHeight="1" x14ac:dyDescent="0.3">
      <c r="A350" s="70" t="s">
        <v>3100</v>
      </c>
      <c r="B350" s="112" t="s">
        <v>2558</v>
      </c>
      <c r="C350" s="101" t="s">
        <v>562</v>
      </c>
      <c r="D350" s="76" t="str">
        <f>IFERROR(INDEX(M_User!$A$12:$J$67,MATCH(C350,M_User!$D$12:$D$67,0),3),"UNMAPPED")</f>
        <v>UNMAPPED</v>
      </c>
      <c r="E350" s="75" t="str">
        <f>IFERROR(INDEX(M_User!$A$12:$J$67,MATCH(C350,M_User!$D$12:$D$67,0),5),"UNMAPPED")</f>
        <v>UNMAPPED</v>
      </c>
      <c r="F350" s="101" t="s">
        <v>196</v>
      </c>
      <c r="G350" s="76" t="str">
        <f>IFERROR(INDEX(M_SKU!$A$18:$J$57,MATCH(F350,M_SKU!$B$18:$B$57,0),1),"UNKNOWN SKU")</f>
        <v>Krest Bitter Lemon RGB 300ml</v>
      </c>
      <c r="H350" s="101" t="s">
        <v>538</v>
      </c>
      <c r="I350" s="102">
        <f>IFERROR(INDEX(T_Unload!$K$10:$K$433,MATCH(B350,T_Unload!$B$10:$B$433,0)),0)</f>
        <v>3</v>
      </c>
      <c r="J350" s="119"/>
      <c r="K350" s="120"/>
      <c r="L350" s="114" t="s">
        <v>3091</v>
      </c>
      <c r="M350" s="121"/>
      <c r="N350" s="121"/>
      <c r="O350" s="122" t="s">
        <v>3092</v>
      </c>
      <c r="P350" s="117"/>
      <c r="Q350" s="118"/>
    </row>
    <row r="351" spans="1:17" ht="15" customHeight="1" x14ac:dyDescent="0.3">
      <c r="A351" s="60" t="s">
        <v>3101</v>
      </c>
      <c r="B351" s="97" t="s">
        <v>2560</v>
      </c>
      <c r="C351" s="63" t="s">
        <v>562</v>
      </c>
      <c r="D351" s="66" t="str">
        <f>IFERROR(INDEX(M_User!$A$12:$J$67,MATCH(C351,M_User!$D$12:$D$67,0),3),"UNMAPPED")</f>
        <v>UNMAPPED</v>
      </c>
      <c r="E351" s="65" t="str">
        <f>IFERROR(INDEX(M_User!$A$12:$J$67,MATCH(C351,M_User!$D$12:$D$67,0),5),"UNMAPPED")</f>
        <v>UNMAPPED</v>
      </c>
      <c r="F351" s="63" t="s">
        <v>199</v>
      </c>
      <c r="G351" s="66" t="str">
        <f>IFERROR(INDEX(M_SKU!$A$18:$J$57,MATCH(F351,M_SKU!$B$18:$B$57,0),1),"UNKNOWN SKU")</f>
        <v>Krest Club Soda RGB 300ml</v>
      </c>
      <c r="H351" s="63" t="s">
        <v>539</v>
      </c>
      <c r="I351" s="98">
        <f>IFERROR(INDEX(T_Unload!$K$10:$K$433,MATCH(B351,T_Unload!$B$10:$B$433,0)),0)</f>
        <v>3</v>
      </c>
      <c r="J351" s="119"/>
      <c r="K351" s="123"/>
      <c r="L351" s="105" t="s">
        <v>3091</v>
      </c>
      <c r="M351" s="123"/>
      <c r="N351" s="123"/>
      <c r="O351" s="105" t="s">
        <v>3092</v>
      </c>
      <c r="P351" s="63"/>
      <c r="Q351" s="62"/>
    </row>
    <row r="352" spans="1:17" ht="15" customHeight="1" x14ac:dyDescent="0.3">
      <c r="A352" s="70" t="s">
        <v>3102</v>
      </c>
      <c r="B352" s="112" t="s">
        <v>2562</v>
      </c>
      <c r="C352" s="101" t="s">
        <v>562</v>
      </c>
      <c r="D352" s="76" t="str">
        <f>IFERROR(INDEX(M_User!$A$12:$J$67,MATCH(C352,M_User!$D$12:$D$67,0),3),"UNMAPPED")</f>
        <v>UNMAPPED</v>
      </c>
      <c r="E352" s="75" t="str">
        <f>IFERROR(INDEX(M_User!$A$12:$J$67,MATCH(C352,M_User!$D$12:$D$67,0),5),"UNMAPPED")</f>
        <v>UNMAPPED</v>
      </c>
      <c r="F352" s="101" t="s">
        <v>201</v>
      </c>
      <c r="G352" s="76" t="str">
        <f>IFERROR(INDEX(M_SKU!$A$18:$J$57,MATCH(F352,M_SKU!$B$18:$B$57,0),1),"UNKNOWN SKU")</f>
        <v>Krest Tonic Water RGB 300ml</v>
      </c>
      <c r="H352" s="101" t="s">
        <v>540</v>
      </c>
      <c r="I352" s="102">
        <f>IFERROR(INDEX(T_Unload!$K$10:$K$433,MATCH(B352,T_Unload!$B$10:$B$433,0)),0)</f>
        <v>3</v>
      </c>
      <c r="J352" s="119"/>
      <c r="K352" s="120"/>
      <c r="L352" s="114" t="s">
        <v>3091</v>
      </c>
      <c r="M352" s="121"/>
      <c r="N352" s="121"/>
      <c r="O352" s="122" t="s">
        <v>3092</v>
      </c>
      <c r="P352" s="117"/>
      <c r="Q352" s="118"/>
    </row>
    <row r="353" spans="1:17" ht="15" customHeight="1" x14ac:dyDescent="0.3">
      <c r="A353" s="60" t="s">
        <v>3103</v>
      </c>
      <c r="B353" s="97" t="s">
        <v>2564</v>
      </c>
      <c r="C353" s="63" t="s">
        <v>562</v>
      </c>
      <c r="D353" s="66" t="str">
        <f>IFERROR(INDEX(M_User!$A$12:$J$67,MATCH(C353,M_User!$D$12:$D$67,0),3),"UNMAPPED")</f>
        <v>UNMAPPED</v>
      </c>
      <c r="E353" s="65" t="str">
        <f>IFERROR(INDEX(M_User!$A$12:$J$67,MATCH(C353,M_User!$D$12:$D$67,0),5),"UNMAPPED")</f>
        <v>UNMAPPED</v>
      </c>
      <c r="F353" s="63" t="s">
        <v>203</v>
      </c>
      <c r="G353" s="66" t="str">
        <f>IFERROR(INDEX(M_SKU!$A$18:$J$57,MATCH(F353,M_SKU!$B$18:$B$57,0),1),"UNKNOWN SKU")</f>
        <v>Krest Ginger Ale RGB 300ml</v>
      </c>
      <c r="H353" s="63" t="s">
        <v>541</v>
      </c>
      <c r="I353" s="98">
        <f>IFERROR(INDEX(T_Unload!$K$10:$K$433,MATCH(B353,T_Unload!$B$10:$B$433,0)),0)</f>
        <v>3</v>
      </c>
      <c r="J353" s="119"/>
      <c r="K353" s="123"/>
      <c r="L353" s="105" t="s">
        <v>3091</v>
      </c>
      <c r="M353" s="123"/>
      <c r="N353" s="123"/>
      <c r="O353" s="105" t="s">
        <v>3092</v>
      </c>
      <c r="P353" s="63"/>
      <c r="Q353" s="62"/>
    </row>
    <row r="354" spans="1:17" ht="15" customHeight="1" x14ac:dyDescent="0.3">
      <c r="A354" s="70" t="s">
        <v>3104</v>
      </c>
      <c r="B354" s="112" t="s">
        <v>2566</v>
      </c>
      <c r="C354" s="101" t="s">
        <v>562</v>
      </c>
      <c r="D354" s="76" t="str">
        <f>IFERROR(INDEX(M_User!$A$12:$J$67,MATCH(C354,M_User!$D$12:$D$67,0),3),"UNMAPPED")</f>
        <v>UNMAPPED</v>
      </c>
      <c r="E354" s="75" t="str">
        <f>IFERROR(INDEX(M_User!$A$12:$J$67,MATCH(C354,M_User!$D$12:$D$67,0),5),"UNMAPPED")</f>
        <v>UNMAPPED</v>
      </c>
      <c r="F354" s="101" t="s">
        <v>209</v>
      </c>
      <c r="G354" s="76" t="str">
        <f>IFERROR(INDEX(M_SKU!$A$18:$J$57,MATCH(F354,M_SKU!$B$18:$B$57,0),1),"UNKNOWN SKU")</f>
        <v>Sparletta Red Apple RGB 350ml</v>
      </c>
      <c r="H354" s="101" t="s">
        <v>542</v>
      </c>
      <c r="I354" s="102">
        <f>IFERROR(INDEX(T_Unload!$K$10:$K$433,MATCH(B354,T_Unload!$B$10:$B$433,0)),0)</f>
        <v>2</v>
      </c>
      <c r="J354" s="119"/>
      <c r="K354" s="120"/>
      <c r="L354" s="114" t="s">
        <v>3091</v>
      </c>
      <c r="M354" s="121"/>
      <c r="N354" s="121"/>
      <c r="O354" s="122" t="s">
        <v>3092</v>
      </c>
      <c r="P354" s="117"/>
      <c r="Q354" s="118"/>
    </row>
    <row r="355" spans="1:17" ht="15" customHeight="1" x14ac:dyDescent="0.3">
      <c r="A355" s="60" t="s">
        <v>3105</v>
      </c>
      <c r="B355" s="97" t="s">
        <v>2568</v>
      </c>
      <c r="C355" s="63" t="s">
        <v>562</v>
      </c>
      <c r="D355" s="66" t="str">
        <f>IFERROR(INDEX(M_User!$A$12:$J$67,MATCH(C355,M_User!$D$12:$D$67,0),3),"UNMAPPED")</f>
        <v>UNMAPPED</v>
      </c>
      <c r="E355" s="65" t="str">
        <f>IFERROR(INDEX(M_User!$A$12:$J$67,MATCH(C355,M_User!$D$12:$D$67,0),5),"UNMAPPED")</f>
        <v>UNMAPPED</v>
      </c>
      <c r="F355" s="63" t="s">
        <v>211</v>
      </c>
      <c r="G355" s="66" t="str">
        <f>IFERROR(INDEX(M_SKU!$A$18:$J$57,MATCH(F355,M_SKU!$B$18:$B$57,0),1),"UNKNOWN SKU")</f>
        <v>KNMW 500ml</v>
      </c>
      <c r="H355" s="63" t="s">
        <v>543</v>
      </c>
      <c r="I355" s="98">
        <f>IFERROR(INDEX(T_Unload!$K$10:$K$433,MATCH(B355,T_Unload!$B$10:$B$433,0)),0)</f>
        <v>50</v>
      </c>
      <c r="J355" s="119"/>
      <c r="K355" s="123"/>
      <c r="L355" s="105" t="s">
        <v>3091</v>
      </c>
      <c r="M355" s="123"/>
      <c r="N355" s="123"/>
      <c r="O355" s="105" t="s">
        <v>3092</v>
      </c>
      <c r="P355" s="63"/>
      <c r="Q355" s="62"/>
    </row>
    <row r="356" spans="1:17" ht="15" customHeight="1" x14ac:dyDescent="0.3">
      <c r="A356" s="70" t="s">
        <v>3106</v>
      </c>
      <c r="B356" s="112" t="s">
        <v>2570</v>
      </c>
      <c r="C356" s="101" t="s">
        <v>562</v>
      </c>
      <c r="D356" s="76" t="str">
        <f>IFERROR(INDEX(M_User!$A$12:$J$67,MATCH(C356,M_User!$D$12:$D$67,0),3),"UNMAPPED")</f>
        <v>UNMAPPED</v>
      </c>
      <c r="E356" s="75" t="str">
        <f>IFERROR(INDEX(M_User!$A$12:$J$67,MATCH(C356,M_User!$D$12:$D$67,0),5),"UNMAPPED")</f>
        <v>UNMAPPED</v>
      </c>
      <c r="F356" s="101" t="s">
        <v>217</v>
      </c>
      <c r="G356" s="76" t="str">
        <f>IFERROR(INDEX(M_SKU!$A$18:$J$57,MATCH(F356,M_SKU!$B$18:$B$57,0),1),"UNKNOWN SKU")</f>
        <v>KNMW 1500ml</v>
      </c>
      <c r="H356" s="101" t="s">
        <v>551</v>
      </c>
      <c r="I356" s="102">
        <f>IFERROR(INDEX(T_Unload!$K$10:$K$433,MATCH(B356,T_Unload!$B$10:$B$433,0)),0)</f>
        <v>90</v>
      </c>
      <c r="J356" s="119"/>
      <c r="K356" s="120"/>
      <c r="L356" s="114" t="s">
        <v>3091</v>
      </c>
      <c r="M356" s="121"/>
      <c r="N356" s="121"/>
      <c r="O356" s="122" t="s">
        <v>3092</v>
      </c>
      <c r="P356" s="117"/>
      <c r="Q356" s="118"/>
    </row>
    <row r="357" spans="1:17" ht="15" customHeight="1" x14ac:dyDescent="0.3">
      <c r="A357" s="60" t="s">
        <v>3107</v>
      </c>
      <c r="B357" s="97" t="s">
        <v>2572</v>
      </c>
      <c r="C357" s="63" t="s">
        <v>562</v>
      </c>
      <c r="D357" s="66" t="str">
        <f>IFERROR(INDEX(M_User!$A$12:$J$67,MATCH(C357,M_User!$D$12:$D$67,0),3),"UNMAPPED")</f>
        <v>UNMAPPED</v>
      </c>
      <c r="E357" s="65" t="str">
        <f>IFERROR(INDEX(M_User!$A$12:$J$67,MATCH(C357,M_User!$D$12:$D$67,0),5),"UNMAPPED")</f>
        <v>UNMAPPED</v>
      </c>
      <c r="F357" s="63" t="s">
        <v>229</v>
      </c>
      <c r="G357" s="66" t="str">
        <f>IFERROR(INDEX(M_SKU!$A$18:$J$57,MATCH(F357,M_SKU!$B$18:$B$57,0),1),"UNKNOWN SKU")</f>
        <v>Coke Pet 500ML ( x12)</v>
      </c>
      <c r="H357" s="63" t="s">
        <v>520</v>
      </c>
      <c r="I357" s="98">
        <f>IFERROR(INDEX(T_Unload!$K$10:$K$433,MATCH(B357,T_Unload!$B$10:$B$433,0)),0)</f>
        <v>20</v>
      </c>
      <c r="J357" s="119"/>
      <c r="K357" s="123"/>
      <c r="L357" s="105" t="s">
        <v>3091</v>
      </c>
      <c r="M357" s="123"/>
      <c r="N357" s="123"/>
      <c r="O357" s="105" t="s">
        <v>3092</v>
      </c>
      <c r="P357" s="63"/>
      <c r="Q357" s="62"/>
    </row>
    <row r="358" spans="1:17" ht="15" customHeight="1" x14ac:dyDescent="0.3">
      <c r="A358" s="70" t="s">
        <v>3108</v>
      </c>
      <c r="B358" s="112" t="s">
        <v>2574</v>
      </c>
      <c r="C358" s="101" t="s">
        <v>562</v>
      </c>
      <c r="D358" s="76" t="str">
        <f>IFERROR(INDEX(M_User!$A$12:$J$67,MATCH(C358,M_User!$D$12:$D$67,0),3),"UNMAPPED")</f>
        <v>UNMAPPED</v>
      </c>
      <c r="E358" s="75" t="str">
        <f>IFERROR(INDEX(M_User!$A$12:$J$67,MATCH(C358,M_User!$D$12:$D$67,0),5),"UNMAPPED")</f>
        <v>UNMAPPED</v>
      </c>
      <c r="F358" s="101" t="s">
        <v>232</v>
      </c>
      <c r="G358" s="76" t="str">
        <f>IFERROR(INDEX(M_SKU!$A$18:$J$57,MATCH(F358,M_SKU!$B$18:$B$57,0),1),"UNKNOWN SKU")</f>
        <v>Sprite Pet 500ML (x 12)</v>
      </c>
      <c r="H358" s="101" t="s">
        <v>522</v>
      </c>
      <c r="I358" s="102">
        <f>IFERROR(INDEX(T_Unload!$K$10:$K$433,MATCH(B358,T_Unload!$B$10:$B$433,0)),0)</f>
        <v>10</v>
      </c>
      <c r="J358" s="119"/>
      <c r="K358" s="120"/>
      <c r="L358" s="114" t="s">
        <v>3091</v>
      </c>
      <c r="M358" s="121"/>
      <c r="N358" s="121"/>
      <c r="O358" s="122" t="s">
        <v>3092</v>
      </c>
      <c r="P358" s="117"/>
      <c r="Q358" s="118"/>
    </row>
    <row r="359" spans="1:17" ht="15" customHeight="1" x14ac:dyDescent="0.3">
      <c r="A359" s="60" t="s">
        <v>3109</v>
      </c>
      <c r="B359" s="97" t="s">
        <v>2576</v>
      </c>
      <c r="C359" s="63" t="s">
        <v>562</v>
      </c>
      <c r="D359" s="66" t="str">
        <f>IFERROR(INDEX(M_User!$A$12:$J$67,MATCH(C359,M_User!$D$12:$D$67,0),3),"UNMAPPED")</f>
        <v>UNMAPPED</v>
      </c>
      <c r="E359" s="65" t="str">
        <f>IFERROR(INDEX(M_User!$A$12:$J$67,MATCH(C359,M_User!$D$12:$D$67,0),5),"UNMAPPED")</f>
        <v>UNMAPPED</v>
      </c>
      <c r="F359" s="63" t="s">
        <v>234</v>
      </c>
      <c r="G359" s="66" t="str">
        <f>IFERROR(INDEX(M_SKU!$A$18:$J$57,MATCH(F359,M_SKU!$B$18:$B$57,0),1),"UNKNOWN SKU")</f>
        <v>Fanta Orange Pet 500ML ( x 12)</v>
      </c>
      <c r="H359" s="63" t="s">
        <v>523</v>
      </c>
      <c r="I359" s="98">
        <f>IFERROR(INDEX(T_Unload!$K$10:$K$433,MATCH(B359,T_Unload!$B$10:$B$433,0)),0)</f>
        <v>10</v>
      </c>
      <c r="J359" s="119"/>
      <c r="K359" s="123"/>
      <c r="L359" s="105" t="s">
        <v>3091</v>
      </c>
      <c r="M359" s="123"/>
      <c r="N359" s="123"/>
      <c r="O359" s="105" t="s">
        <v>3092</v>
      </c>
      <c r="P359" s="63"/>
      <c r="Q359" s="62"/>
    </row>
    <row r="360" spans="1:17" ht="15" customHeight="1" x14ac:dyDescent="0.3">
      <c r="A360" s="70" t="s">
        <v>3110</v>
      </c>
      <c r="B360" s="112" t="s">
        <v>2578</v>
      </c>
      <c r="C360" s="101" t="s">
        <v>562</v>
      </c>
      <c r="D360" s="76" t="str">
        <f>IFERROR(INDEX(M_User!$A$12:$J$67,MATCH(C360,M_User!$D$12:$D$67,0),3),"UNMAPPED")</f>
        <v>UNMAPPED</v>
      </c>
      <c r="E360" s="75" t="str">
        <f>IFERROR(INDEX(M_User!$A$12:$J$67,MATCH(C360,M_User!$D$12:$D$67,0),5),"UNMAPPED")</f>
        <v>UNMAPPED</v>
      </c>
      <c r="F360" s="101" t="s">
        <v>236</v>
      </c>
      <c r="G360" s="76" t="str">
        <f>IFERROR(INDEX(M_SKU!$A$18:$J$57,MATCH(F360,M_SKU!$B$18:$B$57,0),1),"UNKNOWN SKU")</f>
        <v>Fanta Passion Pet 500ML ( x12)</v>
      </c>
      <c r="H360" s="101" t="s">
        <v>524</v>
      </c>
      <c r="I360" s="102">
        <f>IFERROR(INDEX(T_Unload!$K$10:$K$433,MATCH(B360,T_Unload!$B$10:$B$433,0)),0)</f>
        <v>10</v>
      </c>
      <c r="J360" s="119"/>
      <c r="K360" s="120"/>
      <c r="L360" s="114" t="s">
        <v>3091</v>
      </c>
      <c r="M360" s="121"/>
      <c r="N360" s="121"/>
      <c r="O360" s="122" t="s">
        <v>3092</v>
      </c>
      <c r="P360" s="117"/>
      <c r="Q360" s="118"/>
    </row>
    <row r="361" spans="1:17" ht="15" customHeight="1" x14ac:dyDescent="0.3">
      <c r="A361" s="60" t="s">
        <v>3111</v>
      </c>
      <c r="B361" s="97" t="s">
        <v>2580</v>
      </c>
      <c r="C361" s="63" t="s">
        <v>562</v>
      </c>
      <c r="D361" s="66" t="str">
        <f>IFERROR(INDEX(M_User!$A$12:$J$67,MATCH(C361,M_User!$D$12:$D$67,0),3),"UNMAPPED")</f>
        <v>UNMAPPED</v>
      </c>
      <c r="E361" s="65" t="str">
        <f>IFERROR(INDEX(M_User!$A$12:$J$67,MATCH(C361,M_User!$D$12:$D$67,0),5),"UNMAPPED")</f>
        <v>UNMAPPED</v>
      </c>
      <c r="F361" s="63" t="s">
        <v>242</v>
      </c>
      <c r="G361" s="66" t="str">
        <f>IFERROR(INDEX(M_SKU!$A$18:$J$57,MATCH(F361,M_SKU!$B$18:$B$57,0),1),"UNKNOWN SKU")</f>
        <v>Stoney Tangawizi Pet 500 ml ( x12)</v>
      </c>
      <c r="H361" s="63" t="s">
        <v>525</v>
      </c>
      <c r="I361" s="98">
        <f>IFERROR(INDEX(T_Unload!$K$10:$K$433,MATCH(B361,T_Unload!$B$10:$B$433,0)),0)</f>
        <v>5</v>
      </c>
      <c r="J361" s="119"/>
      <c r="K361" s="123"/>
      <c r="L361" s="105" t="s">
        <v>3091</v>
      </c>
      <c r="M361" s="123"/>
      <c r="N361" s="123"/>
      <c r="O361" s="105" t="s">
        <v>3092</v>
      </c>
      <c r="P361" s="63"/>
      <c r="Q361" s="62"/>
    </row>
    <row r="362" spans="1:17" ht="15" customHeight="1" x14ac:dyDescent="0.3">
      <c r="A362" s="70" t="s">
        <v>3112</v>
      </c>
      <c r="B362" s="112" t="s">
        <v>2582</v>
      </c>
      <c r="C362" s="101" t="s">
        <v>562</v>
      </c>
      <c r="D362" s="76" t="str">
        <f>IFERROR(INDEX(M_User!$A$12:$J$67,MATCH(C362,M_User!$D$12:$D$67,0),3),"UNMAPPED")</f>
        <v>UNMAPPED</v>
      </c>
      <c r="E362" s="75" t="str">
        <f>IFERROR(INDEX(M_User!$A$12:$J$67,MATCH(C362,M_User!$D$12:$D$67,0),5),"UNMAPPED")</f>
        <v>UNMAPPED</v>
      </c>
      <c r="F362" s="101" t="s">
        <v>244</v>
      </c>
      <c r="G362" s="76" t="str">
        <f>IFERROR(INDEX(M_SKU!$A$18:$J$57,MATCH(F362,M_SKU!$B$18:$B$57,0),1),"UNKNOWN SKU")</f>
        <v>Sparletta Pinenut Pet 500 ml ( x12)</v>
      </c>
      <c r="H362" s="101" t="s">
        <v>526</v>
      </c>
      <c r="I362" s="102">
        <f>IFERROR(INDEX(T_Unload!$K$10:$K$433,MATCH(B362,T_Unload!$B$10:$B$433,0)),0)</f>
        <v>5</v>
      </c>
      <c r="J362" s="119"/>
      <c r="K362" s="120"/>
      <c r="L362" s="114" t="s">
        <v>3091</v>
      </c>
      <c r="M362" s="121"/>
      <c r="N362" s="121"/>
      <c r="O362" s="122" t="s">
        <v>3092</v>
      </c>
      <c r="P362" s="117"/>
      <c r="Q362" s="118"/>
    </row>
    <row r="363" spans="1:17" ht="15" customHeight="1" x14ac:dyDescent="0.3">
      <c r="A363" s="60" t="s">
        <v>3113</v>
      </c>
      <c r="B363" s="97" t="s">
        <v>2584</v>
      </c>
      <c r="C363" s="63" t="s">
        <v>562</v>
      </c>
      <c r="D363" s="66" t="str">
        <f>IFERROR(INDEX(M_User!$A$12:$J$67,MATCH(C363,M_User!$D$12:$D$67,0),3),"UNMAPPED")</f>
        <v>UNMAPPED</v>
      </c>
      <c r="E363" s="65" t="str">
        <f>IFERROR(INDEX(M_User!$A$12:$J$67,MATCH(C363,M_User!$D$12:$D$67,0),5),"UNMAPPED")</f>
        <v>UNMAPPED</v>
      </c>
      <c r="F363" s="63" t="s">
        <v>252</v>
      </c>
      <c r="G363" s="66" t="str">
        <f>IFERROR(INDEX(M_SKU!$A$18:$J$57,MATCH(F363,M_SKU!$B$18:$B$57,0),1),"UNKNOWN SKU")</f>
        <v>Sprite Zero Pet 300ML (x 12)</v>
      </c>
      <c r="H363" s="63" t="s">
        <v>545</v>
      </c>
      <c r="I363" s="98">
        <f>IFERROR(INDEX(T_Unload!$K$10:$K$433,MATCH(B363,T_Unload!$B$10:$B$433,0)),0)</f>
        <v>5</v>
      </c>
      <c r="J363" s="119"/>
      <c r="K363" s="123"/>
      <c r="L363" s="105" t="s">
        <v>3091</v>
      </c>
      <c r="M363" s="123"/>
      <c r="N363" s="123"/>
      <c r="O363" s="105" t="s">
        <v>3092</v>
      </c>
      <c r="P363" s="63"/>
      <c r="Q363" s="62"/>
    </row>
    <row r="364" spans="1:17" ht="15" customHeight="1" x14ac:dyDescent="0.3">
      <c r="A364" s="70" t="s">
        <v>3114</v>
      </c>
      <c r="B364" s="112" t="s">
        <v>2586</v>
      </c>
      <c r="C364" s="101" t="s">
        <v>562</v>
      </c>
      <c r="D364" s="76" t="str">
        <f>IFERROR(INDEX(M_User!$A$12:$J$67,MATCH(C364,M_User!$D$12:$D$67,0),3),"UNMAPPED")</f>
        <v>UNMAPPED</v>
      </c>
      <c r="E364" s="75" t="str">
        <f>IFERROR(INDEX(M_User!$A$12:$J$67,MATCH(C364,M_User!$D$12:$D$67,0),5),"UNMAPPED")</f>
        <v>UNMAPPED</v>
      </c>
      <c r="F364" s="101" t="s">
        <v>256</v>
      </c>
      <c r="G364" s="76" t="str">
        <f>IFERROR(INDEX(M_SKU!$A$18:$J$57,MATCH(F364,M_SKU!$B$18:$B$57,0),1),"UNKNOWN SKU")</f>
        <v>Sparletta Red Apple Pet 300ML(x 12)</v>
      </c>
      <c r="H364" s="101" t="s">
        <v>555</v>
      </c>
      <c r="I364" s="102">
        <f>IFERROR(INDEX(T_Unload!$K$10:$K$433,MATCH(B364,T_Unload!$B$10:$B$433,0)),0)</f>
        <v>5</v>
      </c>
      <c r="J364" s="119"/>
      <c r="K364" s="120"/>
      <c r="L364" s="114" t="s">
        <v>3091</v>
      </c>
      <c r="M364" s="121"/>
      <c r="N364" s="121"/>
      <c r="O364" s="122" t="s">
        <v>3092</v>
      </c>
      <c r="P364" s="117"/>
      <c r="Q364" s="118"/>
    </row>
    <row r="365" spans="1:17" ht="15" customHeight="1" x14ac:dyDescent="0.3">
      <c r="A365" s="60" t="s">
        <v>3115</v>
      </c>
      <c r="B365" s="97" t="s">
        <v>2588</v>
      </c>
      <c r="C365" s="63" t="s">
        <v>562</v>
      </c>
      <c r="D365" s="66" t="str">
        <f>IFERROR(INDEX(M_User!$A$12:$J$67,MATCH(C365,M_User!$D$12:$D$67,0),3),"UNMAPPED")</f>
        <v>UNMAPPED</v>
      </c>
      <c r="E365" s="65" t="str">
        <f>IFERROR(INDEX(M_User!$A$12:$J$67,MATCH(C365,M_User!$D$12:$D$67,0),5),"UNMAPPED")</f>
        <v>UNMAPPED</v>
      </c>
      <c r="F365" s="63" t="s">
        <v>261</v>
      </c>
      <c r="G365" s="66" t="str">
        <f>IFERROR(INDEX(M_SKU!$A$18:$J$57,MATCH(F365,M_SKU!$B$18:$B$57,0),1),"UNKNOWN SKU")</f>
        <v>Sparletta Pine Apple Pet 300ML (x 12)</v>
      </c>
      <c r="H365" s="63" t="s">
        <v>547</v>
      </c>
      <c r="I365" s="98">
        <f>IFERROR(INDEX(T_Unload!$K$10:$K$433,MATCH(B365,T_Unload!$B$10:$B$433,0)),0)</f>
        <v>5</v>
      </c>
      <c r="J365" s="119"/>
      <c r="K365" s="123"/>
      <c r="L365" s="105" t="s">
        <v>3091</v>
      </c>
      <c r="M365" s="123"/>
      <c r="N365" s="123"/>
      <c r="O365" s="105" t="s">
        <v>3092</v>
      </c>
      <c r="P365" s="63"/>
      <c r="Q365" s="62"/>
    </row>
    <row r="366" spans="1:17" ht="15" customHeight="1" x14ac:dyDescent="0.3">
      <c r="A366" s="70" t="s">
        <v>3116</v>
      </c>
      <c r="B366" s="112" t="s">
        <v>2590</v>
      </c>
      <c r="C366" s="101" t="s">
        <v>415</v>
      </c>
      <c r="D366" s="76" t="str">
        <f>IFERROR(INDEX(M_User!$A$12:$J$67,MATCH(C366,M_User!$D$12:$D$67,0),3),"UNMAPPED")</f>
        <v>Joyline J Lyimo</v>
      </c>
      <c r="E366" s="75" t="str">
        <f>IFERROR(INDEX(M_User!$A$12:$J$67,MATCH(C366,M_User!$D$12:$D$67,0),5),"UNMAPPED")</f>
        <v>MOS</v>
      </c>
      <c r="F366" s="101" t="s">
        <v>170</v>
      </c>
      <c r="G366" s="76" t="str">
        <f>IFERROR(INDEX(M_SKU!$A$18:$J$57,MATCH(F366,M_SKU!$B$18:$B$57,0),1),"UNKNOWN SKU")</f>
        <v>Coke RGB 350ml</v>
      </c>
      <c r="H366" s="101" t="s">
        <v>585</v>
      </c>
      <c r="I366" s="102">
        <f>IFERROR(INDEX(T_Unload!$K$10:$K$433,MATCH(B366,T_Unload!$B$10:$B$433,0)),0)</f>
        <v>1.6546747661119952</v>
      </c>
      <c r="J366" s="111">
        <v>1.74</v>
      </c>
      <c r="K366" s="113">
        <f t="shared" ref="K366:K397" si="24">IF(ISBLANK(J366),"",I366-J366)</f>
        <v>-8.5325233888004837E-2</v>
      </c>
      <c r="L366" s="114" t="str">
        <f t="shared" ref="L366:L397" si="25">IF(K366="","Awaiting Verification",IF(ABS(K366)&lt;0.0001,"CLEAN",IF(K366&gt;0,"Post to Default Outlet","Adjust Unload Upward")))</f>
        <v>Adjust Unload Upward</v>
      </c>
      <c r="M366" s="115">
        <f t="shared" ref="M366:M397" si="26">IF(AND(ISNUMBER(K366),K366&gt;0.0001),K366,0)</f>
        <v>0</v>
      </c>
      <c r="N366" s="115">
        <f t="shared" ref="N366:N397" si="27">IF(AND(ISNUMBER(K366),K366&lt;-0.0001),-K366,0)</f>
        <v>8.5325233888004837E-2</v>
      </c>
      <c r="O366" s="116" t="s">
        <v>2761</v>
      </c>
      <c r="P366" s="117"/>
      <c r="Q366" s="118"/>
    </row>
    <row r="367" spans="1:17" ht="15" customHeight="1" x14ac:dyDescent="0.3">
      <c r="A367" s="60" t="s">
        <v>3117</v>
      </c>
      <c r="B367" s="97" t="s">
        <v>2592</v>
      </c>
      <c r="C367" s="63" t="s">
        <v>415</v>
      </c>
      <c r="D367" s="66" t="str">
        <f>IFERROR(INDEX(M_User!$A$12:$J$67,MATCH(C367,M_User!$D$12:$D$67,0),3),"UNMAPPED")</f>
        <v>Joyline J Lyimo</v>
      </c>
      <c r="E367" s="65" t="str">
        <f>IFERROR(INDEX(M_User!$A$12:$J$67,MATCH(C367,M_User!$D$12:$D$67,0),5),"UNMAPPED")</f>
        <v>MOS</v>
      </c>
      <c r="F367" s="63" t="s">
        <v>178</v>
      </c>
      <c r="G367" s="66" t="str">
        <f>IFERROR(INDEX(M_SKU!$A$18:$J$57,MATCH(F367,M_SKU!$B$18:$B$57,0),1),"UNKNOWN SKU")</f>
        <v>Fanta Orange RGB 350ml</v>
      </c>
      <c r="H367" s="63" t="s">
        <v>531</v>
      </c>
      <c r="I367" s="98">
        <f>IFERROR(INDEX(T_Unload!$K$10:$K$433,MATCH(B367,T_Unload!$B$10:$B$433,0)),0)</f>
        <v>-0.62874905232670031</v>
      </c>
      <c r="J367" s="111">
        <v>1.63</v>
      </c>
      <c r="K367" s="99">
        <f t="shared" si="24"/>
        <v>-2.2587490523267002</v>
      </c>
      <c r="L367" s="105" t="str">
        <f t="shared" si="25"/>
        <v>Adjust Unload Upward</v>
      </c>
      <c r="M367" s="90">
        <f t="shared" si="26"/>
        <v>0</v>
      </c>
      <c r="N367" s="90">
        <f t="shared" si="27"/>
        <v>2.2587490523267002</v>
      </c>
      <c r="O367" s="68" t="s">
        <v>2761</v>
      </c>
      <c r="P367" s="63"/>
      <c r="Q367" s="62"/>
    </row>
    <row r="368" spans="1:17" ht="15" customHeight="1" x14ac:dyDescent="0.3">
      <c r="A368" s="70" t="s">
        <v>3118</v>
      </c>
      <c r="B368" s="112" t="s">
        <v>2594</v>
      </c>
      <c r="C368" s="101" t="s">
        <v>415</v>
      </c>
      <c r="D368" s="76" t="str">
        <f>IFERROR(INDEX(M_User!$A$12:$J$67,MATCH(C368,M_User!$D$12:$D$67,0),3),"UNMAPPED")</f>
        <v>Joyline J Lyimo</v>
      </c>
      <c r="E368" s="75" t="str">
        <f>IFERROR(INDEX(M_User!$A$12:$J$67,MATCH(C368,M_User!$D$12:$D$67,0),5),"UNMAPPED")</f>
        <v>MOS</v>
      </c>
      <c r="F368" s="101" t="s">
        <v>181</v>
      </c>
      <c r="G368" s="76" t="str">
        <f>IFERROR(INDEX(M_SKU!$A$18:$J$57,MATCH(F368,M_SKU!$B$18:$B$57,0),1),"UNKNOWN SKU")</f>
        <v>Fanta Passion RGB 350ml</v>
      </c>
      <c r="H368" s="101" t="s">
        <v>550</v>
      </c>
      <c r="I368" s="102">
        <f>IFERROR(INDEX(T_Unload!$K$10:$K$433,MATCH(B368,T_Unload!$B$10:$B$433,0)),0)</f>
        <v>0.26136294147338024</v>
      </c>
      <c r="J368" s="111">
        <v>1</v>
      </c>
      <c r="K368" s="113">
        <f t="shared" si="24"/>
        <v>-0.73863705852661976</v>
      </c>
      <c r="L368" s="114" t="str">
        <f t="shared" si="25"/>
        <v>Adjust Unload Upward</v>
      </c>
      <c r="M368" s="115">
        <f t="shared" si="26"/>
        <v>0</v>
      </c>
      <c r="N368" s="115">
        <f t="shared" si="27"/>
        <v>0.73863705852661976</v>
      </c>
      <c r="O368" s="116" t="s">
        <v>2761</v>
      </c>
      <c r="P368" s="117"/>
      <c r="Q368" s="118"/>
    </row>
    <row r="369" spans="1:17" ht="15" customHeight="1" x14ac:dyDescent="0.3">
      <c r="A369" s="60" t="s">
        <v>3119</v>
      </c>
      <c r="B369" s="97" t="s">
        <v>2596</v>
      </c>
      <c r="C369" s="63" t="s">
        <v>415</v>
      </c>
      <c r="D369" s="66" t="str">
        <f>IFERROR(INDEX(M_User!$A$12:$J$67,MATCH(C369,M_User!$D$12:$D$67,0),3),"UNMAPPED")</f>
        <v>Joyline J Lyimo</v>
      </c>
      <c r="E369" s="65" t="str">
        <f>IFERROR(INDEX(M_User!$A$12:$J$67,MATCH(C369,M_User!$D$12:$D$67,0),5),"UNMAPPED")</f>
        <v>MOS</v>
      </c>
      <c r="F369" s="63" t="s">
        <v>183</v>
      </c>
      <c r="G369" s="66" t="str">
        <f>IFERROR(INDEX(M_SKU!$A$18:$J$57,MATCH(F369,M_SKU!$B$18:$B$57,0),1),"UNKNOWN SKU")</f>
        <v>Fanta Pineapple RGB 350ml</v>
      </c>
      <c r="H369" s="63" t="s">
        <v>533</v>
      </c>
      <c r="I369" s="98">
        <f>IFERROR(INDEX(T_Unload!$K$10:$K$433,MATCH(B369,T_Unload!$B$10:$B$433,0)),0)</f>
        <v>-0.5202421853070085</v>
      </c>
      <c r="J369" s="111">
        <v>1.52</v>
      </c>
      <c r="K369" s="99">
        <f t="shared" si="24"/>
        <v>-2.0402421853070085</v>
      </c>
      <c r="L369" s="105" t="str">
        <f t="shared" si="25"/>
        <v>Adjust Unload Upward</v>
      </c>
      <c r="M369" s="90">
        <f t="shared" si="26"/>
        <v>0</v>
      </c>
      <c r="N369" s="90">
        <f t="shared" si="27"/>
        <v>2.0402421853070085</v>
      </c>
      <c r="O369" s="68" t="s">
        <v>2761</v>
      </c>
      <c r="P369" s="63"/>
      <c r="Q369" s="62"/>
    </row>
    <row r="370" spans="1:17" ht="15" customHeight="1" x14ac:dyDescent="0.3">
      <c r="A370" s="70" t="s">
        <v>3120</v>
      </c>
      <c r="B370" s="112" t="s">
        <v>2598</v>
      </c>
      <c r="C370" s="101" t="s">
        <v>415</v>
      </c>
      <c r="D370" s="76" t="str">
        <f>IFERROR(INDEX(M_User!$A$12:$J$67,MATCH(C370,M_User!$D$12:$D$67,0),3),"UNMAPPED")</f>
        <v>Joyline J Lyimo</v>
      </c>
      <c r="E370" s="75" t="str">
        <f>IFERROR(INDEX(M_User!$A$12:$J$67,MATCH(C370,M_User!$D$12:$D$67,0),5),"UNMAPPED")</f>
        <v>MOS</v>
      </c>
      <c r="F370" s="101" t="s">
        <v>185</v>
      </c>
      <c r="G370" s="76" t="str">
        <f>IFERROR(INDEX(M_SKU!$A$18:$J$57,MATCH(F370,M_SKU!$B$18:$B$57,0),1),"UNKNOWN SKU")</f>
        <v>Fanta Fruit Blast RGB 350 ml</v>
      </c>
      <c r="H370" s="101" t="s">
        <v>534</v>
      </c>
      <c r="I370" s="102">
        <f>IFERROR(INDEX(T_Unload!$K$10:$K$433,MATCH(B370,T_Unload!$B$10:$B$433,0)),0)</f>
        <v>1.2526006246500465E-2</v>
      </c>
      <c r="J370" s="111">
        <v>1</v>
      </c>
      <c r="K370" s="113">
        <f t="shared" si="24"/>
        <v>-0.98747399375349953</v>
      </c>
      <c r="L370" s="114" t="str">
        <f t="shared" si="25"/>
        <v>Adjust Unload Upward</v>
      </c>
      <c r="M370" s="115">
        <f t="shared" si="26"/>
        <v>0</v>
      </c>
      <c r="N370" s="115">
        <f t="shared" si="27"/>
        <v>0.98747399375349953</v>
      </c>
      <c r="O370" s="116" t="s">
        <v>2761</v>
      </c>
      <c r="P370" s="117"/>
      <c r="Q370" s="118"/>
    </row>
    <row r="371" spans="1:17" ht="15" customHeight="1" x14ac:dyDescent="0.3">
      <c r="A371" s="60" t="s">
        <v>3121</v>
      </c>
      <c r="B371" s="97" t="s">
        <v>2600</v>
      </c>
      <c r="C371" s="63" t="s">
        <v>415</v>
      </c>
      <c r="D371" s="66" t="str">
        <f>IFERROR(INDEX(M_User!$A$12:$J$67,MATCH(C371,M_User!$D$12:$D$67,0),3),"UNMAPPED")</f>
        <v>Joyline J Lyimo</v>
      </c>
      <c r="E371" s="65" t="str">
        <f>IFERROR(INDEX(M_User!$A$12:$J$67,MATCH(C371,M_User!$D$12:$D$67,0),5),"UNMAPPED")</f>
        <v>MOS</v>
      </c>
      <c r="F371" s="63" t="s">
        <v>187</v>
      </c>
      <c r="G371" s="66" t="str">
        <f>IFERROR(INDEX(M_SKU!$A$18:$J$57,MATCH(F371,M_SKU!$B$18:$B$57,0),1),"UNKNOWN SKU")</f>
        <v>Sprite 350ml</v>
      </c>
      <c r="H371" s="63" t="s">
        <v>535</v>
      </c>
      <c r="I371" s="98">
        <f>IFERROR(INDEX(T_Unload!$K$10:$K$433,MATCH(B371,T_Unload!$B$10:$B$433,0)),0)</f>
        <v>-0.32368994558122921</v>
      </c>
      <c r="J371" s="111">
        <v>1.32</v>
      </c>
      <c r="K371" s="99">
        <f t="shared" si="24"/>
        <v>-1.6436899455812293</v>
      </c>
      <c r="L371" s="105" t="str">
        <f t="shared" si="25"/>
        <v>Adjust Unload Upward</v>
      </c>
      <c r="M371" s="90">
        <f t="shared" si="26"/>
        <v>0</v>
      </c>
      <c r="N371" s="90">
        <f t="shared" si="27"/>
        <v>1.6436899455812293</v>
      </c>
      <c r="O371" s="68" t="s">
        <v>2761</v>
      </c>
      <c r="P371" s="63"/>
      <c r="Q371" s="62"/>
    </row>
    <row r="372" spans="1:17" ht="15" customHeight="1" x14ac:dyDescent="0.3">
      <c r="A372" s="70" t="s">
        <v>3122</v>
      </c>
      <c r="B372" s="112" t="s">
        <v>2602</v>
      </c>
      <c r="C372" s="101" t="s">
        <v>415</v>
      </c>
      <c r="D372" s="76" t="str">
        <f>IFERROR(INDEX(M_User!$A$12:$J$67,MATCH(C372,M_User!$D$12:$D$67,0),3),"UNMAPPED")</f>
        <v>Joyline J Lyimo</v>
      </c>
      <c r="E372" s="75" t="str">
        <f>IFERROR(INDEX(M_User!$A$12:$J$67,MATCH(C372,M_User!$D$12:$D$67,0),5),"UNMAPPED")</f>
        <v>MOS</v>
      </c>
      <c r="F372" s="101" t="s">
        <v>190</v>
      </c>
      <c r="G372" s="76" t="str">
        <f>IFERROR(INDEX(M_SKU!$A$18:$J$57,MATCH(F372,M_SKU!$B$18:$B$57,0),1),"UNKNOWN SKU")</f>
        <v>Stoney Tangawizi RGB 350ml</v>
      </c>
      <c r="H372" s="101" t="s">
        <v>536</v>
      </c>
      <c r="I372" s="102">
        <f>IFERROR(INDEX(T_Unload!$K$10:$K$433,MATCH(B372,T_Unload!$B$10:$B$433,0)),0)</f>
        <v>6.4297058832420095E-2</v>
      </c>
      <c r="J372" s="111">
        <v>1</v>
      </c>
      <c r="K372" s="113">
        <f t="shared" si="24"/>
        <v>-0.9357029411675799</v>
      </c>
      <c r="L372" s="114" t="str">
        <f t="shared" si="25"/>
        <v>Adjust Unload Upward</v>
      </c>
      <c r="M372" s="115">
        <f t="shared" si="26"/>
        <v>0</v>
      </c>
      <c r="N372" s="115">
        <f t="shared" si="27"/>
        <v>0.9357029411675799</v>
      </c>
      <c r="O372" s="116" t="s">
        <v>2761</v>
      </c>
      <c r="P372" s="117"/>
      <c r="Q372" s="118"/>
    </row>
    <row r="373" spans="1:17" ht="15" customHeight="1" x14ac:dyDescent="0.3">
      <c r="A373" s="60" t="s">
        <v>3123</v>
      </c>
      <c r="B373" s="97" t="s">
        <v>2604</v>
      </c>
      <c r="C373" s="63" t="s">
        <v>415</v>
      </c>
      <c r="D373" s="66" t="str">
        <f>IFERROR(INDEX(M_User!$A$12:$J$67,MATCH(C373,M_User!$D$12:$D$67,0),3),"UNMAPPED")</f>
        <v>Joyline J Lyimo</v>
      </c>
      <c r="E373" s="65" t="str">
        <f>IFERROR(INDEX(M_User!$A$12:$J$67,MATCH(C373,M_User!$D$12:$D$67,0),5),"UNMAPPED")</f>
        <v>MOS</v>
      </c>
      <c r="F373" s="63" t="s">
        <v>193</v>
      </c>
      <c r="G373" s="66" t="str">
        <f>IFERROR(INDEX(M_SKU!$A$18:$J$57,MATCH(F373,M_SKU!$B$18:$B$57,0),1),"UNKNOWN SKU")</f>
        <v>Sparletta Pinenut RGB 350ml</v>
      </c>
      <c r="H373" s="63" t="s">
        <v>537</v>
      </c>
      <c r="I373" s="98">
        <f>IFERROR(INDEX(T_Unload!$K$10:$K$433,MATCH(B373,T_Unload!$B$10:$B$433,0)),0)</f>
        <v>7.7674220484090117E-2</v>
      </c>
      <c r="J373" s="111">
        <v>1</v>
      </c>
      <c r="K373" s="99">
        <f t="shared" si="24"/>
        <v>-0.92232577951590988</v>
      </c>
      <c r="L373" s="105" t="str">
        <f t="shared" si="25"/>
        <v>Adjust Unload Upward</v>
      </c>
      <c r="M373" s="90">
        <f t="shared" si="26"/>
        <v>0</v>
      </c>
      <c r="N373" s="90">
        <f t="shared" si="27"/>
        <v>0.92232577951590988</v>
      </c>
      <c r="O373" s="68" t="s">
        <v>2761</v>
      </c>
      <c r="P373" s="63"/>
      <c r="Q373" s="62"/>
    </row>
    <row r="374" spans="1:17" ht="15" customHeight="1" x14ac:dyDescent="0.3">
      <c r="A374" s="70" t="s">
        <v>3124</v>
      </c>
      <c r="B374" s="112" t="s">
        <v>2606</v>
      </c>
      <c r="C374" s="101" t="s">
        <v>415</v>
      </c>
      <c r="D374" s="76" t="str">
        <f>IFERROR(INDEX(M_User!$A$12:$J$67,MATCH(C374,M_User!$D$12:$D$67,0),3),"UNMAPPED")</f>
        <v>Joyline J Lyimo</v>
      </c>
      <c r="E374" s="75" t="str">
        <f>IFERROR(INDEX(M_User!$A$12:$J$67,MATCH(C374,M_User!$D$12:$D$67,0),5),"UNMAPPED")</f>
        <v>MOS</v>
      </c>
      <c r="F374" s="101" t="s">
        <v>196</v>
      </c>
      <c r="G374" s="76" t="str">
        <f>IFERROR(INDEX(M_SKU!$A$18:$J$57,MATCH(F374,M_SKU!$B$18:$B$57,0),1),"UNKNOWN SKU")</f>
        <v>Krest Bitter Lemon RGB 300ml</v>
      </c>
      <c r="H374" s="101" t="s">
        <v>538</v>
      </c>
      <c r="I374" s="102">
        <f>IFERROR(INDEX(T_Unload!$K$10:$K$433,MATCH(B374,T_Unload!$B$10:$B$433,0)),0)</f>
        <v>6.5510554578827929E-2</v>
      </c>
      <c r="J374" s="111">
        <v>1</v>
      </c>
      <c r="K374" s="113">
        <f t="shared" si="24"/>
        <v>-0.93448944542117207</v>
      </c>
      <c r="L374" s="114" t="str">
        <f t="shared" si="25"/>
        <v>Adjust Unload Upward</v>
      </c>
      <c r="M374" s="115">
        <f t="shared" si="26"/>
        <v>0</v>
      </c>
      <c r="N374" s="115">
        <f t="shared" si="27"/>
        <v>0.93448944542117207</v>
      </c>
      <c r="O374" s="116" t="s">
        <v>2761</v>
      </c>
      <c r="P374" s="117"/>
      <c r="Q374" s="118"/>
    </row>
    <row r="375" spans="1:17" ht="15" customHeight="1" x14ac:dyDescent="0.3">
      <c r="A375" s="60" t="s">
        <v>3125</v>
      </c>
      <c r="B375" s="97" t="s">
        <v>2608</v>
      </c>
      <c r="C375" s="63" t="s">
        <v>415</v>
      </c>
      <c r="D375" s="66" t="str">
        <f>IFERROR(INDEX(M_User!$A$12:$J$67,MATCH(C375,M_User!$D$12:$D$67,0),3),"UNMAPPED")</f>
        <v>Joyline J Lyimo</v>
      </c>
      <c r="E375" s="65" t="str">
        <f>IFERROR(INDEX(M_User!$A$12:$J$67,MATCH(C375,M_User!$D$12:$D$67,0),5),"UNMAPPED")</f>
        <v>MOS</v>
      </c>
      <c r="F375" s="63" t="s">
        <v>199</v>
      </c>
      <c r="G375" s="66" t="str">
        <f>IFERROR(INDEX(M_SKU!$A$18:$J$57,MATCH(F375,M_SKU!$B$18:$B$57,0),1),"UNKNOWN SKU")</f>
        <v>Krest Club Soda RGB 300ml</v>
      </c>
      <c r="H375" s="63" t="s">
        <v>539</v>
      </c>
      <c r="I375" s="98">
        <f>IFERROR(INDEX(T_Unload!$K$10:$K$433,MATCH(B375,T_Unload!$B$10:$B$433,0)),0)</f>
        <v>9.5763908530339892E-2</v>
      </c>
      <c r="J375" s="111">
        <v>1</v>
      </c>
      <c r="K375" s="99">
        <f t="shared" si="24"/>
        <v>-0.90423609146966011</v>
      </c>
      <c r="L375" s="105" t="str">
        <f t="shared" si="25"/>
        <v>Adjust Unload Upward</v>
      </c>
      <c r="M375" s="90">
        <f t="shared" si="26"/>
        <v>0</v>
      </c>
      <c r="N375" s="90">
        <f t="shared" si="27"/>
        <v>0.90423609146966011</v>
      </c>
      <c r="O375" s="68" t="s">
        <v>2761</v>
      </c>
      <c r="P375" s="63"/>
      <c r="Q375" s="62"/>
    </row>
    <row r="376" spans="1:17" ht="15" customHeight="1" x14ac:dyDescent="0.3">
      <c r="A376" s="70" t="s">
        <v>3126</v>
      </c>
      <c r="B376" s="112" t="s">
        <v>2610</v>
      </c>
      <c r="C376" s="101" t="s">
        <v>415</v>
      </c>
      <c r="D376" s="76" t="str">
        <f>IFERROR(INDEX(M_User!$A$12:$J$67,MATCH(C376,M_User!$D$12:$D$67,0),3),"UNMAPPED")</f>
        <v>Joyline J Lyimo</v>
      </c>
      <c r="E376" s="75" t="str">
        <f>IFERROR(INDEX(M_User!$A$12:$J$67,MATCH(C376,M_User!$D$12:$D$67,0),5),"UNMAPPED")</f>
        <v>MOS</v>
      </c>
      <c r="F376" s="101" t="s">
        <v>201</v>
      </c>
      <c r="G376" s="76" t="str">
        <f>IFERROR(INDEX(M_SKU!$A$18:$J$57,MATCH(F376,M_SKU!$B$18:$B$57,0),1),"UNKNOWN SKU")</f>
        <v>Krest Tonic Water RGB 300ml</v>
      </c>
      <c r="H376" s="101" t="s">
        <v>540</v>
      </c>
      <c r="I376" s="102">
        <f>IFERROR(INDEX(T_Unload!$K$10:$K$433,MATCH(B376,T_Unload!$B$10:$B$433,0)),0)</f>
        <v>3.3375304079718005E-2</v>
      </c>
      <c r="J376" s="111">
        <v>1</v>
      </c>
      <c r="K376" s="113">
        <f t="shared" si="24"/>
        <v>-0.966624695920282</v>
      </c>
      <c r="L376" s="114" t="str">
        <f t="shared" si="25"/>
        <v>Adjust Unload Upward</v>
      </c>
      <c r="M376" s="115">
        <f t="shared" si="26"/>
        <v>0</v>
      </c>
      <c r="N376" s="115">
        <f t="shared" si="27"/>
        <v>0.966624695920282</v>
      </c>
      <c r="O376" s="116" t="s">
        <v>2761</v>
      </c>
      <c r="P376" s="117"/>
      <c r="Q376" s="118"/>
    </row>
    <row r="377" spans="1:17" ht="15" customHeight="1" x14ac:dyDescent="0.3">
      <c r="A377" s="60" t="s">
        <v>3127</v>
      </c>
      <c r="B377" s="97" t="s">
        <v>2612</v>
      </c>
      <c r="C377" s="63" t="s">
        <v>415</v>
      </c>
      <c r="D377" s="66" t="str">
        <f>IFERROR(INDEX(M_User!$A$12:$J$67,MATCH(C377,M_User!$D$12:$D$67,0),3),"UNMAPPED")</f>
        <v>Joyline J Lyimo</v>
      </c>
      <c r="E377" s="65" t="str">
        <f>IFERROR(INDEX(M_User!$A$12:$J$67,MATCH(C377,M_User!$D$12:$D$67,0),5),"UNMAPPED")</f>
        <v>MOS</v>
      </c>
      <c r="F377" s="63" t="s">
        <v>203</v>
      </c>
      <c r="G377" s="66" t="str">
        <f>IFERROR(INDEX(M_SKU!$A$18:$J$57,MATCH(F377,M_SKU!$B$18:$B$57,0),1),"UNKNOWN SKU")</f>
        <v>Krest Ginger Ale RGB 300ml</v>
      </c>
      <c r="H377" s="63" t="s">
        <v>541</v>
      </c>
      <c r="I377" s="98">
        <f>IFERROR(INDEX(T_Unload!$K$10:$K$433,MATCH(B377,T_Unload!$B$10:$B$433,0)),0)</f>
        <v>3.67374600326551E-2</v>
      </c>
      <c r="J377" s="111">
        <v>1</v>
      </c>
      <c r="K377" s="99">
        <f t="shared" si="24"/>
        <v>-0.9632625399673449</v>
      </c>
      <c r="L377" s="105" t="str">
        <f t="shared" si="25"/>
        <v>Adjust Unload Upward</v>
      </c>
      <c r="M377" s="90">
        <f t="shared" si="26"/>
        <v>0</v>
      </c>
      <c r="N377" s="90">
        <f t="shared" si="27"/>
        <v>0.9632625399673449</v>
      </c>
      <c r="O377" s="68" t="s">
        <v>2761</v>
      </c>
      <c r="P377" s="63"/>
      <c r="Q377" s="62"/>
    </row>
    <row r="378" spans="1:17" ht="15" customHeight="1" x14ac:dyDescent="0.3">
      <c r="A378" s="70" t="s">
        <v>3128</v>
      </c>
      <c r="B378" s="112" t="s">
        <v>2614</v>
      </c>
      <c r="C378" s="101" t="s">
        <v>415</v>
      </c>
      <c r="D378" s="76" t="str">
        <f>IFERROR(INDEX(M_User!$A$12:$J$67,MATCH(C378,M_User!$D$12:$D$67,0),3),"UNMAPPED")</f>
        <v>Joyline J Lyimo</v>
      </c>
      <c r="E378" s="75" t="str">
        <f>IFERROR(INDEX(M_User!$A$12:$J$67,MATCH(C378,M_User!$D$12:$D$67,0),5),"UNMAPPED")</f>
        <v>MOS</v>
      </c>
      <c r="F378" s="101" t="s">
        <v>211</v>
      </c>
      <c r="G378" s="76" t="str">
        <f>IFERROR(INDEX(M_SKU!$A$18:$J$57,MATCH(F378,M_SKU!$B$18:$B$57,0),1),"UNKNOWN SKU")</f>
        <v>KNMW 500ml</v>
      </c>
      <c r="H378" s="101" t="s">
        <v>543</v>
      </c>
      <c r="I378" s="102">
        <f>IFERROR(INDEX(T_Unload!$K$10:$K$433,MATCH(B378,T_Unload!$B$10:$B$433,0)),0)</f>
        <v>2</v>
      </c>
      <c r="J378" s="111">
        <v>3</v>
      </c>
      <c r="K378" s="113">
        <f t="shared" si="24"/>
        <v>-1</v>
      </c>
      <c r="L378" s="114" t="str">
        <f t="shared" si="25"/>
        <v>Adjust Unload Upward</v>
      </c>
      <c r="M378" s="115">
        <f t="shared" si="26"/>
        <v>0</v>
      </c>
      <c r="N378" s="115">
        <f t="shared" si="27"/>
        <v>1</v>
      </c>
      <c r="O378" s="116" t="s">
        <v>2761</v>
      </c>
      <c r="P378" s="117"/>
      <c r="Q378" s="118"/>
    </row>
    <row r="379" spans="1:17" ht="15" customHeight="1" x14ac:dyDescent="0.3">
      <c r="A379" s="60" t="s">
        <v>3129</v>
      </c>
      <c r="B379" s="97" t="s">
        <v>2616</v>
      </c>
      <c r="C379" s="63" t="s">
        <v>415</v>
      </c>
      <c r="D379" s="66" t="str">
        <f>IFERROR(INDEX(M_User!$A$12:$J$67,MATCH(C379,M_User!$D$12:$D$67,0),3),"UNMAPPED")</f>
        <v>Joyline J Lyimo</v>
      </c>
      <c r="E379" s="65" t="str">
        <f>IFERROR(INDEX(M_User!$A$12:$J$67,MATCH(C379,M_User!$D$12:$D$67,0),5),"UNMAPPED")</f>
        <v>MOS</v>
      </c>
      <c r="F379" s="63" t="s">
        <v>217</v>
      </c>
      <c r="G379" s="66" t="str">
        <f>IFERROR(INDEX(M_SKU!$A$18:$J$57,MATCH(F379,M_SKU!$B$18:$B$57,0),1),"UNKNOWN SKU")</f>
        <v>KNMW 1500ml</v>
      </c>
      <c r="H379" s="63" t="s">
        <v>551</v>
      </c>
      <c r="I379" s="98">
        <f>IFERROR(INDEX(T_Unload!$K$10:$K$433,MATCH(B379,T_Unload!$B$10:$B$433,0)),0)</f>
        <v>-3</v>
      </c>
      <c r="J379" s="111">
        <v>4</v>
      </c>
      <c r="K379" s="99">
        <f t="shared" si="24"/>
        <v>-7</v>
      </c>
      <c r="L379" s="105" t="str">
        <f t="shared" si="25"/>
        <v>Adjust Unload Upward</v>
      </c>
      <c r="M379" s="90">
        <f t="shared" si="26"/>
        <v>0</v>
      </c>
      <c r="N379" s="90">
        <f t="shared" si="27"/>
        <v>7</v>
      </c>
      <c r="O379" s="68" t="s">
        <v>2761</v>
      </c>
      <c r="P379" s="63"/>
      <c r="Q379" s="62"/>
    </row>
    <row r="380" spans="1:17" ht="15" customHeight="1" x14ac:dyDescent="0.3">
      <c r="A380" s="70" t="s">
        <v>3130</v>
      </c>
      <c r="B380" s="112" t="s">
        <v>2618</v>
      </c>
      <c r="C380" s="101" t="s">
        <v>415</v>
      </c>
      <c r="D380" s="76" t="str">
        <f>IFERROR(INDEX(M_User!$A$12:$J$67,MATCH(C380,M_User!$D$12:$D$67,0),3),"UNMAPPED")</f>
        <v>Joyline J Lyimo</v>
      </c>
      <c r="E380" s="75" t="str">
        <f>IFERROR(INDEX(M_User!$A$12:$J$67,MATCH(C380,M_User!$D$12:$D$67,0),5),"UNMAPPED")</f>
        <v>MOS</v>
      </c>
      <c r="F380" s="101" t="s">
        <v>229</v>
      </c>
      <c r="G380" s="76" t="str">
        <f>IFERROR(INDEX(M_SKU!$A$18:$J$57,MATCH(F380,M_SKU!$B$18:$B$57,0),1),"UNKNOWN SKU")</f>
        <v>Coke Pet 500ML ( x12)</v>
      </c>
      <c r="H380" s="101" t="s">
        <v>520</v>
      </c>
      <c r="I380" s="102">
        <f>IFERROR(INDEX(T_Unload!$K$10:$K$433,MATCH(B380,T_Unload!$B$10:$B$433,0)),0)</f>
        <v>-3</v>
      </c>
      <c r="J380" s="111">
        <v>4</v>
      </c>
      <c r="K380" s="113">
        <f t="shared" si="24"/>
        <v>-7</v>
      </c>
      <c r="L380" s="114" t="str">
        <f t="shared" si="25"/>
        <v>Adjust Unload Upward</v>
      </c>
      <c r="M380" s="115">
        <f t="shared" si="26"/>
        <v>0</v>
      </c>
      <c r="N380" s="115">
        <f t="shared" si="27"/>
        <v>7</v>
      </c>
      <c r="O380" s="116" t="s">
        <v>2761</v>
      </c>
      <c r="P380" s="117"/>
      <c r="Q380" s="118"/>
    </row>
    <row r="381" spans="1:17" ht="15" customHeight="1" x14ac:dyDescent="0.3">
      <c r="A381" s="60" t="s">
        <v>3131</v>
      </c>
      <c r="B381" s="97" t="s">
        <v>2620</v>
      </c>
      <c r="C381" s="63" t="s">
        <v>415</v>
      </c>
      <c r="D381" s="66" t="str">
        <f>IFERROR(INDEX(M_User!$A$12:$J$67,MATCH(C381,M_User!$D$12:$D$67,0),3),"UNMAPPED")</f>
        <v>Joyline J Lyimo</v>
      </c>
      <c r="E381" s="65" t="str">
        <f>IFERROR(INDEX(M_User!$A$12:$J$67,MATCH(C381,M_User!$D$12:$D$67,0),5),"UNMAPPED")</f>
        <v>MOS</v>
      </c>
      <c r="F381" s="63" t="s">
        <v>232</v>
      </c>
      <c r="G381" s="66" t="str">
        <f>IFERROR(INDEX(M_SKU!$A$18:$J$57,MATCH(F381,M_SKU!$B$18:$B$57,0),1),"UNKNOWN SKU")</f>
        <v>Sprite Pet 500ML (x 12)</v>
      </c>
      <c r="H381" s="63" t="s">
        <v>522</v>
      </c>
      <c r="I381" s="98">
        <f>IFERROR(INDEX(T_Unload!$K$10:$K$433,MATCH(B381,T_Unload!$B$10:$B$433,0)),0)</f>
        <v>0</v>
      </c>
      <c r="J381" s="111">
        <v>1</v>
      </c>
      <c r="K381" s="99">
        <f t="shared" si="24"/>
        <v>-1</v>
      </c>
      <c r="L381" s="105" t="str">
        <f t="shared" si="25"/>
        <v>Adjust Unload Upward</v>
      </c>
      <c r="M381" s="90">
        <f t="shared" si="26"/>
        <v>0</v>
      </c>
      <c r="N381" s="90">
        <f t="shared" si="27"/>
        <v>1</v>
      </c>
      <c r="O381" s="68" t="s">
        <v>2761</v>
      </c>
      <c r="P381" s="63"/>
      <c r="Q381" s="62"/>
    </row>
    <row r="382" spans="1:17" ht="15" customHeight="1" x14ac:dyDescent="0.3">
      <c r="A382" s="70" t="s">
        <v>3132</v>
      </c>
      <c r="B382" s="112" t="s">
        <v>2622</v>
      </c>
      <c r="C382" s="101" t="s">
        <v>415</v>
      </c>
      <c r="D382" s="76" t="str">
        <f>IFERROR(INDEX(M_User!$A$12:$J$67,MATCH(C382,M_User!$D$12:$D$67,0),3),"UNMAPPED")</f>
        <v>Joyline J Lyimo</v>
      </c>
      <c r="E382" s="75" t="str">
        <f>IFERROR(INDEX(M_User!$A$12:$J$67,MATCH(C382,M_User!$D$12:$D$67,0),5),"UNMAPPED")</f>
        <v>MOS</v>
      </c>
      <c r="F382" s="101" t="s">
        <v>234</v>
      </c>
      <c r="G382" s="76" t="str">
        <f>IFERROR(INDEX(M_SKU!$A$18:$J$57,MATCH(F382,M_SKU!$B$18:$B$57,0),1),"UNKNOWN SKU")</f>
        <v>Fanta Orange Pet 500ML ( x 12)</v>
      </c>
      <c r="H382" s="101" t="s">
        <v>523</v>
      </c>
      <c r="I382" s="102">
        <f>IFERROR(INDEX(T_Unload!$K$10:$K$433,MATCH(B382,T_Unload!$B$10:$B$433,0)),0)</f>
        <v>2</v>
      </c>
      <c r="J382" s="111">
        <v>3</v>
      </c>
      <c r="K382" s="113">
        <f t="shared" si="24"/>
        <v>-1</v>
      </c>
      <c r="L382" s="114" t="str">
        <f t="shared" si="25"/>
        <v>Adjust Unload Upward</v>
      </c>
      <c r="M382" s="115">
        <f t="shared" si="26"/>
        <v>0</v>
      </c>
      <c r="N382" s="115">
        <f t="shared" si="27"/>
        <v>1</v>
      </c>
      <c r="O382" s="116" t="s">
        <v>2761</v>
      </c>
      <c r="P382" s="117"/>
      <c r="Q382" s="118"/>
    </row>
    <row r="383" spans="1:17" ht="15" customHeight="1" x14ac:dyDescent="0.3">
      <c r="A383" s="60" t="s">
        <v>3133</v>
      </c>
      <c r="B383" s="97" t="s">
        <v>2624</v>
      </c>
      <c r="C383" s="63" t="s">
        <v>415</v>
      </c>
      <c r="D383" s="66" t="str">
        <f>IFERROR(INDEX(M_User!$A$12:$J$67,MATCH(C383,M_User!$D$12:$D$67,0),3),"UNMAPPED")</f>
        <v>Joyline J Lyimo</v>
      </c>
      <c r="E383" s="65" t="str">
        <f>IFERROR(INDEX(M_User!$A$12:$J$67,MATCH(C383,M_User!$D$12:$D$67,0),5),"UNMAPPED")</f>
        <v>MOS</v>
      </c>
      <c r="F383" s="63" t="s">
        <v>236</v>
      </c>
      <c r="G383" s="66" t="str">
        <f>IFERROR(INDEX(M_SKU!$A$18:$J$57,MATCH(F383,M_SKU!$B$18:$B$57,0),1),"UNKNOWN SKU")</f>
        <v>Fanta Passion Pet 500ML ( x12)</v>
      </c>
      <c r="H383" s="63" t="s">
        <v>524</v>
      </c>
      <c r="I383" s="98">
        <f>IFERROR(INDEX(T_Unload!$K$10:$K$433,MATCH(B383,T_Unload!$B$10:$B$433,0)),0)</f>
        <v>0</v>
      </c>
      <c r="J383" s="111">
        <v>1</v>
      </c>
      <c r="K383" s="99">
        <f t="shared" si="24"/>
        <v>-1</v>
      </c>
      <c r="L383" s="105" t="str">
        <f t="shared" si="25"/>
        <v>Adjust Unload Upward</v>
      </c>
      <c r="M383" s="90">
        <f t="shared" si="26"/>
        <v>0</v>
      </c>
      <c r="N383" s="90">
        <f t="shared" si="27"/>
        <v>1</v>
      </c>
      <c r="O383" s="68" t="s">
        <v>2761</v>
      </c>
      <c r="P383" s="63"/>
      <c r="Q383" s="62"/>
    </row>
    <row r="384" spans="1:17" ht="15" customHeight="1" x14ac:dyDescent="0.3">
      <c r="A384" s="70" t="s">
        <v>3134</v>
      </c>
      <c r="B384" s="112" t="s">
        <v>2626</v>
      </c>
      <c r="C384" s="101" t="s">
        <v>415</v>
      </c>
      <c r="D384" s="76" t="str">
        <f>IFERROR(INDEX(M_User!$A$12:$J$67,MATCH(C384,M_User!$D$12:$D$67,0),3),"UNMAPPED")</f>
        <v>Joyline J Lyimo</v>
      </c>
      <c r="E384" s="75" t="str">
        <f>IFERROR(INDEX(M_User!$A$12:$J$67,MATCH(C384,M_User!$D$12:$D$67,0),5),"UNMAPPED")</f>
        <v>MOS</v>
      </c>
      <c r="F384" s="101" t="s">
        <v>242</v>
      </c>
      <c r="G384" s="76" t="str">
        <f>IFERROR(INDEX(M_SKU!$A$18:$J$57,MATCH(F384,M_SKU!$B$18:$B$57,0),1),"UNKNOWN SKU")</f>
        <v>Stoney Tangawizi Pet 500 ml ( x12)</v>
      </c>
      <c r="H384" s="101" t="s">
        <v>525</v>
      </c>
      <c r="I384" s="102">
        <f>IFERROR(INDEX(T_Unload!$K$10:$K$433,MATCH(B384,T_Unload!$B$10:$B$433,0)),0)</f>
        <v>0</v>
      </c>
      <c r="J384" s="111">
        <v>1</v>
      </c>
      <c r="K384" s="113">
        <f t="shared" si="24"/>
        <v>-1</v>
      </c>
      <c r="L384" s="114" t="str">
        <f t="shared" si="25"/>
        <v>Adjust Unload Upward</v>
      </c>
      <c r="M384" s="115">
        <f t="shared" si="26"/>
        <v>0</v>
      </c>
      <c r="N384" s="115">
        <f t="shared" si="27"/>
        <v>1</v>
      </c>
      <c r="O384" s="116" t="s">
        <v>2761</v>
      </c>
      <c r="P384" s="117"/>
      <c r="Q384" s="118"/>
    </row>
    <row r="385" spans="1:17" ht="15" customHeight="1" x14ac:dyDescent="0.3">
      <c r="A385" s="60" t="s">
        <v>3135</v>
      </c>
      <c r="B385" s="97" t="s">
        <v>2628</v>
      </c>
      <c r="C385" s="63" t="s">
        <v>415</v>
      </c>
      <c r="D385" s="66" t="str">
        <f>IFERROR(INDEX(M_User!$A$12:$J$67,MATCH(C385,M_User!$D$12:$D$67,0),3),"UNMAPPED")</f>
        <v>Joyline J Lyimo</v>
      </c>
      <c r="E385" s="65" t="str">
        <f>IFERROR(INDEX(M_User!$A$12:$J$67,MATCH(C385,M_User!$D$12:$D$67,0),5),"UNMAPPED")</f>
        <v>MOS</v>
      </c>
      <c r="F385" s="63" t="s">
        <v>244</v>
      </c>
      <c r="G385" s="66" t="str">
        <f>IFERROR(INDEX(M_SKU!$A$18:$J$57,MATCH(F385,M_SKU!$B$18:$B$57,0),1),"UNKNOWN SKU")</f>
        <v>Sparletta Pinenut Pet 500 ml ( x12)</v>
      </c>
      <c r="H385" s="63" t="s">
        <v>526</v>
      </c>
      <c r="I385" s="98">
        <f>IFERROR(INDEX(T_Unload!$K$10:$K$433,MATCH(B385,T_Unload!$B$10:$B$433,0)),0)</f>
        <v>0</v>
      </c>
      <c r="J385" s="111">
        <v>1</v>
      </c>
      <c r="K385" s="99">
        <f t="shared" si="24"/>
        <v>-1</v>
      </c>
      <c r="L385" s="105" t="str">
        <f t="shared" si="25"/>
        <v>Adjust Unload Upward</v>
      </c>
      <c r="M385" s="90">
        <f t="shared" si="26"/>
        <v>0</v>
      </c>
      <c r="N385" s="90">
        <f t="shared" si="27"/>
        <v>1</v>
      </c>
      <c r="O385" s="68" t="s">
        <v>2761</v>
      </c>
      <c r="P385" s="63"/>
      <c r="Q385" s="62"/>
    </row>
    <row r="386" spans="1:17" ht="15" customHeight="1" x14ac:dyDescent="0.3">
      <c r="A386" s="70" t="s">
        <v>3136</v>
      </c>
      <c r="B386" s="112" t="s">
        <v>2630</v>
      </c>
      <c r="C386" s="101" t="s">
        <v>415</v>
      </c>
      <c r="D386" s="76" t="str">
        <f>IFERROR(INDEX(M_User!$A$12:$J$67,MATCH(C386,M_User!$D$12:$D$67,0),3),"UNMAPPED")</f>
        <v>Joyline J Lyimo</v>
      </c>
      <c r="E386" s="75" t="str">
        <f>IFERROR(INDEX(M_User!$A$12:$J$67,MATCH(C386,M_User!$D$12:$D$67,0),5),"UNMAPPED")</f>
        <v>MOS</v>
      </c>
      <c r="F386" s="101" t="s">
        <v>252</v>
      </c>
      <c r="G386" s="76" t="str">
        <f>IFERROR(INDEX(M_SKU!$A$18:$J$57,MATCH(F386,M_SKU!$B$18:$B$57,0),1),"UNKNOWN SKU")</f>
        <v>Sprite Zero Pet 300ML (x 12)</v>
      </c>
      <c r="H386" s="101" t="s">
        <v>545</v>
      </c>
      <c r="I386" s="102">
        <f>IFERROR(INDEX(T_Unload!$K$10:$K$433,MATCH(B386,T_Unload!$B$10:$B$433,0)),0)</f>
        <v>0</v>
      </c>
      <c r="J386" s="111">
        <v>1</v>
      </c>
      <c r="K386" s="113">
        <f t="shared" si="24"/>
        <v>-1</v>
      </c>
      <c r="L386" s="114" t="str">
        <f t="shared" si="25"/>
        <v>Adjust Unload Upward</v>
      </c>
      <c r="M386" s="115">
        <f t="shared" si="26"/>
        <v>0</v>
      </c>
      <c r="N386" s="115">
        <f t="shared" si="27"/>
        <v>1</v>
      </c>
      <c r="O386" s="116" t="s">
        <v>2761</v>
      </c>
      <c r="P386" s="117"/>
      <c r="Q386" s="118"/>
    </row>
    <row r="387" spans="1:17" ht="15" customHeight="1" x14ac:dyDescent="0.3">
      <c r="A387" s="60" t="s">
        <v>3137</v>
      </c>
      <c r="B387" s="97" t="s">
        <v>2632</v>
      </c>
      <c r="C387" s="63" t="s">
        <v>415</v>
      </c>
      <c r="D387" s="66" t="str">
        <f>IFERROR(INDEX(M_User!$A$12:$J$67,MATCH(C387,M_User!$D$12:$D$67,0),3),"UNMAPPED")</f>
        <v>Joyline J Lyimo</v>
      </c>
      <c r="E387" s="65" t="str">
        <f>IFERROR(INDEX(M_User!$A$12:$J$67,MATCH(C387,M_User!$D$12:$D$67,0),5),"UNMAPPED")</f>
        <v>MOS</v>
      </c>
      <c r="F387" s="63" t="s">
        <v>254</v>
      </c>
      <c r="G387" s="66" t="str">
        <f>IFERROR(INDEX(M_SKU!$A$18:$J$57,MATCH(F387,M_SKU!$B$18:$B$57,0),1),"UNKNOWN SKU")</f>
        <v>Fanta Zero Pet 300ML (x 12)</v>
      </c>
      <c r="H387" s="63" t="s">
        <v>546</v>
      </c>
      <c r="I387" s="98">
        <f>IFERROR(INDEX(T_Unload!$K$10:$K$433,MATCH(B387,T_Unload!$B$10:$B$433,0)),0)</f>
        <v>0</v>
      </c>
      <c r="J387" s="111">
        <v>1</v>
      </c>
      <c r="K387" s="99">
        <f t="shared" si="24"/>
        <v>-1</v>
      </c>
      <c r="L387" s="105" t="str">
        <f t="shared" si="25"/>
        <v>Adjust Unload Upward</v>
      </c>
      <c r="M387" s="90">
        <f t="shared" si="26"/>
        <v>0</v>
      </c>
      <c r="N387" s="90">
        <f t="shared" si="27"/>
        <v>1</v>
      </c>
      <c r="O387" s="68" t="s">
        <v>2761</v>
      </c>
      <c r="P387" s="63"/>
      <c r="Q387" s="62"/>
    </row>
    <row r="388" spans="1:17" ht="15" customHeight="1" x14ac:dyDescent="0.3">
      <c r="A388" s="70" t="s">
        <v>3138</v>
      </c>
      <c r="B388" s="112" t="s">
        <v>2634</v>
      </c>
      <c r="C388" s="101" t="s">
        <v>415</v>
      </c>
      <c r="D388" s="76" t="str">
        <f>IFERROR(INDEX(M_User!$A$12:$J$67,MATCH(C388,M_User!$D$12:$D$67,0),3),"UNMAPPED")</f>
        <v>Joyline J Lyimo</v>
      </c>
      <c r="E388" s="75" t="str">
        <f>IFERROR(INDEX(M_User!$A$12:$J$67,MATCH(C388,M_User!$D$12:$D$67,0),5),"UNMAPPED")</f>
        <v>MOS</v>
      </c>
      <c r="F388" s="101" t="s">
        <v>261</v>
      </c>
      <c r="G388" s="76" t="str">
        <f>IFERROR(INDEX(M_SKU!$A$18:$J$57,MATCH(F388,M_SKU!$B$18:$B$57,0),1),"UNKNOWN SKU")</f>
        <v>Sparletta Pine Apple Pet 300ML (x 12)</v>
      </c>
      <c r="H388" s="101" t="s">
        <v>547</v>
      </c>
      <c r="I388" s="102">
        <f>IFERROR(INDEX(T_Unload!$K$10:$K$433,MATCH(B388,T_Unload!$B$10:$B$433,0)),0)</f>
        <v>0</v>
      </c>
      <c r="J388" s="111">
        <v>1</v>
      </c>
      <c r="K388" s="113">
        <f t="shared" si="24"/>
        <v>-1</v>
      </c>
      <c r="L388" s="114" t="str">
        <f t="shared" si="25"/>
        <v>Adjust Unload Upward</v>
      </c>
      <c r="M388" s="115">
        <f t="shared" si="26"/>
        <v>0</v>
      </c>
      <c r="N388" s="115">
        <f t="shared" si="27"/>
        <v>1</v>
      </c>
      <c r="O388" s="116" t="s">
        <v>2761</v>
      </c>
      <c r="P388" s="117"/>
      <c r="Q388" s="118"/>
    </row>
    <row r="389" spans="1:17" ht="15" customHeight="1" x14ac:dyDescent="0.3">
      <c r="A389" s="60" t="s">
        <v>3139</v>
      </c>
      <c r="B389" s="97" t="s">
        <v>2636</v>
      </c>
      <c r="C389" s="63" t="s">
        <v>401</v>
      </c>
      <c r="D389" s="66" t="str">
        <f>IFERROR(INDEX(M_User!$A$12:$J$67,MATCH(C389,M_User!$D$12:$D$67,0),3),"UNMAPPED")</f>
        <v>Alice Jonathan Mfuru</v>
      </c>
      <c r="E389" s="65" t="str">
        <f>IFERROR(INDEX(M_User!$A$12:$J$67,MATCH(C389,M_User!$D$12:$D$67,0),5),"UNMAPPED")</f>
        <v>MOS</v>
      </c>
      <c r="F389" s="63" t="s">
        <v>170</v>
      </c>
      <c r="G389" s="66" t="str">
        <f>IFERROR(INDEX(M_SKU!$A$18:$J$57,MATCH(F389,M_SKU!$B$18:$B$57,0),1),"UNKNOWN SKU")</f>
        <v>Coke RGB 350ml</v>
      </c>
      <c r="H389" s="63" t="s">
        <v>530</v>
      </c>
      <c r="I389" s="98">
        <f>IFERROR(INDEX(T_Unload!$K$10:$K$433,MATCH(B389,T_Unload!$B$10:$B$433,0)),0)</f>
        <v>6.4299090006428941</v>
      </c>
      <c r="J389" s="111">
        <v>6.43</v>
      </c>
      <c r="K389" s="99">
        <f t="shared" si="24"/>
        <v>-9.0999357105658873E-5</v>
      </c>
      <c r="L389" s="105" t="str">
        <f t="shared" si="25"/>
        <v>CLEAN</v>
      </c>
      <c r="M389" s="90">
        <f t="shared" si="26"/>
        <v>0</v>
      </c>
      <c r="N389" s="90">
        <f t="shared" si="27"/>
        <v>0</v>
      </c>
      <c r="O389" s="68" t="s">
        <v>2761</v>
      </c>
      <c r="P389" s="63"/>
      <c r="Q389" s="62"/>
    </row>
    <row r="390" spans="1:17" ht="15" customHeight="1" x14ac:dyDescent="0.3">
      <c r="A390" s="70" t="s">
        <v>3140</v>
      </c>
      <c r="B390" s="112" t="s">
        <v>2638</v>
      </c>
      <c r="C390" s="101" t="s">
        <v>401</v>
      </c>
      <c r="D390" s="76" t="str">
        <f>IFERROR(INDEX(M_User!$A$12:$J$67,MATCH(C390,M_User!$D$12:$D$67,0),3),"UNMAPPED")</f>
        <v>Alice Jonathan Mfuru</v>
      </c>
      <c r="E390" s="75" t="str">
        <f>IFERROR(INDEX(M_User!$A$12:$J$67,MATCH(C390,M_User!$D$12:$D$67,0),5),"UNMAPPED")</f>
        <v>MOS</v>
      </c>
      <c r="F390" s="101" t="s">
        <v>178</v>
      </c>
      <c r="G390" s="76" t="str">
        <f>IFERROR(INDEX(M_SKU!$A$18:$J$57,MATCH(F390,M_SKU!$B$18:$B$57,0),1),"UNKNOWN SKU")</f>
        <v>Fanta Orange RGB 350ml</v>
      </c>
      <c r="H390" s="101" t="s">
        <v>531</v>
      </c>
      <c r="I390" s="102">
        <f>IFERROR(INDEX(T_Unload!$K$10:$K$433,MATCH(B390,T_Unload!$B$10:$B$433,0)),0)</f>
        <v>1.358660722555431</v>
      </c>
      <c r="J390" s="111">
        <v>1.36</v>
      </c>
      <c r="K390" s="113">
        <f t="shared" si="24"/>
        <v>-1.3392774445690758E-3</v>
      </c>
      <c r="L390" s="114" t="str">
        <f t="shared" si="25"/>
        <v>Adjust Unload Upward</v>
      </c>
      <c r="M390" s="115">
        <f t="shared" si="26"/>
        <v>0</v>
      </c>
      <c r="N390" s="115">
        <f t="shared" si="27"/>
        <v>1.3392774445690758E-3</v>
      </c>
      <c r="O390" s="116" t="s">
        <v>2761</v>
      </c>
      <c r="P390" s="117"/>
      <c r="Q390" s="118"/>
    </row>
    <row r="391" spans="1:17" ht="15" customHeight="1" x14ac:dyDescent="0.3">
      <c r="A391" s="60" t="s">
        <v>3141</v>
      </c>
      <c r="B391" s="97" t="s">
        <v>2640</v>
      </c>
      <c r="C391" s="63" t="s">
        <v>401</v>
      </c>
      <c r="D391" s="66" t="str">
        <f>IFERROR(INDEX(M_User!$A$12:$J$67,MATCH(C391,M_User!$D$12:$D$67,0),3),"UNMAPPED")</f>
        <v>Alice Jonathan Mfuru</v>
      </c>
      <c r="E391" s="65" t="str">
        <f>IFERROR(INDEX(M_User!$A$12:$J$67,MATCH(C391,M_User!$D$12:$D$67,0),5),"UNMAPPED")</f>
        <v>MOS</v>
      </c>
      <c r="F391" s="63" t="s">
        <v>181</v>
      </c>
      <c r="G391" s="66" t="str">
        <f>IFERROR(INDEX(M_SKU!$A$18:$J$57,MATCH(F391,M_SKU!$B$18:$B$57,0),1),"UNKNOWN SKU")</f>
        <v>Fanta Passion RGB 350ml</v>
      </c>
      <c r="H391" s="63" t="s">
        <v>550</v>
      </c>
      <c r="I391" s="98">
        <f>IFERROR(INDEX(T_Unload!$K$10:$K$433,MATCH(B391,T_Unload!$B$10:$B$433,0)),0)</f>
        <v>1.4730125046582394</v>
      </c>
      <c r="J391" s="111">
        <v>1.47</v>
      </c>
      <c r="K391" s="99">
        <f t="shared" si="24"/>
        <v>3.0125046582394344E-3</v>
      </c>
      <c r="L391" s="105" t="str">
        <f t="shared" si="25"/>
        <v>Post to Default Outlet</v>
      </c>
      <c r="M391" s="90">
        <f t="shared" si="26"/>
        <v>3.0125046582394344E-3</v>
      </c>
      <c r="N391" s="90">
        <f t="shared" si="27"/>
        <v>0</v>
      </c>
      <c r="O391" s="68" t="s">
        <v>2761</v>
      </c>
      <c r="P391" s="63"/>
      <c r="Q391" s="62"/>
    </row>
    <row r="392" spans="1:17" ht="15" customHeight="1" x14ac:dyDescent="0.3">
      <c r="A392" s="70" t="s">
        <v>3142</v>
      </c>
      <c r="B392" s="112" t="s">
        <v>2642</v>
      </c>
      <c r="C392" s="101" t="s">
        <v>401</v>
      </c>
      <c r="D392" s="76" t="str">
        <f>IFERROR(INDEX(M_User!$A$12:$J$67,MATCH(C392,M_User!$D$12:$D$67,0),3),"UNMAPPED")</f>
        <v>Alice Jonathan Mfuru</v>
      </c>
      <c r="E392" s="75" t="str">
        <f>IFERROR(INDEX(M_User!$A$12:$J$67,MATCH(C392,M_User!$D$12:$D$67,0),5),"UNMAPPED")</f>
        <v>MOS</v>
      </c>
      <c r="F392" s="101" t="s">
        <v>183</v>
      </c>
      <c r="G392" s="76" t="str">
        <f>IFERROR(INDEX(M_SKU!$A$18:$J$57,MATCH(F392,M_SKU!$B$18:$B$57,0),1),"UNKNOWN SKU")</f>
        <v>Fanta Pineapple RGB 350ml</v>
      </c>
      <c r="H392" s="101" t="s">
        <v>533</v>
      </c>
      <c r="I392" s="102">
        <f>IFERROR(INDEX(T_Unload!$K$10:$K$433,MATCH(B392,T_Unload!$B$10:$B$433,0)),0)</f>
        <v>1.2534311924598303</v>
      </c>
      <c r="J392" s="111">
        <v>1.25</v>
      </c>
      <c r="K392" s="113">
        <f t="shared" si="24"/>
        <v>3.4311924598302568E-3</v>
      </c>
      <c r="L392" s="114" t="str">
        <f t="shared" si="25"/>
        <v>Post to Default Outlet</v>
      </c>
      <c r="M392" s="115">
        <f t="shared" si="26"/>
        <v>3.4311924598302568E-3</v>
      </c>
      <c r="N392" s="115">
        <f t="shared" si="27"/>
        <v>0</v>
      </c>
      <c r="O392" s="116" t="s">
        <v>2761</v>
      </c>
      <c r="P392" s="117"/>
      <c r="Q392" s="118"/>
    </row>
    <row r="393" spans="1:17" ht="15" customHeight="1" x14ac:dyDescent="0.3">
      <c r="A393" s="60" t="s">
        <v>3143</v>
      </c>
      <c r="B393" s="97" t="s">
        <v>2644</v>
      </c>
      <c r="C393" s="63" t="s">
        <v>401</v>
      </c>
      <c r="D393" s="66" t="str">
        <f>IFERROR(INDEX(M_User!$A$12:$J$67,MATCH(C393,M_User!$D$12:$D$67,0),3),"UNMAPPED")</f>
        <v>Alice Jonathan Mfuru</v>
      </c>
      <c r="E393" s="65" t="str">
        <f>IFERROR(INDEX(M_User!$A$12:$J$67,MATCH(C393,M_User!$D$12:$D$67,0),5),"UNMAPPED")</f>
        <v>MOS</v>
      </c>
      <c r="F393" s="63" t="s">
        <v>185</v>
      </c>
      <c r="G393" s="66" t="str">
        <f>IFERROR(INDEX(M_SKU!$A$18:$J$57,MATCH(F393,M_SKU!$B$18:$B$57,0),1),"UNKNOWN SKU")</f>
        <v>Fanta Fruit Blast RGB 350 ml</v>
      </c>
      <c r="H393" s="63" t="s">
        <v>534</v>
      </c>
      <c r="I393" s="98">
        <f>IFERROR(INDEX(T_Unload!$K$10:$K$433,MATCH(B393,T_Unload!$B$10:$B$433,0)),0)</f>
        <v>0.3921107167399609</v>
      </c>
      <c r="J393" s="111">
        <v>0.39</v>
      </c>
      <c r="K393" s="99">
        <f t="shared" si="24"/>
        <v>2.1107167399608828E-3</v>
      </c>
      <c r="L393" s="105" t="str">
        <f t="shared" si="25"/>
        <v>Post to Default Outlet</v>
      </c>
      <c r="M393" s="90">
        <f t="shared" si="26"/>
        <v>2.1107167399608828E-3</v>
      </c>
      <c r="N393" s="90">
        <f t="shared" si="27"/>
        <v>0</v>
      </c>
      <c r="O393" s="68" t="s">
        <v>2761</v>
      </c>
      <c r="P393" s="63"/>
      <c r="Q393" s="62"/>
    </row>
    <row r="394" spans="1:17" ht="15" customHeight="1" x14ac:dyDescent="0.3">
      <c r="A394" s="70" t="s">
        <v>3144</v>
      </c>
      <c r="B394" s="112" t="s">
        <v>2646</v>
      </c>
      <c r="C394" s="101" t="s">
        <v>401</v>
      </c>
      <c r="D394" s="76" t="str">
        <f>IFERROR(INDEX(M_User!$A$12:$J$67,MATCH(C394,M_User!$D$12:$D$67,0),3),"UNMAPPED")</f>
        <v>Alice Jonathan Mfuru</v>
      </c>
      <c r="E394" s="75" t="str">
        <f>IFERROR(INDEX(M_User!$A$12:$J$67,MATCH(C394,M_User!$D$12:$D$67,0),5),"UNMAPPED")</f>
        <v>MOS</v>
      </c>
      <c r="F394" s="101" t="s">
        <v>187</v>
      </c>
      <c r="G394" s="76" t="str">
        <f>IFERROR(INDEX(M_SKU!$A$18:$J$57,MATCH(F394,M_SKU!$B$18:$B$57,0),1),"UNKNOWN SKU")</f>
        <v>Sprite 350ml</v>
      </c>
      <c r="H394" s="101" t="s">
        <v>535</v>
      </c>
      <c r="I394" s="102">
        <f>IFERROR(INDEX(T_Unload!$K$10:$K$433,MATCH(B394,T_Unload!$B$10:$B$433,0)),0)</f>
        <v>1.1092311507082506</v>
      </c>
      <c r="J394" s="111">
        <v>1.1100000000000001</v>
      </c>
      <c r="K394" s="113">
        <f t="shared" si="24"/>
        <v>-7.6884929174947381E-4</v>
      </c>
      <c r="L394" s="114" t="str">
        <f t="shared" si="25"/>
        <v>Adjust Unload Upward</v>
      </c>
      <c r="M394" s="115">
        <f t="shared" si="26"/>
        <v>0</v>
      </c>
      <c r="N394" s="115">
        <f t="shared" si="27"/>
        <v>7.6884929174947381E-4</v>
      </c>
      <c r="O394" s="116" t="s">
        <v>2761</v>
      </c>
      <c r="P394" s="117"/>
      <c r="Q394" s="118"/>
    </row>
    <row r="395" spans="1:17" ht="15" customHeight="1" x14ac:dyDescent="0.3">
      <c r="A395" s="60" t="s">
        <v>3145</v>
      </c>
      <c r="B395" s="97" t="s">
        <v>2648</v>
      </c>
      <c r="C395" s="63" t="s">
        <v>401</v>
      </c>
      <c r="D395" s="66" t="str">
        <f>IFERROR(INDEX(M_User!$A$12:$J$67,MATCH(C395,M_User!$D$12:$D$67,0),3),"UNMAPPED")</f>
        <v>Alice Jonathan Mfuru</v>
      </c>
      <c r="E395" s="65" t="str">
        <f>IFERROR(INDEX(M_User!$A$12:$J$67,MATCH(C395,M_User!$D$12:$D$67,0),5),"UNMAPPED")</f>
        <v>MOS</v>
      </c>
      <c r="F395" s="63" t="s">
        <v>190</v>
      </c>
      <c r="G395" s="66" t="str">
        <f>IFERROR(INDEX(M_SKU!$A$18:$J$57,MATCH(F395,M_SKU!$B$18:$B$57,0),1),"UNKNOWN SKU")</f>
        <v>Stoney Tangawizi RGB 350ml</v>
      </c>
      <c r="H395" s="63" t="s">
        <v>536</v>
      </c>
      <c r="I395" s="98">
        <f>IFERROR(INDEX(T_Unload!$K$10:$K$433,MATCH(B395,T_Unload!$B$10:$B$433,0)),0)</f>
        <v>0.41898964544019979</v>
      </c>
      <c r="J395" s="111">
        <v>0.42</v>
      </c>
      <c r="K395" s="99">
        <f t="shared" si="24"/>
        <v>-1.0103545598001973E-3</v>
      </c>
      <c r="L395" s="105" t="str">
        <f t="shared" si="25"/>
        <v>Adjust Unload Upward</v>
      </c>
      <c r="M395" s="90">
        <f t="shared" si="26"/>
        <v>0</v>
      </c>
      <c r="N395" s="90">
        <f t="shared" si="27"/>
        <v>1.0103545598001973E-3</v>
      </c>
      <c r="O395" s="68" t="s">
        <v>2761</v>
      </c>
      <c r="P395" s="63"/>
      <c r="Q395" s="62"/>
    </row>
    <row r="396" spans="1:17" ht="15" customHeight="1" x14ac:dyDescent="0.3">
      <c r="A396" s="70" t="s">
        <v>3146</v>
      </c>
      <c r="B396" s="112" t="s">
        <v>2650</v>
      </c>
      <c r="C396" s="101" t="s">
        <v>401</v>
      </c>
      <c r="D396" s="76" t="str">
        <f>IFERROR(INDEX(M_User!$A$12:$J$67,MATCH(C396,M_User!$D$12:$D$67,0),3),"UNMAPPED")</f>
        <v>Alice Jonathan Mfuru</v>
      </c>
      <c r="E396" s="75" t="str">
        <f>IFERROR(INDEX(M_User!$A$12:$J$67,MATCH(C396,M_User!$D$12:$D$67,0),5),"UNMAPPED")</f>
        <v>MOS</v>
      </c>
      <c r="F396" s="101" t="s">
        <v>193</v>
      </c>
      <c r="G396" s="76" t="str">
        <f>IFERROR(INDEX(M_SKU!$A$18:$J$57,MATCH(F396,M_SKU!$B$18:$B$57,0),1),"UNKNOWN SKU")</f>
        <v>Sparletta Pinenut RGB 350ml</v>
      </c>
      <c r="H396" s="101" t="s">
        <v>537</v>
      </c>
      <c r="I396" s="102">
        <f>IFERROR(INDEX(T_Unload!$K$10:$K$433,MATCH(B396,T_Unload!$B$10:$B$433,0)),0)</f>
        <v>0.19262888238287723</v>
      </c>
      <c r="J396" s="111">
        <v>0.19</v>
      </c>
      <c r="K396" s="113">
        <f t="shared" si="24"/>
        <v>2.628882382877229E-3</v>
      </c>
      <c r="L396" s="114" t="str">
        <f t="shared" si="25"/>
        <v>Post to Default Outlet</v>
      </c>
      <c r="M396" s="115">
        <f t="shared" si="26"/>
        <v>2.628882382877229E-3</v>
      </c>
      <c r="N396" s="115">
        <f t="shared" si="27"/>
        <v>0</v>
      </c>
      <c r="O396" s="116" t="s">
        <v>2761</v>
      </c>
      <c r="P396" s="117"/>
      <c r="Q396" s="118"/>
    </row>
    <row r="397" spans="1:17" ht="15" customHeight="1" x14ac:dyDescent="0.3">
      <c r="A397" s="60" t="s">
        <v>3147</v>
      </c>
      <c r="B397" s="97" t="s">
        <v>2652</v>
      </c>
      <c r="C397" s="63" t="s">
        <v>401</v>
      </c>
      <c r="D397" s="66" t="str">
        <f>IFERROR(INDEX(M_User!$A$12:$J$67,MATCH(C397,M_User!$D$12:$D$67,0),3),"UNMAPPED")</f>
        <v>Alice Jonathan Mfuru</v>
      </c>
      <c r="E397" s="65" t="str">
        <f>IFERROR(INDEX(M_User!$A$12:$J$67,MATCH(C397,M_User!$D$12:$D$67,0),5),"UNMAPPED")</f>
        <v>MOS</v>
      </c>
      <c r="F397" s="63" t="s">
        <v>209</v>
      </c>
      <c r="G397" s="66" t="str">
        <f>IFERROR(INDEX(M_SKU!$A$18:$J$57,MATCH(F397,M_SKU!$B$18:$B$57,0),1),"UNKNOWN SKU")</f>
        <v>Sparletta Red Apple RGB 350ml</v>
      </c>
      <c r="H397" s="63" t="s">
        <v>542</v>
      </c>
      <c r="I397" s="98">
        <f>IFERROR(INDEX(T_Unload!$K$10:$K$433,MATCH(B397,T_Unload!$B$10:$B$433,0)),0)</f>
        <v>0.31825785338051715</v>
      </c>
      <c r="J397" s="111">
        <v>0.32</v>
      </c>
      <c r="K397" s="99">
        <f t="shared" si="24"/>
        <v>-1.7421466194828539E-3</v>
      </c>
      <c r="L397" s="105" t="str">
        <f t="shared" si="25"/>
        <v>Adjust Unload Upward</v>
      </c>
      <c r="M397" s="90">
        <f t="shared" si="26"/>
        <v>0</v>
      </c>
      <c r="N397" s="90">
        <f t="shared" si="27"/>
        <v>1.7421466194828539E-3</v>
      </c>
      <c r="O397" s="68" t="s">
        <v>2761</v>
      </c>
      <c r="P397" s="63"/>
      <c r="Q397" s="62"/>
    </row>
    <row r="398" spans="1:17" ht="15" customHeight="1" x14ac:dyDescent="0.3">
      <c r="A398" s="70" t="s">
        <v>3148</v>
      </c>
      <c r="B398" s="112" t="s">
        <v>2654</v>
      </c>
      <c r="C398" s="101" t="s">
        <v>401</v>
      </c>
      <c r="D398" s="76" t="str">
        <f>IFERROR(INDEX(M_User!$A$12:$J$67,MATCH(C398,M_User!$D$12:$D$67,0),3),"UNMAPPED")</f>
        <v>Alice Jonathan Mfuru</v>
      </c>
      <c r="E398" s="75" t="str">
        <f>IFERROR(INDEX(M_User!$A$12:$J$67,MATCH(C398,M_User!$D$12:$D$67,0),5),"UNMAPPED")</f>
        <v>MOS</v>
      </c>
      <c r="F398" s="101" t="s">
        <v>211</v>
      </c>
      <c r="G398" s="76" t="str">
        <f>IFERROR(INDEX(M_SKU!$A$18:$J$57,MATCH(F398,M_SKU!$B$18:$B$57,0),1),"UNKNOWN SKU")</f>
        <v>KNMW 500ml</v>
      </c>
      <c r="H398" s="101" t="s">
        <v>543</v>
      </c>
      <c r="I398" s="102">
        <f>IFERROR(INDEX(T_Unload!$K$10:$K$433,MATCH(B398,T_Unload!$B$10:$B$433,0)),0)</f>
        <v>2</v>
      </c>
      <c r="J398" s="111">
        <v>2</v>
      </c>
      <c r="K398" s="113">
        <f t="shared" ref="K398:K429" si="28">IF(ISBLANK(J398),"",I398-J398)</f>
        <v>0</v>
      </c>
      <c r="L398" s="114" t="str">
        <f t="shared" ref="L398:L429" si="29">IF(K398="","Awaiting Verification",IF(ABS(K398)&lt;0.0001,"CLEAN",IF(K398&gt;0,"Post to Default Outlet","Adjust Unload Upward")))</f>
        <v>CLEAN</v>
      </c>
      <c r="M398" s="115">
        <f t="shared" ref="M398:M429" si="30">IF(AND(ISNUMBER(K398),K398&gt;0.0001),K398,0)</f>
        <v>0</v>
      </c>
      <c r="N398" s="115">
        <f t="shared" ref="N398:N429" si="31">IF(AND(ISNUMBER(K398),K398&lt;-0.0001),-K398,0)</f>
        <v>0</v>
      </c>
      <c r="O398" s="116" t="s">
        <v>2761</v>
      </c>
      <c r="P398" s="117"/>
      <c r="Q398" s="118"/>
    </row>
    <row r="399" spans="1:17" ht="15" customHeight="1" x14ac:dyDescent="0.3">
      <c r="A399" s="60" t="s">
        <v>3149</v>
      </c>
      <c r="B399" s="97" t="s">
        <v>2656</v>
      </c>
      <c r="C399" s="63" t="s">
        <v>401</v>
      </c>
      <c r="D399" s="66" t="str">
        <f>IFERROR(INDEX(M_User!$A$12:$J$67,MATCH(C399,M_User!$D$12:$D$67,0),3),"UNMAPPED")</f>
        <v>Alice Jonathan Mfuru</v>
      </c>
      <c r="E399" s="65" t="str">
        <f>IFERROR(INDEX(M_User!$A$12:$J$67,MATCH(C399,M_User!$D$12:$D$67,0),5),"UNMAPPED")</f>
        <v>MOS</v>
      </c>
      <c r="F399" s="63" t="s">
        <v>217</v>
      </c>
      <c r="G399" s="66" t="str">
        <f>IFERROR(INDEX(M_SKU!$A$18:$J$57,MATCH(F399,M_SKU!$B$18:$B$57,0),1),"UNKNOWN SKU")</f>
        <v>KNMW 1500ml</v>
      </c>
      <c r="H399" s="63" t="s">
        <v>551</v>
      </c>
      <c r="I399" s="98">
        <f>IFERROR(INDEX(T_Unload!$K$10:$K$433,MATCH(B399,T_Unload!$B$10:$B$433,0)),0)</f>
        <v>21</v>
      </c>
      <c r="J399" s="111">
        <v>21</v>
      </c>
      <c r="K399" s="99">
        <f t="shared" si="28"/>
        <v>0</v>
      </c>
      <c r="L399" s="105" t="str">
        <f t="shared" si="29"/>
        <v>CLEAN</v>
      </c>
      <c r="M399" s="90">
        <f t="shared" si="30"/>
        <v>0</v>
      </c>
      <c r="N399" s="90">
        <f t="shared" si="31"/>
        <v>0</v>
      </c>
      <c r="O399" s="68" t="s">
        <v>2761</v>
      </c>
      <c r="P399" s="63"/>
      <c r="Q399" s="62"/>
    </row>
    <row r="400" spans="1:17" ht="15" customHeight="1" x14ac:dyDescent="0.3">
      <c r="A400" s="70" t="s">
        <v>3150</v>
      </c>
      <c r="B400" s="112" t="s">
        <v>2658</v>
      </c>
      <c r="C400" s="101" t="s">
        <v>401</v>
      </c>
      <c r="D400" s="76" t="str">
        <f>IFERROR(INDEX(M_User!$A$12:$J$67,MATCH(C400,M_User!$D$12:$D$67,0),3),"UNMAPPED")</f>
        <v>Alice Jonathan Mfuru</v>
      </c>
      <c r="E400" s="75" t="str">
        <f>IFERROR(INDEX(M_User!$A$12:$J$67,MATCH(C400,M_User!$D$12:$D$67,0),5),"UNMAPPED")</f>
        <v>MOS</v>
      </c>
      <c r="F400" s="101" t="s">
        <v>222</v>
      </c>
      <c r="G400" s="76" t="str">
        <f>IFERROR(INDEX(M_SKU!$A$18:$J$57,MATCH(F400,M_SKU!$B$18:$B$57,0),1),"UNKNOWN SKU")</f>
        <v>Kilimanjaro Drinking Water 12000 ML</v>
      </c>
      <c r="H400" s="101" t="s">
        <v>566</v>
      </c>
      <c r="I400" s="102">
        <f>IFERROR(INDEX(T_Unload!$K$10:$K$433,MATCH(B400,T_Unload!$B$10:$B$433,0)),0)</f>
        <v>1</v>
      </c>
      <c r="J400" s="111">
        <v>1</v>
      </c>
      <c r="K400" s="113">
        <f t="shared" si="28"/>
        <v>0</v>
      </c>
      <c r="L400" s="114" t="str">
        <f t="shared" si="29"/>
        <v>CLEAN</v>
      </c>
      <c r="M400" s="115">
        <f t="shared" si="30"/>
        <v>0</v>
      </c>
      <c r="N400" s="115">
        <f t="shared" si="31"/>
        <v>0</v>
      </c>
      <c r="O400" s="116" t="s">
        <v>2761</v>
      </c>
      <c r="P400" s="117"/>
      <c r="Q400" s="118"/>
    </row>
    <row r="401" spans="1:17" ht="15" customHeight="1" x14ac:dyDescent="0.3">
      <c r="A401" s="60" t="s">
        <v>3151</v>
      </c>
      <c r="B401" s="97" t="s">
        <v>2660</v>
      </c>
      <c r="C401" s="63" t="s">
        <v>401</v>
      </c>
      <c r="D401" s="66" t="str">
        <f>IFERROR(INDEX(M_User!$A$12:$J$67,MATCH(C401,M_User!$D$12:$D$67,0),3),"UNMAPPED")</f>
        <v>Alice Jonathan Mfuru</v>
      </c>
      <c r="E401" s="65" t="str">
        <f>IFERROR(INDEX(M_User!$A$12:$J$67,MATCH(C401,M_User!$D$12:$D$67,0),5),"UNMAPPED")</f>
        <v>MOS</v>
      </c>
      <c r="F401" s="63" t="s">
        <v>225</v>
      </c>
      <c r="G401" s="66" t="str">
        <f>IFERROR(INDEX(M_SKU!$A$18:$J$57,MATCH(F401,M_SKU!$B$18:$B$57,0),1),"UNKNOWN SKU")</f>
        <v>Kilimanjaro Drinking Water 18900 ML</v>
      </c>
      <c r="H401" s="63" t="s">
        <v>567</v>
      </c>
      <c r="I401" s="98">
        <f>IFERROR(INDEX(T_Unload!$K$10:$K$433,MATCH(B401,T_Unload!$B$10:$B$433,0)),0)</f>
        <v>1</v>
      </c>
      <c r="J401" s="111">
        <v>1</v>
      </c>
      <c r="K401" s="99">
        <f t="shared" si="28"/>
        <v>0</v>
      </c>
      <c r="L401" s="105" t="str">
        <f t="shared" si="29"/>
        <v>CLEAN</v>
      </c>
      <c r="M401" s="90">
        <f t="shared" si="30"/>
        <v>0</v>
      </c>
      <c r="N401" s="90">
        <f t="shared" si="31"/>
        <v>0</v>
      </c>
      <c r="O401" s="68" t="s">
        <v>2761</v>
      </c>
      <c r="P401" s="63"/>
      <c r="Q401" s="62"/>
    </row>
    <row r="402" spans="1:17" ht="15" customHeight="1" x14ac:dyDescent="0.3">
      <c r="A402" s="70" t="s">
        <v>3152</v>
      </c>
      <c r="B402" s="112" t="s">
        <v>2662</v>
      </c>
      <c r="C402" s="101" t="s">
        <v>401</v>
      </c>
      <c r="D402" s="76" t="str">
        <f>IFERROR(INDEX(M_User!$A$12:$J$67,MATCH(C402,M_User!$D$12:$D$67,0),3),"UNMAPPED")</f>
        <v>Alice Jonathan Mfuru</v>
      </c>
      <c r="E402" s="75" t="str">
        <f>IFERROR(INDEX(M_User!$A$12:$J$67,MATCH(C402,M_User!$D$12:$D$67,0),5),"UNMAPPED")</f>
        <v>MOS</v>
      </c>
      <c r="F402" s="101" t="s">
        <v>229</v>
      </c>
      <c r="G402" s="76" t="str">
        <f>IFERROR(INDEX(M_SKU!$A$18:$J$57,MATCH(F402,M_SKU!$B$18:$B$57,0),1),"UNKNOWN SKU")</f>
        <v>Coke Pet 500ML ( x12)</v>
      </c>
      <c r="H402" s="101" t="s">
        <v>520</v>
      </c>
      <c r="I402" s="102">
        <f>IFERROR(INDEX(T_Unload!$K$10:$K$433,MATCH(B402,T_Unload!$B$10:$B$433,0)),0)</f>
        <v>12</v>
      </c>
      <c r="J402" s="111">
        <v>12</v>
      </c>
      <c r="K402" s="113">
        <f t="shared" si="28"/>
        <v>0</v>
      </c>
      <c r="L402" s="114" t="str">
        <f t="shared" si="29"/>
        <v>CLEAN</v>
      </c>
      <c r="M402" s="115">
        <f t="shared" si="30"/>
        <v>0</v>
      </c>
      <c r="N402" s="115">
        <f t="shared" si="31"/>
        <v>0</v>
      </c>
      <c r="O402" s="116" t="s">
        <v>2761</v>
      </c>
      <c r="P402" s="117"/>
      <c r="Q402" s="118"/>
    </row>
    <row r="403" spans="1:17" ht="15" customHeight="1" x14ac:dyDescent="0.3">
      <c r="A403" s="60" t="s">
        <v>3153</v>
      </c>
      <c r="B403" s="97" t="s">
        <v>2664</v>
      </c>
      <c r="C403" s="63" t="s">
        <v>401</v>
      </c>
      <c r="D403" s="66" t="str">
        <f>IFERROR(INDEX(M_User!$A$12:$J$67,MATCH(C403,M_User!$D$12:$D$67,0),3),"UNMAPPED")</f>
        <v>Alice Jonathan Mfuru</v>
      </c>
      <c r="E403" s="65" t="str">
        <f>IFERROR(INDEX(M_User!$A$12:$J$67,MATCH(C403,M_User!$D$12:$D$67,0),5),"UNMAPPED")</f>
        <v>MOS</v>
      </c>
      <c r="F403" s="63" t="s">
        <v>232</v>
      </c>
      <c r="G403" s="66" t="str">
        <f>IFERROR(INDEX(M_SKU!$A$18:$J$57,MATCH(F403,M_SKU!$B$18:$B$57,0),1),"UNKNOWN SKU")</f>
        <v>Sprite Pet 500ML (x 12)</v>
      </c>
      <c r="H403" s="63" t="s">
        <v>522</v>
      </c>
      <c r="I403" s="98">
        <f>IFERROR(INDEX(T_Unload!$K$10:$K$433,MATCH(B403,T_Unload!$B$10:$B$433,0)),0)</f>
        <v>3</v>
      </c>
      <c r="J403" s="111">
        <v>3</v>
      </c>
      <c r="K403" s="99">
        <f t="shared" si="28"/>
        <v>0</v>
      </c>
      <c r="L403" s="105" t="str">
        <f t="shared" si="29"/>
        <v>CLEAN</v>
      </c>
      <c r="M403" s="90">
        <f t="shared" si="30"/>
        <v>0</v>
      </c>
      <c r="N403" s="90">
        <f t="shared" si="31"/>
        <v>0</v>
      </c>
      <c r="O403" s="68" t="s">
        <v>2761</v>
      </c>
      <c r="P403" s="63"/>
      <c r="Q403" s="62"/>
    </row>
    <row r="404" spans="1:17" ht="15" customHeight="1" x14ac:dyDescent="0.3">
      <c r="A404" s="70" t="s">
        <v>3154</v>
      </c>
      <c r="B404" s="112" t="s">
        <v>2666</v>
      </c>
      <c r="C404" s="101" t="s">
        <v>401</v>
      </c>
      <c r="D404" s="76" t="str">
        <f>IFERROR(INDEX(M_User!$A$12:$J$67,MATCH(C404,M_User!$D$12:$D$67,0),3),"UNMAPPED")</f>
        <v>Alice Jonathan Mfuru</v>
      </c>
      <c r="E404" s="75" t="str">
        <f>IFERROR(INDEX(M_User!$A$12:$J$67,MATCH(C404,M_User!$D$12:$D$67,0),5),"UNMAPPED")</f>
        <v>MOS</v>
      </c>
      <c r="F404" s="101" t="s">
        <v>234</v>
      </c>
      <c r="G404" s="76" t="str">
        <f>IFERROR(INDEX(M_SKU!$A$18:$J$57,MATCH(F404,M_SKU!$B$18:$B$57,0),1),"UNKNOWN SKU")</f>
        <v>Fanta Orange Pet 500ML ( x 12)</v>
      </c>
      <c r="H404" s="101" t="s">
        <v>523</v>
      </c>
      <c r="I404" s="102">
        <f>IFERROR(INDEX(T_Unload!$K$10:$K$433,MATCH(B404,T_Unload!$B$10:$B$433,0)),0)</f>
        <v>6</v>
      </c>
      <c r="J404" s="111">
        <v>6</v>
      </c>
      <c r="K404" s="113">
        <f t="shared" si="28"/>
        <v>0</v>
      </c>
      <c r="L404" s="114" t="str">
        <f t="shared" si="29"/>
        <v>CLEAN</v>
      </c>
      <c r="M404" s="115">
        <f t="shared" si="30"/>
        <v>0</v>
      </c>
      <c r="N404" s="115">
        <f t="shared" si="31"/>
        <v>0</v>
      </c>
      <c r="O404" s="116" t="s">
        <v>2761</v>
      </c>
      <c r="P404" s="117"/>
      <c r="Q404" s="118"/>
    </row>
    <row r="405" spans="1:17" ht="15" customHeight="1" x14ac:dyDescent="0.3">
      <c r="A405" s="60" t="s">
        <v>3155</v>
      </c>
      <c r="B405" s="97" t="s">
        <v>2668</v>
      </c>
      <c r="C405" s="63" t="s">
        <v>401</v>
      </c>
      <c r="D405" s="66" t="str">
        <f>IFERROR(INDEX(M_User!$A$12:$J$67,MATCH(C405,M_User!$D$12:$D$67,0),3),"UNMAPPED")</f>
        <v>Alice Jonathan Mfuru</v>
      </c>
      <c r="E405" s="65" t="str">
        <f>IFERROR(INDEX(M_User!$A$12:$J$67,MATCH(C405,M_User!$D$12:$D$67,0),5),"UNMAPPED")</f>
        <v>MOS</v>
      </c>
      <c r="F405" s="63" t="s">
        <v>236</v>
      </c>
      <c r="G405" s="66" t="str">
        <f>IFERROR(INDEX(M_SKU!$A$18:$J$57,MATCH(F405,M_SKU!$B$18:$B$57,0),1),"UNKNOWN SKU")</f>
        <v>Fanta Passion Pet 500ML ( x12)</v>
      </c>
      <c r="H405" s="63" t="s">
        <v>524</v>
      </c>
      <c r="I405" s="98">
        <f>IFERROR(INDEX(T_Unload!$K$10:$K$433,MATCH(B405,T_Unload!$B$10:$B$433,0)),0)</f>
        <v>1</v>
      </c>
      <c r="J405" s="111">
        <v>1</v>
      </c>
      <c r="K405" s="99">
        <f t="shared" si="28"/>
        <v>0</v>
      </c>
      <c r="L405" s="105" t="str">
        <f t="shared" si="29"/>
        <v>CLEAN</v>
      </c>
      <c r="M405" s="90">
        <f t="shared" si="30"/>
        <v>0</v>
      </c>
      <c r="N405" s="90">
        <f t="shared" si="31"/>
        <v>0</v>
      </c>
      <c r="O405" s="68" t="s">
        <v>2761</v>
      </c>
      <c r="P405" s="63"/>
      <c r="Q405" s="62"/>
    </row>
    <row r="406" spans="1:17" ht="15" customHeight="1" x14ac:dyDescent="0.3">
      <c r="A406" s="70" t="s">
        <v>3156</v>
      </c>
      <c r="B406" s="112" t="s">
        <v>2670</v>
      </c>
      <c r="C406" s="101" t="s">
        <v>401</v>
      </c>
      <c r="D406" s="76" t="str">
        <f>IFERROR(INDEX(M_User!$A$12:$J$67,MATCH(C406,M_User!$D$12:$D$67,0),3),"UNMAPPED")</f>
        <v>Alice Jonathan Mfuru</v>
      </c>
      <c r="E406" s="75" t="str">
        <f>IFERROR(INDEX(M_User!$A$12:$J$67,MATCH(C406,M_User!$D$12:$D$67,0),5),"UNMAPPED")</f>
        <v>MOS</v>
      </c>
      <c r="F406" s="101" t="s">
        <v>242</v>
      </c>
      <c r="G406" s="76" t="str">
        <f>IFERROR(INDEX(M_SKU!$A$18:$J$57,MATCH(F406,M_SKU!$B$18:$B$57,0),1),"UNKNOWN SKU")</f>
        <v>Stoney Tangawizi Pet 500 ml ( x12)</v>
      </c>
      <c r="H406" s="101" t="s">
        <v>525</v>
      </c>
      <c r="I406" s="102">
        <f>IFERROR(INDEX(T_Unload!$K$10:$K$433,MATCH(B406,T_Unload!$B$10:$B$433,0)),0)</f>
        <v>1</v>
      </c>
      <c r="J406" s="111">
        <v>1</v>
      </c>
      <c r="K406" s="113">
        <f t="shared" si="28"/>
        <v>0</v>
      </c>
      <c r="L406" s="114" t="str">
        <f t="shared" si="29"/>
        <v>CLEAN</v>
      </c>
      <c r="M406" s="115">
        <f t="shared" si="30"/>
        <v>0</v>
      </c>
      <c r="N406" s="115">
        <f t="shared" si="31"/>
        <v>0</v>
      </c>
      <c r="O406" s="116" t="s">
        <v>2761</v>
      </c>
      <c r="P406" s="117"/>
      <c r="Q406" s="118"/>
    </row>
    <row r="407" spans="1:17" ht="15" customHeight="1" x14ac:dyDescent="0.3">
      <c r="A407" s="60" t="s">
        <v>3157</v>
      </c>
      <c r="B407" s="97" t="s">
        <v>2672</v>
      </c>
      <c r="C407" s="63" t="s">
        <v>401</v>
      </c>
      <c r="D407" s="66" t="str">
        <f>IFERROR(INDEX(M_User!$A$12:$J$67,MATCH(C407,M_User!$D$12:$D$67,0),3),"UNMAPPED")</f>
        <v>Alice Jonathan Mfuru</v>
      </c>
      <c r="E407" s="65" t="str">
        <f>IFERROR(INDEX(M_User!$A$12:$J$67,MATCH(C407,M_User!$D$12:$D$67,0),5),"UNMAPPED")</f>
        <v>MOS</v>
      </c>
      <c r="F407" s="63" t="s">
        <v>244</v>
      </c>
      <c r="G407" s="66" t="str">
        <f>IFERROR(INDEX(M_SKU!$A$18:$J$57,MATCH(F407,M_SKU!$B$18:$B$57,0),1),"UNKNOWN SKU")</f>
        <v>Sparletta Pinenut Pet 500 ml ( x12)</v>
      </c>
      <c r="H407" s="63" t="s">
        <v>526</v>
      </c>
      <c r="I407" s="98">
        <f>IFERROR(INDEX(T_Unload!$K$10:$K$433,MATCH(B407,T_Unload!$B$10:$B$433,0)),0)</f>
        <v>0</v>
      </c>
      <c r="J407" s="111">
        <v>0</v>
      </c>
      <c r="K407" s="99">
        <f t="shared" si="28"/>
        <v>0</v>
      </c>
      <c r="L407" s="105" t="str">
        <f t="shared" si="29"/>
        <v>CLEAN</v>
      </c>
      <c r="M407" s="90">
        <f t="shared" si="30"/>
        <v>0</v>
      </c>
      <c r="N407" s="90">
        <f t="shared" si="31"/>
        <v>0</v>
      </c>
      <c r="O407" s="68" t="s">
        <v>2761</v>
      </c>
      <c r="P407" s="63"/>
      <c r="Q407" s="62"/>
    </row>
    <row r="408" spans="1:17" ht="15" customHeight="1" x14ac:dyDescent="0.3">
      <c r="A408" s="70" t="s">
        <v>3158</v>
      </c>
      <c r="B408" s="112" t="s">
        <v>2674</v>
      </c>
      <c r="C408" s="101" t="s">
        <v>350</v>
      </c>
      <c r="D408" s="76" t="str">
        <f>IFERROR(INDEX(M_User!$A$12:$J$67,MATCH(C408,M_User!$D$12:$D$67,0),3),"UNMAPPED")</f>
        <v>Samson Felix Ngowi</v>
      </c>
      <c r="E408" s="75" t="str">
        <f>IFERROR(INDEX(M_User!$A$12:$J$67,MATCH(C408,M_User!$D$12:$D$67,0),5),"UNMAPPED")</f>
        <v>MOS</v>
      </c>
      <c r="F408" s="101" t="s">
        <v>170</v>
      </c>
      <c r="G408" s="76" t="str">
        <f>IFERROR(INDEX(M_SKU!$A$18:$J$57,MATCH(F408,M_SKU!$B$18:$B$57,0),1),"UNKNOWN SKU")</f>
        <v>Coke RGB 350ml</v>
      </c>
      <c r="H408" s="101" t="s">
        <v>530</v>
      </c>
      <c r="I408" s="102">
        <f>IFERROR(INDEX(T_Unload!$K$10:$K$433,MATCH(B408,T_Unload!$B$10:$B$433,0)),0)</f>
        <v>7.6790697581331315</v>
      </c>
      <c r="J408" s="111">
        <v>7.68</v>
      </c>
      <c r="K408" s="113">
        <f t="shared" si="28"/>
        <v>-9.3024186686818666E-4</v>
      </c>
      <c r="L408" s="114" t="str">
        <f t="shared" si="29"/>
        <v>Adjust Unload Upward</v>
      </c>
      <c r="M408" s="115">
        <f t="shared" si="30"/>
        <v>0</v>
      </c>
      <c r="N408" s="115">
        <f t="shared" si="31"/>
        <v>9.3024186686818666E-4</v>
      </c>
      <c r="O408" s="116" t="s">
        <v>2761</v>
      </c>
      <c r="P408" s="117"/>
      <c r="Q408" s="118"/>
    </row>
    <row r="409" spans="1:17" ht="15" customHeight="1" x14ac:dyDescent="0.3">
      <c r="A409" s="60" t="s">
        <v>3159</v>
      </c>
      <c r="B409" s="97" t="s">
        <v>2676</v>
      </c>
      <c r="C409" s="63" t="s">
        <v>350</v>
      </c>
      <c r="D409" s="66" t="str">
        <f>IFERROR(INDEX(M_User!$A$12:$J$67,MATCH(C409,M_User!$D$12:$D$67,0),3),"UNMAPPED")</f>
        <v>Samson Felix Ngowi</v>
      </c>
      <c r="E409" s="65" t="str">
        <f>IFERROR(INDEX(M_User!$A$12:$J$67,MATCH(C409,M_User!$D$12:$D$67,0),5),"UNMAPPED")</f>
        <v>MOS</v>
      </c>
      <c r="F409" s="63" t="s">
        <v>170</v>
      </c>
      <c r="G409" s="66" t="str">
        <f>IFERROR(INDEX(M_SKU!$A$18:$J$57,MATCH(F409,M_SKU!$B$18:$B$57,0),1),"UNKNOWN SKU")</f>
        <v>Coke RGB 350ml</v>
      </c>
      <c r="H409" s="63" t="s">
        <v>585</v>
      </c>
      <c r="I409" s="98">
        <f>IFERROR(INDEX(T_Unload!$K$10:$K$433,MATCH(B409,T_Unload!$B$10:$B$433,0)),0)</f>
        <v>0.73140578875404927</v>
      </c>
      <c r="J409" s="111">
        <v>0.73</v>
      </c>
      <c r="K409" s="99">
        <f t="shared" si="28"/>
        <v>1.4057887540492864E-3</v>
      </c>
      <c r="L409" s="105" t="str">
        <f t="shared" si="29"/>
        <v>Post to Default Outlet</v>
      </c>
      <c r="M409" s="90">
        <f t="shared" si="30"/>
        <v>1.4057887540492864E-3</v>
      </c>
      <c r="N409" s="90">
        <f t="shared" si="31"/>
        <v>0</v>
      </c>
      <c r="O409" s="68" t="s">
        <v>2761</v>
      </c>
      <c r="P409" s="63"/>
      <c r="Q409" s="62"/>
    </row>
    <row r="410" spans="1:17" ht="15" customHeight="1" x14ac:dyDescent="0.3">
      <c r="A410" s="70" t="s">
        <v>3160</v>
      </c>
      <c r="B410" s="112" t="s">
        <v>2678</v>
      </c>
      <c r="C410" s="101" t="s">
        <v>350</v>
      </c>
      <c r="D410" s="76" t="str">
        <f>IFERROR(INDEX(M_User!$A$12:$J$67,MATCH(C410,M_User!$D$12:$D$67,0),3),"UNMAPPED")</f>
        <v>Samson Felix Ngowi</v>
      </c>
      <c r="E410" s="75" t="str">
        <f>IFERROR(INDEX(M_User!$A$12:$J$67,MATCH(C410,M_User!$D$12:$D$67,0),5),"UNMAPPED")</f>
        <v>MOS</v>
      </c>
      <c r="F410" s="101" t="s">
        <v>178</v>
      </c>
      <c r="G410" s="76" t="str">
        <f>IFERROR(INDEX(M_SKU!$A$18:$J$57,MATCH(F410,M_SKU!$B$18:$B$57,0),1),"UNKNOWN SKU")</f>
        <v>Fanta Orange RGB 350ml</v>
      </c>
      <c r="H410" s="101" t="s">
        <v>590</v>
      </c>
      <c r="I410" s="102">
        <f>IFERROR(INDEX(T_Unload!$K$10:$K$433,MATCH(B410,T_Unload!$B$10:$B$433,0)),0)</f>
        <v>0.24370074511783102</v>
      </c>
      <c r="J410" s="111">
        <v>0.24</v>
      </c>
      <c r="K410" s="113">
        <f t="shared" si="28"/>
        <v>3.700745117831028E-3</v>
      </c>
      <c r="L410" s="114" t="str">
        <f t="shared" si="29"/>
        <v>Post to Default Outlet</v>
      </c>
      <c r="M410" s="115">
        <f t="shared" si="30"/>
        <v>3.700745117831028E-3</v>
      </c>
      <c r="N410" s="115">
        <f t="shared" si="31"/>
        <v>0</v>
      </c>
      <c r="O410" s="116" t="s">
        <v>2761</v>
      </c>
      <c r="P410" s="117"/>
      <c r="Q410" s="118"/>
    </row>
    <row r="411" spans="1:17" ht="15" customHeight="1" x14ac:dyDescent="0.3">
      <c r="A411" s="60" t="s">
        <v>3161</v>
      </c>
      <c r="B411" s="97" t="s">
        <v>2680</v>
      </c>
      <c r="C411" s="63" t="s">
        <v>350</v>
      </c>
      <c r="D411" s="66" t="str">
        <f>IFERROR(INDEX(M_User!$A$12:$J$67,MATCH(C411,M_User!$D$12:$D$67,0),3),"UNMAPPED")</f>
        <v>Samson Felix Ngowi</v>
      </c>
      <c r="E411" s="65" t="str">
        <f>IFERROR(INDEX(M_User!$A$12:$J$67,MATCH(C411,M_User!$D$12:$D$67,0),5),"UNMAPPED")</f>
        <v>MOS</v>
      </c>
      <c r="F411" s="63" t="s">
        <v>178</v>
      </c>
      <c r="G411" s="66" t="str">
        <f>IFERROR(INDEX(M_SKU!$A$18:$J$57,MATCH(F411,M_SKU!$B$18:$B$57,0),1),"UNKNOWN SKU")</f>
        <v>Fanta Orange RGB 350ml</v>
      </c>
      <c r="H411" s="63" t="s">
        <v>531</v>
      </c>
      <c r="I411" s="98">
        <f>IFERROR(INDEX(T_Unload!$K$10:$K$433,MATCH(B411,T_Unload!$B$10:$B$433,0)),0)</f>
        <v>2.6461316408451605</v>
      </c>
      <c r="J411" s="111">
        <v>2.65</v>
      </c>
      <c r="K411" s="99">
        <f t="shared" si="28"/>
        <v>-3.868359154839407E-3</v>
      </c>
      <c r="L411" s="105" t="str">
        <f t="shared" si="29"/>
        <v>Adjust Unload Upward</v>
      </c>
      <c r="M411" s="90">
        <f t="shared" si="30"/>
        <v>0</v>
      </c>
      <c r="N411" s="90">
        <f t="shared" si="31"/>
        <v>3.868359154839407E-3</v>
      </c>
      <c r="O411" s="68" t="s">
        <v>2761</v>
      </c>
      <c r="P411" s="63"/>
      <c r="Q411" s="62"/>
    </row>
    <row r="412" spans="1:17" ht="15" customHeight="1" x14ac:dyDescent="0.3">
      <c r="A412" s="70" t="s">
        <v>3162</v>
      </c>
      <c r="B412" s="112" t="s">
        <v>2682</v>
      </c>
      <c r="C412" s="101" t="s">
        <v>350</v>
      </c>
      <c r="D412" s="76" t="str">
        <f>IFERROR(INDEX(M_User!$A$12:$J$67,MATCH(C412,M_User!$D$12:$D$67,0),3),"UNMAPPED")</f>
        <v>Samson Felix Ngowi</v>
      </c>
      <c r="E412" s="75" t="str">
        <f>IFERROR(INDEX(M_User!$A$12:$J$67,MATCH(C412,M_User!$D$12:$D$67,0),5),"UNMAPPED")</f>
        <v>MOS</v>
      </c>
      <c r="F412" s="101" t="s">
        <v>181</v>
      </c>
      <c r="G412" s="76" t="str">
        <f>IFERROR(INDEX(M_SKU!$A$18:$J$57,MATCH(F412,M_SKU!$B$18:$B$57,0),1),"UNKNOWN SKU")</f>
        <v>Fanta Passion RGB 350ml</v>
      </c>
      <c r="H412" s="101" t="s">
        <v>550</v>
      </c>
      <c r="I412" s="102">
        <f>IFERROR(INDEX(T_Unload!$K$10:$K$433,MATCH(B412,T_Unload!$B$10:$B$433,0)),0)</f>
        <v>1.4938243551809105</v>
      </c>
      <c r="J412" s="111">
        <v>1.49</v>
      </c>
      <c r="K412" s="113">
        <f t="shared" si="28"/>
        <v>3.8243551809105103E-3</v>
      </c>
      <c r="L412" s="114" t="str">
        <f t="shared" si="29"/>
        <v>Post to Default Outlet</v>
      </c>
      <c r="M412" s="115">
        <f t="shared" si="30"/>
        <v>3.8243551809105103E-3</v>
      </c>
      <c r="N412" s="115">
        <f t="shared" si="31"/>
        <v>0</v>
      </c>
      <c r="O412" s="116" t="s">
        <v>2761</v>
      </c>
      <c r="P412" s="117"/>
      <c r="Q412" s="118"/>
    </row>
    <row r="413" spans="1:17" ht="15" customHeight="1" x14ac:dyDescent="0.3">
      <c r="A413" s="60" t="s">
        <v>3163</v>
      </c>
      <c r="B413" s="97" t="s">
        <v>2684</v>
      </c>
      <c r="C413" s="63" t="s">
        <v>350</v>
      </c>
      <c r="D413" s="66" t="str">
        <f>IFERROR(INDEX(M_User!$A$12:$J$67,MATCH(C413,M_User!$D$12:$D$67,0),3),"UNMAPPED")</f>
        <v>Samson Felix Ngowi</v>
      </c>
      <c r="E413" s="65" t="str">
        <f>IFERROR(INDEX(M_User!$A$12:$J$67,MATCH(C413,M_User!$D$12:$D$67,0),5),"UNMAPPED")</f>
        <v>MOS</v>
      </c>
      <c r="F413" s="63" t="s">
        <v>181</v>
      </c>
      <c r="G413" s="66" t="str">
        <f>IFERROR(INDEX(M_SKU!$A$18:$J$57,MATCH(F413,M_SKU!$B$18:$B$57,0),1),"UNKNOWN SKU")</f>
        <v>Fanta Passion RGB 350ml</v>
      </c>
      <c r="H413" s="63" t="s">
        <v>532</v>
      </c>
      <c r="I413" s="98">
        <f>IFERROR(INDEX(T_Unload!$K$10:$K$433,MATCH(B413,T_Unload!$B$10:$B$433,0)),0)</f>
        <v>0.16708048675457499</v>
      </c>
      <c r="J413" s="111">
        <v>0.17</v>
      </c>
      <c r="K413" s="99">
        <f t="shared" si="28"/>
        <v>-2.9195132454250261E-3</v>
      </c>
      <c r="L413" s="105" t="str">
        <f t="shared" si="29"/>
        <v>Adjust Unload Upward</v>
      </c>
      <c r="M413" s="90">
        <f t="shared" si="30"/>
        <v>0</v>
      </c>
      <c r="N413" s="90">
        <f t="shared" si="31"/>
        <v>2.9195132454250261E-3</v>
      </c>
      <c r="O413" s="68" t="s">
        <v>2761</v>
      </c>
      <c r="P413" s="63"/>
      <c r="Q413" s="62"/>
    </row>
    <row r="414" spans="1:17" ht="15" customHeight="1" x14ac:dyDescent="0.3">
      <c r="A414" s="70" t="s">
        <v>3164</v>
      </c>
      <c r="B414" s="112" t="s">
        <v>2686</v>
      </c>
      <c r="C414" s="101" t="s">
        <v>350</v>
      </c>
      <c r="D414" s="76" t="str">
        <f>IFERROR(INDEX(M_User!$A$12:$J$67,MATCH(C414,M_User!$D$12:$D$67,0),3),"UNMAPPED")</f>
        <v>Samson Felix Ngowi</v>
      </c>
      <c r="E414" s="75" t="str">
        <f>IFERROR(INDEX(M_User!$A$12:$J$67,MATCH(C414,M_User!$D$12:$D$67,0),5),"UNMAPPED")</f>
        <v>MOS</v>
      </c>
      <c r="F414" s="101" t="s">
        <v>183</v>
      </c>
      <c r="G414" s="76" t="str">
        <f>IFERROR(INDEX(M_SKU!$A$18:$J$57,MATCH(F414,M_SKU!$B$18:$B$57,0),1),"UNKNOWN SKU")</f>
        <v>Fanta Pineapple RGB 350ml</v>
      </c>
      <c r="H414" s="101" t="s">
        <v>533</v>
      </c>
      <c r="I414" s="102">
        <f>IFERROR(INDEX(T_Unload!$K$10:$K$433,MATCH(B414,T_Unload!$B$10:$B$433,0)),0)</f>
        <v>1.8330468657928325</v>
      </c>
      <c r="J414" s="111">
        <v>1.83</v>
      </c>
      <c r="K414" s="113">
        <f t="shared" si="28"/>
        <v>3.0468657928324205E-3</v>
      </c>
      <c r="L414" s="114" t="str">
        <f t="shared" si="29"/>
        <v>Post to Default Outlet</v>
      </c>
      <c r="M414" s="115">
        <f t="shared" si="30"/>
        <v>3.0468657928324205E-3</v>
      </c>
      <c r="N414" s="115">
        <f t="shared" si="31"/>
        <v>0</v>
      </c>
      <c r="O414" s="116" t="s">
        <v>2761</v>
      </c>
      <c r="P414" s="117"/>
      <c r="Q414" s="118"/>
    </row>
    <row r="415" spans="1:17" ht="15" customHeight="1" x14ac:dyDescent="0.3">
      <c r="A415" s="60" t="s">
        <v>3165</v>
      </c>
      <c r="B415" s="97" t="s">
        <v>2688</v>
      </c>
      <c r="C415" s="63" t="s">
        <v>350</v>
      </c>
      <c r="D415" s="66" t="str">
        <f>IFERROR(INDEX(M_User!$A$12:$J$67,MATCH(C415,M_User!$D$12:$D$67,0),3),"UNMAPPED")</f>
        <v>Samson Felix Ngowi</v>
      </c>
      <c r="E415" s="65" t="str">
        <f>IFERROR(INDEX(M_User!$A$12:$J$67,MATCH(C415,M_User!$D$12:$D$67,0),5),"UNMAPPED")</f>
        <v>MOS</v>
      </c>
      <c r="F415" s="63" t="s">
        <v>185</v>
      </c>
      <c r="G415" s="66" t="str">
        <f>IFERROR(INDEX(M_SKU!$A$18:$J$57,MATCH(F415,M_SKU!$B$18:$B$57,0),1),"UNKNOWN SKU")</f>
        <v>Fanta Fruit Blast RGB 350 ml</v>
      </c>
      <c r="H415" s="63" t="s">
        <v>534</v>
      </c>
      <c r="I415" s="98">
        <f>IFERROR(INDEX(T_Unload!$K$10:$K$433,MATCH(B415,T_Unload!$B$10:$B$433,0)),0)</f>
        <v>0.32371397120891698</v>
      </c>
      <c r="J415" s="111">
        <v>0.32</v>
      </c>
      <c r="K415" s="99">
        <f t="shared" si="28"/>
        <v>3.7139712089169774E-3</v>
      </c>
      <c r="L415" s="105" t="str">
        <f t="shared" si="29"/>
        <v>Post to Default Outlet</v>
      </c>
      <c r="M415" s="90">
        <f t="shared" si="30"/>
        <v>3.7139712089169774E-3</v>
      </c>
      <c r="N415" s="90">
        <f t="shared" si="31"/>
        <v>0</v>
      </c>
      <c r="O415" s="68" t="s">
        <v>2761</v>
      </c>
      <c r="P415" s="63"/>
      <c r="Q415" s="62"/>
    </row>
    <row r="416" spans="1:17" ht="15" customHeight="1" x14ac:dyDescent="0.3">
      <c r="A416" s="70" t="s">
        <v>3166</v>
      </c>
      <c r="B416" s="112" t="s">
        <v>2690</v>
      </c>
      <c r="C416" s="101" t="s">
        <v>350</v>
      </c>
      <c r="D416" s="76" t="str">
        <f>IFERROR(INDEX(M_User!$A$12:$J$67,MATCH(C416,M_User!$D$12:$D$67,0),3),"UNMAPPED")</f>
        <v>Samson Felix Ngowi</v>
      </c>
      <c r="E416" s="75" t="str">
        <f>IFERROR(INDEX(M_User!$A$12:$J$67,MATCH(C416,M_User!$D$12:$D$67,0),5),"UNMAPPED")</f>
        <v>MOS</v>
      </c>
      <c r="F416" s="101" t="s">
        <v>187</v>
      </c>
      <c r="G416" s="76" t="str">
        <f>IFERROR(INDEX(M_SKU!$A$18:$J$57,MATCH(F416,M_SKU!$B$18:$B$57,0),1),"UNKNOWN SKU")</f>
        <v>Sprite 350ml</v>
      </c>
      <c r="H416" s="101" t="s">
        <v>535</v>
      </c>
      <c r="I416" s="102">
        <f>IFERROR(INDEX(T_Unload!$K$10:$K$433,MATCH(B416,T_Unload!$B$10:$B$433,0)),0)</f>
        <v>1.4516773534690213</v>
      </c>
      <c r="J416" s="111">
        <v>1.45</v>
      </c>
      <c r="K416" s="113">
        <f t="shared" si="28"/>
        <v>1.6773534690213143E-3</v>
      </c>
      <c r="L416" s="114" t="str">
        <f t="shared" si="29"/>
        <v>Post to Default Outlet</v>
      </c>
      <c r="M416" s="115">
        <f t="shared" si="30"/>
        <v>1.6773534690213143E-3</v>
      </c>
      <c r="N416" s="115">
        <f t="shared" si="31"/>
        <v>0</v>
      </c>
      <c r="O416" s="116" t="s">
        <v>2761</v>
      </c>
      <c r="P416" s="117"/>
      <c r="Q416" s="118"/>
    </row>
    <row r="417" spans="1:17" ht="15" customHeight="1" x14ac:dyDescent="0.3">
      <c r="A417" s="60" t="s">
        <v>3167</v>
      </c>
      <c r="B417" s="97" t="s">
        <v>2692</v>
      </c>
      <c r="C417" s="63" t="s">
        <v>350</v>
      </c>
      <c r="D417" s="66" t="str">
        <f>IFERROR(INDEX(M_User!$A$12:$J$67,MATCH(C417,M_User!$D$12:$D$67,0),3),"UNMAPPED")</f>
        <v>Samson Felix Ngowi</v>
      </c>
      <c r="E417" s="65" t="str">
        <f>IFERROR(INDEX(M_User!$A$12:$J$67,MATCH(C417,M_User!$D$12:$D$67,0),5),"UNMAPPED")</f>
        <v>MOS</v>
      </c>
      <c r="F417" s="63" t="s">
        <v>190</v>
      </c>
      <c r="G417" s="66" t="str">
        <f>IFERROR(INDEX(M_SKU!$A$18:$J$57,MATCH(F417,M_SKU!$B$18:$B$57,0),1),"UNKNOWN SKU")</f>
        <v>Stoney Tangawizi RGB 350ml</v>
      </c>
      <c r="H417" s="63" t="s">
        <v>536</v>
      </c>
      <c r="I417" s="98">
        <f>IFERROR(INDEX(T_Unload!$K$10:$K$433,MATCH(B417,T_Unload!$B$10:$B$433,0)),0)</f>
        <v>0.78240277222094523</v>
      </c>
      <c r="J417" s="111">
        <v>0.78</v>
      </c>
      <c r="K417" s="99">
        <f t="shared" si="28"/>
        <v>2.402772220945204E-3</v>
      </c>
      <c r="L417" s="105" t="str">
        <f t="shared" si="29"/>
        <v>Post to Default Outlet</v>
      </c>
      <c r="M417" s="90">
        <f t="shared" si="30"/>
        <v>2.402772220945204E-3</v>
      </c>
      <c r="N417" s="90">
        <f t="shared" si="31"/>
        <v>0</v>
      </c>
      <c r="O417" s="68" t="s">
        <v>2761</v>
      </c>
      <c r="P417" s="63"/>
      <c r="Q417" s="62"/>
    </row>
    <row r="418" spans="1:17" ht="15" customHeight="1" x14ac:dyDescent="0.3">
      <c r="A418" s="70" t="s">
        <v>3168</v>
      </c>
      <c r="B418" s="112" t="s">
        <v>2694</v>
      </c>
      <c r="C418" s="101" t="s">
        <v>350</v>
      </c>
      <c r="D418" s="76" t="str">
        <f>IFERROR(INDEX(M_User!$A$12:$J$67,MATCH(C418,M_User!$D$12:$D$67,0),3),"UNMAPPED")</f>
        <v>Samson Felix Ngowi</v>
      </c>
      <c r="E418" s="75" t="str">
        <f>IFERROR(INDEX(M_User!$A$12:$J$67,MATCH(C418,M_User!$D$12:$D$67,0),5),"UNMAPPED")</f>
        <v>MOS</v>
      </c>
      <c r="F418" s="101" t="s">
        <v>193</v>
      </c>
      <c r="G418" s="76" t="str">
        <f>IFERROR(INDEX(M_SKU!$A$18:$J$57,MATCH(F418,M_SKU!$B$18:$B$57,0),1),"UNKNOWN SKU")</f>
        <v>Sparletta Pinenut RGB 350ml</v>
      </c>
      <c r="H418" s="101" t="s">
        <v>591</v>
      </c>
      <c r="I418" s="102">
        <f>IFERROR(INDEX(T_Unload!$K$10:$K$433,MATCH(B418,T_Unload!$B$10:$B$433,0)),0)</f>
        <v>0.23015610017441201</v>
      </c>
      <c r="J418" s="111">
        <v>0.23</v>
      </c>
      <c r="K418" s="113">
        <f t="shared" si="28"/>
        <v>1.5610017441200497E-4</v>
      </c>
      <c r="L418" s="114" t="str">
        <f t="shared" si="29"/>
        <v>Post to Default Outlet</v>
      </c>
      <c r="M418" s="115">
        <f t="shared" si="30"/>
        <v>1.5610017441200497E-4</v>
      </c>
      <c r="N418" s="115">
        <f t="shared" si="31"/>
        <v>0</v>
      </c>
      <c r="O418" s="116" t="s">
        <v>2761</v>
      </c>
      <c r="P418" s="117"/>
      <c r="Q418" s="118"/>
    </row>
    <row r="419" spans="1:17" ht="15" customHeight="1" x14ac:dyDescent="0.3">
      <c r="A419" s="60" t="s">
        <v>3169</v>
      </c>
      <c r="B419" s="97" t="s">
        <v>2696</v>
      </c>
      <c r="C419" s="63" t="s">
        <v>350</v>
      </c>
      <c r="D419" s="66" t="str">
        <f>IFERROR(INDEX(M_User!$A$12:$J$67,MATCH(C419,M_User!$D$12:$D$67,0),3),"UNMAPPED")</f>
        <v>Samson Felix Ngowi</v>
      </c>
      <c r="E419" s="65" t="str">
        <f>IFERROR(INDEX(M_User!$A$12:$J$67,MATCH(C419,M_User!$D$12:$D$67,0),5),"UNMAPPED")</f>
        <v>MOS</v>
      </c>
      <c r="F419" s="63" t="s">
        <v>193</v>
      </c>
      <c r="G419" s="66" t="str">
        <f>IFERROR(INDEX(M_SKU!$A$18:$J$57,MATCH(F419,M_SKU!$B$18:$B$57,0),1),"UNKNOWN SKU")</f>
        <v>Sparletta Pinenut RGB 350ml</v>
      </c>
      <c r="H419" s="63" t="s">
        <v>580</v>
      </c>
      <c r="I419" s="98">
        <f>IFERROR(INDEX(T_Unload!$K$10:$K$433,MATCH(B419,T_Unload!$B$10:$B$433,0)),0)</f>
        <v>0.29818450893886084</v>
      </c>
      <c r="J419" s="111">
        <v>0.3</v>
      </c>
      <c r="K419" s="99">
        <f t="shared" si="28"/>
        <v>-1.8154910611391517E-3</v>
      </c>
      <c r="L419" s="105" t="str">
        <f t="shared" si="29"/>
        <v>Adjust Unload Upward</v>
      </c>
      <c r="M419" s="90">
        <f t="shared" si="30"/>
        <v>0</v>
      </c>
      <c r="N419" s="90">
        <f t="shared" si="31"/>
        <v>1.8154910611391517E-3</v>
      </c>
      <c r="O419" s="68" t="s">
        <v>2761</v>
      </c>
      <c r="P419" s="63"/>
      <c r="Q419" s="62"/>
    </row>
    <row r="420" spans="1:17" ht="15" customHeight="1" x14ac:dyDescent="0.3">
      <c r="A420" s="70" t="s">
        <v>3170</v>
      </c>
      <c r="B420" s="112" t="s">
        <v>2698</v>
      </c>
      <c r="C420" s="101" t="s">
        <v>350</v>
      </c>
      <c r="D420" s="76" t="str">
        <f>IFERROR(INDEX(M_User!$A$12:$J$67,MATCH(C420,M_User!$D$12:$D$67,0),3),"UNMAPPED")</f>
        <v>Samson Felix Ngowi</v>
      </c>
      <c r="E420" s="75" t="str">
        <f>IFERROR(INDEX(M_User!$A$12:$J$67,MATCH(C420,M_User!$D$12:$D$67,0),5),"UNMAPPED")</f>
        <v>MOS</v>
      </c>
      <c r="F420" s="101" t="s">
        <v>196</v>
      </c>
      <c r="G420" s="76" t="str">
        <f>IFERROR(INDEX(M_SKU!$A$18:$J$57,MATCH(F420,M_SKU!$B$18:$B$57,0),1),"UNKNOWN SKU")</f>
        <v>Krest Bitter Lemon RGB 300ml</v>
      </c>
      <c r="H420" s="101" t="s">
        <v>538</v>
      </c>
      <c r="I420" s="102">
        <f>IFERROR(INDEX(T_Unload!$K$10:$K$433,MATCH(B420,T_Unload!$B$10:$B$433,0)),0)</f>
        <v>0.64032234513542807</v>
      </c>
      <c r="J420" s="111">
        <v>0.64</v>
      </c>
      <c r="K420" s="113">
        <f t="shared" si="28"/>
        <v>3.2234513542805932E-4</v>
      </c>
      <c r="L420" s="114" t="str">
        <f t="shared" si="29"/>
        <v>Post to Default Outlet</v>
      </c>
      <c r="M420" s="115">
        <f t="shared" si="30"/>
        <v>3.2234513542805932E-4</v>
      </c>
      <c r="N420" s="115">
        <f t="shared" si="31"/>
        <v>0</v>
      </c>
      <c r="O420" s="116" t="s">
        <v>2761</v>
      </c>
      <c r="P420" s="117"/>
      <c r="Q420" s="118"/>
    </row>
    <row r="421" spans="1:17" ht="15" customHeight="1" x14ac:dyDescent="0.3">
      <c r="A421" s="60" t="s">
        <v>3171</v>
      </c>
      <c r="B421" s="97" t="s">
        <v>2700</v>
      </c>
      <c r="C421" s="63" t="s">
        <v>350</v>
      </c>
      <c r="D421" s="66" t="str">
        <f>IFERROR(INDEX(M_User!$A$12:$J$67,MATCH(C421,M_User!$D$12:$D$67,0),3),"UNMAPPED")</f>
        <v>Samson Felix Ngowi</v>
      </c>
      <c r="E421" s="65" t="str">
        <f>IFERROR(INDEX(M_User!$A$12:$J$67,MATCH(C421,M_User!$D$12:$D$67,0),5),"UNMAPPED")</f>
        <v>MOS</v>
      </c>
      <c r="F421" s="63" t="s">
        <v>199</v>
      </c>
      <c r="G421" s="66" t="str">
        <f>IFERROR(INDEX(M_SKU!$A$18:$J$57,MATCH(F421,M_SKU!$B$18:$B$57,0),1),"UNKNOWN SKU")</f>
        <v>Krest Club Soda RGB 300ml</v>
      </c>
      <c r="H421" s="63" t="s">
        <v>592</v>
      </c>
      <c r="I421" s="98">
        <f>IFERROR(INDEX(T_Unload!$K$10:$K$433,MATCH(B421,T_Unload!$B$10:$B$433,0)),0)</f>
        <v>0.16195098477514602</v>
      </c>
      <c r="J421" s="111">
        <v>0.16</v>
      </c>
      <c r="K421" s="99">
        <f t="shared" si="28"/>
        <v>1.9509847751460196E-3</v>
      </c>
      <c r="L421" s="105" t="str">
        <f t="shared" si="29"/>
        <v>Post to Default Outlet</v>
      </c>
      <c r="M421" s="90">
        <f t="shared" si="30"/>
        <v>1.9509847751460196E-3</v>
      </c>
      <c r="N421" s="90">
        <f t="shared" si="31"/>
        <v>0</v>
      </c>
      <c r="O421" s="68" t="s">
        <v>2761</v>
      </c>
      <c r="P421" s="63"/>
      <c r="Q421" s="62"/>
    </row>
    <row r="422" spans="1:17" ht="15" customHeight="1" x14ac:dyDescent="0.3">
      <c r="A422" s="70" t="s">
        <v>3172</v>
      </c>
      <c r="B422" s="112" t="s">
        <v>2702</v>
      </c>
      <c r="C422" s="101" t="s">
        <v>350</v>
      </c>
      <c r="D422" s="76" t="str">
        <f>IFERROR(INDEX(M_User!$A$12:$J$67,MATCH(C422,M_User!$D$12:$D$67,0),3),"UNMAPPED")</f>
        <v>Samson Felix Ngowi</v>
      </c>
      <c r="E422" s="75" t="str">
        <f>IFERROR(INDEX(M_User!$A$12:$J$67,MATCH(C422,M_User!$D$12:$D$67,0),5),"UNMAPPED")</f>
        <v>MOS</v>
      </c>
      <c r="F422" s="101" t="s">
        <v>199</v>
      </c>
      <c r="G422" s="76" t="str">
        <f>IFERROR(INDEX(M_SKU!$A$18:$J$57,MATCH(F422,M_SKU!$B$18:$B$57,0),1),"UNKNOWN SKU")</f>
        <v>Krest Club Soda RGB 300ml</v>
      </c>
      <c r="H422" s="101" t="s">
        <v>539</v>
      </c>
      <c r="I422" s="102">
        <f>IFERROR(INDEX(T_Unload!$K$10:$K$433,MATCH(B422,T_Unload!$B$10:$B$433,0)),0)</f>
        <v>0.28255133302749114</v>
      </c>
      <c r="J422" s="111">
        <v>0.28000000000000003</v>
      </c>
      <c r="K422" s="113">
        <f t="shared" si="28"/>
        <v>2.5513330274911095E-3</v>
      </c>
      <c r="L422" s="114" t="str">
        <f t="shared" si="29"/>
        <v>Post to Default Outlet</v>
      </c>
      <c r="M422" s="115">
        <f t="shared" si="30"/>
        <v>2.5513330274911095E-3</v>
      </c>
      <c r="N422" s="115">
        <f t="shared" si="31"/>
        <v>0</v>
      </c>
      <c r="O422" s="116" t="s">
        <v>2761</v>
      </c>
      <c r="P422" s="117"/>
      <c r="Q422" s="118"/>
    </row>
    <row r="423" spans="1:17" ht="15" customHeight="1" x14ac:dyDescent="0.3">
      <c r="A423" s="60" t="s">
        <v>3173</v>
      </c>
      <c r="B423" s="97" t="s">
        <v>2704</v>
      </c>
      <c r="C423" s="63" t="s">
        <v>350</v>
      </c>
      <c r="D423" s="66" t="str">
        <f>IFERROR(INDEX(M_User!$A$12:$J$67,MATCH(C423,M_User!$D$12:$D$67,0),3),"UNMAPPED")</f>
        <v>Samson Felix Ngowi</v>
      </c>
      <c r="E423" s="65" t="str">
        <f>IFERROR(INDEX(M_User!$A$12:$J$67,MATCH(C423,M_User!$D$12:$D$67,0),5),"UNMAPPED")</f>
        <v>MOS</v>
      </c>
      <c r="F423" s="63" t="s">
        <v>201</v>
      </c>
      <c r="G423" s="66" t="str">
        <f>IFERROR(INDEX(M_SKU!$A$18:$J$57,MATCH(F423,M_SKU!$B$18:$B$57,0),1),"UNKNOWN SKU")</f>
        <v>Krest Tonic Water RGB 300ml</v>
      </c>
      <c r="H423" s="63" t="s">
        <v>540</v>
      </c>
      <c r="I423" s="98">
        <f>IFERROR(INDEX(T_Unload!$K$10:$K$433,MATCH(B423,T_Unload!$B$10:$B$433,0)),0)</f>
        <v>0.32559931937561482</v>
      </c>
      <c r="J423" s="111">
        <v>0.33</v>
      </c>
      <c r="K423" s="99">
        <f t="shared" si="28"/>
        <v>-4.4006806243852004E-3</v>
      </c>
      <c r="L423" s="105" t="str">
        <f t="shared" si="29"/>
        <v>Adjust Unload Upward</v>
      </c>
      <c r="M423" s="90">
        <f t="shared" si="30"/>
        <v>0</v>
      </c>
      <c r="N423" s="90">
        <f t="shared" si="31"/>
        <v>4.4006806243852004E-3</v>
      </c>
      <c r="O423" s="68" t="s">
        <v>2761</v>
      </c>
      <c r="P423" s="63"/>
      <c r="Q423" s="62"/>
    </row>
    <row r="424" spans="1:17" ht="15" customHeight="1" x14ac:dyDescent="0.3">
      <c r="A424" s="70" t="s">
        <v>3174</v>
      </c>
      <c r="B424" s="112" t="s">
        <v>2706</v>
      </c>
      <c r="C424" s="101" t="s">
        <v>350</v>
      </c>
      <c r="D424" s="76" t="str">
        <f>IFERROR(INDEX(M_User!$A$12:$J$67,MATCH(C424,M_User!$D$12:$D$67,0),3),"UNMAPPED")</f>
        <v>Samson Felix Ngowi</v>
      </c>
      <c r="E424" s="75" t="str">
        <f>IFERROR(INDEX(M_User!$A$12:$J$67,MATCH(C424,M_User!$D$12:$D$67,0),5),"UNMAPPED")</f>
        <v>MOS</v>
      </c>
      <c r="F424" s="101" t="s">
        <v>203</v>
      </c>
      <c r="G424" s="76" t="str">
        <f>IFERROR(INDEX(M_SKU!$A$18:$J$57,MATCH(F424,M_SKU!$B$18:$B$57,0),1),"UNKNOWN SKU")</f>
        <v>Krest Ginger Ale RGB 300ml</v>
      </c>
      <c r="H424" s="101" t="s">
        <v>541</v>
      </c>
      <c r="I424" s="102">
        <f>IFERROR(INDEX(T_Unload!$K$10:$K$433,MATCH(B424,T_Unload!$B$10:$B$433,0)),0)</f>
        <v>0.42624938357706021</v>
      </c>
      <c r="J424" s="111">
        <v>0.43</v>
      </c>
      <c r="K424" s="113">
        <f t="shared" si="28"/>
        <v>-3.7506164229397787E-3</v>
      </c>
      <c r="L424" s="114" t="str">
        <f t="shared" si="29"/>
        <v>Adjust Unload Upward</v>
      </c>
      <c r="M424" s="115">
        <f t="shared" si="30"/>
        <v>0</v>
      </c>
      <c r="N424" s="115">
        <f t="shared" si="31"/>
        <v>3.7506164229397787E-3</v>
      </c>
      <c r="O424" s="116" t="s">
        <v>2761</v>
      </c>
      <c r="P424" s="117"/>
      <c r="Q424" s="118"/>
    </row>
    <row r="425" spans="1:17" ht="15" customHeight="1" x14ac:dyDescent="0.3">
      <c r="A425" s="60" t="s">
        <v>3175</v>
      </c>
      <c r="B425" s="97" t="s">
        <v>2708</v>
      </c>
      <c r="C425" s="63" t="s">
        <v>350</v>
      </c>
      <c r="D425" s="66" t="str">
        <f>IFERROR(INDEX(M_User!$A$12:$J$67,MATCH(C425,M_User!$D$12:$D$67,0),3),"UNMAPPED")</f>
        <v>Samson Felix Ngowi</v>
      </c>
      <c r="E425" s="65" t="str">
        <f>IFERROR(INDEX(M_User!$A$12:$J$67,MATCH(C425,M_User!$D$12:$D$67,0),5),"UNMAPPED")</f>
        <v>MOS</v>
      </c>
      <c r="F425" s="63" t="s">
        <v>209</v>
      </c>
      <c r="G425" s="66" t="str">
        <f>IFERROR(INDEX(M_SKU!$A$18:$J$57,MATCH(F425,M_SKU!$B$18:$B$57,0),1),"UNKNOWN SKU")</f>
        <v>Sparletta Red Apple RGB 350ml</v>
      </c>
      <c r="H425" s="63" t="s">
        <v>542</v>
      </c>
      <c r="I425" s="98">
        <f>IFERROR(INDEX(T_Unload!$K$10:$K$433,MATCH(B425,T_Unload!$B$10:$B$433,0)),0)</f>
        <v>0.30041942809417788</v>
      </c>
      <c r="J425" s="111">
        <v>0.3</v>
      </c>
      <c r="K425" s="99">
        <f t="shared" si="28"/>
        <v>4.1942809417788718E-4</v>
      </c>
      <c r="L425" s="105" t="str">
        <f t="shared" si="29"/>
        <v>Post to Default Outlet</v>
      </c>
      <c r="M425" s="90">
        <f t="shared" si="30"/>
        <v>4.1942809417788718E-4</v>
      </c>
      <c r="N425" s="90">
        <f t="shared" si="31"/>
        <v>0</v>
      </c>
      <c r="O425" s="68" t="s">
        <v>2761</v>
      </c>
      <c r="P425" s="63"/>
      <c r="Q425" s="62"/>
    </row>
    <row r="426" spans="1:17" ht="15" customHeight="1" x14ac:dyDescent="0.3">
      <c r="A426" s="70" t="s">
        <v>3176</v>
      </c>
      <c r="B426" s="112" t="s">
        <v>2710</v>
      </c>
      <c r="C426" s="101" t="s">
        <v>350</v>
      </c>
      <c r="D426" s="76" t="str">
        <f>IFERROR(INDEX(M_User!$A$12:$J$67,MATCH(C426,M_User!$D$12:$D$67,0),3),"UNMAPPED")</f>
        <v>Samson Felix Ngowi</v>
      </c>
      <c r="E426" s="75" t="str">
        <f>IFERROR(INDEX(M_User!$A$12:$J$67,MATCH(C426,M_User!$D$12:$D$67,0),5),"UNMAPPED")</f>
        <v>MOS</v>
      </c>
      <c r="F426" s="101" t="s">
        <v>211</v>
      </c>
      <c r="G426" s="76" t="str">
        <f>IFERROR(INDEX(M_SKU!$A$18:$J$57,MATCH(F426,M_SKU!$B$18:$B$57,0),1),"UNKNOWN SKU")</f>
        <v>KNMW 500ml</v>
      </c>
      <c r="H426" s="101" t="s">
        <v>593</v>
      </c>
      <c r="I426" s="102">
        <f>IFERROR(INDEX(T_Unload!$K$10:$K$433,MATCH(B426,T_Unload!$B$10:$B$433,0)),0)</f>
        <v>7</v>
      </c>
      <c r="J426" s="111">
        <v>7</v>
      </c>
      <c r="K426" s="113">
        <f t="shared" si="28"/>
        <v>0</v>
      </c>
      <c r="L426" s="114" t="str">
        <f t="shared" si="29"/>
        <v>CLEAN</v>
      </c>
      <c r="M426" s="115">
        <f t="shared" si="30"/>
        <v>0</v>
      </c>
      <c r="N426" s="115">
        <f t="shared" si="31"/>
        <v>0</v>
      </c>
      <c r="O426" s="116" t="s">
        <v>2761</v>
      </c>
      <c r="P426" s="117"/>
      <c r="Q426" s="118"/>
    </row>
    <row r="427" spans="1:17" ht="15" customHeight="1" x14ac:dyDescent="0.3">
      <c r="A427" s="60" t="s">
        <v>3177</v>
      </c>
      <c r="B427" s="97" t="s">
        <v>2712</v>
      </c>
      <c r="C427" s="63" t="s">
        <v>350</v>
      </c>
      <c r="D427" s="66" t="str">
        <f>IFERROR(INDEX(M_User!$A$12:$J$67,MATCH(C427,M_User!$D$12:$D$67,0),3),"UNMAPPED")</f>
        <v>Samson Felix Ngowi</v>
      </c>
      <c r="E427" s="65" t="str">
        <f>IFERROR(INDEX(M_User!$A$12:$J$67,MATCH(C427,M_User!$D$12:$D$67,0),5),"UNMAPPED")</f>
        <v>MOS</v>
      </c>
      <c r="F427" s="63" t="s">
        <v>211</v>
      </c>
      <c r="G427" s="66" t="str">
        <f>IFERROR(INDEX(M_SKU!$A$18:$J$57,MATCH(F427,M_SKU!$B$18:$B$57,0),1),"UNKNOWN SKU")</f>
        <v>KNMW 500ml</v>
      </c>
      <c r="H427" s="63" t="s">
        <v>543</v>
      </c>
      <c r="I427" s="98">
        <f>IFERROR(INDEX(T_Unload!$K$10:$K$433,MATCH(B427,T_Unload!$B$10:$B$433,0)),0)</f>
        <v>9</v>
      </c>
      <c r="J427" s="111">
        <v>9</v>
      </c>
      <c r="K427" s="99">
        <f t="shared" si="28"/>
        <v>0</v>
      </c>
      <c r="L427" s="105" t="str">
        <f t="shared" si="29"/>
        <v>CLEAN</v>
      </c>
      <c r="M427" s="90">
        <f t="shared" si="30"/>
        <v>0</v>
      </c>
      <c r="N427" s="90">
        <f t="shared" si="31"/>
        <v>0</v>
      </c>
      <c r="O427" s="68" t="s">
        <v>2761</v>
      </c>
      <c r="P427" s="63"/>
      <c r="Q427" s="62"/>
    </row>
    <row r="428" spans="1:17" ht="15" customHeight="1" x14ac:dyDescent="0.3">
      <c r="A428" s="70" t="s">
        <v>3178</v>
      </c>
      <c r="B428" s="112" t="s">
        <v>2714</v>
      </c>
      <c r="C428" s="101" t="s">
        <v>350</v>
      </c>
      <c r="D428" s="76" t="str">
        <f>IFERROR(INDEX(M_User!$A$12:$J$67,MATCH(C428,M_User!$D$12:$D$67,0),3),"UNMAPPED")</f>
        <v>Samson Felix Ngowi</v>
      </c>
      <c r="E428" s="75" t="str">
        <f>IFERROR(INDEX(M_User!$A$12:$J$67,MATCH(C428,M_User!$D$12:$D$67,0),5),"UNMAPPED")</f>
        <v>MOS</v>
      </c>
      <c r="F428" s="101" t="s">
        <v>217</v>
      </c>
      <c r="G428" s="76" t="str">
        <f>IFERROR(INDEX(M_SKU!$A$18:$J$57,MATCH(F428,M_SKU!$B$18:$B$57,0),1),"UNKNOWN SKU")</f>
        <v>KNMW 1500ml</v>
      </c>
      <c r="H428" s="101" t="s">
        <v>551</v>
      </c>
      <c r="I428" s="102">
        <f>IFERROR(INDEX(T_Unload!$K$10:$K$433,MATCH(B428,T_Unload!$B$10:$B$433,0)),0)</f>
        <v>21</v>
      </c>
      <c r="J428" s="111">
        <v>21</v>
      </c>
      <c r="K428" s="113">
        <f t="shared" si="28"/>
        <v>0</v>
      </c>
      <c r="L428" s="114" t="str">
        <f t="shared" si="29"/>
        <v>CLEAN</v>
      </c>
      <c r="M428" s="115">
        <f t="shared" si="30"/>
        <v>0</v>
      </c>
      <c r="N428" s="115">
        <f t="shared" si="31"/>
        <v>0</v>
      </c>
      <c r="O428" s="116" t="s">
        <v>2761</v>
      </c>
      <c r="P428" s="117"/>
      <c r="Q428" s="118"/>
    </row>
    <row r="429" spans="1:17" ht="15" customHeight="1" x14ac:dyDescent="0.3">
      <c r="A429" s="60" t="s">
        <v>3179</v>
      </c>
      <c r="B429" s="97" t="s">
        <v>2716</v>
      </c>
      <c r="C429" s="63" t="s">
        <v>350</v>
      </c>
      <c r="D429" s="66" t="str">
        <f>IFERROR(INDEX(M_User!$A$12:$J$67,MATCH(C429,M_User!$D$12:$D$67,0),3),"UNMAPPED")</f>
        <v>Samson Felix Ngowi</v>
      </c>
      <c r="E429" s="65" t="str">
        <f>IFERROR(INDEX(M_User!$A$12:$J$67,MATCH(C429,M_User!$D$12:$D$67,0),5),"UNMAPPED")</f>
        <v>MOS</v>
      </c>
      <c r="F429" s="63" t="s">
        <v>225</v>
      </c>
      <c r="G429" s="66" t="str">
        <f>IFERROR(INDEX(M_SKU!$A$18:$J$57,MATCH(F429,M_SKU!$B$18:$B$57,0),1),"UNKNOWN SKU")</f>
        <v>Kilimanjaro Drinking Water 18900 ML</v>
      </c>
      <c r="H429" s="63" t="s">
        <v>567</v>
      </c>
      <c r="I429" s="98">
        <f>IFERROR(INDEX(T_Unload!$K$10:$K$433,MATCH(B429,T_Unload!$B$10:$B$433,0)),0)</f>
        <v>2</v>
      </c>
      <c r="J429" s="111">
        <v>2</v>
      </c>
      <c r="K429" s="99">
        <f t="shared" si="28"/>
        <v>0</v>
      </c>
      <c r="L429" s="105" t="str">
        <f t="shared" si="29"/>
        <v>CLEAN</v>
      </c>
      <c r="M429" s="90">
        <f t="shared" si="30"/>
        <v>0</v>
      </c>
      <c r="N429" s="90">
        <f t="shared" si="31"/>
        <v>0</v>
      </c>
      <c r="O429" s="68" t="s">
        <v>2761</v>
      </c>
      <c r="P429" s="63"/>
      <c r="Q429" s="62"/>
    </row>
    <row r="430" spans="1:17" ht="15" customHeight="1" x14ac:dyDescent="0.3">
      <c r="A430" s="70" t="s">
        <v>3180</v>
      </c>
      <c r="B430" s="112" t="s">
        <v>2718</v>
      </c>
      <c r="C430" s="101" t="s">
        <v>350</v>
      </c>
      <c r="D430" s="76" t="str">
        <f>IFERROR(INDEX(M_User!$A$12:$J$67,MATCH(C430,M_User!$D$12:$D$67,0),3),"UNMAPPED")</f>
        <v>Samson Felix Ngowi</v>
      </c>
      <c r="E430" s="75" t="str">
        <f>IFERROR(INDEX(M_User!$A$12:$J$67,MATCH(C430,M_User!$D$12:$D$67,0),5),"UNMAPPED")</f>
        <v>MOS</v>
      </c>
      <c r="F430" s="101" t="s">
        <v>229</v>
      </c>
      <c r="G430" s="76" t="str">
        <f>IFERROR(INDEX(M_SKU!$A$18:$J$57,MATCH(F430,M_SKU!$B$18:$B$57,0),1),"UNKNOWN SKU")</f>
        <v>Coke Pet 500ML ( x12)</v>
      </c>
      <c r="H430" s="101" t="s">
        <v>520</v>
      </c>
      <c r="I430" s="102">
        <f>IFERROR(INDEX(T_Unload!$K$10:$K$433,MATCH(B430,T_Unload!$B$10:$B$433,0)),0)</f>
        <v>6</v>
      </c>
      <c r="J430" s="111">
        <v>6</v>
      </c>
      <c r="K430" s="113">
        <f t="shared" ref="K430:K436" si="32">IF(ISBLANK(J430),"",I430-J430)</f>
        <v>0</v>
      </c>
      <c r="L430" s="114" t="str">
        <f t="shared" ref="L430:L436" si="33">IF(K430="","Awaiting Verification",IF(ABS(K430)&lt;0.0001,"CLEAN",IF(K430&gt;0,"Post to Default Outlet","Adjust Unload Upward")))</f>
        <v>CLEAN</v>
      </c>
      <c r="M430" s="115">
        <f t="shared" ref="M430:M436" si="34">IF(AND(ISNUMBER(K430),K430&gt;0.0001),K430,0)</f>
        <v>0</v>
      </c>
      <c r="N430" s="115">
        <f t="shared" ref="N430:N436" si="35">IF(AND(ISNUMBER(K430),K430&lt;-0.0001),-K430,0)</f>
        <v>0</v>
      </c>
      <c r="O430" s="116" t="s">
        <v>2761</v>
      </c>
      <c r="P430" s="117"/>
      <c r="Q430" s="118"/>
    </row>
    <row r="431" spans="1:17" ht="15" customHeight="1" x14ac:dyDescent="0.3">
      <c r="A431" s="60" t="s">
        <v>3181</v>
      </c>
      <c r="B431" s="97" t="s">
        <v>2720</v>
      </c>
      <c r="C431" s="63" t="s">
        <v>350</v>
      </c>
      <c r="D431" s="66" t="str">
        <f>IFERROR(INDEX(M_User!$A$12:$J$67,MATCH(C431,M_User!$D$12:$D$67,0),3),"UNMAPPED")</f>
        <v>Samson Felix Ngowi</v>
      </c>
      <c r="E431" s="65" t="str">
        <f>IFERROR(INDEX(M_User!$A$12:$J$67,MATCH(C431,M_User!$D$12:$D$67,0),5),"UNMAPPED")</f>
        <v>MOS</v>
      </c>
      <c r="F431" s="63" t="s">
        <v>232</v>
      </c>
      <c r="G431" s="66" t="str">
        <f>IFERROR(INDEX(M_SKU!$A$18:$J$57,MATCH(F431,M_SKU!$B$18:$B$57,0),1),"UNKNOWN SKU")</f>
        <v>Sprite Pet 500ML (x 12)</v>
      </c>
      <c r="H431" s="63" t="s">
        <v>522</v>
      </c>
      <c r="I431" s="98">
        <f>IFERROR(INDEX(T_Unload!$K$10:$K$433,MATCH(B431,T_Unload!$B$10:$B$433,0)),0)</f>
        <v>1</v>
      </c>
      <c r="J431" s="111">
        <v>1</v>
      </c>
      <c r="K431" s="99">
        <f t="shared" si="32"/>
        <v>0</v>
      </c>
      <c r="L431" s="105" t="str">
        <f t="shared" si="33"/>
        <v>CLEAN</v>
      </c>
      <c r="M431" s="90">
        <f t="shared" si="34"/>
        <v>0</v>
      </c>
      <c r="N431" s="90">
        <f t="shared" si="35"/>
        <v>0</v>
      </c>
      <c r="O431" s="68" t="s">
        <v>2761</v>
      </c>
      <c r="P431" s="63"/>
      <c r="Q431" s="62"/>
    </row>
    <row r="432" spans="1:17" ht="15" customHeight="1" x14ac:dyDescent="0.3">
      <c r="A432" s="70" t="s">
        <v>3182</v>
      </c>
      <c r="B432" s="112" t="s">
        <v>2722</v>
      </c>
      <c r="C432" s="101" t="s">
        <v>350</v>
      </c>
      <c r="D432" s="76" t="str">
        <f>IFERROR(INDEX(M_User!$A$12:$J$67,MATCH(C432,M_User!$D$12:$D$67,0),3),"UNMAPPED")</f>
        <v>Samson Felix Ngowi</v>
      </c>
      <c r="E432" s="75" t="str">
        <f>IFERROR(INDEX(M_User!$A$12:$J$67,MATCH(C432,M_User!$D$12:$D$67,0),5),"UNMAPPED")</f>
        <v>MOS</v>
      </c>
      <c r="F432" s="101" t="s">
        <v>234</v>
      </c>
      <c r="G432" s="76" t="str">
        <f>IFERROR(INDEX(M_SKU!$A$18:$J$57,MATCH(F432,M_SKU!$B$18:$B$57,0),1),"UNKNOWN SKU")</f>
        <v>Fanta Orange Pet 500ML ( x 12)</v>
      </c>
      <c r="H432" s="101" t="s">
        <v>523</v>
      </c>
      <c r="I432" s="102">
        <f>IFERROR(INDEX(T_Unload!$K$10:$K$433,MATCH(B432,T_Unload!$B$10:$B$433,0)),0)</f>
        <v>4</v>
      </c>
      <c r="J432" s="111">
        <v>4</v>
      </c>
      <c r="K432" s="113">
        <f t="shared" si="32"/>
        <v>0</v>
      </c>
      <c r="L432" s="114" t="str">
        <f t="shared" si="33"/>
        <v>CLEAN</v>
      </c>
      <c r="M432" s="115">
        <f t="shared" si="34"/>
        <v>0</v>
      </c>
      <c r="N432" s="115">
        <f t="shared" si="35"/>
        <v>0</v>
      </c>
      <c r="O432" s="116" t="s">
        <v>2761</v>
      </c>
      <c r="P432" s="117"/>
      <c r="Q432" s="118"/>
    </row>
    <row r="433" spans="1:17" ht="15" customHeight="1" x14ac:dyDescent="0.3">
      <c r="A433" s="60" t="s">
        <v>3183</v>
      </c>
      <c r="B433" s="97" t="s">
        <v>2724</v>
      </c>
      <c r="C433" s="63" t="s">
        <v>350</v>
      </c>
      <c r="D433" s="66" t="str">
        <f>IFERROR(INDEX(M_User!$A$12:$J$67,MATCH(C433,M_User!$D$12:$D$67,0),3),"UNMAPPED")</f>
        <v>Samson Felix Ngowi</v>
      </c>
      <c r="E433" s="65" t="str">
        <f>IFERROR(INDEX(M_User!$A$12:$J$67,MATCH(C433,M_User!$D$12:$D$67,0),5),"UNMAPPED")</f>
        <v>MOS</v>
      </c>
      <c r="F433" s="63" t="s">
        <v>236</v>
      </c>
      <c r="G433" s="66" t="str">
        <f>IFERROR(INDEX(M_SKU!$A$18:$J$57,MATCH(F433,M_SKU!$B$18:$B$57,0),1),"UNKNOWN SKU")</f>
        <v>Fanta Passion Pet 500ML ( x12)</v>
      </c>
      <c r="H433" s="63" t="s">
        <v>524</v>
      </c>
      <c r="I433" s="98">
        <f>IFERROR(INDEX(T_Unload!$K$10:$K$433,MATCH(B433,T_Unload!$B$10:$B$433,0)),0)</f>
        <v>2</v>
      </c>
      <c r="J433" s="111">
        <v>2</v>
      </c>
      <c r="K433" s="99">
        <f t="shared" si="32"/>
        <v>0</v>
      </c>
      <c r="L433" s="105" t="str">
        <f t="shared" si="33"/>
        <v>CLEAN</v>
      </c>
      <c r="M433" s="90">
        <f t="shared" si="34"/>
        <v>0</v>
      </c>
      <c r="N433" s="90">
        <f t="shared" si="35"/>
        <v>0</v>
      </c>
      <c r="O433" s="68" t="s">
        <v>2761</v>
      </c>
      <c r="P433" s="63"/>
      <c r="Q433" s="62"/>
    </row>
    <row r="434" spans="1:17" ht="15" customHeight="1" x14ac:dyDescent="0.3">
      <c r="A434" s="70" t="s">
        <v>3184</v>
      </c>
      <c r="B434" s="112" t="s">
        <v>2726</v>
      </c>
      <c r="C434" s="101" t="s">
        <v>350</v>
      </c>
      <c r="D434" s="76" t="str">
        <f>IFERROR(INDEX(M_User!$A$12:$J$67,MATCH(C434,M_User!$D$12:$D$67,0),3),"UNMAPPED")</f>
        <v>Samson Felix Ngowi</v>
      </c>
      <c r="E434" s="75" t="str">
        <f>IFERROR(INDEX(M_User!$A$12:$J$67,MATCH(C434,M_User!$D$12:$D$67,0),5),"UNMAPPED")</f>
        <v>MOS</v>
      </c>
      <c r="F434" s="101" t="s">
        <v>242</v>
      </c>
      <c r="G434" s="76" t="str">
        <f>IFERROR(INDEX(M_SKU!$A$18:$J$57,MATCH(F434,M_SKU!$B$18:$B$57,0),1),"UNKNOWN SKU")</f>
        <v>Stoney Tangawizi Pet 500 ml ( x12)</v>
      </c>
      <c r="H434" s="101" t="s">
        <v>525</v>
      </c>
      <c r="I434" s="102">
        <f>IFERROR(INDEX(T_Unload!$K$10:$K$433,MATCH(B434,T_Unload!$B$10:$B$433,0)),0)</f>
        <v>1</v>
      </c>
      <c r="J434" s="111">
        <v>1</v>
      </c>
      <c r="K434" s="113">
        <f t="shared" si="32"/>
        <v>0</v>
      </c>
      <c r="L434" s="114" t="str">
        <f t="shared" si="33"/>
        <v>CLEAN</v>
      </c>
      <c r="M434" s="115">
        <f t="shared" si="34"/>
        <v>0</v>
      </c>
      <c r="N434" s="115">
        <f t="shared" si="35"/>
        <v>0</v>
      </c>
      <c r="O434" s="116" t="s">
        <v>2761</v>
      </c>
      <c r="P434" s="117"/>
      <c r="Q434" s="118"/>
    </row>
    <row r="435" spans="1:17" ht="15" customHeight="1" x14ac:dyDescent="0.3">
      <c r="A435" s="60" t="s">
        <v>3185</v>
      </c>
      <c r="B435" s="97" t="s">
        <v>2728</v>
      </c>
      <c r="C435" s="63" t="s">
        <v>350</v>
      </c>
      <c r="D435" s="66" t="str">
        <f>IFERROR(INDEX(M_User!$A$12:$J$67,MATCH(C435,M_User!$D$12:$D$67,0),3),"UNMAPPED")</f>
        <v>Samson Felix Ngowi</v>
      </c>
      <c r="E435" s="65" t="str">
        <f>IFERROR(INDEX(M_User!$A$12:$J$67,MATCH(C435,M_User!$D$12:$D$67,0),5),"UNMAPPED")</f>
        <v>MOS</v>
      </c>
      <c r="F435" s="63" t="s">
        <v>244</v>
      </c>
      <c r="G435" s="66" t="str">
        <f>IFERROR(INDEX(M_SKU!$A$18:$J$57,MATCH(F435,M_SKU!$B$18:$B$57,0),1),"UNKNOWN SKU")</f>
        <v>Sparletta Pinenut Pet 500 ml ( x12)</v>
      </c>
      <c r="H435" s="63" t="s">
        <v>526</v>
      </c>
      <c r="I435" s="98">
        <f>IFERROR(INDEX(T_Unload!$K$10:$K$433,MATCH(B435,T_Unload!$B$10:$B$433,0)),0)</f>
        <v>1</v>
      </c>
      <c r="J435" s="111">
        <v>1</v>
      </c>
      <c r="K435" s="99">
        <f t="shared" si="32"/>
        <v>0</v>
      </c>
      <c r="L435" s="105" t="str">
        <f t="shared" si="33"/>
        <v>CLEAN</v>
      </c>
      <c r="M435" s="90">
        <f t="shared" si="34"/>
        <v>0</v>
      </c>
      <c r="N435" s="90">
        <f t="shared" si="35"/>
        <v>0</v>
      </c>
      <c r="O435" s="68" t="s">
        <v>2761</v>
      </c>
      <c r="P435" s="63"/>
      <c r="Q435" s="62"/>
    </row>
    <row r="436" spans="1:17" ht="15" customHeight="1" x14ac:dyDescent="0.3">
      <c r="A436" s="70" t="s">
        <v>3186</v>
      </c>
      <c r="B436" s="112" t="s">
        <v>2730</v>
      </c>
      <c r="C436" s="101" t="s">
        <v>350</v>
      </c>
      <c r="D436" s="76" t="str">
        <f>IFERROR(INDEX(M_User!$A$12:$J$67,MATCH(C436,M_User!$D$12:$D$67,0),3),"UNMAPPED")</f>
        <v>Samson Felix Ngowi</v>
      </c>
      <c r="E436" s="75" t="str">
        <f>IFERROR(INDEX(M_User!$A$12:$J$67,MATCH(C436,M_User!$D$12:$D$67,0),5),"UNMAPPED")</f>
        <v>MOS</v>
      </c>
      <c r="F436" s="101" t="s">
        <v>261</v>
      </c>
      <c r="G436" s="76" t="str">
        <f>IFERROR(INDEX(M_SKU!$A$18:$J$57,MATCH(F436,M_SKU!$B$18:$B$57,0),1),"UNKNOWN SKU")</f>
        <v>Sparletta Pine Apple Pet 300ML (x 12)</v>
      </c>
      <c r="H436" s="101" t="s">
        <v>547</v>
      </c>
      <c r="I436" s="102">
        <f>IFERROR(INDEX(T_Unload!$K$10:$K$433,MATCH(B436,T_Unload!$B$10:$B$433,0)),0)</f>
        <v>1</v>
      </c>
      <c r="J436" s="111">
        <v>1</v>
      </c>
      <c r="K436" s="113">
        <f t="shared" si="32"/>
        <v>0</v>
      </c>
      <c r="L436" s="114" t="str">
        <f t="shared" si="33"/>
        <v>CLEAN</v>
      </c>
      <c r="M436" s="115">
        <f t="shared" si="34"/>
        <v>0</v>
      </c>
      <c r="N436" s="115">
        <f t="shared" si="35"/>
        <v>0</v>
      </c>
      <c r="O436" s="116" t="s">
        <v>2761</v>
      </c>
      <c r="P436" s="117"/>
      <c r="Q436" s="118"/>
    </row>
    <row r="439" spans="1:17" ht="15" customHeight="1" x14ac:dyDescent="0.3">
      <c r="A439" s="83" t="s">
        <v>626</v>
      </c>
    </row>
    <row r="440" spans="1:17" ht="15" customHeight="1" x14ac:dyDescent="0.3">
      <c r="A440" s="14" t="s">
        <v>3187</v>
      </c>
      <c r="B440" s="15">
        <f>COUNTA(A13:A436)</f>
        <v>424</v>
      </c>
    </row>
    <row r="442" spans="1:17" ht="15" customHeight="1" x14ac:dyDescent="0.3">
      <c r="A442" s="15" t="s">
        <v>3188</v>
      </c>
    </row>
    <row r="443" spans="1:17" ht="15" customHeight="1" x14ac:dyDescent="0.3">
      <c r="A443" s="84" t="s">
        <v>3189</v>
      </c>
      <c r="B443" s="12">
        <f>COUNTIF(L13:L436,"CLEAN")</f>
        <v>192</v>
      </c>
    </row>
    <row r="444" spans="1:17" ht="15" customHeight="1" x14ac:dyDescent="0.3">
      <c r="A444" s="84" t="s">
        <v>3190</v>
      </c>
      <c r="B444" s="44">
        <f>COUNTIF(L13:L436,"Post to Default Outlet")</f>
        <v>103</v>
      </c>
    </row>
    <row r="445" spans="1:17" ht="15" customHeight="1" x14ac:dyDescent="0.3">
      <c r="A445" s="84" t="s">
        <v>3191</v>
      </c>
      <c r="B445" s="33">
        <f>COUNTIF(L13:L436,"Adjust Unload Upward")</f>
        <v>105</v>
      </c>
    </row>
    <row r="446" spans="1:17" ht="15" customHeight="1" x14ac:dyDescent="0.3">
      <c r="A446" s="84" t="s">
        <v>3192</v>
      </c>
      <c r="B446" s="44">
        <f>COUNTIF(L13:L436,"Awaiting Force-Push")</f>
        <v>24</v>
      </c>
    </row>
    <row r="448" spans="1:17" ht="15" customHeight="1" x14ac:dyDescent="0.3">
      <c r="A448" s="15" t="s">
        <v>3193</v>
      </c>
    </row>
    <row r="449" spans="1:2" ht="15" customHeight="1" x14ac:dyDescent="0.3">
      <c r="A449" s="84" t="s">
        <v>3194</v>
      </c>
      <c r="B449" s="86">
        <f>SUM(I13:I436)</f>
        <v>1669.0595223360401</v>
      </c>
    </row>
    <row r="450" spans="1:2" ht="15" customHeight="1" x14ac:dyDescent="0.3">
      <c r="A450" s="84" t="s">
        <v>3195</v>
      </c>
      <c r="B450" s="86">
        <f>SUM(J13:J436)</f>
        <v>1357.4151999999997</v>
      </c>
    </row>
    <row r="451" spans="1:2" ht="15" customHeight="1" x14ac:dyDescent="0.3">
      <c r="A451" s="84" t="s">
        <v>3196</v>
      </c>
      <c r="B451" s="124">
        <f>SUM(M13:M436)</f>
        <v>28.240627308873528</v>
      </c>
    </row>
    <row r="452" spans="1:2" ht="15" customHeight="1" x14ac:dyDescent="0.3">
      <c r="A452" s="84" t="s">
        <v>3197</v>
      </c>
      <c r="B452" s="125">
        <f>SUM(N13:N436)</f>
        <v>36.596089527841428</v>
      </c>
    </row>
    <row r="454" spans="1:2" ht="15" customHeight="1" x14ac:dyDescent="0.3">
      <c r="A454" s="15" t="s">
        <v>2737</v>
      </c>
    </row>
    <row r="455" spans="1:2" ht="15" customHeight="1" x14ac:dyDescent="0.3">
      <c r="A455" s="84" t="s">
        <v>3198</v>
      </c>
      <c r="B455" s="44">
        <f>COUNTIFS(C13:C436,"MOS100645",L13:L436,"Post to Default Outlet")</f>
        <v>23</v>
      </c>
    </row>
    <row r="456" spans="1:2" ht="15" customHeight="1" x14ac:dyDescent="0.3">
      <c r="A456" s="84" t="s">
        <v>3199</v>
      </c>
      <c r="B456" s="33">
        <f>COUNTIFS(C13:C436,"MOS100802",L13:L436,"Adjust Unload Upward")</f>
        <v>23</v>
      </c>
    </row>
    <row r="457" spans="1:2" ht="15" customHeight="1" x14ac:dyDescent="0.3">
      <c r="A457" s="84" t="s">
        <v>3200</v>
      </c>
      <c r="B457" s="44">
        <f>COUNTIFS(C13:C436,"MOS100801",L13:L436,"Awaiting Force-Push")</f>
        <v>24</v>
      </c>
    </row>
    <row r="458" spans="1:2" ht="15" customHeight="1" x14ac:dyDescent="0.3">
      <c r="A458" s="84" t="s">
        <v>3201</v>
      </c>
      <c r="B458" s="12">
        <f>COUNTIF(L13:L436,"CLEAN")</f>
        <v>192</v>
      </c>
    </row>
    <row r="460" spans="1:2" ht="15" customHeight="1" x14ac:dyDescent="0.3">
      <c r="A460" s="1" t="s">
        <v>3202</v>
      </c>
    </row>
  </sheetData>
  <conditionalFormatting sqref="D13:D436">
    <cfRule type="cellIs" dxfId="36" priority="9" operator="equal">
      <formula>"UNMAPPED"</formula>
    </cfRule>
  </conditionalFormatting>
  <conditionalFormatting sqref="L13:L436">
    <cfRule type="cellIs" dxfId="35" priority="2" operator="equal">
      <formula>"CLEAN"</formula>
    </cfRule>
    <cfRule type="cellIs" dxfId="34" priority="3" operator="equal">
      <formula>"Post to Default Outlet"</formula>
    </cfRule>
    <cfRule type="cellIs" dxfId="33" priority="4" operator="equal">
      <formula>"Adjust Unload Upward"</formula>
    </cfRule>
    <cfRule type="cellIs" dxfId="32" priority="5" operator="equal">
      <formula>"Awaiting Force-Push"</formula>
    </cfRule>
  </conditionalFormatting>
  <conditionalFormatting sqref="O13:O436">
    <cfRule type="cellIs" dxfId="31" priority="6" operator="equal">
      <formula>"Pending Verification"</formula>
    </cfRule>
    <cfRule type="cellIs" dxfId="30" priority="7" operator="equal">
      <formula>"Verified"</formula>
    </cfRule>
    <cfRule type="cellIs" dxfId="29" priority="8" operator="equal">
      <formula>"Blocked - Force-Push Required"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23"/>
  <sheetViews>
    <sheetView showGridLines="0" zoomScaleNormal="100" workbookViewId="0">
      <pane xSplit="4" ySplit="8" topLeftCell="E9" activePane="bottomRight" state="frozen"/>
      <selection activeCell="F9" sqref="F9"/>
      <selection pane="topRight" activeCell="F9" sqref="F9"/>
      <selection pane="bottomLeft" activeCell="F9" sqref="F9"/>
      <selection pane="bottomRight" activeCell="E9" sqref="E9"/>
    </sheetView>
  </sheetViews>
  <sheetFormatPr defaultColWidth="8.6640625" defaultRowHeight="14.4" x14ac:dyDescent="0.3"/>
  <cols>
    <col min="1" max="1" width="14.6640625" bestFit="1" customWidth="1"/>
    <col min="2" max="3" width="12" customWidth="1"/>
    <col min="4" max="4" width="12.77734375" bestFit="1" customWidth="1"/>
    <col min="5" max="5" width="24" customWidth="1"/>
    <col min="6" max="6" width="14" bestFit="1" customWidth="1"/>
    <col min="7" max="7" width="14" customWidth="1"/>
    <col min="8" max="8" width="20" customWidth="1"/>
    <col min="9" max="9" width="10.77734375" customWidth="1"/>
    <col min="10" max="10" width="32" customWidth="1"/>
    <col min="11" max="11" width="12" customWidth="1"/>
    <col min="12" max="12" width="14" customWidth="1"/>
    <col min="13" max="13" width="12" customWidth="1"/>
    <col min="14" max="14" width="13" customWidth="1"/>
    <col min="15" max="15" width="12" customWidth="1"/>
    <col min="16" max="16" width="16" customWidth="1"/>
    <col min="17" max="17" width="12" customWidth="1"/>
  </cols>
  <sheetData>
    <row r="1" spans="1:17" ht="19.5" customHeight="1" x14ac:dyDescent="0.4">
      <c r="A1" s="13" t="s">
        <v>3203</v>
      </c>
    </row>
    <row r="2" spans="1:17" ht="15" customHeight="1" x14ac:dyDescent="0.3">
      <c r="A2" s="1" t="s">
        <v>3204</v>
      </c>
    </row>
    <row r="3" spans="1:17" ht="15" customHeight="1" x14ac:dyDescent="0.3">
      <c r="A3" s="1" t="s">
        <v>3205</v>
      </c>
    </row>
    <row r="4" spans="1:17" ht="15" customHeight="1" x14ac:dyDescent="0.3">
      <c r="A4" s="87" t="s">
        <v>3206</v>
      </c>
    </row>
    <row r="6" spans="1:17" ht="15" customHeight="1" x14ac:dyDescent="0.3">
      <c r="A6" s="15" t="s">
        <v>494</v>
      </c>
      <c r="B6" s="48" t="s">
        <v>495</v>
      </c>
      <c r="D6" s="107" t="s">
        <v>3207</v>
      </c>
      <c r="F6" s="50" t="s">
        <v>497</v>
      </c>
      <c r="H6" s="88" t="s">
        <v>3208</v>
      </c>
      <c r="J6" s="108" t="s">
        <v>498</v>
      </c>
    </row>
    <row r="8" spans="1:17" ht="36" customHeight="1" x14ac:dyDescent="0.3">
      <c r="A8" s="54" t="s">
        <v>3209</v>
      </c>
      <c r="B8" s="109" t="s">
        <v>3210</v>
      </c>
      <c r="C8" s="109" t="s">
        <v>3211</v>
      </c>
      <c r="D8" s="109" t="s">
        <v>647</v>
      </c>
      <c r="E8" s="56" t="s">
        <v>648</v>
      </c>
      <c r="F8" s="56" t="s">
        <v>1875</v>
      </c>
      <c r="G8" s="56" t="s">
        <v>56</v>
      </c>
      <c r="H8" s="56" t="s">
        <v>57</v>
      </c>
      <c r="I8" s="109" t="s">
        <v>509</v>
      </c>
      <c r="J8" s="56" t="s">
        <v>277</v>
      </c>
      <c r="K8" s="109" t="s">
        <v>510</v>
      </c>
      <c r="L8" s="109" t="s">
        <v>3212</v>
      </c>
      <c r="M8" s="89" t="s">
        <v>652</v>
      </c>
      <c r="N8" s="89" t="s">
        <v>3213</v>
      </c>
      <c r="O8" s="110" t="s">
        <v>3214</v>
      </c>
      <c r="P8" s="110" t="s">
        <v>3215</v>
      </c>
      <c r="Q8" s="110" t="s">
        <v>3216</v>
      </c>
    </row>
    <row r="9" spans="1:17" ht="15" customHeight="1" x14ac:dyDescent="0.3">
      <c r="A9" s="60" t="s">
        <v>3217</v>
      </c>
      <c r="B9" s="126" t="s">
        <v>2800</v>
      </c>
      <c r="C9" s="62">
        <v>46179</v>
      </c>
      <c r="D9" s="63" t="s">
        <v>395</v>
      </c>
      <c r="E9" s="66" t="str">
        <f>IFERROR(INDEX(M_User!$A$12:$J$67,MATCH(D9,M_User!$D$12:$D$67,0),3),"UNMAPPED")</f>
        <v>Meshack  Jeremiah</v>
      </c>
      <c r="F9" s="65" t="str">
        <f>IFERROR(INDEX(M_User!$A$12:$J$67,MATCH(D9,M_User!$D$12:$D$67,0),5),"UNMAPPED")</f>
        <v>MOS</v>
      </c>
      <c r="G9" s="65" t="str">
        <f>IFERROR(INDEX(M_Depot!$C$7:$C$24,MATCH(F9,M_Depot!$B$7:$B$24,0)),"NO DEPOT")</f>
        <v>MOS1000001</v>
      </c>
      <c r="H9" s="66" t="str">
        <f>IFERROR(INDEX(M_Depot!$D$7:$D$24,MATCH(F9,M_Depot!$B$7:$B$24,0)),"NO DEPOT")</f>
        <v>MOSHI Ambush</v>
      </c>
      <c r="I9" s="63" t="s">
        <v>178</v>
      </c>
      <c r="J9" s="66" t="str">
        <f>IFERROR(INDEX(M_SKU!$A$18:$J$57,MATCH(I9,M_SKU!$B$18:$B$57,0),1),"UNKNOWN SKU")</f>
        <v>Fanta Orange RGB 350ml</v>
      </c>
      <c r="K9" s="63" t="s">
        <v>531</v>
      </c>
      <c r="L9" s="127">
        <v>1.3449316438394201E-3</v>
      </c>
      <c r="M9" s="91" cm="1">
        <f t="array" ref="M9">IFERROR(INDEX(M_DepotPrice!$C$10:$C$52,MATCH(1,(M_DepotPrice!$A$10:$A$52=I9)*(M_DepotPrice!$H$10:$H$52=IFERROR(INDEX(M_Depot!$A$7:$A$24,MATCH(F9,M_Depot!$B$7:$B$24,0)),""))*(M_DepotPrice!$G$10:$G$52="Special"),0)),INDEX(M_DepotPrice!$C$10:$C$52,MATCH(1,(M_DepotPrice!$A$10:$A$52=I9)*(M_DepotPrice!$G$10:$G$52="Default"),0)))*1.18</f>
        <v>13900.4</v>
      </c>
      <c r="N9" s="128">
        <f t="shared" ref="N9:N40" si="0">L9*M9</f>
        <v>18.695087822025474</v>
      </c>
      <c r="O9" s="105" t="s">
        <v>3218</v>
      </c>
      <c r="P9" s="68" t="s">
        <v>3219</v>
      </c>
      <c r="Q9" s="62"/>
    </row>
    <row r="10" spans="1:17" ht="15" customHeight="1" x14ac:dyDescent="0.3">
      <c r="A10" s="70" t="s">
        <v>3220</v>
      </c>
      <c r="B10" s="129" t="s">
        <v>2803</v>
      </c>
      <c r="C10" s="130">
        <v>46179</v>
      </c>
      <c r="D10" s="131" t="s">
        <v>395</v>
      </c>
      <c r="E10" s="76" t="str">
        <f>IFERROR(INDEX(M_User!$A$12:$J$67,MATCH(D10,M_User!$D$12:$D$67,0),3),"UNMAPPED")</f>
        <v>Meshack  Jeremiah</v>
      </c>
      <c r="F10" s="75" t="str">
        <f>IFERROR(INDEX(M_User!$A$12:$J$67,MATCH(D10,M_User!$D$12:$D$67,0),5),"UNMAPPED")</f>
        <v>MOS</v>
      </c>
      <c r="G10" s="75" t="str">
        <f>IFERROR(INDEX(M_Depot!$C$7:$C$24,MATCH(F10,M_Depot!$B$7:$B$24,0)),"NO DEPOT")</f>
        <v>MOS1000001</v>
      </c>
      <c r="H10" s="76" t="str">
        <f>IFERROR(INDEX(M_Depot!$D$7:$D$24,MATCH(F10,M_Depot!$B$7:$B$24,0)),"NO DEPOT")</f>
        <v>MOSHI Ambush</v>
      </c>
      <c r="I10" s="131" t="s">
        <v>185</v>
      </c>
      <c r="J10" s="76" t="str">
        <f>IFERROR(INDEX(M_SKU!$A$18:$J$57,MATCH(I10,M_SKU!$B$18:$B$57,0),1),"UNKNOWN SKU")</f>
        <v>Fanta Fruit Blast RGB 350 ml</v>
      </c>
      <c r="K10" s="131" t="s">
        <v>534</v>
      </c>
      <c r="L10" s="132">
        <v>2.45685952361019E-3</v>
      </c>
      <c r="M10" s="94" cm="1">
        <f t="array" ref="M10">IFERROR(INDEX(M_DepotPrice!$C$10:$C$52,MATCH(1,(M_DepotPrice!$A$10:$A$52=I10)*(M_DepotPrice!$H$10:$H$52=IFERROR(INDEX(M_Depot!$A$7:$A$24,MATCH(F10,M_Depot!$B$7:$B$24,0)),""))*(M_DepotPrice!$G$10:$G$52="Special"),0)),INDEX(M_DepotPrice!$C$10:$C$52,MATCH(1,(M_DepotPrice!$A$10:$A$52=I10)*(M_DepotPrice!$G$10:$G$52="Default"),0)))*1.18</f>
        <v>13900.4</v>
      </c>
      <c r="N10" s="133">
        <f t="shared" si="0"/>
        <v>34.151330121991087</v>
      </c>
      <c r="O10" s="122" t="s">
        <v>3218</v>
      </c>
      <c r="P10" s="116" t="s">
        <v>3219</v>
      </c>
      <c r="Q10" s="118"/>
    </row>
    <row r="11" spans="1:17" ht="15" customHeight="1" x14ac:dyDescent="0.3">
      <c r="A11" s="60" t="s">
        <v>3221</v>
      </c>
      <c r="B11" s="126" t="s">
        <v>2805</v>
      </c>
      <c r="C11" s="62">
        <v>46179</v>
      </c>
      <c r="D11" s="63" t="s">
        <v>395</v>
      </c>
      <c r="E11" s="66" t="str">
        <f>IFERROR(INDEX(M_User!$A$12:$J$67,MATCH(D11,M_User!$D$12:$D$67,0),3),"UNMAPPED")</f>
        <v>Meshack  Jeremiah</v>
      </c>
      <c r="F11" s="65" t="str">
        <f>IFERROR(INDEX(M_User!$A$12:$J$67,MATCH(D11,M_User!$D$12:$D$67,0),5),"UNMAPPED")</f>
        <v>MOS</v>
      </c>
      <c r="G11" s="65" t="str">
        <f>IFERROR(INDEX(M_Depot!$C$7:$C$24,MATCH(F11,M_Depot!$B$7:$B$24,0)),"NO DEPOT")</f>
        <v>MOS1000001</v>
      </c>
      <c r="H11" s="66" t="str">
        <f>IFERROR(INDEX(M_Depot!$D$7:$D$24,MATCH(F11,M_Depot!$B$7:$B$24,0)),"NO DEPOT")</f>
        <v>MOSHI Ambush</v>
      </c>
      <c r="I11" s="63" t="s">
        <v>190</v>
      </c>
      <c r="J11" s="66" t="str">
        <f>IFERROR(INDEX(M_SKU!$A$18:$J$57,MATCH(I11,M_SKU!$B$18:$B$57,0),1),"UNKNOWN SKU")</f>
        <v>Stoney Tangawizi RGB 350ml</v>
      </c>
      <c r="K11" s="63" t="s">
        <v>536</v>
      </c>
      <c r="L11" s="127">
        <v>4.07045760539404E-3</v>
      </c>
      <c r="M11" s="91" cm="1">
        <f t="array" ref="M11">IFERROR(INDEX(M_DepotPrice!$C$10:$C$52,MATCH(1,(M_DepotPrice!$A$10:$A$52=I11)*(M_DepotPrice!$H$10:$H$52=IFERROR(INDEX(M_Depot!$A$7:$A$24,MATCH(F11,M_Depot!$B$7:$B$24,0)),""))*(M_DepotPrice!$G$10:$G$52="Special"),0)),INDEX(M_DepotPrice!$C$10:$C$52,MATCH(1,(M_DepotPrice!$A$10:$A$52=I11)*(M_DepotPrice!$G$10:$G$52="Default"),0)))*1.18</f>
        <v>13900.4</v>
      </c>
      <c r="N11" s="128">
        <f t="shared" si="0"/>
        <v>56.580988898019314</v>
      </c>
      <c r="O11" s="105" t="s">
        <v>3218</v>
      </c>
      <c r="P11" s="68" t="s">
        <v>3219</v>
      </c>
      <c r="Q11" s="62"/>
    </row>
    <row r="12" spans="1:17" ht="15" customHeight="1" x14ac:dyDescent="0.3">
      <c r="A12" s="70" t="s">
        <v>3222</v>
      </c>
      <c r="B12" s="129" t="s">
        <v>2806</v>
      </c>
      <c r="C12" s="130">
        <v>46179</v>
      </c>
      <c r="D12" s="131" t="s">
        <v>395</v>
      </c>
      <c r="E12" s="76" t="str">
        <f>IFERROR(INDEX(M_User!$A$12:$J$67,MATCH(D12,M_User!$D$12:$D$67,0),3),"UNMAPPED")</f>
        <v>Meshack  Jeremiah</v>
      </c>
      <c r="F12" s="75" t="str">
        <f>IFERROR(INDEX(M_User!$A$12:$J$67,MATCH(D12,M_User!$D$12:$D$67,0),5),"UNMAPPED")</f>
        <v>MOS</v>
      </c>
      <c r="G12" s="75" t="str">
        <f>IFERROR(INDEX(M_Depot!$C$7:$C$24,MATCH(F12,M_Depot!$B$7:$B$24,0)),"NO DEPOT")</f>
        <v>MOS1000001</v>
      </c>
      <c r="H12" s="76" t="str">
        <f>IFERROR(INDEX(M_Depot!$D$7:$D$24,MATCH(F12,M_Depot!$B$7:$B$24,0)),"NO DEPOT")</f>
        <v>MOSHI Ambush</v>
      </c>
      <c r="I12" s="131" t="s">
        <v>193</v>
      </c>
      <c r="J12" s="76" t="str">
        <f>IFERROR(INDEX(M_SKU!$A$18:$J$57,MATCH(I12,M_SKU!$B$18:$B$57,0),1),"UNKNOWN SKU")</f>
        <v>Sparletta Pinenut RGB 350ml</v>
      </c>
      <c r="K12" s="131" t="s">
        <v>537</v>
      </c>
      <c r="L12" s="132">
        <v>2.3942122858950899E-3</v>
      </c>
      <c r="M12" s="94" cm="1">
        <f t="array" ref="M12">IFERROR(INDEX(M_DepotPrice!$C$10:$C$52,MATCH(1,(M_DepotPrice!$A$10:$A$52=I12)*(M_DepotPrice!$H$10:$H$52=IFERROR(INDEX(M_Depot!$A$7:$A$24,MATCH(F12,M_Depot!$B$7:$B$24,0)),""))*(M_DepotPrice!$G$10:$G$52="Special"),0)),INDEX(M_DepotPrice!$C$10:$C$52,MATCH(1,(M_DepotPrice!$A$10:$A$52=I12)*(M_DepotPrice!$G$10:$G$52="Default"),0)))*1.18</f>
        <v>13900.4</v>
      </c>
      <c r="N12" s="133">
        <f t="shared" si="0"/>
        <v>33.280508458856104</v>
      </c>
      <c r="O12" s="122" t="s">
        <v>3218</v>
      </c>
      <c r="P12" s="116" t="s">
        <v>3219</v>
      </c>
      <c r="Q12" s="118"/>
    </row>
    <row r="13" spans="1:17" ht="15" customHeight="1" x14ac:dyDescent="0.3">
      <c r="A13" s="60" t="s">
        <v>3223</v>
      </c>
      <c r="B13" s="126" t="s">
        <v>2807</v>
      </c>
      <c r="C13" s="62">
        <v>46179</v>
      </c>
      <c r="D13" s="63" t="s">
        <v>395</v>
      </c>
      <c r="E13" s="66" t="str">
        <f>IFERROR(INDEX(M_User!$A$12:$J$67,MATCH(D13,M_User!$D$12:$D$67,0),3),"UNMAPPED")</f>
        <v>Meshack  Jeremiah</v>
      </c>
      <c r="F13" s="65" t="str">
        <f>IFERROR(INDEX(M_User!$A$12:$J$67,MATCH(D13,M_User!$D$12:$D$67,0),5),"UNMAPPED")</f>
        <v>MOS</v>
      </c>
      <c r="G13" s="65" t="str">
        <f>IFERROR(INDEX(M_Depot!$C$7:$C$24,MATCH(F13,M_Depot!$B$7:$B$24,0)),"NO DEPOT")</f>
        <v>MOS1000001</v>
      </c>
      <c r="H13" s="66" t="str">
        <f>IFERROR(INDEX(M_Depot!$D$7:$D$24,MATCH(F13,M_Depot!$B$7:$B$24,0)),"NO DEPOT")</f>
        <v>MOSHI Ambush</v>
      </c>
      <c r="I13" s="63" t="s">
        <v>196</v>
      </c>
      <c r="J13" s="66" t="str">
        <f>IFERROR(INDEX(M_SKU!$A$18:$J$57,MATCH(I13,M_SKU!$B$18:$B$57,0),1),"UNKNOWN SKU")</f>
        <v>Krest Bitter Lemon RGB 300ml</v>
      </c>
      <c r="K13" s="63" t="s">
        <v>538</v>
      </c>
      <c r="L13" s="127">
        <v>2.6302759048961498E-3</v>
      </c>
      <c r="M13" s="91" cm="1">
        <f t="array" ref="M13">IFERROR(INDEX(M_DepotPrice!$C$10:$C$52,MATCH(1,(M_DepotPrice!$A$10:$A$52=I13)*(M_DepotPrice!$H$10:$H$52=IFERROR(INDEX(M_Depot!$A$7:$A$24,MATCH(F13,M_Depot!$B$7:$B$24,0)),""))*(M_DepotPrice!$G$10:$G$52="Special"),0)),INDEX(M_DepotPrice!$C$10:$C$52,MATCH(1,(M_DepotPrice!$A$10:$A$52=I13)*(M_DepotPrice!$G$10:$G$52="Default"),0)))*1.18</f>
        <v>13900.4</v>
      </c>
      <c r="N13" s="128">
        <f t="shared" si="0"/>
        <v>36.561887188418439</v>
      </c>
      <c r="O13" s="105" t="s">
        <v>3218</v>
      </c>
      <c r="P13" s="68" t="s">
        <v>3219</v>
      </c>
      <c r="Q13" s="62"/>
    </row>
    <row r="14" spans="1:17" ht="15" customHeight="1" x14ac:dyDescent="0.3">
      <c r="A14" s="70" t="s">
        <v>3224</v>
      </c>
      <c r="B14" s="129" t="s">
        <v>2811</v>
      </c>
      <c r="C14" s="130">
        <v>46179</v>
      </c>
      <c r="D14" s="131" t="s">
        <v>395</v>
      </c>
      <c r="E14" s="76" t="str">
        <f>IFERROR(INDEX(M_User!$A$12:$J$67,MATCH(D14,M_User!$D$12:$D$67,0),3),"UNMAPPED")</f>
        <v>Meshack  Jeremiah</v>
      </c>
      <c r="F14" s="75" t="str">
        <f>IFERROR(INDEX(M_User!$A$12:$J$67,MATCH(D14,M_User!$D$12:$D$67,0),5),"UNMAPPED")</f>
        <v>MOS</v>
      </c>
      <c r="G14" s="75" t="str">
        <f>IFERROR(INDEX(M_Depot!$C$7:$C$24,MATCH(F14,M_Depot!$B$7:$B$24,0)),"NO DEPOT")</f>
        <v>MOS1000001</v>
      </c>
      <c r="H14" s="76" t="str">
        <f>IFERROR(INDEX(M_Depot!$D$7:$D$24,MATCH(F14,M_Depot!$B$7:$B$24,0)),"NO DEPOT")</f>
        <v>MOSHI Ambush</v>
      </c>
      <c r="I14" s="131" t="s">
        <v>209</v>
      </c>
      <c r="J14" s="76" t="str">
        <f>IFERROR(INDEX(M_SKU!$A$18:$J$57,MATCH(I14,M_SKU!$B$18:$B$57,0),1),"UNKNOWN SKU")</f>
        <v>Sparletta Red Apple RGB 350ml</v>
      </c>
      <c r="K14" s="131" t="s">
        <v>542</v>
      </c>
      <c r="L14" s="132">
        <v>4.7773802358080898E-4</v>
      </c>
      <c r="M14" s="94" cm="1">
        <f t="array" ref="M14">IFERROR(INDEX(M_DepotPrice!$C$10:$C$52,MATCH(1,(M_DepotPrice!$A$10:$A$52=I14)*(M_DepotPrice!$H$10:$H$52=IFERROR(INDEX(M_Depot!$A$7:$A$24,MATCH(F14,M_Depot!$B$7:$B$24,0)),""))*(M_DepotPrice!$G$10:$G$52="Special"),0)),INDEX(M_DepotPrice!$C$10:$C$52,MATCH(1,(M_DepotPrice!$A$10:$A$52=I14)*(M_DepotPrice!$G$10:$G$52="Default"),0)))*1.18</f>
        <v>13900.4</v>
      </c>
      <c r="N14" s="133">
        <f t="shared" si="0"/>
        <v>6.6407496229826766</v>
      </c>
      <c r="O14" s="122" t="s">
        <v>3218</v>
      </c>
      <c r="P14" s="116" t="s">
        <v>3219</v>
      </c>
      <c r="Q14" s="118"/>
    </row>
    <row r="15" spans="1:17" ht="15" customHeight="1" x14ac:dyDescent="0.3">
      <c r="A15" s="60" t="s">
        <v>3225</v>
      </c>
      <c r="B15" s="126" t="s">
        <v>2826</v>
      </c>
      <c r="C15" s="62">
        <v>46179</v>
      </c>
      <c r="D15" s="63" t="s">
        <v>376</v>
      </c>
      <c r="E15" s="66" t="str">
        <f>IFERROR(INDEX(M_User!$A$12:$J$67,MATCH(D15,M_User!$D$12:$D$67,0),3),"UNMAPPED")</f>
        <v>Zefania Julius Ngoma</v>
      </c>
      <c r="F15" s="65" t="str">
        <f>IFERROR(INDEX(M_User!$A$12:$J$67,MATCH(D15,M_User!$D$12:$D$67,0),5),"UNMAPPED")</f>
        <v>MOS</v>
      </c>
      <c r="G15" s="65" t="str">
        <f>IFERROR(INDEX(M_Depot!$C$7:$C$24,MATCH(F15,M_Depot!$B$7:$B$24,0)),"NO DEPOT")</f>
        <v>MOS1000001</v>
      </c>
      <c r="H15" s="66" t="str">
        <f>IFERROR(INDEX(M_Depot!$D$7:$D$24,MATCH(F15,M_Depot!$B$7:$B$24,0)),"NO DEPOT")</f>
        <v>MOSHI Ambush</v>
      </c>
      <c r="I15" s="63" t="s">
        <v>183</v>
      </c>
      <c r="J15" s="66" t="str">
        <f>IFERROR(INDEX(M_SKU!$A$18:$J$57,MATCH(I15,M_SKU!$B$18:$B$57,0),1),"UNKNOWN SKU")</f>
        <v>Fanta Pineapple RGB 350ml</v>
      </c>
      <c r="K15" s="63" t="s">
        <v>533</v>
      </c>
      <c r="L15" s="127">
        <v>3.1459237547912799E-3</v>
      </c>
      <c r="M15" s="91" cm="1">
        <f t="array" ref="M15">IFERROR(INDEX(M_DepotPrice!$C$10:$C$52,MATCH(1,(M_DepotPrice!$A$10:$A$52=I15)*(M_DepotPrice!$H$10:$H$52=IFERROR(INDEX(M_Depot!$A$7:$A$24,MATCH(F15,M_Depot!$B$7:$B$24,0)),""))*(M_DepotPrice!$G$10:$G$52="Special"),0)),INDEX(M_DepotPrice!$C$10:$C$52,MATCH(1,(M_DepotPrice!$A$10:$A$52=I15)*(M_DepotPrice!$G$10:$G$52="Default"),0)))*1.18</f>
        <v>13900.4</v>
      </c>
      <c r="N15" s="128">
        <f t="shared" si="0"/>
        <v>43.729598561100708</v>
      </c>
      <c r="O15" s="105" t="s">
        <v>3218</v>
      </c>
      <c r="P15" s="68" t="s">
        <v>3219</v>
      </c>
      <c r="Q15" s="62"/>
    </row>
    <row r="16" spans="1:17" ht="15" customHeight="1" x14ac:dyDescent="0.3">
      <c r="A16" s="70" t="s">
        <v>3226</v>
      </c>
      <c r="B16" s="129" t="s">
        <v>2827</v>
      </c>
      <c r="C16" s="130">
        <v>46179</v>
      </c>
      <c r="D16" s="131" t="s">
        <v>376</v>
      </c>
      <c r="E16" s="76" t="str">
        <f>IFERROR(INDEX(M_User!$A$12:$J$67,MATCH(D16,M_User!$D$12:$D$67,0),3),"UNMAPPED")</f>
        <v>Zefania Julius Ngoma</v>
      </c>
      <c r="F16" s="75" t="str">
        <f>IFERROR(INDEX(M_User!$A$12:$J$67,MATCH(D16,M_User!$D$12:$D$67,0),5),"UNMAPPED")</f>
        <v>MOS</v>
      </c>
      <c r="G16" s="75" t="str">
        <f>IFERROR(INDEX(M_Depot!$C$7:$C$24,MATCH(F16,M_Depot!$B$7:$B$24,0)),"NO DEPOT")</f>
        <v>MOS1000001</v>
      </c>
      <c r="H16" s="76" t="str">
        <f>IFERROR(INDEX(M_Depot!$D$7:$D$24,MATCH(F16,M_Depot!$B$7:$B$24,0)),"NO DEPOT")</f>
        <v>MOSHI Ambush</v>
      </c>
      <c r="I16" s="131" t="s">
        <v>185</v>
      </c>
      <c r="J16" s="76" t="str">
        <f>IFERROR(INDEX(M_SKU!$A$18:$J$57,MATCH(I16,M_SKU!$B$18:$B$57,0),1),"UNKNOWN SKU")</f>
        <v>Fanta Fruit Blast RGB 350 ml</v>
      </c>
      <c r="K16" s="131" t="s">
        <v>534</v>
      </c>
      <c r="L16" s="132">
        <v>4.3352658048196897E-3</v>
      </c>
      <c r="M16" s="94" cm="1">
        <f t="array" ref="M16">IFERROR(INDEX(M_DepotPrice!$C$10:$C$52,MATCH(1,(M_DepotPrice!$A$10:$A$52=I16)*(M_DepotPrice!$H$10:$H$52=IFERROR(INDEX(M_Depot!$A$7:$A$24,MATCH(F16,M_Depot!$B$7:$B$24,0)),""))*(M_DepotPrice!$G$10:$G$52="Special"),0)),INDEX(M_DepotPrice!$C$10:$C$52,MATCH(1,(M_DepotPrice!$A$10:$A$52=I16)*(M_DepotPrice!$G$10:$G$52="Default"),0)))*1.18</f>
        <v>13900.4</v>
      </c>
      <c r="N16" s="133">
        <f t="shared" si="0"/>
        <v>60.261928793315612</v>
      </c>
      <c r="O16" s="122" t="s">
        <v>3218</v>
      </c>
      <c r="P16" s="116" t="s">
        <v>3219</v>
      </c>
      <c r="Q16" s="118"/>
    </row>
    <row r="17" spans="1:17" ht="15" customHeight="1" x14ac:dyDescent="0.3">
      <c r="A17" s="60" t="s">
        <v>3227</v>
      </c>
      <c r="B17" s="126" t="s">
        <v>2828</v>
      </c>
      <c r="C17" s="62">
        <v>46179</v>
      </c>
      <c r="D17" s="63" t="s">
        <v>376</v>
      </c>
      <c r="E17" s="66" t="str">
        <f>IFERROR(INDEX(M_User!$A$12:$J$67,MATCH(D17,M_User!$D$12:$D$67,0),3),"UNMAPPED")</f>
        <v>Zefania Julius Ngoma</v>
      </c>
      <c r="F17" s="65" t="str">
        <f>IFERROR(INDEX(M_User!$A$12:$J$67,MATCH(D17,M_User!$D$12:$D$67,0),5),"UNMAPPED")</f>
        <v>MOS</v>
      </c>
      <c r="G17" s="65" t="str">
        <f>IFERROR(INDEX(M_Depot!$C$7:$C$24,MATCH(F17,M_Depot!$B$7:$B$24,0)),"NO DEPOT")</f>
        <v>MOS1000001</v>
      </c>
      <c r="H17" s="66" t="str">
        <f>IFERROR(INDEX(M_Depot!$D$7:$D$24,MATCH(F17,M_Depot!$B$7:$B$24,0)),"NO DEPOT")</f>
        <v>MOSHI Ambush</v>
      </c>
      <c r="I17" s="63" t="s">
        <v>187</v>
      </c>
      <c r="J17" s="66" t="str">
        <f>IFERROR(INDEX(M_SKU!$A$18:$J$57,MATCH(I17,M_SKU!$B$18:$B$57,0),1),"UNKNOWN SKU")</f>
        <v>Sprite 350ml</v>
      </c>
      <c r="K17" s="63" t="s">
        <v>535</v>
      </c>
      <c r="L17" s="127">
        <v>2.66923798572893E-3</v>
      </c>
      <c r="M17" s="91" cm="1">
        <f t="array" ref="M17">IFERROR(INDEX(M_DepotPrice!$C$10:$C$52,MATCH(1,(M_DepotPrice!$A$10:$A$52=I17)*(M_DepotPrice!$H$10:$H$52=IFERROR(INDEX(M_Depot!$A$7:$A$24,MATCH(F17,M_Depot!$B$7:$B$24,0)),""))*(M_DepotPrice!$G$10:$G$52="Special"),0)),INDEX(M_DepotPrice!$C$10:$C$52,MATCH(1,(M_DepotPrice!$A$10:$A$52=I17)*(M_DepotPrice!$G$10:$G$52="Default"),0)))*1.18</f>
        <v>13900.4</v>
      </c>
      <c r="N17" s="128">
        <f t="shared" si="0"/>
        <v>37.103475696826415</v>
      </c>
      <c r="O17" s="105" t="s">
        <v>3218</v>
      </c>
      <c r="P17" s="68" t="s">
        <v>3219</v>
      </c>
      <c r="Q17" s="62"/>
    </row>
    <row r="18" spans="1:17" ht="15" customHeight="1" x14ac:dyDescent="0.3">
      <c r="A18" s="70" t="s">
        <v>3228</v>
      </c>
      <c r="B18" s="129" t="s">
        <v>2840</v>
      </c>
      <c r="C18" s="130">
        <v>46179</v>
      </c>
      <c r="D18" s="131" t="s">
        <v>421</v>
      </c>
      <c r="E18" s="76" t="str">
        <f>IFERROR(INDEX(M_User!$A$12:$J$67,MATCH(D18,M_User!$D$12:$D$67,0),3),"UNMAPPED")</f>
        <v>Deodat Francis Materu</v>
      </c>
      <c r="F18" s="75" t="str">
        <f>IFERROR(INDEX(M_User!$A$12:$J$67,MATCH(D18,M_User!$D$12:$D$67,0),5),"UNMAPPED")</f>
        <v>MOS</v>
      </c>
      <c r="G18" s="75" t="str">
        <f>IFERROR(INDEX(M_Depot!$C$7:$C$24,MATCH(F18,M_Depot!$B$7:$B$24,0)),"NO DEPOT")</f>
        <v>MOS1000001</v>
      </c>
      <c r="H18" s="76" t="str">
        <f>IFERROR(INDEX(M_Depot!$D$7:$D$24,MATCH(F18,M_Depot!$B$7:$B$24,0)),"NO DEPOT")</f>
        <v>MOSHI Ambush</v>
      </c>
      <c r="I18" s="131" t="s">
        <v>170</v>
      </c>
      <c r="J18" s="76" t="str">
        <f>IFERROR(INDEX(M_SKU!$A$18:$J$57,MATCH(I18,M_SKU!$B$18:$B$57,0),1),"UNKNOWN SKU")</f>
        <v>Coke RGB 350ml</v>
      </c>
      <c r="K18" s="131" t="s">
        <v>530</v>
      </c>
      <c r="L18" s="132">
        <v>2.5662855929020601E-3</v>
      </c>
      <c r="M18" s="94" cm="1">
        <f t="array" ref="M18">IFERROR(INDEX(M_DepotPrice!$C$10:$C$52,MATCH(1,(M_DepotPrice!$A$10:$A$52=I18)*(M_DepotPrice!$H$10:$H$52=IFERROR(INDEX(M_Depot!$A$7:$A$24,MATCH(F18,M_Depot!$B$7:$B$24,0)),""))*(M_DepotPrice!$G$10:$G$52="Special"),0)),INDEX(M_DepotPrice!$C$10:$C$52,MATCH(1,(M_DepotPrice!$A$10:$A$52=I18)*(M_DepotPrice!$G$10:$G$52="Default"),0)))*1.18</f>
        <v>13900.4</v>
      </c>
      <c r="N18" s="133">
        <f t="shared" si="0"/>
        <v>35.672396255575798</v>
      </c>
      <c r="O18" s="122" t="s">
        <v>3218</v>
      </c>
      <c r="P18" s="116" t="s">
        <v>3219</v>
      </c>
      <c r="Q18" s="118"/>
    </row>
    <row r="19" spans="1:17" ht="15" customHeight="1" x14ac:dyDescent="0.3">
      <c r="A19" s="60" t="s">
        <v>3229</v>
      </c>
      <c r="B19" s="126" t="s">
        <v>2841</v>
      </c>
      <c r="C19" s="62">
        <v>46179</v>
      </c>
      <c r="D19" s="63" t="s">
        <v>421</v>
      </c>
      <c r="E19" s="66" t="str">
        <f>IFERROR(INDEX(M_User!$A$12:$J$67,MATCH(D19,M_User!$D$12:$D$67,0),3),"UNMAPPED")</f>
        <v>Deodat Francis Materu</v>
      </c>
      <c r="F19" s="65" t="str">
        <f>IFERROR(INDEX(M_User!$A$12:$J$67,MATCH(D19,M_User!$D$12:$D$67,0),5),"UNMAPPED")</f>
        <v>MOS</v>
      </c>
      <c r="G19" s="65" t="str">
        <f>IFERROR(INDEX(M_Depot!$C$7:$C$24,MATCH(F19,M_Depot!$B$7:$B$24,0)),"NO DEPOT")</f>
        <v>MOS1000001</v>
      </c>
      <c r="H19" s="66" t="str">
        <f>IFERROR(INDEX(M_Depot!$D$7:$D$24,MATCH(F19,M_Depot!$B$7:$B$24,0)),"NO DEPOT")</f>
        <v>MOSHI Ambush</v>
      </c>
      <c r="I19" s="63" t="s">
        <v>178</v>
      </c>
      <c r="J19" s="66" t="str">
        <f>IFERROR(INDEX(M_SKU!$A$18:$J$57,MATCH(I19,M_SKU!$B$18:$B$57,0),1),"UNKNOWN SKU")</f>
        <v>Fanta Orange RGB 350ml</v>
      </c>
      <c r="K19" s="63" t="s">
        <v>531</v>
      </c>
      <c r="L19" s="127">
        <v>8.7388464693116696E-4</v>
      </c>
      <c r="M19" s="91" cm="1">
        <f t="array" ref="M19">IFERROR(INDEX(M_DepotPrice!$C$10:$C$52,MATCH(1,(M_DepotPrice!$A$10:$A$52=I19)*(M_DepotPrice!$H$10:$H$52=IFERROR(INDEX(M_Depot!$A$7:$A$24,MATCH(F19,M_Depot!$B$7:$B$24,0)),""))*(M_DepotPrice!$G$10:$G$52="Special"),0)),INDEX(M_DepotPrice!$C$10:$C$52,MATCH(1,(M_DepotPrice!$A$10:$A$52=I19)*(M_DepotPrice!$G$10:$G$52="Default"),0)))*1.18</f>
        <v>13900.4</v>
      </c>
      <c r="N19" s="128">
        <f t="shared" si="0"/>
        <v>12.147346146201993</v>
      </c>
      <c r="O19" s="105" t="s">
        <v>3218</v>
      </c>
      <c r="P19" s="68" t="s">
        <v>3219</v>
      </c>
      <c r="Q19" s="62"/>
    </row>
    <row r="20" spans="1:17" ht="15" customHeight="1" x14ac:dyDescent="0.3">
      <c r="A20" s="70" t="s">
        <v>3230</v>
      </c>
      <c r="B20" s="129" t="s">
        <v>2842</v>
      </c>
      <c r="C20" s="130">
        <v>46179</v>
      </c>
      <c r="D20" s="131" t="s">
        <v>421</v>
      </c>
      <c r="E20" s="76" t="str">
        <f>IFERROR(INDEX(M_User!$A$12:$J$67,MATCH(D20,M_User!$D$12:$D$67,0),3),"UNMAPPED")</f>
        <v>Deodat Francis Materu</v>
      </c>
      <c r="F20" s="75" t="str">
        <f>IFERROR(INDEX(M_User!$A$12:$J$67,MATCH(D20,M_User!$D$12:$D$67,0),5),"UNMAPPED")</f>
        <v>MOS</v>
      </c>
      <c r="G20" s="75" t="str">
        <f>IFERROR(INDEX(M_Depot!$C$7:$C$24,MATCH(F20,M_Depot!$B$7:$B$24,0)),"NO DEPOT")</f>
        <v>MOS1000001</v>
      </c>
      <c r="H20" s="76" t="str">
        <f>IFERROR(INDEX(M_Depot!$D$7:$D$24,MATCH(F20,M_Depot!$B$7:$B$24,0)),"NO DEPOT")</f>
        <v>MOSHI Ambush</v>
      </c>
      <c r="I20" s="131" t="s">
        <v>181</v>
      </c>
      <c r="J20" s="76" t="str">
        <f>IFERROR(INDEX(M_SKU!$A$18:$J$57,MATCH(I20,M_SKU!$B$18:$B$57,0),1),"UNKNOWN SKU")</f>
        <v>Fanta Passion RGB 350ml</v>
      </c>
      <c r="K20" s="131" t="s">
        <v>550</v>
      </c>
      <c r="L20" s="132">
        <v>3.07814405523921E-3</v>
      </c>
      <c r="M20" s="94" cm="1">
        <f t="array" ref="M20">IFERROR(INDEX(M_DepotPrice!$C$10:$C$52,MATCH(1,(M_DepotPrice!$A$10:$A$52=I20)*(M_DepotPrice!$H$10:$H$52=IFERROR(INDEX(M_Depot!$A$7:$A$24,MATCH(F20,M_Depot!$B$7:$B$24,0)),""))*(M_DepotPrice!$G$10:$G$52="Special"),0)),INDEX(M_DepotPrice!$C$10:$C$52,MATCH(1,(M_DepotPrice!$A$10:$A$52=I20)*(M_DepotPrice!$G$10:$G$52="Default"),0)))*1.18</f>
        <v>13900.4</v>
      </c>
      <c r="N20" s="133">
        <f t="shared" si="0"/>
        <v>42.787433625447115</v>
      </c>
      <c r="O20" s="122" t="s">
        <v>3218</v>
      </c>
      <c r="P20" s="116" t="s">
        <v>3219</v>
      </c>
      <c r="Q20" s="118"/>
    </row>
    <row r="21" spans="1:17" ht="15" customHeight="1" x14ac:dyDescent="0.3">
      <c r="A21" s="60" t="s">
        <v>3231</v>
      </c>
      <c r="B21" s="126" t="s">
        <v>2843</v>
      </c>
      <c r="C21" s="62">
        <v>46179</v>
      </c>
      <c r="D21" s="63" t="s">
        <v>421</v>
      </c>
      <c r="E21" s="66" t="str">
        <f>IFERROR(INDEX(M_User!$A$12:$J$67,MATCH(D21,M_User!$D$12:$D$67,0),3),"UNMAPPED")</f>
        <v>Deodat Francis Materu</v>
      </c>
      <c r="F21" s="65" t="str">
        <f>IFERROR(INDEX(M_User!$A$12:$J$67,MATCH(D21,M_User!$D$12:$D$67,0),5),"UNMAPPED")</f>
        <v>MOS</v>
      </c>
      <c r="G21" s="65" t="str">
        <f>IFERROR(INDEX(M_Depot!$C$7:$C$24,MATCH(F21,M_Depot!$B$7:$B$24,0)),"NO DEPOT")</f>
        <v>MOS1000001</v>
      </c>
      <c r="H21" s="66" t="str">
        <f>IFERROR(INDEX(M_Depot!$D$7:$D$24,MATCH(F21,M_Depot!$B$7:$B$24,0)),"NO DEPOT")</f>
        <v>MOSHI Ambush</v>
      </c>
      <c r="I21" s="63" t="s">
        <v>183</v>
      </c>
      <c r="J21" s="66" t="str">
        <f>IFERROR(INDEX(M_SKU!$A$18:$J$57,MATCH(I21,M_SKU!$B$18:$B$57,0),1),"UNKNOWN SKU")</f>
        <v>Fanta Pineapple RGB 350ml</v>
      </c>
      <c r="K21" s="63" t="s">
        <v>533</v>
      </c>
      <c r="L21" s="127">
        <v>2.0751647645593798E-3</v>
      </c>
      <c r="M21" s="91" cm="1">
        <f t="array" ref="M21">IFERROR(INDEX(M_DepotPrice!$C$10:$C$52,MATCH(1,(M_DepotPrice!$A$10:$A$52=I21)*(M_DepotPrice!$H$10:$H$52=IFERROR(INDEX(M_Depot!$A$7:$A$24,MATCH(F21,M_Depot!$B$7:$B$24,0)),""))*(M_DepotPrice!$G$10:$G$52="Special"),0)),INDEX(M_DepotPrice!$C$10:$C$52,MATCH(1,(M_DepotPrice!$A$10:$A$52=I21)*(M_DepotPrice!$G$10:$G$52="Default"),0)))*1.18</f>
        <v>13900.4</v>
      </c>
      <c r="N21" s="128">
        <f t="shared" si="0"/>
        <v>28.8456202932812</v>
      </c>
      <c r="O21" s="105" t="s">
        <v>3218</v>
      </c>
      <c r="P21" s="68" t="s">
        <v>3219</v>
      </c>
      <c r="Q21" s="62"/>
    </row>
    <row r="22" spans="1:17" ht="15" customHeight="1" x14ac:dyDescent="0.3">
      <c r="A22" s="70" t="s">
        <v>3232</v>
      </c>
      <c r="B22" s="129" t="s">
        <v>2845</v>
      </c>
      <c r="C22" s="130">
        <v>46179</v>
      </c>
      <c r="D22" s="131" t="s">
        <v>421</v>
      </c>
      <c r="E22" s="76" t="str">
        <f>IFERROR(INDEX(M_User!$A$12:$J$67,MATCH(D22,M_User!$D$12:$D$67,0),3),"UNMAPPED")</f>
        <v>Deodat Francis Materu</v>
      </c>
      <c r="F22" s="75" t="str">
        <f>IFERROR(INDEX(M_User!$A$12:$J$67,MATCH(D22,M_User!$D$12:$D$67,0),5),"UNMAPPED")</f>
        <v>MOS</v>
      </c>
      <c r="G22" s="75" t="str">
        <f>IFERROR(INDEX(M_Depot!$C$7:$C$24,MATCH(F22,M_Depot!$B$7:$B$24,0)),"NO DEPOT")</f>
        <v>MOS1000001</v>
      </c>
      <c r="H22" s="76" t="str">
        <f>IFERROR(INDEX(M_Depot!$D$7:$D$24,MATCH(F22,M_Depot!$B$7:$B$24,0)),"NO DEPOT")</f>
        <v>MOSHI Ambush</v>
      </c>
      <c r="I22" s="131" t="s">
        <v>187</v>
      </c>
      <c r="J22" s="76" t="str">
        <f>IFERROR(INDEX(M_SKU!$A$18:$J$57,MATCH(I22,M_SKU!$B$18:$B$57,0),1),"UNKNOWN SKU")</f>
        <v>Sprite 350ml</v>
      </c>
      <c r="K22" s="131" t="s">
        <v>535</v>
      </c>
      <c r="L22" s="132">
        <v>1.33508719501929E-3</v>
      </c>
      <c r="M22" s="94" cm="1">
        <f t="array" ref="M22">IFERROR(INDEX(M_DepotPrice!$C$10:$C$52,MATCH(1,(M_DepotPrice!$A$10:$A$52=I22)*(M_DepotPrice!$H$10:$H$52=IFERROR(INDEX(M_Depot!$A$7:$A$24,MATCH(F22,M_Depot!$B$7:$B$24,0)),""))*(M_DepotPrice!$G$10:$G$52="Special"),0)),INDEX(M_DepotPrice!$C$10:$C$52,MATCH(1,(M_DepotPrice!$A$10:$A$52=I22)*(M_DepotPrice!$G$10:$G$52="Default"),0)))*1.18</f>
        <v>13900.4</v>
      </c>
      <c r="N22" s="133">
        <f t="shared" si="0"/>
        <v>18.55824604564614</v>
      </c>
      <c r="O22" s="122" t="s">
        <v>3218</v>
      </c>
      <c r="P22" s="116" t="s">
        <v>3219</v>
      </c>
      <c r="Q22" s="118"/>
    </row>
    <row r="23" spans="1:17" ht="15" customHeight="1" x14ac:dyDescent="0.3">
      <c r="A23" s="60" t="s">
        <v>3233</v>
      </c>
      <c r="B23" s="126" t="s">
        <v>2847</v>
      </c>
      <c r="C23" s="62">
        <v>46179</v>
      </c>
      <c r="D23" s="63" t="s">
        <v>421</v>
      </c>
      <c r="E23" s="66" t="str">
        <f>IFERROR(INDEX(M_User!$A$12:$J$67,MATCH(D23,M_User!$D$12:$D$67,0),3),"UNMAPPED")</f>
        <v>Deodat Francis Materu</v>
      </c>
      <c r="F23" s="65" t="str">
        <f>IFERROR(INDEX(M_User!$A$12:$J$67,MATCH(D23,M_User!$D$12:$D$67,0),5),"UNMAPPED")</f>
        <v>MOS</v>
      </c>
      <c r="G23" s="65" t="str">
        <f>IFERROR(INDEX(M_Depot!$C$7:$C$24,MATCH(F23,M_Depot!$B$7:$B$24,0)),"NO DEPOT")</f>
        <v>MOS1000001</v>
      </c>
      <c r="H23" s="66" t="str">
        <f>IFERROR(INDEX(M_Depot!$D$7:$D$24,MATCH(F23,M_Depot!$B$7:$B$24,0)),"NO DEPOT")</f>
        <v>MOSHI Ambush</v>
      </c>
      <c r="I23" s="63" t="s">
        <v>193</v>
      </c>
      <c r="J23" s="66" t="str">
        <f>IFERROR(INDEX(M_SKU!$A$18:$J$57,MATCH(I23,M_SKU!$B$18:$B$57,0),1),"UNKNOWN SKU")</f>
        <v>Sparletta Pinenut RGB 350ml</v>
      </c>
      <c r="K23" s="63" t="s">
        <v>537</v>
      </c>
      <c r="L23" s="127">
        <v>3.2481749314059501E-3</v>
      </c>
      <c r="M23" s="91" cm="1">
        <f t="array" ref="M23">IFERROR(INDEX(M_DepotPrice!$C$10:$C$52,MATCH(1,(M_DepotPrice!$A$10:$A$52=I23)*(M_DepotPrice!$H$10:$H$52=IFERROR(INDEX(M_Depot!$A$7:$A$24,MATCH(F23,M_Depot!$B$7:$B$24,0)),""))*(M_DepotPrice!$G$10:$G$52="Special"),0)),INDEX(M_DepotPrice!$C$10:$C$52,MATCH(1,(M_DepotPrice!$A$10:$A$52=I23)*(M_DepotPrice!$G$10:$G$52="Default"),0)))*1.18</f>
        <v>13900.4</v>
      </c>
      <c r="N23" s="128">
        <f t="shared" si="0"/>
        <v>45.15093081651527</v>
      </c>
      <c r="O23" s="105" t="s">
        <v>3218</v>
      </c>
      <c r="P23" s="68" t="s">
        <v>3219</v>
      </c>
      <c r="Q23" s="62"/>
    </row>
    <row r="24" spans="1:17" ht="15" customHeight="1" x14ac:dyDescent="0.3">
      <c r="A24" s="70" t="s">
        <v>3234</v>
      </c>
      <c r="B24" s="129" t="s">
        <v>2849</v>
      </c>
      <c r="C24" s="130">
        <v>46179</v>
      </c>
      <c r="D24" s="131" t="s">
        <v>421</v>
      </c>
      <c r="E24" s="76" t="str">
        <f>IFERROR(INDEX(M_User!$A$12:$J$67,MATCH(D24,M_User!$D$12:$D$67,0),3),"UNMAPPED")</f>
        <v>Deodat Francis Materu</v>
      </c>
      <c r="F24" s="75" t="str">
        <f>IFERROR(INDEX(M_User!$A$12:$J$67,MATCH(D24,M_User!$D$12:$D$67,0),5),"UNMAPPED")</f>
        <v>MOS</v>
      </c>
      <c r="G24" s="75" t="str">
        <f>IFERROR(INDEX(M_Depot!$C$7:$C$24,MATCH(F24,M_Depot!$B$7:$B$24,0)),"NO DEPOT")</f>
        <v>MOS1000001</v>
      </c>
      <c r="H24" s="76" t="str">
        <f>IFERROR(INDEX(M_Depot!$D$7:$D$24,MATCH(F24,M_Depot!$B$7:$B$24,0)),"NO DEPOT")</f>
        <v>MOSHI Ambush</v>
      </c>
      <c r="I24" s="131" t="s">
        <v>199</v>
      </c>
      <c r="J24" s="76" t="str">
        <f>IFERROR(INDEX(M_SKU!$A$18:$J$57,MATCH(I24,M_SKU!$B$18:$B$57,0),1),"UNKNOWN SKU")</f>
        <v>Krest Club Soda RGB 300ml</v>
      </c>
      <c r="K24" s="131" t="s">
        <v>539</v>
      </c>
      <c r="L24" s="132">
        <v>1.3011742492727899E-3</v>
      </c>
      <c r="M24" s="94" cm="1">
        <f t="array" ref="M24">IFERROR(INDEX(M_DepotPrice!$C$10:$C$52,MATCH(1,(M_DepotPrice!$A$10:$A$52=I24)*(M_DepotPrice!$H$10:$H$52=IFERROR(INDEX(M_Depot!$A$7:$A$24,MATCH(F24,M_Depot!$B$7:$B$24,0)),""))*(M_DepotPrice!$G$10:$G$52="Special"),0)),INDEX(M_DepotPrice!$C$10:$C$52,MATCH(1,(M_DepotPrice!$A$10:$A$52=I24)*(M_DepotPrice!$G$10:$G$52="Default"),0)))*1.18</f>
        <v>13900.4</v>
      </c>
      <c r="N24" s="133">
        <f t="shared" si="0"/>
        <v>18.08684253459149</v>
      </c>
      <c r="O24" s="122" t="s">
        <v>3218</v>
      </c>
      <c r="P24" s="116" t="s">
        <v>3219</v>
      </c>
      <c r="Q24" s="118"/>
    </row>
    <row r="25" spans="1:17" ht="15" customHeight="1" x14ac:dyDescent="0.3">
      <c r="A25" s="60" t="s">
        <v>3235</v>
      </c>
      <c r="B25" s="126" t="s">
        <v>2850</v>
      </c>
      <c r="C25" s="62">
        <v>46179</v>
      </c>
      <c r="D25" s="63" t="s">
        <v>421</v>
      </c>
      <c r="E25" s="66" t="str">
        <f>IFERROR(INDEX(M_User!$A$12:$J$67,MATCH(D25,M_User!$D$12:$D$67,0),3),"UNMAPPED")</f>
        <v>Deodat Francis Materu</v>
      </c>
      <c r="F25" s="65" t="str">
        <f>IFERROR(INDEX(M_User!$A$12:$J$67,MATCH(D25,M_User!$D$12:$D$67,0),5),"UNMAPPED")</f>
        <v>MOS</v>
      </c>
      <c r="G25" s="65" t="str">
        <f>IFERROR(INDEX(M_Depot!$C$7:$C$24,MATCH(F25,M_Depot!$B$7:$B$24,0)),"NO DEPOT")</f>
        <v>MOS1000001</v>
      </c>
      <c r="H25" s="66" t="str">
        <f>IFERROR(INDEX(M_Depot!$D$7:$D$24,MATCH(F25,M_Depot!$B$7:$B$24,0)),"NO DEPOT")</f>
        <v>MOSHI Ambush</v>
      </c>
      <c r="I25" s="63" t="s">
        <v>201</v>
      </c>
      <c r="J25" s="66" t="str">
        <f>IFERROR(INDEX(M_SKU!$A$18:$J$57,MATCH(I25,M_SKU!$B$18:$B$57,0),1),"UNKNOWN SKU")</f>
        <v>Krest Tonic Water RGB 300ml</v>
      </c>
      <c r="K25" s="63" t="s">
        <v>540</v>
      </c>
      <c r="L25" s="127">
        <v>8.2252986423902996E-4</v>
      </c>
      <c r="M25" s="91" cm="1">
        <f t="array" ref="M25">IFERROR(INDEX(M_DepotPrice!$C$10:$C$52,MATCH(1,(M_DepotPrice!$A$10:$A$52=I25)*(M_DepotPrice!$H$10:$H$52=IFERROR(INDEX(M_Depot!$A$7:$A$24,MATCH(F25,M_Depot!$B$7:$B$24,0)),""))*(M_DepotPrice!$G$10:$G$52="Special"),0)),INDEX(M_DepotPrice!$C$10:$C$52,MATCH(1,(M_DepotPrice!$A$10:$A$52=I25)*(M_DepotPrice!$G$10:$G$52="Default"),0)))*1.18</f>
        <v>13900.4</v>
      </c>
      <c r="N25" s="128">
        <f t="shared" si="0"/>
        <v>11.433494124868211</v>
      </c>
      <c r="O25" s="105" t="s">
        <v>3218</v>
      </c>
      <c r="P25" s="68" t="s">
        <v>3219</v>
      </c>
      <c r="Q25" s="62"/>
    </row>
    <row r="26" spans="1:17" ht="15" customHeight="1" x14ac:dyDescent="0.3">
      <c r="A26" s="70" t="s">
        <v>3236</v>
      </c>
      <c r="B26" s="129" t="s">
        <v>2851</v>
      </c>
      <c r="C26" s="130">
        <v>46179</v>
      </c>
      <c r="D26" s="131" t="s">
        <v>421</v>
      </c>
      <c r="E26" s="76" t="str">
        <f>IFERROR(INDEX(M_User!$A$12:$J$67,MATCH(D26,M_User!$D$12:$D$67,0),3),"UNMAPPED")</f>
        <v>Deodat Francis Materu</v>
      </c>
      <c r="F26" s="75" t="str">
        <f>IFERROR(INDEX(M_User!$A$12:$J$67,MATCH(D26,M_User!$D$12:$D$67,0),5),"UNMAPPED")</f>
        <v>MOS</v>
      </c>
      <c r="G26" s="75" t="str">
        <f>IFERROR(INDEX(M_Depot!$C$7:$C$24,MATCH(F26,M_Depot!$B$7:$B$24,0)),"NO DEPOT")</f>
        <v>MOS1000001</v>
      </c>
      <c r="H26" s="76" t="str">
        <f>IFERROR(INDEX(M_Depot!$D$7:$D$24,MATCH(F26,M_Depot!$B$7:$B$24,0)),"NO DEPOT")</f>
        <v>MOSHI Ambush</v>
      </c>
      <c r="I26" s="131" t="s">
        <v>203</v>
      </c>
      <c r="J26" s="76" t="str">
        <f>IFERROR(INDEX(M_SKU!$A$18:$J$57,MATCH(I26,M_SKU!$B$18:$B$57,0),1),"UNKNOWN SKU")</f>
        <v>Krest Ginger Ale RGB 300ml</v>
      </c>
      <c r="K26" s="131" t="s">
        <v>541</v>
      </c>
      <c r="L26" s="132">
        <v>1.1533975535660301E-3</v>
      </c>
      <c r="M26" s="94" cm="1">
        <f t="array" ref="M26">IFERROR(INDEX(M_DepotPrice!$C$10:$C$52,MATCH(1,(M_DepotPrice!$A$10:$A$52=I26)*(M_DepotPrice!$H$10:$H$52=IFERROR(INDEX(M_Depot!$A$7:$A$24,MATCH(F26,M_Depot!$B$7:$B$24,0)),""))*(M_DepotPrice!$G$10:$G$52="Special"),0)),INDEX(M_DepotPrice!$C$10:$C$52,MATCH(1,(M_DepotPrice!$A$10:$A$52=I26)*(M_DepotPrice!$G$10:$G$52="Default"),0)))*1.18</f>
        <v>13900.4</v>
      </c>
      <c r="N26" s="133">
        <f t="shared" si="0"/>
        <v>16.032687353589242</v>
      </c>
      <c r="O26" s="122" t="s">
        <v>3218</v>
      </c>
      <c r="P26" s="116" t="s">
        <v>3219</v>
      </c>
      <c r="Q26" s="118"/>
    </row>
    <row r="27" spans="1:17" ht="15" customHeight="1" x14ac:dyDescent="0.3">
      <c r="A27" s="60" t="s">
        <v>3237</v>
      </c>
      <c r="B27" s="126" t="s">
        <v>2852</v>
      </c>
      <c r="C27" s="62">
        <v>46179</v>
      </c>
      <c r="D27" s="63" t="s">
        <v>421</v>
      </c>
      <c r="E27" s="66" t="str">
        <f>IFERROR(INDEX(M_User!$A$12:$J$67,MATCH(D27,M_User!$D$12:$D$67,0),3),"UNMAPPED")</f>
        <v>Deodat Francis Materu</v>
      </c>
      <c r="F27" s="65" t="str">
        <f>IFERROR(INDEX(M_User!$A$12:$J$67,MATCH(D27,M_User!$D$12:$D$67,0),5),"UNMAPPED")</f>
        <v>MOS</v>
      </c>
      <c r="G27" s="65" t="str">
        <f>IFERROR(INDEX(M_Depot!$C$7:$C$24,MATCH(F27,M_Depot!$B$7:$B$24,0)),"NO DEPOT")</f>
        <v>MOS1000001</v>
      </c>
      <c r="H27" s="66" t="str">
        <f>IFERROR(INDEX(M_Depot!$D$7:$D$24,MATCH(F27,M_Depot!$B$7:$B$24,0)),"NO DEPOT")</f>
        <v>MOSHI Ambush</v>
      </c>
      <c r="I27" s="63" t="s">
        <v>209</v>
      </c>
      <c r="J27" s="66" t="str">
        <f>IFERROR(INDEX(M_SKU!$A$18:$J$57,MATCH(I27,M_SKU!$B$18:$B$57,0),1),"UNKNOWN SKU")</f>
        <v>Sparletta Red Apple RGB 350ml</v>
      </c>
      <c r="K27" s="63" t="s">
        <v>542</v>
      </c>
      <c r="L27" s="127">
        <v>2.7640083572079699E-3</v>
      </c>
      <c r="M27" s="91" cm="1">
        <f t="array" ref="M27">IFERROR(INDEX(M_DepotPrice!$C$10:$C$52,MATCH(1,(M_DepotPrice!$A$10:$A$52=I27)*(M_DepotPrice!$H$10:$H$52=IFERROR(INDEX(M_Depot!$A$7:$A$24,MATCH(F27,M_Depot!$B$7:$B$24,0)),""))*(M_DepotPrice!$G$10:$G$52="Special"),0)),INDEX(M_DepotPrice!$C$10:$C$52,MATCH(1,(M_DepotPrice!$A$10:$A$52=I27)*(M_DepotPrice!$G$10:$G$52="Default"),0)))*1.18</f>
        <v>13900.4</v>
      </c>
      <c r="N27" s="128">
        <f t="shared" si="0"/>
        <v>38.420821768533663</v>
      </c>
      <c r="O27" s="105" t="s">
        <v>3218</v>
      </c>
      <c r="P27" s="68" t="s">
        <v>3219</v>
      </c>
      <c r="Q27" s="62"/>
    </row>
    <row r="28" spans="1:17" ht="15" customHeight="1" x14ac:dyDescent="0.3">
      <c r="A28" s="70" t="s">
        <v>3238</v>
      </c>
      <c r="B28" s="129" t="s">
        <v>2870</v>
      </c>
      <c r="C28" s="130">
        <v>46179</v>
      </c>
      <c r="D28" s="131" t="s">
        <v>336</v>
      </c>
      <c r="E28" s="76" t="str">
        <f>IFERROR(INDEX(M_User!$A$12:$J$67,MATCH(D28,M_User!$D$12:$D$67,0),3),"UNMAPPED")</f>
        <v>George Gibson Mmary</v>
      </c>
      <c r="F28" s="75" t="str">
        <f>IFERROR(INDEX(M_User!$A$12:$J$67,MATCH(D28,M_User!$D$12:$D$67,0),5),"UNMAPPED")</f>
        <v>MOS</v>
      </c>
      <c r="G28" s="75" t="str">
        <f>IFERROR(INDEX(M_Depot!$C$7:$C$24,MATCH(F28,M_Depot!$B$7:$B$24,0)),"NO DEPOT")</f>
        <v>MOS1000001</v>
      </c>
      <c r="H28" s="76" t="str">
        <f>IFERROR(INDEX(M_Depot!$D$7:$D$24,MATCH(F28,M_Depot!$B$7:$B$24,0)),"NO DEPOT")</f>
        <v>MOSHI Ambush</v>
      </c>
      <c r="I28" s="131" t="s">
        <v>181</v>
      </c>
      <c r="J28" s="76" t="str">
        <f>IFERROR(INDEX(M_SKU!$A$18:$J$57,MATCH(I28,M_SKU!$B$18:$B$57,0),1),"UNKNOWN SKU")</f>
        <v>Fanta Passion RGB 350ml</v>
      </c>
      <c r="K28" s="131" t="s">
        <v>550</v>
      </c>
      <c r="L28" s="132">
        <v>4.2364434444093196E-3</v>
      </c>
      <c r="M28" s="94" cm="1">
        <f t="array" ref="M28">IFERROR(INDEX(M_DepotPrice!$C$10:$C$52,MATCH(1,(M_DepotPrice!$A$10:$A$52=I28)*(M_DepotPrice!$H$10:$H$52=IFERROR(INDEX(M_Depot!$A$7:$A$24,MATCH(F28,M_Depot!$B$7:$B$24,0)),""))*(M_DepotPrice!$G$10:$G$52="Special"),0)),INDEX(M_DepotPrice!$C$10:$C$52,MATCH(1,(M_DepotPrice!$A$10:$A$52=I28)*(M_DepotPrice!$G$10:$G$52="Default"),0)))*1.18</f>
        <v>13900.4</v>
      </c>
      <c r="N28" s="133">
        <f t="shared" si="0"/>
        <v>58.888258454667302</v>
      </c>
      <c r="O28" s="122" t="s">
        <v>3218</v>
      </c>
      <c r="P28" s="116" t="s">
        <v>3219</v>
      </c>
      <c r="Q28" s="118"/>
    </row>
    <row r="29" spans="1:17" ht="15" customHeight="1" x14ac:dyDescent="0.3">
      <c r="A29" s="60" t="s">
        <v>3239</v>
      </c>
      <c r="B29" s="126" t="s">
        <v>2871</v>
      </c>
      <c r="C29" s="62">
        <v>46179</v>
      </c>
      <c r="D29" s="63" t="s">
        <v>336</v>
      </c>
      <c r="E29" s="66" t="str">
        <f>IFERROR(INDEX(M_User!$A$12:$J$67,MATCH(D29,M_User!$D$12:$D$67,0),3),"UNMAPPED")</f>
        <v>George Gibson Mmary</v>
      </c>
      <c r="F29" s="65" t="str">
        <f>IFERROR(INDEX(M_User!$A$12:$J$67,MATCH(D29,M_User!$D$12:$D$67,0),5),"UNMAPPED")</f>
        <v>MOS</v>
      </c>
      <c r="G29" s="65" t="str">
        <f>IFERROR(INDEX(M_Depot!$C$7:$C$24,MATCH(F29,M_Depot!$B$7:$B$24,0)),"NO DEPOT")</f>
        <v>MOS1000001</v>
      </c>
      <c r="H29" s="66" t="str">
        <f>IFERROR(INDEX(M_Depot!$D$7:$D$24,MATCH(F29,M_Depot!$B$7:$B$24,0)),"NO DEPOT")</f>
        <v>MOSHI Ambush</v>
      </c>
      <c r="I29" s="63" t="s">
        <v>183</v>
      </c>
      <c r="J29" s="66" t="str">
        <f>IFERROR(INDEX(M_SKU!$A$18:$J$57,MATCH(I29,M_SKU!$B$18:$B$57,0),1),"UNKNOWN SKU")</f>
        <v>Fanta Pineapple RGB 350ml</v>
      </c>
      <c r="K29" s="63" t="s">
        <v>533</v>
      </c>
      <c r="L29" s="127">
        <v>4.76364386949646E-4</v>
      </c>
      <c r="M29" s="91" cm="1">
        <f t="array" ref="M29">IFERROR(INDEX(M_DepotPrice!$C$10:$C$52,MATCH(1,(M_DepotPrice!$A$10:$A$52=I29)*(M_DepotPrice!$H$10:$H$52=IFERROR(INDEX(M_Depot!$A$7:$A$24,MATCH(F29,M_Depot!$B$7:$B$24,0)),""))*(M_DepotPrice!$G$10:$G$52="Special"),0)),INDEX(M_DepotPrice!$C$10:$C$52,MATCH(1,(M_DepotPrice!$A$10:$A$52=I29)*(M_DepotPrice!$G$10:$G$52="Default"),0)))*1.18</f>
        <v>13900.4</v>
      </c>
      <c r="N29" s="128">
        <f t="shared" si="0"/>
        <v>6.6216555243548587</v>
      </c>
      <c r="O29" s="105" t="s">
        <v>3218</v>
      </c>
      <c r="P29" s="68" t="s">
        <v>3219</v>
      </c>
      <c r="Q29" s="62"/>
    </row>
    <row r="30" spans="1:17" ht="15" customHeight="1" x14ac:dyDescent="0.3">
      <c r="A30" s="70" t="s">
        <v>3240</v>
      </c>
      <c r="B30" s="129" t="s">
        <v>2872</v>
      </c>
      <c r="C30" s="130">
        <v>46179</v>
      </c>
      <c r="D30" s="131" t="s">
        <v>336</v>
      </c>
      <c r="E30" s="76" t="str">
        <f>IFERROR(INDEX(M_User!$A$12:$J$67,MATCH(D30,M_User!$D$12:$D$67,0),3),"UNMAPPED")</f>
        <v>George Gibson Mmary</v>
      </c>
      <c r="F30" s="75" t="str">
        <f>IFERROR(INDEX(M_User!$A$12:$J$67,MATCH(D30,M_User!$D$12:$D$67,0),5),"UNMAPPED")</f>
        <v>MOS</v>
      </c>
      <c r="G30" s="75" t="str">
        <f>IFERROR(INDEX(M_Depot!$C$7:$C$24,MATCH(F30,M_Depot!$B$7:$B$24,0)),"NO DEPOT")</f>
        <v>MOS1000001</v>
      </c>
      <c r="H30" s="76" t="str">
        <f>IFERROR(INDEX(M_Depot!$D$7:$D$24,MATCH(F30,M_Depot!$B$7:$B$24,0)),"NO DEPOT")</f>
        <v>MOSHI Ambush</v>
      </c>
      <c r="I30" s="131" t="s">
        <v>185</v>
      </c>
      <c r="J30" s="76" t="str">
        <f>IFERROR(INDEX(M_SKU!$A$18:$J$57,MATCH(I30,M_SKU!$B$18:$B$57,0),1),"UNKNOWN SKU")</f>
        <v>Fanta Fruit Blast RGB 350 ml</v>
      </c>
      <c r="K30" s="131" t="s">
        <v>534</v>
      </c>
      <c r="L30" s="132">
        <v>2.2880739493860202E-3</v>
      </c>
      <c r="M30" s="94" cm="1">
        <f t="array" ref="M30">IFERROR(INDEX(M_DepotPrice!$C$10:$C$52,MATCH(1,(M_DepotPrice!$A$10:$A$52=I30)*(M_DepotPrice!$H$10:$H$52=IFERROR(INDEX(M_Depot!$A$7:$A$24,MATCH(F30,M_Depot!$B$7:$B$24,0)),""))*(M_DepotPrice!$G$10:$G$52="Special"),0)),INDEX(M_DepotPrice!$C$10:$C$52,MATCH(1,(M_DepotPrice!$A$10:$A$52=I30)*(M_DepotPrice!$G$10:$G$52="Default"),0)))*1.18</f>
        <v>13900.4</v>
      </c>
      <c r="N30" s="133">
        <f t="shared" si="0"/>
        <v>31.805143126045433</v>
      </c>
      <c r="O30" s="122" t="s">
        <v>3218</v>
      </c>
      <c r="P30" s="116" t="s">
        <v>3219</v>
      </c>
      <c r="Q30" s="118"/>
    </row>
    <row r="31" spans="1:17" ht="15" customHeight="1" x14ac:dyDescent="0.3">
      <c r="A31" s="60" t="s">
        <v>3241</v>
      </c>
      <c r="B31" s="126" t="s">
        <v>2874</v>
      </c>
      <c r="C31" s="62">
        <v>46179</v>
      </c>
      <c r="D31" s="63" t="s">
        <v>336</v>
      </c>
      <c r="E31" s="66" t="str">
        <f>IFERROR(INDEX(M_User!$A$12:$J$67,MATCH(D31,M_User!$D$12:$D$67,0),3),"UNMAPPED")</f>
        <v>George Gibson Mmary</v>
      </c>
      <c r="F31" s="65" t="str">
        <f>IFERROR(INDEX(M_User!$A$12:$J$67,MATCH(D31,M_User!$D$12:$D$67,0),5),"UNMAPPED")</f>
        <v>MOS</v>
      </c>
      <c r="G31" s="65" t="str">
        <f>IFERROR(INDEX(M_Depot!$C$7:$C$24,MATCH(F31,M_Depot!$B$7:$B$24,0)),"NO DEPOT")</f>
        <v>MOS1000001</v>
      </c>
      <c r="H31" s="66" t="str">
        <f>IFERROR(INDEX(M_Depot!$D$7:$D$24,MATCH(F31,M_Depot!$B$7:$B$24,0)),"NO DEPOT")</f>
        <v>MOSHI Ambush</v>
      </c>
      <c r="I31" s="63" t="s">
        <v>190</v>
      </c>
      <c r="J31" s="66" t="str">
        <f>IFERROR(INDEX(M_SKU!$A$18:$J$57,MATCH(I31,M_SKU!$B$18:$B$57,0),1),"UNKNOWN SKU")</f>
        <v>Stoney Tangawizi RGB 350ml</v>
      </c>
      <c r="K31" s="63" t="s">
        <v>536</v>
      </c>
      <c r="L31" s="127">
        <v>1.7259117987000799E-3</v>
      </c>
      <c r="M31" s="91" cm="1">
        <f t="array" ref="M31">IFERROR(INDEX(M_DepotPrice!$C$10:$C$52,MATCH(1,(M_DepotPrice!$A$10:$A$52=I31)*(M_DepotPrice!$H$10:$H$52=IFERROR(INDEX(M_Depot!$A$7:$A$24,MATCH(F31,M_Depot!$B$7:$B$24,0)),""))*(M_DepotPrice!$G$10:$G$52="Special"),0)),INDEX(M_DepotPrice!$C$10:$C$52,MATCH(1,(M_DepotPrice!$A$10:$A$52=I31)*(M_DepotPrice!$G$10:$G$52="Default"),0)))*1.18</f>
        <v>13900.4</v>
      </c>
      <c r="N31" s="128">
        <f t="shared" si="0"/>
        <v>23.990864366650591</v>
      </c>
      <c r="O31" s="105" t="s">
        <v>3218</v>
      </c>
      <c r="P31" s="68" t="s">
        <v>3219</v>
      </c>
      <c r="Q31" s="62"/>
    </row>
    <row r="32" spans="1:17" ht="15" customHeight="1" x14ac:dyDescent="0.3">
      <c r="A32" s="70" t="s">
        <v>3242</v>
      </c>
      <c r="B32" s="129" t="s">
        <v>2875</v>
      </c>
      <c r="C32" s="130">
        <v>46179</v>
      </c>
      <c r="D32" s="131" t="s">
        <v>336</v>
      </c>
      <c r="E32" s="76" t="str">
        <f>IFERROR(INDEX(M_User!$A$12:$J$67,MATCH(D32,M_User!$D$12:$D$67,0),3),"UNMAPPED")</f>
        <v>George Gibson Mmary</v>
      </c>
      <c r="F32" s="75" t="str">
        <f>IFERROR(INDEX(M_User!$A$12:$J$67,MATCH(D32,M_User!$D$12:$D$67,0),5),"UNMAPPED")</f>
        <v>MOS</v>
      </c>
      <c r="G32" s="75" t="str">
        <f>IFERROR(INDEX(M_Depot!$C$7:$C$24,MATCH(F32,M_Depot!$B$7:$B$24,0)),"NO DEPOT")</f>
        <v>MOS1000001</v>
      </c>
      <c r="H32" s="76" t="str">
        <f>IFERROR(INDEX(M_Depot!$D$7:$D$24,MATCH(F32,M_Depot!$B$7:$B$24,0)),"NO DEPOT")</f>
        <v>MOSHI Ambush</v>
      </c>
      <c r="I32" s="131" t="s">
        <v>193</v>
      </c>
      <c r="J32" s="76" t="str">
        <f>IFERROR(INDEX(M_SKU!$A$18:$J$57,MATCH(I32,M_SKU!$B$18:$B$57,0),1),"UNKNOWN SKU")</f>
        <v>Sparletta Pinenut RGB 350ml</v>
      </c>
      <c r="K32" s="131" t="s">
        <v>537</v>
      </c>
      <c r="L32" s="132">
        <v>1.14833275745985E-3</v>
      </c>
      <c r="M32" s="94" cm="1">
        <f t="array" ref="M32">IFERROR(INDEX(M_DepotPrice!$C$10:$C$52,MATCH(1,(M_DepotPrice!$A$10:$A$52=I32)*(M_DepotPrice!$H$10:$H$52=IFERROR(INDEX(M_Depot!$A$7:$A$24,MATCH(F32,M_Depot!$B$7:$B$24,0)),""))*(M_DepotPrice!$G$10:$G$52="Special"),0)),INDEX(M_DepotPrice!$C$10:$C$52,MATCH(1,(M_DepotPrice!$A$10:$A$52=I32)*(M_DepotPrice!$G$10:$G$52="Default"),0)))*1.18</f>
        <v>13900.4</v>
      </c>
      <c r="N32" s="133">
        <f t="shared" si="0"/>
        <v>15.962284661794898</v>
      </c>
      <c r="O32" s="122" t="s">
        <v>3218</v>
      </c>
      <c r="P32" s="116" t="s">
        <v>3219</v>
      </c>
      <c r="Q32" s="118"/>
    </row>
    <row r="33" spans="1:17" ht="15" customHeight="1" x14ac:dyDescent="0.3">
      <c r="A33" s="60" t="s">
        <v>3243</v>
      </c>
      <c r="B33" s="126" t="s">
        <v>2876</v>
      </c>
      <c r="C33" s="62">
        <v>46179</v>
      </c>
      <c r="D33" s="63" t="s">
        <v>336</v>
      </c>
      <c r="E33" s="66" t="str">
        <f>IFERROR(INDEX(M_User!$A$12:$J$67,MATCH(D33,M_User!$D$12:$D$67,0),3),"UNMAPPED")</f>
        <v>George Gibson Mmary</v>
      </c>
      <c r="F33" s="65" t="str">
        <f>IFERROR(INDEX(M_User!$A$12:$J$67,MATCH(D33,M_User!$D$12:$D$67,0),5),"UNMAPPED")</f>
        <v>MOS</v>
      </c>
      <c r="G33" s="65" t="str">
        <f>IFERROR(INDEX(M_Depot!$C$7:$C$24,MATCH(F33,M_Depot!$B$7:$B$24,0)),"NO DEPOT")</f>
        <v>MOS1000001</v>
      </c>
      <c r="H33" s="66" t="str">
        <f>IFERROR(INDEX(M_Depot!$D$7:$D$24,MATCH(F33,M_Depot!$B$7:$B$24,0)),"NO DEPOT")</f>
        <v>MOSHI Ambush</v>
      </c>
      <c r="I33" s="63" t="s">
        <v>196</v>
      </c>
      <c r="J33" s="66" t="str">
        <f>IFERROR(INDEX(M_SKU!$A$18:$J$57,MATCH(I33,M_SKU!$B$18:$B$57,0),1),"UNKNOWN SKU")</f>
        <v>Krest Bitter Lemon RGB 300ml</v>
      </c>
      <c r="K33" s="63" t="s">
        <v>538</v>
      </c>
      <c r="L33" s="127">
        <v>4.9887160674211295E-4</v>
      </c>
      <c r="M33" s="91" cm="1">
        <f t="array" ref="M33">IFERROR(INDEX(M_DepotPrice!$C$10:$C$52,MATCH(1,(M_DepotPrice!$A$10:$A$52=I33)*(M_DepotPrice!$H$10:$H$52=IFERROR(INDEX(M_Depot!$A$7:$A$24,MATCH(F33,M_Depot!$B$7:$B$24,0)),""))*(M_DepotPrice!$G$10:$G$52="Special"),0)),INDEX(M_DepotPrice!$C$10:$C$52,MATCH(1,(M_DepotPrice!$A$10:$A$52=I33)*(M_DepotPrice!$G$10:$G$52="Default"),0)))*1.18</f>
        <v>13900.4</v>
      </c>
      <c r="N33" s="128">
        <f t="shared" si="0"/>
        <v>6.9345148823580667</v>
      </c>
      <c r="O33" s="105" t="s">
        <v>3218</v>
      </c>
      <c r="P33" s="68" t="s">
        <v>3219</v>
      </c>
      <c r="Q33" s="62"/>
    </row>
    <row r="34" spans="1:17" ht="15" customHeight="1" x14ac:dyDescent="0.3">
      <c r="A34" s="70" t="s">
        <v>3244</v>
      </c>
      <c r="B34" s="129" t="s">
        <v>2880</v>
      </c>
      <c r="C34" s="130">
        <v>46179</v>
      </c>
      <c r="D34" s="131" t="s">
        <v>336</v>
      </c>
      <c r="E34" s="76" t="str">
        <f>IFERROR(INDEX(M_User!$A$12:$J$67,MATCH(D34,M_User!$D$12:$D$67,0),3),"UNMAPPED")</f>
        <v>George Gibson Mmary</v>
      </c>
      <c r="F34" s="75" t="str">
        <f>IFERROR(INDEX(M_User!$A$12:$J$67,MATCH(D34,M_User!$D$12:$D$67,0),5),"UNMAPPED")</f>
        <v>MOS</v>
      </c>
      <c r="G34" s="75" t="str">
        <f>IFERROR(INDEX(M_Depot!$C$7:$C$24,MATCH(F34,M_Depot!$B$7:$B$24,0)),"NO DEPOT")</f>
        <v>MOS1000001</v>
      </c>
      <c r="H34" s="76" t="str">
        <f>IFERROR(INDEX(M_Depot!$D$7:$D$24,MATCH(F34,M_Depot!$B$7:$B$24,0)),"NO DEPOT")</f>
        <v>MOSHI Ambush</v>
      </c>
      <c r="I34" s="131" t="s">
        <v>209</v>
      </c>
      <c r="J34" s="76" t="str">
        <f>IFERROR(INDEX(M_SKU!$A$18:$J$57,MATCH(I34,M_SKU!$B$18:$B$57,0),1),"UNKNOWN SKU")</f>
        <v>Sparletta Red Apple RGB 350ml</v>
      </c>
      <c r="K34" s="131" t="s">
        <v>542</v>
      </c>
      <c r="L34" s="132">
        <v>1.87584999027979E-3</v>
      </c>
      <c r="M34" s="94" cm="1">
        <f t="array" ref="M34">IFERROR(INDEX(M_DepotPrice!$C$10:$C$52,MATCH(1,(M_DepotPrice!$A$10:$A$52=I34)*(M_DepotPrice!$H$10:$H$52=IFERROR(INDEX(M_Depot!$A$7:$A$24,MATCH(F34,M_Depot!$B$7:$B$24,0)),""))*(M_DepotPrice!$G$10:$G$52="Special"),0)),INDEX(M_DepotPrice!$C$10:$C$52,MATCH(1,(M_DepotPrice!$A$10:$A$52=I34)*(M_DepotPrice!$G$10:$G$52="Default"),0)))*1.18</f>
        <v>13900.4</v>
      </c>
      <c r="N34" s="133">
        <f t="shared" si="0"/>
        <v>26.075065204885192</v>
      </c>
      <c r="O34" s="122" t="s">
        <v>3218</v>
      </c>
      <c r="P34" s="116" t="s">
        <v>3219</v>
      </c>
      <c r="Q34" s="118"/>
    </row>
    <row r="35" spans="1:17" ht="15" customHeight="1" x14ac:dyDescent="0.3">
      <c r="A35" s="60" t="s">
        <v>3245</v>
      </c>
      <c r="B35" s="126" t="s">
        <v>2892</v>
      </c>
      <c r="C35" s="62">
        <v>46179</v>
      </c>
      <c r="D35" s="63" t="s">
        <v>339</v>
      </c>
      <c r="E35" s="66" t="str">
        <f>IFERROR(INDEX(M_User!$A$12:$J$67,MATCH(D35,M_User!$D$12:$D$67,0),3),"UNMAPPED")</f>
        <v>Erick K. Mkama</v>
      </c>
      <c r="F35" s="65" t="str">
        <f>IFERROR(INDEX(M_User!$A$12:$J$67,MATCH(D35,M_User!$D$12:$D$67,0),5),"UNMAPPED")</f>
        <v>MOS</v>
      </c>
      <c r="G35" s="65" t="str">
        <f>IFERROR(INDEX(M_Depot!$C$7:$C$24,MATCH(F35,M_Depot!$B$7:$B$24,0)),"NO DEPOT")</f>
        <v>MOS1000001</v>
      </c>
      <c r="H35" s="66" t="str">
        <f>IFERROR(INDEX(M_Depot!$D$7:$D$24,MATCH(F35,M_Depot!$B$7:$B$24,0)),"NO DEPOT")</f>
        <v>MOSHI Ambush</v>
      </c>
      <c r="I35" s="63" t="s">
        <v>178</v>
      </c>
      <c r="J35" s="66" t="str">
        <f>IFERROR(INDEX(M_SKU!$A$18:$J$57,MATCH(I35,M_SKU!$B$18:$B$57,0),1),"UNKNOWN SKU")</f>
        <v>Fanta Orange RGB 350ml</v>
      </c>
      <c r="K35" s="63" t="s">
        <v>531</v>
      </c>
      <c r="L35" s="127">
        <v>1.0213285305495901E-3</v>
      </c>
      <c r="M35" s="91" cm="1">
        <f t="array" ref="M35">IFERROR(INDEX(M_DepotPrice!$C$10:$C$52,MATCH(1,(M_DepotPrice!$A$10:$A$52=I35)*(M_DepotPrice!$H$10:$H$52=IFERROR(INDEX(M_Depot!$A$7:$A$24,MATCH(F35,M_Depot!$B$7:$B$24,0)),""))*(M_DepotPrice!$G$10:$G$52="Special"),0)),INDEX(M_DepotPrice!$C$10:$C$52,MATCH(1,(M_DepotPrice!$A$10:$A$52=I35)*(M_DepotPrice!$G$10:$G$52="Default"),0)))*1.18</f>
        <v>13900.4</v>
      </c>
      <c r="N35" s="128">
        <f t="shared" si="0"/>
        <v>14.196875106051522</v>
      </c>
      <c r="O35" s="105" t="s">
        <v>3218</v>
      </c>
      <c r="P35" s="68" t="s">
        <v>3219</v>
      </c>
      <c r="Q35" s="62"/>
    </row>
    <row r="36" spans="1:17" ht="15" customHeight="1" x14ac:dyDescent="0.3">
      <c r="A36" s="70" t="s">
        <v>3246</v>
      </c>
      <c r="B36" s="129" t="s">
        <v>2893</v>
      </c>
      <c r="C36" s="130">
        <v>46179</v>
      </c>
      <c r="D36" s="131" t="s">
        <v>339</v>
      </c>
      <c r="E36" s="76" t="str">
        <f>IFERROR(INDEX(M_User!$A$12:$J$67,MATCH(D36,M_User!$D$12:$D$67,0),3),"UNMAPPED")</f>
        <v>Erick K. Mkama</v>
      </c>
      <c r="F36" s="75" t="str">
        <f>IFERROR(INDEX(M_User!$A$12:$J$67,MATCH(D36,M_User!$D$12:$D$67,0),5),"UNMAPPED")</f>
        <v>MOS</v>
      </c>
      <c r="G36" s="75" t="str">
        <f>IFERROR(INDEX(M_Depot!$C$7:$C$24,MATCH(F36,M_Depot!$B$7:$B$24,0)),"NO DEPOT")</f>
        <v>MOS1000001</v>
      </c>
      <c r="H36" s="76" t="str">
        <f>IFERROR(INDEX(M_Depot!$D$7:$D$24,MATCH(F36,M_Depot!$B$7:$B$24,0)),"NO DEPOT")</f>
        <v>MOSHI Ambush</v>
      </c>
      <c r="I36" s="131" t="s">
        <v>181</v>
      </c>
      <c r="J36" s="76" t="str">
        <f>IFERROR(INDEX(M_SKU!$A$18:$J$57,MATCH(I36,M_SKU!$B$18:$B$57,0),1),"UNKNOWN SKU")</f>
        <v>Fanta Passion RGB 350ml</v>
      </c>
      <c r="K36" s="131" t="s">
        <v>550</v>
      </c>
      <c r="L36" s="132">
        <v>1.9391514805988701E-4</v>
      </c>
      <c r="M36" s="94" cm="1">
        <f t="array" ref="M36">IFERROR(INDEX(M_DepotPrice!$C$10:$C$52,MATCH(1,(M_DepotPrice!$A$10:$A$52=I36)*(M_DepotPrice!$H$10:$H$52=IFERROR(INDEX(M_Depot!$A$7:$A$24,MATCH(F36,M_Depot!$B$7:$B$24,0)),""))*(M_DepotPrice!$G$10:$G$52="Special"),0)),INDEX(M_DepotPrice!$C$10:$C$52,MATCH(1,(M_DepotPrice!$A$10:$A$52=I36)*(M_DepotPrice!$G$10:$G$52="Default"),0)))*1.18</f>
        <v>13900.4</v>
      </c>
      <c r="N36" s="133">
        <f t="shared" si="0"/>
        <v>2.6954981240916536</v>
      </c>
      <c r="O36" s="122" t="s">
        <v>3218</v>
      </c>
      <c r="P36" s="116" t="s">
        <v>3219</v>
      </c>
      <c r="Q36" s="118"/>
    </row>
    <row r="37" spans="1:17" ht="15" customHeight="1" x14ac:dyDescent="0.3">
      <c r="A37" s="60" t="s">
        <v>3247</v>
      </c>
      <c r="B37" s="126" t="s">
        <v>2896</v>
      </c>
      <c r="C37" s="62">
        <v>46179</v>
      </c>
      <c r="D37" s="63" t="s">
        <v>339</v>
      </c>
      <c r="E37" s="66" t="str">
        <f>IFERROR(INDEX(M_User!$A$12:$J$67,MATCH(D37,M_User!$D$12:$D$67,0),3),"UNMAPPED")</f>
        <v>Erick K. Mkama</v>
      </c>
      <c r="F37" s="65" t="str">
        <f>IFERROR(INDEX(M_User!$A$12:$J$67,MATCH(D37,M_User!$D$12:$D$67,0),5),"UNMAPPED")</f>
        <v>MOS</v>
      </c>
      <c r="G37" s="65" t="str">
        <f>IFERROR(INDEX(M_Depot!$C$7:$C$24,MATCH(F37,M_Depot!$B$7:$B$24,0)),"NO DEPOT")</f>
        <v>MOS1000001</v>
      </c>
      <c r="H37" s="66" t="str">
        <f>IFERROR(INDEX(M_Depot!$D$7:$D$24,MATCH(F37,M_Depot!$B$7:$B$24,0)),"NO DEPOT")</f>
        <v>MOSHI Ambush</v>
      </c>
      <c r="I37" s="63" t="s">
        <v>187</v>
      </c>
      <c r="J37" s="66" t="str">
        <f>IFERROR(INDEX(M_SKU!$A$18:$J$57,MATCH(I37,M_SKU!$B$18:$B$57,0),1),"UNKNOWN SKU")</f>
        <v>Sprite 350ml</v>
      </c>
      <c r="K37" s="63" t="s">
        <v>535</v>
      </c>
      <c r="L37" s="127">
        <v>1.70933293018982E-3</v>
      </c>
      <c r="M37" s="91" cm="1">
        <f t="array" ref="M37">IFERROR(INDEX(M_DepotPrice!$C$10:$C$52,MATCH(1,(M_DepotPrice!$A$10:$A$52=I37)*(M_DepotPrice!$H$10:$H$52=IFERROR(INDEX(M_Depot!$A$7:$A$24,MATCH(F37,M_Depot!$B$7:$B$24,0)),""))*(M_DepotPrice!$G$10:$G$52="Special"),0)),INDEX(M_DepotPrice!$C$10:$C$52,MATCH(1,(M_DepotPrice!$A$10:$A$52=I37)*(M_DepotPrice!$G$10:$G$52="Default"),0)))*1.18</f>
        <v>13900.4</v>
      </c>
      <c r="N37" s="128">
        <f t="shared" si="0"/>
        <v>23.760411462810573</v>
      </c>
      <c r="O37" s="105" t="s">
        <v>3218</v>
      </c>
      <c r="P37" s="68" t="s">
        <v>3219</v>
      </c>
      <c r="Q37" s="62"/>
    </row>
    <row r="38" spans="1:17" ht="15" customHeight="1" x14ac:dyDescent="0.3">
      <c r="A38" s="70" t="s">
        <v>3248</v>
      </c>
      <c r="B38" s="129" t="s">
        <v>2899</v>
      </c>
      <c r="C38" s="130">
        <v>46179</v>
      </c>
      <c r="D38" s="131" t="s">
        <v>339</v>
      </c>
      <c r="E38" s="76" t="str">
        <f>IFERROR(INDEX(M_User!$A$12:$J$67,MATCH(D38,M_User!$D$12:$D$67,0),3),"UNMAPPED")</f>
        <v>Erick K. Mkama</v>
      </c>
      <c r="F38" s="75" t="str">
        <f>IFERROR(INDEX(M_User!$A$12:$J$67,MATCH(D38,M_User!$D$12:$D$67,0),5),"UNMAPPED")</f>
        <v>MOS</v>
      </c>
      <c r="G38" s="75" t="str">
        <f>IFERROR(INDEX(M_Depot!$C$7:$C$24,MATCH(F38,M_Depot!$B$7:$B$24,0)),"NO DEPOT")</f>
        <v>MOS1000001</v>
      </c>
      <c r="H38" s="76" t="str">
        <f>IFERROR(INDEX(M_Depot!$D$7:$D$24,MATCH(F38,M_Depot!$B$7:$B$24,0)),"NO DEPOT")</f>
        <v>MOSHI Ambush</v>
      </c>
      <c r="I38" s="131" t="s">
        <v>196</v>
      </c>
      <c r="J38" s="76" t="str">
        <f>IFERROR(INDEX(M_SKU!$A$18:$J$57,MATCH(I38,M_SKU!$B$18:$B$57,0),1),"UNKNOWN SKU")</f>
        <v>Krest Bitter Lemon RGB 300ml</v>
      </c>
      <c r="K38" s="131" t="s">
        <v>538</v>
      </c>
      <c r="L38" s="132">
        <v>2.61642120881322E-3</v>
      </c>
      <c r="M38" s="94" cm="1">
        <f t="array" ref="M38">IFERROR(INDEX(M_DepotPrice!$C$10:$C$52,MATCH(1,(M_DepotPrice!$A$10:$A$52=I38)*(M_DepotPrice!$H$10:$H$52=IFERROR(INDEX(M_Depot!$A$7:$A$24,MATCH(F38,M_Depot!$B$7:$B$24,0)),""))*(M_DepotPrice!$G$10:$G$52="Special"),0)),INDEX(M_DepotPrice!$C$10:$C$52,MATCH(1,(M_DepotPrice!$A$10:$A$52=I38)*(M_DepotPrice!$G$10:$G$52="Default"),0)))*1.18</f>
        <v>13900.4</v>
      </c>
      <c r="N38" s="133">
        <f t="shared" si="0"/>
        <v>36.36930137098728</v>
      </c>
      <c r="O38" s="122" t="s">
        <v>3218</v>
      </c>
      <c r="P38" s="116" t="s">
        <v>3219</v>
      </c>
      <c r="Q38" s="118"/>
    </row>
    <row r="39" spans="1:17" ht="15" customHeight="1" x14ac:dyDescent="0.3">
      <c r="A39" s="60" t="s">
        <v>3249</v>
      </c>
      <c r="B39" s="126" t="s">
        <v>2900</v>
      </c>
      <c r="C39" s="62">
        <v>46179</v>
      </c>
      <c r="D39" s="63" t="s">
        <v>339</v>
      </c>
      <c r="E39" s="66" t="str">
        <f>IFERROR(INDEX(M_User!$A$12:$J$67,MATCH(D39,M_User!$D$12:$D$67,0),3),"UNMAPPED")</f>
        <v>Erick K. Mkama</v>
      </c>
      <c r="F39" s="65" t="str">
        <f>IFERROR(INDEX(M_User!$A$12:$J$67,MATCH(D39,M_User!$D$12:$D$67,0),5),"UNMAPPED")</f>
        <v>MOS</v>
      </c>
      <c r="G39" s="65" t="str">
        <f>IFERROR(INDEX(M_Depot!$C$7:$C$24,MATCH(F39,M_Depot!$B$7:$B$24,0)),"NO DEPOT")</f>
        <v>MOS1000001</v>
      </c>
      <c r="H39" s="66" t="str">
        <f>IFERROR(INDEX(M_Depot!$D$7:$D$24,MATCH(F39,M_Depot!$B$7:$B$24,0)),"NO DEPOT")</f>
        <v>MOSHI Ambush</v>
      </c>
      <c r="I39" s="63" t="s">
        <v>199</v>
      </c>
      <c r="J39" s="66" t="str">
        <f>IFERROR(INDEX(M_SKU!$A$18:$J$57,MATCH(I39,M_SKU!$B$18:$B$57,0),1),"UNKNOWN SKU")</f>
        <v>Krest Club Soda RGB 300ml</v>
      </c>
      <c r="K39" s="63" t="s">
        <v>539</v>
      </c>
      <c r="L39" s="127">
        <v>3.26926038610292E-3</v>
      </c>
      <c r="M39" s="91" cm="1">
        <f t="array" ref="M39">IFERROR(INDEX(M_DepotPrice!$C$10:$C$52,MATCH(1,(M_DepotPrice!$A$10:$A$52=I39)*(M_DepotPrice!$H$10:$H$52=IFERROR(INDEX(M_Depot!$A$7:$A$24,MATCH(F39,M_Depot!$B$7:$B$24,0)),""))*(M_DepotPrice!$G$10:$G$52="Special"),0)),INDEX(M_DepotPrice!$C$10:$C$52,MATCH(1,(M_DepotPrice!$A$10:$A$52=I39)*(M_DepotPrice!$G$10:$G$52="Default"),0)))*1.18</f>
        <v>13900.4</v>
      </c>
      <c r="N39" s="128">
        <f t="shared" si="0"/>
        <v>45.44402707098503</v>
      </c>
      <c r="O39" s="105" t="s">
        <v>3218</v>
      </c>
      <c r="P39" s="68" t="s">
        <v>3219</v>
      </c>
      <c r="Q39" s="62"/>
    </row>
    <row r="40" spans="1:17" ht="15" customHeight="1" x14ac:dyDescent="0.3">
      <c r="A40" s="70" t="s">
        <v>3250</v>
      </c>
      <c r="B40" s="129" t="s">
        <v>2901</v>
      </c>
      <c r="C40" s="130">
        <v>46179</v>
      </c>
      <c r="D40" s="131" t="s">
        <v>339</v>
      </c>
      <c r="E40" s="76" t="str">
        <f>IFERROR(INDEX(M_User!$A$12:$J$67,MATCH(D40,M_User!$D$12:$D$67,0),3),"UNMAPPED")</f>
        <v>Erick K. Mkama</v>
      </c>
      <c r="F40" s="75" t="str">
        <f>IFERROR(INDEX(M_User!$A$12:$J$67,MATCH(D40,M_User!$D$12:$D$67,0),5),"UNMAPPED")</f>
        <v>MOS</v>
      </c>
      <c r="G40" s="75" t="str">
        <f>IFERROR(INDEX(M_Depot!$C$7:$C$24,MATCH(F40,M_Depot!$B$7:$B$24,0)),"NO DEPOT")</f>
        <v>MOS1000001</v>
      </c>
      <c r="H40" s="76" t="str">
        <f>IFERROR(INDEX(M_Depot!$D$7:$D$24,MATCH(F40,M_Depot!$B$7:$B$24,0)),"NO DEPOT")</f>
        <v>MOSHI Ambush</v>
      </c>
      <c r="I40" s="131" t="s">
        <v>201</v>
      </c>
      <c r="J40" s="76" t="str">
        <f>IFERROR(INDEX(M_SKU!$A$18:$J$57,MATCH(I40,M_SKU!$B$18:$B$57,0),1),"UNKNOWN SKU")</f>
        <v>Krest Tonic Water RGB 300ml</v>
      </c>
      <c r="K40" s="131" t="s">
        <v>540</v>
      </c>
      <c r="L40" s="132">
        <v>1.37916300284291E-3</v>
      </c>
      <c r="M40" s="94" cm="1">
        <f t="array" ref="M40">IFERROR(INDEX(M_DepotPrice!$C$10:$C$52,MATCH(1,(M_DepotPrice!$A$10:$A$52=I40)*(M_DepotPrice!$H$10:$H$52=IFERROR(INDEX(M_Depot!$A$7:$A$24,MATCH(F40,M_Depot!$B$7:$B$24,0)),""))*(M_DepotPrice!$G$10:$G$52="Special"),0)),INDEX(M_DepotPrice!$C$10:$C$52,MATCH(1,(M_DepotPrice!$A$10:$A$52=I40)*(M_DepotPrice!$G$10:$G$52="Default"),0)))*1.18</f>
        <v>13900.4</v>
      </c>
      <c r="N40" s="133">
        <f t="shared" si="0"/>
        <v>19.170917404717585</v>
      </c>
      <c r="O40" s="122" t="s">
        <v>3218</v>
      </c>
      <c r="P40" s="116" t="s">
        <v>3219</v>
      </c>
      <c r="Q40" s="118"/>
    </row>
    <row r="41" spans="1:17" ht="15" customHeight="1" x14ac:dyDescent="0.3">
      <c r="A41" s="60" t="s">
        <v>3251</v>
      </c>
      <c r="B41" s="126" t="s">
        <v>2924</v>
      </c>
      <c r="C41" s="62">
        <v>46179</v>
      </c>
      <c r="D41" s="63" t="s">
        <v>412</v>
      </c>
      <c r="E41" s="66" t="str">
        <f>IFERROR(INDEX(M_User!$A$12:$J$67,MATCH(D41,M_User!$D$12:$D$67,0),3),"UNMAPPED")</f>
        <v>Jonas Steven Michael</v>
      </c>
      <c r="F41" s="65" t="str">
        <f>IFERROR(INDEX(M_User!$A$12:$J$67,MATCH(D41,M_User!$D$12:$D$67,0),5),"UNMAPPED")</f>
        <v>MOS</v>
      </c>
      <c r="G41" s="65" t="str">
        <f>IFERROR(INDEX(M_Depot!$C$7:$C$24,MATCH(F41,M_Depot!$B$7:$B$24,0)),"NO DEPOT")</f>
        <v>MOS1000001</v>
      </c>
      <c r="H41" s="66" t="str">
        <f>IFERROR(INDEX(M_Depot!$D$7:$D$24,MATCH(F41,M_Depot!$B$7:$B$24,0)),"NO DEPOT")</f>
        <v>MOSHI Ambush</v>
      </c>
      <c r="I41" s="63" t="s">
        <v>193</v>
      </c>
      <c r="J41" s="66" t="str">
        <f>IFERROR(INDEX(M_SKU!$A$18:$J$57,MATCH(I41,M_SKU!$B$18:$B$57,0),1),"UNKNOWN SKU")</f>
        <v>Sparletta Pinenut RGB 350ml</v>
      </c>
      <c r="K41" s="63" t="s">
        <v>537</v>
      </c>
      <c r="L41" s="127">
        <v>4.2466684211003303E-3</v>
      </c>
      <c r="M41" s="91" cm="1">
        <f t="array" ref="M41">IFERROR(INDEX(M_DepotPrice!$C$10:$C$52,MATCH(1,(M_DepotPrice!$A$10:$A$52=I41)*(M_DepotPrice!$H$10:$H$52=IFERROR(INDEX(M_Depot!$A$7:$A$24,MATCH(F41,M_Depot!$B$7:$B$24,0)),""))*(M_DepotPrice!$G$10:$G$52="Special"),0)),INDEX(M_DepotPrice!$C$10:$C$52,MATCH(1,(M_DepotPrice!$A$10:$A$52=I41)*(M_DepotPrice!$G$10:$G$52="Default"),0)))*1.18</f>
        <v>13900.4</v>
      </c>
      <c r="N41" s="128">
        <f t="shared" ref="N41:N72" si="1">L41*M41</f>
        <v>59.030389720663031</v>
      </c>
      <c r="O41" s="105" t="s">
        <v>3218</v>
      </c>
      <c r="P41" s="68" t="s">
        <v>3219</v>
      </c>
      <c r="Q41" s="62"/>
    </row>
    <row r="42" spans="1:17" ht="15" customHeight="1" x14ac:dyDescent="0.3">
      <c r="A42" s="70" t="s">
        <v>3252</v>
      </c>
      <c r="B42" s="129" t="s">
        <v>2942</v>
      </c>
      <c r="C42" s="130">
        <v>46179</v>
      </c>
      <c r="D42" s="131" t="s">
        <v>384</v>
      </c>
      <c r="E42" s="76" t="str">
        <f>IFERROR(INDEX(M_User!$A$12:$J$67,MATCH(D42,M_User!$D$12:$D$67,0),3),"UNMAPPED")</f>
        <v>Gastory S Msaki</v>
      </c>
      <c r="F42" s="75" t="str">
        <f>IFERROR(INDEX(M_User!$A$12:$J$67,MATCH(D42,M_User!$D$12:$D$67,0),5),"UNMAPPED")</f>
        <v>MOS</v>
      </c>
      <c r="G42" s="75" t="str">
        <f>IFERROR(INDEX(M_Depot!$C$7:$C$24,MATCH(F42,M_Depot!$B$7:$B$24,0)),"NO DEPOT")</f>
        <v>MOS1000001</v>
      </c>
      <c r="H42" s="76" t="str">
        <f>IFERROR(INDEX(M_Depot!$D$7:$D$24,MATCH(F42,M_Depot!$B$7:$B$24,0)),"NO DEPOT")</f>
        <v>MOSHI Ambush</v>
      </c>
      <c r="I42" s="131" t="s">
        <v>170</v>
      </c>
      <c r="J42" s="76" t="str">
        <f>IFERROR(INDEX(M_SKU!$A$18:$J$57,MATCH(I42,M_SKU!$B$18:$B$57,0),1),"UNKNOWN SKU")</f>
        <v>Coke RGB 350ml</v>
      </c>
      <c r="K42" s="131" t="s">
        <v>530</v>
      </c>
      <c r="L42" s="132">
        <v>3.5482308156016299E-3</v>
      </c>
      <c r="M42" s="94" cm="1">
        <f t="array" ref="M42">IFERROR(INDEX(M_DepotPrice!$C$10:$C$52,MATCH(1,(M_DepotPrice!$A$10:$A$52=I42)*(M_DepotPrice!$H$10:$H$52=IFERROR(INDEX(M_Depot!$A$7:$A$24,MATCH(F42,M_Depot!$B$7:$B$24,0)),""))*(M_DepotPrice!$G$10:$G$52="Special"),0)),INDEX(M_DepotPrice!$C$10:$C$52,MATCH(1,(M_DepotPrice!$A$10:$A$52=I42)*(M_DepotPrice!$G$10:$G$52="Default"),0)))*1.18</f>
        <v>13900.4</v>
      </c>
      <c r="N42" s="133">
        <f t="shared" si="1"/>
        <v>49.321827629188896</v>
      </c>
      <c r="O42" s="122" t="s">
        <v>3218</v>
      </c>
      <c r="P42" s="116" t="s">
        <v>3219</v>
      </c>
      <c r="Q42" s="118"/>
    </row>
    <row r="43" spans="1:17" ht="15" customHeight="1" x14ac:dyDescent="0.3">
      <c r="A43" s="60" t="s">
        <v>3253</v>
      </c>
      <c r="B43" s="126" t="s">
        <v>2945</v>
      </c>
      <c r="C43" s="62">
        <v>46179</v>
      </c>
      <c r="D43" s="63" t="s">
        <v>384</v>
      </c>
      <c r="E43" s="66" t="str">
        <f>IFERROR(INDEX(M_User!$A$12:$J$67,MATCH(D43,M_User!$D$12:$D$67,0),3),"UNMAPPED")</f>
        <v>Gastory S Msaki</v>
      </c>
      <c r="F43" s="65" t="str">
        <f>IFERROR(INDEX(M_User!$A$12:$J$67,MATCH(D43,M_User!$D$12:$D$67,0),5),"UNMAPPED")</f>
        <v>MOS</v>
      </c>
      <c r="G43" s="65" t="str">
        <f>IFERROR(INDEX(M_Depot!$C$7:$C$24,MATCH(F43,M_Depot!$B$7:$B$24,0)),"NO DEPOT")</f>
        <v>MOS1000001</v>
      </c>
      <c r="H43" s="66" t="str">
        <f>IFERROR(INDEX(M_Depot!$D$7:$D$24,MATCH(F43,M_Depot!$B$7:$B$24,0)),"NO DEPOT")</f>
        <v>MOSHI Ambush</v>
      </c>
      <c r="I43" s="63" t="s">
        <v>183</v>
      </c>
      <c r="J43" s="66" t="str">
        <f>IFERROR(INDEX(M_SKU!$A$18:$J$57,MATCH(I43,M_SKU!$B$18:$B$57,0),1),"UNKNOWN SKU")</f>
        <v>Fanta Pineapple RGB 350ml</v>
      </c>
      <c r="K43" s="63" t="s">
        <v>533</v>
      </c>
      <c r="L43" s="127">
        <v>8.4137364796976798E-4</v>
      </c>
      <c r="M43" s="91" cm="1">
        <f t="array" ref="M43">IFERROR(INDEX(M_DepotPrice!$C$10:$C$52,MATCH(1,(M_DepotPrice!$A$10:$A$52=I43)*(M_DepotPrice!$H$10:$H$52=IFERROR(INDEX(M_Depot!$A$7:$A$24,MATCH(F43,M_Depot!$B$7:$B$24,0)),""))*(M_DepotPrice!$G$10:$G$52="Special"),0)),INDEX(M_DepotPrice!$C$10:$C$52,MATCH(1,(M_DepotPrice!$A$10:$A$52=I43)*(M_DepotPrice!$G$10:$G$52="Default"),0)))*1.18</f>
        <v>13900.4</v>
      </c>
      <c r="N43" s="128">
        <f t="shared" si="1"/>
        <v>11.695430256238962</v>
      </c>
      <c r="O43" s="105" t="s">
        <v>3218</v>
      </c>
      <c r="P43" s="68" t="s">
        <v>3219</v>
      </c>
      <c r="Q43" s="62"/>
    </row>
    <row r="44" spans="1:17" ht="15" customHeight="1" x14ac:dyDescent="0.3">
      <c r="A44" s="70" t="s">
        <v>3254</v>
      </c>
      <c r="B44" s="129" t="s">
        <v>2947</v>
      </c>
      <c r="C44" s="130">
        <v>46179</v>
      </c>
      <c r="D44" s="131" t="s">
        <v>384</v>
      </c>
      <c r="E44" s="76" t="str">
        <f>IFERROR(INDEX(M_User!$A$12:$J$67,MATCH(D44,M_User!$D$12:$D$67,0),3),"UNMAPPED")</f>
        <v>Gastory S Msaki</v>
      </c>
      <c r="F44" s="75" t="str">
        <f>IFERROR(INDEX(M_User!$A$12:$J$67,MATCH(D44,M_User!$D$12:$D$67,0),5),"UNMAPPED")</f>
        <v>MOS</v>
      </c>
      <c r="G44" s="75" t="str">
        <f>IFERROR(INDEX(M_Depot!$C$7:$C$24,MATCH(F44,M_Depot!$B$7:$B$24,0)),"NO DEPOT")</f>
        <v>MOS1000001</v>
      </c>
      <c r="H44" s="76" t="str">
        <f>IFERROR(INDEX(M_Depot!$D$7:$D$24,MATCH(F44,M_Depot!$B$7:$B$24,0)),"NO DEPOT")</f>
        <v>MOSHI Ambush</v>
      </c>
      <c r="I44" s="131" t="s">
        <v>187</v>
      </c>
      <c r="J44" s="76" t="str">
        <f>IFERROR(INDEX(M_SKU!$A$18:$J$57,MATCH(I44,M_SKU!$B$18:$B$57,0),1),"UNKNOWN SKU")</f>
        <v>Sprite 350ml</v>
      </c>
      <c r="K44" s="131" t="s">
        <v>535</v>
      </c>
      <c r="L44" s="132">
        <v>2.6427930387102898E-3</v>
      </c>
      <c r="M44" s="94" cm="1">
        <f t="array" ref="M44">IFERROR(INDEX(M_DepotPrice!$C$10:$C$52,MATCH(1,(M_DepotPrice!$A$10:$A$52=I44)*(M_DepotPrice!$H$10:$H$52=IFERROR(INDEX(M_Depot!$A$7:$A$24,MATCH(F44,M_Depot!$B$7:$B$24,0)),""))*(M_DepotPrice!$G$10:$G$52="Special"),0)),INDEX(M_DepotPrice!$C$10:$C$52,MATCH(1,(M_DepotPrice!$A$10:$A$52=I44)*(M_DepotPrice!$G$10:$G$52="Default"),0)))*1.18</f>
        <v>13900.4</v>
      </c>
      <c r="N44" s="133">
        <f t="shared" si="1"/>
        <v>36.735880355288515</v>
      </c>
      <c r="O44" s="122" t="s">
        <v>3218</v>
      </c>
      <c r="P44" s="116" t="s">
        <v>3219</v>
      </c>
      <c r="Q44" s="118"/>
    </row>
    <row r="45" spans="1:17" ht="15" customHeight="1" x14ac:dyDescent="0.3">
      <c r="A45" s="60" t="s">
        <v>3255</v>
      </c>
      <c r="B45" s="126" t="s">
        <v>2948</v>
      </c>
      <c r="C45" s="62">
        <v>46179</v>
      </c>
      <c r="D45" s="63" t="s">
        <v>384</v>
      </c>
      <c r="E45" s="66" t="str">
        <f>IFERROR(INDEX(M_User!$A$12:$J$67,MATCH(D45,M_User!$D$12:$D$67,0),3),"UNMAPPED")</f>
        <v>Gastory S Msaki</v>
      </c>
      <c r="F45" s="65" t="str">
        <f>IFERROR(INDEX(M_User!$A$12:$J$67,MATCH(D45,M_User!$D$12:$D$67,0),5),"UNMAPPED")</f>
        <v>MOS</v>
      </c>
      <c r="G45" s="65" t="str">
        <f>IFERROR(INDEX(M_Depot!$C$7:$C$24,MATCH(F45,M_Depot!$B$7:$B$24,0)),"NO DEPOT")</f>
        <v>MOS1000001</v>
      </c>
      <c r="H45" s="66" t="str">
        <f>IFERROR(INDEX(M_Depot!$D$7:$D$24,MATCH(F45,M_Depot!$B$7:$B$24,0)),"NO DEPOT")</f>
        <v>MOSHI Ambush</v>
      </c>
      <c r="I45" s="63" t="s">
        <v>190</v>
      </c>
      <c r="J45" s="66" t="str">
        <f>IFERROR(INDEX(M_SKU!$A$18:$J$57,MATCH(I45,M_SKU!$B$18:$B$57,0),1),"UNKNOWN SKU")</f>
        <v>Stoney Tangawizi RGB 350ml</v>
      </c>
      <c r="K45" s="63" t="s">
        <v>536</v>
      </c>
      <c r="L45" s="127">
        <v>1.90280968383039E-3</v>
      </c>
      <c r="M45" s="91" cm="1">
        <f t="array" ref="M45">IFERROR(INDEX(M_DepotPrice!$C$10:$C$52,MATCH(1,(M_DepotPrice!$A$10:$A$52=I45)*(M_DepotPrice!$H$10:$H$52=IFERROR(INDEX(M_Depot!$A$7:$A$24,MATCH(F45,M_Depot!$B$7:$B$24,0)),""))*(M_DepotPrice!$G$10:$G$52="Special"),0)),INDEX(M_DepotPrice!$C$10:$C$52,MATCH(1,(M_DepotPrice!$A$10:$A$52=I45)*(M_DepotPrice!$G$10:$G$52="Default"),0)))*1.18</f>
        <v>13900.4</v>
      </c>
      <c r="N45" s="128">
        <f t="shared" si="1"/>
        <v>26.449815729115951</v>
      </c>
      <c r="O45" s="105" t="s">
        <v>3218</v>
      </c>
      <c r="P45" s="68" t="s">
        <v>3219</v>
      </c>
      <c r="Q45" s="62"/>
    </row>
    <row r="46" spans="1:17" ht="15" customHeight="1" x14ac:dyDescent="0.3">
      <c r="A46" s="70" t="s">
        <v>3256</v>
      </c>
      <c r="B46" s="129" t="s">
        <v>2951</v>
      </c>
      <c r="C46" s="130">
        <v>46179</v>
      </c>
      <c r="D46" s="131" t="s">
        <v>384</v>
      </c>
      <c r="E46" s="76" t="str">
        <f>IFERROR(INDEX(M_User!$A$12:$J$67,MATCH(D46,M_User!$D$12:$D$67,0),3),"UNMAPPED")</f>
        <v>Gastory S Msaki</v>
      </c>
      <c r="F46" s="75" t="str">
        <f>IFERROR(INDEX(M_User!$A$12:$J$67,MATCH(D46,M_User!$D$12:$D$67,0),5),"UNMAPPED")</f>
        <v>MOS</v>
      </c>
      <c r="G46" s="75" t="str">
        <f>IFERROR(INDEX(M_Depot!$C$7:$C$24,MATCH(F46,M_Depot!$B$7:$B$24,0)),"NO DEPOT")</f>
        <v>MOS1000001</v>
      </c>
      <c r="H46" s="76" t="str">
        <f>IFERROR(INDEX(M_Depot!$D$7:$D$24,MATCH(F46,M_Depot!$B$7:$B$24,0)),"NO DEPOT")</f>
        <v>MOSHI Ambush</v>
      </c>
      <c r="I46" s="131" t="s">
        <v>199</v>
      </c>
      <c r="J46" s="76" t="str">
        <f>IFERROR(INDEX(M_SKU!$A$18:$J$57,MATCH(I46,M_SKU!$B$18:$B$57,0),1),"UNKNOWN SKU")</f>
        <v>Krest Club Soda RGB 300ml</v>
      </c>
      <c r="K46" s="131" t="s">
        <v>539</v>
      </c>
      <c r="L46" s="132">
        <v>1.57007270120102E-3</v>
      </c>
      <c r="M46" s="94" cm="1">
        <f t="array" ref="M46">IFERROR(INDEX(M_DepotPrice!$C$10:$C$52,MATCH(1,(M_DepotPrice!$A$10:$A$52=I46)*(M_DepotPrice!$H$10:$H$52=IFERROR(INDEX(M_Depot!$A$7:$A$24,MATCH(F46,M_Depot!$B$7:$B$24,0)),""))*(M_DepotPrice!$G$10:$G$52="Special"),0)),INDEX(M_DepotPrice!$C$10:$C$52,MATCH(1,(M_DepotPrice!$A$10:$A$52=I46)*(M_DepotPrice!$G$10:$G$52="Default"),0)))*1.18</f>
        <v>13900.4</v>
      </c>
      <c r="N46" s="133">
        <f t="shared" si="1"/>
        <v>21.824638575774657</v>
      </c>
      <c r="O46" s="122" t="s">
        <v>3218</v>
      </c>
      <c r="P46" s="116" t="s">
        <v>3219</v>
      </c>
      <c r="Q46" s="118"/>
    </row>
    <row r="47" spans="1:17" ht="15" customHeight="1" x14ac:dyDescent="0.3">
      <c r="A47" s="60" t="s">
        <v>3257</v>
      </c>
      <c r="B47" s="126" t="s">
        <v>2952</v>
      </c>
      <c r="C47" s="62">
        <v>46179</v>
      </c>
      <c r="D47" s="63" t="s">
        <v>384</v>
      </c>
      <c r="E47" s="66" t="str">
        <f>IFERROR(INDEX(M_User!$A$12:$J$67,MATCH(D47,M_User!$D$12:$D$67,0),3),"UNMAPPED")</f>
        <v>Gastory S Msaki</v>
      </c>
      <c r="F47" s="65" t="str">
        <f>IFERROR(INDEX(M_User!$A$12:$J$67,MATCH(D47,M_User!$D$12:$D$67,0),5),"UNMAPPED")</f>
        <v>MOS</v>
      </c>
      <c r="G47" s="65" t="str">
        <f>IFERROR(INDEX(M_Depot!$C$7:$C$24,MATCH(F47,M_Depot!$B$7:$B$24,0)),"NO DEPOT")</f>
        <v>MOS1000001</v>
      </c>
      <c r="H47" s="66" t="str">
        <f>IFERROR(INDEX(M_Depot!$D$7:$D$24,MATCH(F47,M_Depot!$B$7:$B$24,0)),"NO DEPOT")</f>
        <v>MOSHI Ambush</v>
      </c>
      <c r="I47" s="63" t="s">
        <v>201</v>
      </c>
      <c r="J47" s="66" t="str">
        <f>IFERROR(INDEX(M_SKU!$A$18:$J$57,MATCH(I47,M_SKU!$B$18:$B$57,0),1),"UNKNOWN SKU")</f>
        <v>Krest Tonic Water RGB 300ml</v>
      </c>
      <c r="K47" s="63" t="s">
        <v>540</v>
      </c>
      <c r="L47" s="127">
        <v>2.9364631192068899E-3</v>
      </c>
      <c r="M47" s="91" cm="1">
        <f t="array" ref="M47">IFERROR(INDEX(M_DepotPrice!$C$10:$C$52,MATCH(1,(M_DepotPrice!$A$10:$A$52=I47)*(M_DepotPrice!$H$10:$H$52=IFERROR(INDEX(M_Depot!$A$7:$A$24,MATCH(F47,M_Depot!$B$7:$B$24,0)),""))*(M_DepotPrice!$G$10:$G$52="Special"),0)),INDEX(M_DepotPrice!$C$10:$C$52,MATCH(1,(M_DepotPrice!$A$10:$A$52=I47)*(M_DepotPrice!$G$10:$G$52="Default"),0)))*1.18</f>
        <v>13900.4</v>
      </c>
      <c r="N47" s="128">
        <f t="shared" si="1"/>
        <v>40.81801194222345</v>
      </c>
      <c r="O47" s="105" t="s">
        <v>3218</v>
      </c>
      <c r="P47" s="68" t="s">
        <v>3219</v>
      </c>
      <c r="Q47" s="62"/>
    </row>
    <row r="48" spans="1:17" ht="15" customHeight="1" x14ac:dyDescent="0.3">
      <c r="A48" s="70" t="s">
        <v>3258</v>
      </c>
      <c r="B48" s="129" t="s">
        <v>2953</v>
      </c>
      <c r="C48" s="130">
        <v>46179</v>
      </c>
      <c r="D48" s="131" t="s">
        <v>384</v>
      </c>
      <c r="E48" s="76" t="str">
        <f>IFERROR(INDEX(M_User!$A$12:$J$67,MATCH(D48,M_User!$D$12:$D$67,0),3),"UNMAPPED")</f>
        <v>Gastory S Msaki</v>
      </c>
      <c r="F48" s="75" t="str">
        <f>IFERROR(INDEX(M_User!$A$12:$J$67,MATCH(D48,M_User!$D$12:$D$67,0),5),"UNMAPPED")</f>
        <v>MOS</v>
      </c>
      <c r="G48" s="75" t="str">
        <f>IFERROR(INDEX(M_Depot!$C$7:$C$24,MATCH(F48,M_Depot!$B$7:$B$24,0)),"NO DEPOT")</f>
        <v>MOS1000001</v>
      </c>
      <c r="H48" s="76" t="str">
        <f>IFERROR(INDEX(M_Depot!$D$7:$D$24,MATCH(F48,M_Depot!$B$7:$B$24,0)),"NO DEPOT")</f>
        <v>MOSHI Ambush</v>
      </c>
      <c r="I48" s="131" t="s">
        <v>203</v>
      </c>
      <c r="J48" s="76" t="str">
        <f>IFERROR(INDEX(M_SKU!$A$18:$J$57,MATCH(I48,M_SKU!$B$18:$B$57,0),1),"UNKNOWN SKU")</f>
        <v>Krest Ginger Ale RGB 300ml</v>
      </c>
      <c r="K48" s="131" t="s">
        <v>541</v>
      </c>
      <c r="L48" s="132">
        <v>1.77471599601292E-3</v>
      </c>
      <c r="M48" s="94" cm="1">
        <f t="array" ref="M48">IFERROR(INDEX(M_DepotPrice!$C$10:$C$52,MATCH(1,(M_DepotPrice!$A$10:$A$52=I48)*(M_DepotPrice!$H$10:$H$52=IFERROR(INDEX(M_Depot!$A$7:$A$24,MATCH(F48,M_Depot!$B$7:$B$24,0)),""))*(M_DepotPrice!$G$10:$G$52="Special"),0)),INDEX(M_DepotPrice!$C$10:$C$52,MATCH(1,(M_DepotPrice!$A$10:$A$52=I48)*(M_DepotPrice!$G$10:$G$52="Default"),0)))*1.18</f>
        <v>13900.4</v>
      </c>
      <c r="N48" s="133">
        <f t="shared" si="1"/>
        <v>24.669262230977992</v>
      </c>
      <c r="O48" s="122" t="s">
        <v>3218</v>
      </c>
      <c r="P48" s="116" t="s">
        <v>3219</v>
      </c>
      <c r="Q48" s="118"/>
    </row>
    <row r="49" spans="1:17" ht="15" customHeight="1" x14ac:dyDescent="0.3">
      <c r="A49" s="60" t="s">
        <v>3259</v>
      </c>
      <c r="B49" s="126" t="s">
        <v>2968</v>
      </c>
      <c r="C49" s="62">
        <v>46179</v>
      </c>
      <c r="D49" s="63" t="s">
        <v>404</v>
      </c>
      <c r="E49" s="66" t="str">
        <f>IFERROR(INDEX(M_User!$A$12:$J$67,MATCH(D49,M_User!$D$12:$D$67,0),3),"UNMAPPED")</f>
        <v>Riziki Rajabu Mghamba</v>
      </c>
      <c r="F49" s="65" t="str">
        <f>IFERROR(INDEX(M_User!$A$12:$J$67,MATCH(D49,M_User!$D$12:$D$67,0),5),"UNMAPPED")</f>
        <v>MOS</v>
      </c>
      <c r="G49" s="65" t="str">
        <f>IFERROR(INDEX(M_Depot!$C$7:$C$24,MATCH(F49,M_Depot!$B$7:$B$24,0)),"NO DEPOT")</f>
        <v>MOS1000001</v>
      </c>
      <c r="H49" s="66" t="str">
        <f>IFERROR(INDEX(M_Depot!$D$7:$D$24,MATCH(F49,M_Depot!$B$7:$B$24,0)),"NO DEPOT")</f>
        <v>MOSHI Ambush</v>
      </c>
      <c r="I49" s="63" t="s">
        <v>170</v>
      </c>
      <c r="J49" s="66" t="str">
        <f>IFERROR(INDEX(M_SKU!$A$18:$J$57,MATCH(I49,M_SKU!$B$18:$B$57,0),1),"UNKNOWN SKU")</f>
        <v>Coke RGB 350ml</v>
      </c>
      <c r="K49" s="63" t="s">
        <v>529</v>
      </c>
      <c r="L49" s="127">
        <v>0.63772198076731901</v>
      </c>
      <c r="M49" s="91" cm="1">
        <f t="array" ref="M49">IFERROR(INDEX(M_DepotPrice!$C$10:$C$52,MATCH(1,(M_DepotPrice!$A$10:$A$52=I49)*(M_DepotPrice!$H$10:$H$52=IFERROR(INDEX(M_Depot!$A$7:$A$24,MATCH(F49,M_Depot!$B$7:$B$24,0)),""))*(M_DepotPrice!$G$10:$G$52="Special"),0)),INDEX(M_DepotPrice!$C$10:$C$52,MATCH(1,(M_DepotPrice!$A$10:$A$52=I49)*(M_DepotPrice!$G$10:$G$52="Default"),0)))*1.18</f>
        <v>13900.4</v>
      </c>
      <c r="N49" s="128">
        <f t="shared" si="1"/>
        <v>8864.5906214580409</v>
      </c>
      <c r="O49" s="105" t="s">
        <v>3218</v>
      </c>
      <c r="P49" s="68" t="s">
        <v>3219</v>
      </c>
      <c r="Q49" s="62"/>
    </row>
    <row r="50" spans="1:17" ht="15" customHeight="1" x14ac:dyDescent="0.3">
      <c r="A50" s="70" t="s">
        <v>3260</v>
      </c>
      <c r="B50" s="129" t="s">
        <v>2969</v>
      </c>
      <c r="C50" s="130">
        <v>46179</v>
      </c>
      <c r="D50" s="131" t="s">
        <v>404</v>
      </c>
      <c r="E50" s="76" t="str">
        <f>IFERROR(INDEX(M_User!$A$12:$J$67,MATCH(D50,M_User!$D$12:$D$67,0),3),"UNMAPPED")</f>
        <v>Riziki Rajabu Mghamba</v>
      </c>
      <c r="F50" s="75" t="str">
        <f>IFERROR(INDEX(M_User!$A$12:$J$67,MATCH(D50,M_User!$D$12:$D$67,0),5),"UNMAPPED")</f>
        <v>MOS</v>
      </c>
      <c r="G50" s="75" t="str">
        <f>IFERROR(INDEX(M_Depot!$C$7:$C$24,MATCH(F50,M_Depot!$B$7:$B$24,0)),"NO DEPOT")</f>
        <v>MOS1000001</v>
      </c>
      <c r="H50" s="76" t="str">
        <f>IFERROR(INDEX(M_Depot!$D$7:$D$24,MATCH(F50,M_Depot!$B$7:$B$24,0)),"NO DEPOT")</f>
        <v>MOSHI Ambush</v>
      </c>
      <c r="I50" s="131" t="s">
        <v>170</v>
      </c>
      <c r="J50" s="76" t="str">
        <f>IFERROR(INDEX(M_SKU!$A$18:$J$57,MATCH(I50,M_SKU!$B$18:$B$57,0),1),"UNKNOWN SKU")</f>
        <v>Coke RGB 350ml</v>
      </c>
      <c r="K50" s="131" t="s">
        <v>530</v>
      </c>
      <c r="L50" s="132">
        <v>2.7537910461144999</v>
      </c>
      <c r="M50" s="94" cm="1">
        <f t="array" ref="M50">IFERROR(INDEX(M_DepotPrice!$C$10:$C$52,MATCH(1,(M_DepotPrice!$A$10:$A$52=I50)*(M_DepotPrice!$H$10:$H$52=IFERROR(INDEX(M_Depot!$A$7:$A$24,MATCH(F50,M_Depot!$B$7:$B$24,0)),""))*(M_DepotPrice!$G$10:$G$52="Special"),0)),INDEX(M_DepotPrice!$C$10:$C$52,MATCH(1,(M_DepotPrice!$A$10:$A$52=I50)*(M_DepotPrice!$G$10:$G$52="Default"),0)))*1.18</f>
        <v>13900.4</v>
      </c>
      <c r="N50" s="133">
        <f t="shared" si="1"/>
        <v>38278.797057409996</v>
      </c>
      <c r="O50" s="122" t="s">
        <v>3218</v>
      </c>
      <c r="P50" s="116" t="s">
        <v>3219</v>
      </c>
      <c r="Q50" s="118"/>
    </row>
    <row r="51" spans="1:17" ht="15" customHeight="1" x14ac:dyDescent="0.3">
      <c r="A51" s="60" t="s">
        <v>3261</v>
      </c>
      <c r="B51" s="126" t="s">
        <v>2970</v>
      </c>
      <c r="C51" s="62">
        <v>46179</v>
      </c>
      <c r="D51" s="63" t="s">
        <v>404</v>
      </c>
      <c r="E51" s="66" t="str">
        <f>IFERROR(INDEX(M_User!$A$12:$J$67,MATCH(D51,M_User!$D$12:$D$67,0),3),"UNMAPPED")</f>
        <v>Riziki Rajabu Mghamba</v>
      </c>
      <c r="F51" s="65" t="str">
        <f>IFERROR(INDEX(M_User!$A$12:$J$67,MATCH(D51,M_User!$D$12:$D$67,0),5),"UNMAPPED")</f>
        <v>MOS</v>
      </c>
      <c r="G51" s="65" t="str">
        <f>IFERROR(INDEX(M_Depot!$C$7:$C$24,MATCH(F51,M_Depot!$B$7:$B$24,0)),"NO DEPOT")</f>
        <v>MOS1000001</v>
      </c>
      <c r="H51" s="66" t="str">
        <f>IFERROR(INDEX(M_Depot!$D$7:$D$24,MATCH(F51,M_Depot!$B$7:$B$24,0)),"NO DEPOT")</f>
        <v>MOSHI Ambush</v>
      </c>
      <c r="I51" s="63" t="s">
        <v>178</v>
      </c>
      <c r="J51" s="66" t="str">
        <f>IFERROR(INDEX(M_SKU!$A$18:$J$57,MATCH(I51,M_SKU!$B$18:$B$57,0),1),"UNKNOWN SKU")</f>
        <v>Fanta Orange RGB 350ml</v>
      </c>
      <c r="K51" s="63" t="s">
        <v>531</v>
      </c>
      <c r="L51" s="127">
        <v>0.73517495366729102</v>
      </c>
      <c r="M51" s="91" cm="1">
        <f t="array" ref="M51">IFERROR(INDEX(M_DepotPrice!$C$10:$C$52,MATCH(1,(M_DepotPrice!$A$10:$A$52=I51)*(M_DepotPrice!$H$10:$H$52=IFERROR(INDEX(M_Depot!$A$7:$A$24,MATCH(F51,M_Depot!$B$7:$B$24,0)),""))*(M_DepotPrice!$G$10:$G$52="Special"),0)),INDEX(M_DepotPrice!$C$10:$C$52,MATCH(1,(M_DepotPrice!$A$10:$A$52=I51)*(M_DepotPrice!$G$10:$G$52="Default"),0)))*1.18</f>
        <v>13900.4</v>
      </c>
      <c r="N51" s="128">
        <f t="shared" si="1"/>
        <v>10219.225925956813</v>
      </c>
      <c r="O51" s="105" t="s">
        <v>3218</v>
      </c>
      <c r="P51" s="68" t="s">
        <v>3219</v>
      </c>
      <c r="Q51" s="62"/>
    </row>
    <row r="52" spans="1:17" ht="15" customHeight="1" x14ac:dyDescent="0.3">
      <c r="A52" s="70" t="s">
        <v>3262</v>
      </c>
      <c r="B52" s="129" t="s">
        <v>2971</v>
      </c>
      <c r="C52" s="130">
        <v>46179</v>
      </c>
      <c r="D52" s="131" t="s">
        <v>404</v>
      </c>
      <c r="E52" s="76" t="str">
        <f>IFERROR(INDEX(M_User!$A$12:$J$67,MATCH(D52,M_User!$D$12:$D$67,0),3),"UNMAPPED")</f>
        <v>Riziki Rajabu Mghamba</v>
      </c>
      <c r="F52" s="75" t="str">
        <f>IFERROR(INDEX(M_User!$A$12:$J$67,MATCH(D52,M_User!$D$12:$D$67,0),5),"UNMAPPED")</f>
        <v>MOS</v>
      </c>
      <c r="G52" s="75" t="str">
        <f>IFERROR(INDEX(M_Depot!$C$7:$C$24,MATCH(F52,M_Depot!$B$7:$B$24,0)),"NO DEPOT")</f>
        <v>MOS1000001</v>
      </c>
      <c r="H52" s="76" t="str">
        <f>IFERROR(INDEX(M_Depot!$D$7:$D$24,MATCH(F52,M_Depot!$B$7:$B$24,0)),"NO DEPOT")</f>
        <v>MOSHI Ambush</v>
      </c>
      <c r="I52" s="131" t="s">
        <v>181</v>
      </c>
      <c r="J52" s="76" t="str">
        <f>IFERROR(INDEX(M_SKU!$A$18:$J$57,MATCH(I52,M_SKU!$B$18:$B$57,0),1),"UNKNOWN SKU")</f>
        <v>Fanta Passion RGB 350ml</v>
      </c>
      <c r="K52" s="131" t="s">
        <v>532</v>
      </c>
      <c r="L52" s="132">
        <v>0.45220468330932001</v>
      </c>
      <c r="M52" s="94" cm="1">
        <f t="array" ref="M52">IFERROR(INDEX(M_DepotPrice!$C$10:$C$52,MATCH(1,(M_DepotPrice!$A$10:$A$52=I52)*(M_DepotPrice!$H$10:$H$52=IFERROR(INDEX(M_Depot!$A$7:$A$24,MATCH(F52,M_Depot!$B$7:$B$24,0)),""))*(M_DepotPrice!$G$10:$G$52="Special"),0)),INDEX(M_DepotPrice!$C$10:$C$52,MATCH(1,(M_DepotPrice!$A$10:$A$52=I52)*(M_DepotPrice!$G$10:$G$52="Default"),0)))*1.18</f>
        <v>13900.4</v>
      </c>
      <c r="N52" s="133">
        <f t="shared" si="1"/>
        <v>6285.8259798728714</v>
      </c>
      <c r="O52" s="122" t="s">
        <v>3218</v>
      </c>
      <c r="P52" s="116" t="s">
        <v>3219</v>
      </c>
      <c r="Q52" s="118"/>
    </row>
    <row r="53" spans="1:17" ht="15" customHeight="1" x14ac:dyDescent="0.3">
      <c r="A53" s="60" t="s">
        <v>3263</v>
      </c>
      <c r="B53" s="126" t="s">
        <v>2972</v>
      </c>
      <c r="C53" s="62">
        <v>46179</v>
      </c>
      <c r="D53" s="63" t="s">
        <v>404</v>
      </c>
      <c r="E53" s="66" t="str">
        <f>IFERROR(INDEX(M_User!$A$12:$J$67,MATCH(D53,M_User!$D$12:$D$67,0),3),"UNMAPPED")</f>
        <v>Riziki Rajabu Mghamba</v>
      </c>
      <c r="F53" s="65" t="str">
        <f>IFERROR(INDEX(M_User!$A$12:$J$67,MATCH(D53,M_User!$D$12:$D$67,0),5),"UNMAPPED")</f>
        <v>MOS</v>
      </c>
      <c r="G53" s="65" t="str">
        <f>IFERROR(INDEX(M_Depot!$C$7:$C$24,MATCH(F53,M_Depot!$B$7:$B$24,0)),"NO DEPOT")</f>
        <v>MOS1000001</v>
      </c>
      <c r="H53" s="66" t="str">
        <f>IFERROR(INDEX(M_Depot!$D$7:$D$24,MATCH(F53,M_Depot!$B$7:$B$24,0)),"NO DEPOT")</f>
        <v>MOSHI Ambush</v>
      </c>
      <c r="I53" s="63" t="s">
        <v>183</v>
      </c>
      <c r="J53" s="66" t="str">
        <f>IFERROR(INDEX(M_SKU!$A$18:$J$57,MATCH(I53,M_SKU!$B$18:$B$57,0),1),"UNKNOWN SKU")</f>
        <v>Fanta Pineapple RGB 350ml</v>
      </c>
      <c r="K53" s="63" t="s">
        <v>533</v>
      </c>
      <c r="L53" s="127">
        <v>0.634300467790189</v>
      </c>
      <c r="M53" s="91" cm="1">
        <f t="array" ref="M53">IFERROR(INDEX(M_DepotPrice!$C$10:$C$52,MATCH(1,(M_DepotPrice!$A$10:$A$52=I53)*(M_DepotPrice!$H$10:$H$52=IFERROR(INDEX(M_Depot!$A$7:$A$24,MATCH(F53,M_Depot!$B$7:$B$24,0)),""))*(M_DepotPrice!$G$10:$G$52="Special"),0)),INDEX(M_DepotPrice!$C$10:$C$52,MATCH(1,(M_DepotPrice!$A$10:$A$52=I53)*(M_DepotPrice!$G$10:$G$52="Default"),0)))*1.18</f>
        <v>13900.4</v>
      </c>
      <c r="N53" s="128">
        <f t="shared" si="1"/>
        <v>8817.030222470743</v>
      </c>
      <c r="O53" s="105" t="s">
        <v>3218</v>
      </c>
      <c r="P53" s="68" t="s">
        <v>3219</v>
      </c>
      <c r="Q53" s="62"/>
    </row>
    <row r="54" spans="1:17" ht="15" customHeight="1" x14ac:dyDescent="0.3">
      <c r="A54" s="70" t="s">
        <v>3264</v>
      </c>
      <c r="B54" s="129" t="s">
        <v>2973</v>
      </c>
      <c r="C54" s="130">
        <v>46179</v>
      </c>
      <c r="D54" s="131" t="s">
        <v>404</v>
      </c>
      <c r="E54" s="76" t="str">
        <f>IFERROR(INDEX(M_User!$A$12:$J$67,MATCH(D54,M_User!$D$12:$D$67,0),3),"UNMAPPED")</f>
        <v>Riziki Rajabu Mghamba</v>
      </c>
      <c r="F54" s="75" t="str">
        <f>IFERROR(INDEX(M_User!$A$12:$J$67,MATCH(D54,M_User!$D$12:$D$67,0),5),"UNMAPPED")</f>
        <v>MOS</v>
      </c>
      <c r="G54" s="75" t="str">
        <f>IFERROR(INDEX(M_Depot!$C$7:$C$24,MATCH(F54,M_Depot!$B$7:$B$24,0)),"NO DEPOT")</f>
        <v>MOS1000001</v>
      </c>
      <c r="H54" s="76" t="str">
        <f>IFERROR(INDEX(M_Depot!$D$7:$D$24,MATCH(F54,M_Depot!$B$7:$B$24,0)),"NO DEPOT")</f>
        <v>MOSHI Ambush</v>
      </c>
      <c r="I54" s="131" t="s">
        <v>185</v>
      </c>
      <c r="J54" s="76" t="str">
        <f>IFERROR(INDEX(M_SKU!$A$18:$J$57,MATCH(I54,M_SKU!$B$18:$B$57,0),1),"UNKNOWN SKU")</f>
        <v>Fanta Fruit Blast RGB 350 ml</v>
      </c>
      <c r="K54" s="131" t="s">
        <v>534</v>
      </c>
      <c r="L54" s="132">
        <v>0.69433081710442102</v>
      </c>
      <c r="M54" s="94" cm="1">
        <f t="array" ref="M54">IFERROR(INDEX(M_DepotPrice!$C$10:$C$52,MATCH(1,(M_DepotPrice!$A$10:$A$52=I54)*(M_DepotPrice!$H$10:$H$52=IFERROR(INDEX(M_Depot!$A$7:$A$24,MATCH(F54,M_Depot!$B$7:$B$24,0)),""))*(M_DepotPrice!$G$10:$G$52="Special"),0)),INDEX(M_DepotPrice!$C$10:$C$52,MATCH(1,(M_DepotPrice!$A$10:$A$52=I54)*(M_DepotPrice!$G$10:$G$52="Default"),0)))*1.18</f>
        <v>13900.4</v>
      </c>
      <c r="N54" s="133">
        <f t="shared" si="1"/>
        <v>9651.4760900782931</v>
      </c>
      <c r="O54" s="122" t="s">
        <v>3218</v>
      </c>
      <c r="P54" s="116" t="s">
        <v>3219</v>
      </c>
      <c r="Q54" s="118"/>
    </row>
    <row r="55" spans="1:17" ht="15" customHeight="1" x14ac:dyDescent="0.3">
      <c r="A55" s="60" t="s">
        <v>3265</v>
      </c>
      <c r="B55" s="126" t="s">
        <v>2974</v>
      </c>
      <c r="C55" s="62">
        <v>46179</v>
      </c>
      <c r="D55" s="63" t="s">
        <v>404</v>
      </c>
      <c r="E55" s="66" t="str">
        <f>IFERROR(INDEX(M_User!$A$12:$J$67,MATCH(D55,M_User!$D$12:$D$67,0),3),"UNMAPPED")</f>
        <v>Riziki Rajabu Mghamba</v>
      </c>
      <c r="F55" s="65" t="str">
        <f>IFERROR(INDEX(M_User!$A$12:$J$67,MATCH(D55,M_User!$D$12:$D$67,0),5),"UNMAPPED")</f>
        <v>MOS</v>
      </c>
      <c r="G55" s="65" t="str">
        <f>IFERROR(INDEX(M_Depot!$C$7:$C$24,MATCH(F55,M_Depot!$B$7:$B$24,0)),"NO DEPOT")</f>
        <v>MOS1000001</v>
      </c>
      <c r="H55" s="66" t="str">
        <f>IFERROR(INDEX(M_Depot!$D$7:$D$24,MATCH(F55,M_Depot!$B$7:$B$24,0)),"NO DEPOT")</f>
        <v>MOSHI Ambush</v>
      </c>
      <c r="I55" s="63" t="s">
        <v>187</v>
      </c>
      <c r="J55" s="66" t="str">
        <f>IFERROR(INDEX(M_SKU!$A$18:$J$57,MATCH(I55,M_SKU!$B$18:$B$57,0),1),"UNKNOWN SKU")</f>
        <v>Sprite 350ml</v>
      </c>
      <c r="K55" s="63" t="s">
        <v>535</v>
      </c>
      <c r="L55" s="127">
        <v>0.48680122065220999</v>
      </c>
      <c r="M55" s="91" cm="1">
        <f t="array" ref="M55">IFERROR(INDEX(M_DepotPrice!$C$10:$C$52,MATCH(1,(M_DepotPrice!$A$10:$A$52=I55)*(M_DepotPrice!$H$10:$H$52=IFERROR(INDEX(M_Depot!$A$7:$A$24,MATCH(F55,M_Depot!$B$7:$B$24,0)),""))*(M_DepotPrice!$G$10:$G$52="Special"),0)),INDEX(M_DepotPrice!$C$10:$C$52,MATCH(1,(M_DepotPrice!$A$10:$A$52=I55)*(M_DepotPrice!$G$10:$G$52="Default"),0)))*1.18</f>
        <v>13900.4</v>
      </c>
      <c r="N55" s="128">
        <f t="shared" si="1"/>
        <v>6766.7316875539791</v>
      </c>
      <c r="O55" s="105" t="s">
        <v>3218</v>
      </c>
      <c r="P55" s="68" t="s">
        <v>3219</v>
      </c>
      <c r="Q55" s="62"/>
    </row>
    <row r="56" spans="1:17" ht="15" customHeight="1" x14ac:dyDescent="0.3">
      <c r="A56" s="70" t="s">
        <v>3266</v>
      </c>
      <c r="B56" s="129" t="s">
        <v>2975</v>
      </c>
      <c r="C56" s="130">
        <v>46179</v>
      </c>
      <c r="D56" s="131" t="s">
        <v>404</v>
      </c>
      <c r="E56" s="76" t="str">
        <f>IFERROR(INDEX(M_User!$A$12:$J$67,MATCH(D56,M_User!$D$12:$D$67,0),3),"UNMAPPED")</f>
        <v>Riziki Rajabu Mghamba</v>
      </c>
      <c r="F56" s="75" t="str">
        <f>IFERROR(INDEX(M_User!$A$12:$J$67,MATCH(D56,M_User!$D$12:$D$67,0),5),"UNMAPPED")</f>
        <v>MOS</v>
      </c>
      <c r="G56" s="75" t="str">
        <f>IFERROR(INDEX(M_Depot!$C$7:$C$24,MATCH(F56,M_Depot!$B$7:$B$24,0)),"NO DEPOT")</f>
        <v>MOS1000001</v>
      </c>
      <c r="H56" s="76" t="str">
        <f>IFERROR(INDEX(M_Depot!$D$7:$D$24,MATCH(F56,M_Depot!$B$7:$B$24,0)),"NO DEPOT")</f>
        <v>MOSHI Ambush</v>
      </c>
      <c r="I56" s="131" t="s">
        <v>190</v>
      </c>
      <c r="J56" s="76" t="str">
        <f>IFERROR(INDEX(M_SKU!$A$18:$J$57,MATCH(I56,M_SKU!$B$18:$B$57,0),1),"UNKNOWN SKU")</f>
        <v>Stoney Tangawizi RGB 350ml</v>
      </c>
      <c r="K56" s="131" t="s">
        <v>536</v>
      </c>
      <c r="L56" s="132">
        <v>0.16120889522112</v>
      </c>
      <c r="M56" s="94" cm="1">
        <f t="array" ref="M56">IFERROR(INDEX(M_DepotPrice!$C$10:$C$52,MATCH(1,(M_DepotPrice!$A$10:$A$52=I56)*(M_DepotPrice!$H$10:$H$52=IFERROR(INDEX(M_Depot!$A$7:$A$24,MATCH(F56,M_Depot!$B$7:$B$24,0)),""))*(M_DepotPrice!$G$10:$G$52="Special"),0)),INDEX(M_DepotPrice!$C$10:$C$52,MATCH(1,(M_DepotPrice!$A$10:$A$52=I56)*(M_DepotPrice!$G$10:$G$52="Default"),0)))*1.18</f>
        <v>13900.4</v>
      </c>
      <c r="N56" s="133">
        <f t="shared" si="1"/>
        <v>2240.8681271316564</v>
      </c>
      <c r="O56" s="122" t="s">
        <v>3218</v>
      </c>
      <c r="P56" s="116" t="s">
        <v>3219</v>
      </c>
      <c r="Q56" s="118"/>
    </row>
    <row r="57" spans="1:17" ht="15" customHeight="1" x14ac:dyDescent="0.3">
      <c r="A57" s="60" t="s">
        <v>3267</v>
      </c>
      <c r="B57" s="126" t="s">
        <v>2976</v>
      </c>
      <c r="C57" s="62">
        <v>46179</v>
      </c>
      <c r="D57" s="63" t="s">
        <v>404</v>
      </c>
      <c r="E57" s="66" t="str">
        <f>IFERROR(INDEX(M_User!$A$12:$J$67,MATCH(D57,M_User!$D$12:$D$67,0),3),"UNMAPPED")</f>
        <v>Riziki Rajabu Mghamba</v>
      </c>
      <c r="F57" s="65" t="str">
        <f>IFERROR(INDEX(M_User!$A$12:$J$67,MATCH(D57,M_User!$D$12:$D$67,0),5),"UNMAPPED")</f>
        <v>MOS</v>
      </c>
      <c r="G57" s="65" t="str">
        <f>IFERROR(INDEX(M_Depot!$C$7:$C$24,MATCH(F57,M_Depot!$B$7:$B$24,0)),"NO DEPOT")</f>
        <v>MOS1000001</v>
      </c>
      <c r="H57" s="66" t="str">
        <f>IFERROR(INDEX(M_Depot!$D$7:$D$24,MATCH(F57,M_Depot!$B$7:$B$24,0)),"NO DEPOT")</f>
        <v>MOSHI Ambush</v>
      </c>
      <c r="I57" s="63" t="s">
        <v>193</v>
      </c>
      <c r="J57" s="66" t="str">
        <f>IFERROR(INDEX(M_SKU!$A$18:$J$57,MATCH(I57,M_SKU!$B$18:$B$57,0),1),"UNKNOWN SKU")</f>
        <v>Sparletta Pinenut RGB 350ml</v>
      </c>
      <c r="K57" s="63" t="s">
        <v>537</v>
      </c>
      <c r="L57" s="127">
        <v>0.12274556507912</v>
      </c>
      <c r="M57" s="91" cm="1">
        <f t="array" ref="M57">IFERROR(INDEX(M_DepotPrice!$C$10:$C$52,MATCH(1,(M_DepotPrice!$A$10:$A$52=I57)*(M_DepotPrice!$H$10:$H$52=IFERROR(INDEX(M_Depot!$A$7:$A$24,MATCH(F57,M_Depot!$B$7:$B$24,0)),""))*(M_DepotPrice!$G$10:$G$52="Special"),0)),INDEX(M_DepotPrice!$C$10:$C$52,MATCH(1,(M_DepotPrice!$A$10:$A$52=I57)*(M_DepotPrice!$G$10:$G$52="Default"),0)))*1.18</f>
        <v>13900.4</v>
      </c>
      <c r="N57" s="128">
        <f t="shared" si="1"/>
        <v>1706.2124528257996</v>
      </c>
      <c r="O57" s="105" t="s">
        <v>3218</v>
      </c>
      <c r="P57" s="68" t="s">
        <v>3219</v>
      </c>
      <c r="Q57" s="62"/>
    </row>
    <row r="58" spans="1:17" ht="15" customHeight="1" x14ac:dyDescent="0.3">
      <c r="A58" s="70" t="s">
        <v>3268</v>
      </c>
      <c r="B58" s="129" t="s">
        <v>2977</v>
      </c>
      <c r="C58" s="130">
        <v>46179</v>
      </c>
      <c r="D58" s="131" t="s">
        <v>404</v>
      </c>
      <c r="E58" s="76" t="str">
        <f>IFERROR(INDEX(M_User!$A$12:$J$67,MATCH(D58,M_User!$D$12:$D$67,0),3),"UNMAPPED")</f>
        <v>Riziki Rajabu Mghamba</v>
      </c>
      <c r="F58" s="75" t="str">
        <f>IFERROR(INDEX(M_User!$A$12:$J$67,MATCH(D58,M_User!$D$12:$D$67,0),5),"UNMAPPED")</f>
        <v>MOS</v>
      </c>
      <c r="G58" s="75" t="str">
        <f>IFERROR(INDEX(M_Depot!$C$7:$C$24,MATCH(F58,M_Depot!$B$7:$B$24,0)),"NO DEPOT")</f>
        <v>MOS1000001</v>
      </c>
      <c r="H58" s="76" t="str">
        <f>IFERROR(INDEX(M_Depot!$D$7:$D$24,MATCH(F58,M_Depot!$B$7:$B$24,0)),"NO DEPOT")</f>
        <v>MOSHI Ambush</v>
      </c>
      <c r="I58" s="131" t="s">
        <v>196</v>
      </c>
      <c r="J58" s="76" t="str">
        <f>IFERROR(INDEX(M_SKU!$A$18:$J$57,MATCH(I58,M_SKU!$B$18:$B$57,0),1),"UNKNOWN SKU")</f>
        <v>Krest Bitter Lemon RGB 300ml</v>
      </c>
      <c r="K58" s="131" t="s">
        <v>538</v>
      </c>
      <c r="L58" s="132">
        <v>8.1844973342070901E-2</v>
      </c>
      <c r="M58" s="94" cm="1">
        <f t="array" ref="M58">IFERROR(INDEX(M_DepotPrice!$C$10:$C$52,MATCH(1,(M_DepotPrice!$A$10:$A$52=I58)*(M_DepotPrice!$H$10:$H$52=IFERROR(INDEX(M_Depot!$A$7:$A$24,MATCH(F58,M_Depot!$B$7:$B$24,0)),""))*(M_DepotPrice!$G$10:$G$52="Special"),0)),INDEX(M_DepotPrice!$C$10:$C$52,MATCH(1,(M_DepotPrice!$A$10:$A$52=I58)*(M_DepotPrice!$G$10:$G$52="Default"),0)))*1.18</f>
        <v>13900.4</v>
      </c>
      <c r="N58" s="133">
        <f t="shared" si="1"/>
        <v>1137.6778674441223</v>
      </c>
      <c r="O58" s="122" t="s">
        <v>3218</v>
      </c>
      <c r="P58" s="116" t="s">
        <v>3219</v>
      </c>
      <c r="Q58" s="118"/>
    </row>
    <row r="59" spans="1:17" ht="15" customHeight="1" x14ac:dyDescent="0.3">
      <c r="A59" s="60" t="s">
        <v>3269</v>
      </c>
      <c r="B59" s="126" t="s">
        <v>2978</v>
      </c>
      <c r="C59" s="62">
        <v>46179</v>
      </c>
      <c r="D59" s="63" t="s">
        <v>404</v>
      </c>
      <c r="E59" s="66" t="str">
        <f>IFERROR(INDEX(M_User!$A$12:$J$67,MATCH(D59,M_User!$D$12:$D$67,0),3),"UNMAPPED")</f>
        <v>Riziki Rajabu Mghamba</v>
      </c>
      <c r="F59" s="65" t="str">
        <f>IFERROR(INDEX(M_User!$A$12:$J$67,MATCH(D59,M_User!$D$12:$D$67,0),5),"UNMAPPED")</f>
        <v>MOS</v>
      </c>
      <c r="G59" s="65" t="str">
        <f>IFERROR(INDEX(M_Depot!$C$7:$C$24,MATCH(F59,M_Depot!$B$7:$B$24,0)),"NO DEPOT")</f>
        <v>MOS1000001</v>
      </c>
      <c r="H59" s="66" t="str">
        <f>IFERROR(INDEX(M_Depot!$D$7:$D$24,MATCH(F59,M_Depot!$B$7:$B$24,0)),"NO DEPOT")</f>
        <v>MOSHI Ambush</v>
      </c>
      <c r="I59" s="63" t="s">
        <v>199</v>
      </c>
      <c r="J59" s="66" t="str">
        <f>IFERROR(INDEX(M_SKU!$A$18:$J$57,MATCH(I59,M_SKU!$B$18:$B$57,0),1),"UNKNOWN SKU")</f>
        <v>Krest Club Soda RGB 300ml</v>
      </c>
      <c r="K59" s="63" t="s">
        <v>539</v>
      </c>
      <c r="L59" s="127">
        <v>8.3950542426492997E-2</v>
      </c>
      <c r="M59" s="91" cm="1">
        <f t="array" ref="M59">IFERROR(INDEX(M_DepotPrice!$C$10:$C$52,MATCH(1,(M_DepotPrice!$A$10:$A$52=I59)*(M_DepotPrice!$H$10:$H$52=IFERROR(INDEX(M_Depot!$A$7:$A$24,MATCH(F59,M_Depot!$B$7:$B$24,0)),""))*(M_DepotPrice!$G$10:$G$52="Special"),0)),INDEX(M_DepotPrice!$C$10:$C$52,MATCH(1,(M_DepotPrice!$A$10:$A$52=I59)*(M_DepotPrice!$G$10:$G$52="Default"),0)))*1.18</f>
        <v>13900.4</v>
      </c>
      <c r="N59" s="128">
        <f t="shared" si="1"/>
        <v>1166.9461199452232</v>
      </c>
      <c r="O59" s="105" t="s">
        <v>3218</v>
      </c>
      <c r="P59" s="68" t="s">
        <v>3219</v>
      </c>
      <c r="Q59" s="62"/>
    </row>
    <row r="60" spans="1:17" ht="15" customHeight="1" x14ac:dyDescent="0.3">
      <c r="A60" s="70" t="s">
        <v>3270</v>
      </c>
      <c r="B60" s="129" t="s">
        <v>2979</v>
      </c>
      <c r="C60" s="130">
        <v>46179</v>
      </c>
      <c r="D60" s="131" t="s">
        <v>404</v>
      </c>
      <c r="E60" s="76" t="str">
        <f>IFERROR(INDEX(M_User!$A$12:$J$67,MATCH(D60,M_User!$D$12:$D$67,0),3),"UNMAPPED")</f>
        <v>Riziki Rajabu Mghamba</v>
      </c>
      <c r="F60" s="75" t="str">
        <f>IFERROR(INDEX(M_User!$A$12:$J$67,MATCH(D60,M_User!$D$12:$D$67,0),5),"UNMAPPED")</f>
        <v>MOS</v>
      </c>
      <c r="G60" s="75" t="str">
        <f>IFERROR(INDEX(M_Depot!$C$7:$C$24,MATCH(F60,M_Depot!$B$7:$B$24,0)),"NO DEPOT")</f>
        <v>MOS1000001</v>
      </c>
      <c r="H60" s="76" t="str">
        <f>IFERROR(INDEX(M_Depot!$D$7:$D$24,MATCH(F60,M_Depot!$B$7:$B$24,0)),"NO DEPOT")</f>
        <v>MOSHI Ambush</v>
      </c>
      <c r="I60" s="131" t="s">
        <v>201</v>
      </c>
      <c r="J60" s="76" t="str">
        <f>IFERROR(INDEX(M_SKU!$A$18:$J$57,MATCH(I60,M_SKU!$B$18:$B$57,0),1),"UNKNOWN SKU")</f>
        <v>Krest Tonic Water RGB 300ml</v>
      </c>
      <c r="K60" s="131" t="s">
        <v>540</v>
      </c>
      <c r="L60" s="132">
        <v>8.8127286008622199E-2</v>
      </c>
      <c r="M60" s="94" cm="1">
        <f t="array" ref="M60">IFERROR(INDEX(M_DepotPrice!$C$10:$C$52,MATCH(1,(M_DepotPrice!$A$10:$A$52=I60)*(M_DepotPrice!$H$10:$H$52=IFERROR(INDEX(M_Depot!$A$7:$A$24,MATCH(F60,M_Depot!$B$7:$B$24,0)),""))*(M_DepotPrice!$G$10:$G$52="Special"),0)),INDEX(M_DepotPrice!$C$10:$C$52,MATCH(1,(M_DepotPrice!$A$10:$A$52=I60)*(M_DepotPrice!$G$10:$G$52="Default"),0)))*1.18</f>
        <v>13900.4</v>
      </c>
      <c r="N60" s="133">
        <f t="shared" si="1"/>
        <v>1225.0045264342521</v>
      </c>
      <c r="O60" s="122" t="s">
        <v>3218</v>
      </c>
      <c r="P60" s="116" t="s">
        <v>3219</v>
      </c>
      <c r="Q60" s="118"/>
    </row>
    <row r="61" spans="1:17" ht="15" customHeight="1" x14ac:dyDescent="0.3">
      <c r="A61" s="60" t="s">
        <v>3271</v>
      </c>
      <c r="B61" s="126" t="s">
        <v>2980</v>
      </c>
      <c r="C61" s="62">
        <v>46179</v>
      </c>
      <c r="D61" s="63" t="s">
        <v>404</v>
      </c>
      <c r="E61" s="66" t="str">
        <f>IFERROR(INDEX(M_User!$A$12:$J$67,MATCH(D61,M_User!$D$12:$D$67,0),3),"UNMAPPED")</f>
        <v>Riziki Rajabu Mghamba</v>
      </c>
      <c r="F61" s="65" t="str">
        <f>IFERROR(INDEX(M_User!$A$12:$J$67,MATCH(D61,M_User!$D$12:$D$67,0),5),"UNMAPPED")</f>
        <v>MOS</v>
      </c>
      <c r="G61" s="65" t="str">
        <f>IFERROR(INDEX(M_Depot!$C$7:$C$24,MATCH(F61,M_Depot!$B$7:$B$24,0)),"NO DEPOT")</f>
        <v>MOS1000001</v>
      </c>
      <c r="H61" s="66" t="str">
        <f>IFERROR(INDEX(M_Depot!$D$7:$D$24,MATCH(F61,M_Depot!$B$7:$B$24,0)),"NO DEPOT")</f>
        <v>MOSHI Ambush</v>
      </c>
      <c r="I61" s="63" t="s">
        <v>203</v>
      </c>
      <c r="J61" s="66" t="str">
        <f>IFERROR(INDEX(M_SKU!$A$18:$J$57,MATCH(I61,M_SKU!$B$18:$B$57,0),1),"UNKNOWN SKU")</f>
        <v>Krest Ginger Ale RGB 300ml</v>
      </c>
      <c r="K61" s="63" t="s">
        <v>541</v>
      </c>
      <c r="L61" s="127">
        <v>5.8971175184110998E-2</v>
      </c>
      <c r="M61" s="91" cm="1">
        <f t="array" ref="M61">IFERROR(INDEX(M_DepotPrice!$C$10:$C$52,MATCH(1,(M_DepotPrice!$A$10:$A$52=I61)*(M_DepotPrice!$H$10:$H$52=IFERROR(INDEX(M_Depot!$A$7:$A$24,MATCH(F61,M_Depot!$B$7:$B$24,0)),""))*(M_DepotPrice!$G$10:$G$52="Special"),0)),INDEX(M_DepotPrice!$C$10:$C$52,MATCH(1,(M_DepotPrice!$A$10:$A$52=I61)*(M_DepotPrice!$G$10:$G$52="Default"),0)))*1.18</f>
        <v>13900.4</v>
      </c>
      <c r="N61" s="128">
        <f t="shared" si="1"/>
        <v>819.72292352921647</v>
      </c>
      <c r="O61" s="105" t="s">
        <v>3218</v>
      </c>
      <c r="P61" s="68" t="s">
        <v>3219</v>
      </c>
      <c r="Q61" s="62"/>
    </row>
    <row r="62" spans="1:17" ht="15" customHeight="1" x14ac:dyDescent="0.3">
      <c r="A62" s="70" t="s">
        <v>3272</v>
      </c>
      <c r="B62" s="129" t="s">
        <v>2981</v>
      </c>
      <c r="C62" s="130">
        <v>46179</v>
      </c>
      <c r="D62" s="131" t="s">
        <v>404</v>
      </c>
      <c r="E62" s="76" t="str">
        <f>IFERROR(INDEX(M_User!$A$12:$J$67,MATCH(D62,M_User!$D$12:$D$67,0),3),"UNMAPPED")</f>
        <v>Riziki Rajabu Mghamba</v>
      </c>
      <c r="F62" s="75" t="str">
        <f>IFERROR(INDEX(M_User!$A$12:$J$67,MATCH(D62,M_User!$D$12:$D$67,0),5),"UNMAPPED")</f>
        <v>MOS</v>
      </c>
      <c r="G62" s="75" t="str">
        <f>IFERROR(INDEX(M_Depot!$C$7:$C$24,MATCH(F62,M_Depot!$B$7:$B$24,0)),"NO DEPOT")</f>
        <v>MOS1000001</v>
      </c>
      <c r="H62" s="76" t="str">
        <f>IFERROR(INDEX(M_Depot!$D$7:$D$24,MATCH(F62,M_Depot!$B$7:$B$24,0)),"NO DEPOT")</f>
        <v>MOSHI Ambush</v>
      </c>
      <c r="I62" s="131" t="s">
        <v>209</v>
      </c>
      <c r="J62" s="76" t="str">
        <f>IFERROR(INDEX(M_SKU!$A$18:$J$57,MATCH(I62,M_SKU!$B$18:$B$57,0),1),"UNKNOWN SKU")</f>
        <v>Sparletta Red Apple RGB 350ml</v>
      </c>
      <c r="K62" s="131" t="s">
        <v>542</v>
      </c>
      <c r="L62" s="132">
        <v>6.4475410381750003E-2</v>
      </c>
      <c r="M62" s="94" cm="1">
        <f t="array" ref="M62">IFERROR(INDEX(M_DepotPrice!$C$10:$C$52,MATCH(1,(M_DepotPrice!$A$10:$A$52=I62)*(M_DepotPrice!$H$10:$H$52=IFERROR(INDEX(M_Depot!$A$7:$A$24,MATCH(F62,M_Depot!$B$7:$B$24,0)),""))*(M_DepotPrice!$G$10:$G$52="Special"),0)),INDEX(M_DepotPrice!$C$10:$C$52,MATCH(1,(M_DepotPrice!$A$10:$A$52=I62)*(M_DepotPrice!$G$10:$G$52="Default"),0)))*1.18</f>
        <v>13900.4</v>
      </c>
      <c r="N62" s="133">
        <f t="shared" si="1"/>
        <v>896.23399447047768</v>
      </c>
      <c r="O62" s="122" t="s">
        <v>3218</v>
      </c>
      <c r="P62" s="116" t="s">
        <v>3219</v>
      </c>
      <c r="Q62" s="118"/>
    </row>
    <row r="63" spans="1:17" ht="15" customHeight="1" x14ac:dyDescent="0.3">
      <c r="A63" s="60" t="s">
        <v>3273</v>
      </c>
      <c r="B63" s="126" t="s">
        <v>2982</v>
      </c>
      <c r="C63" s="62">
        <v>46179</v>
      </c>
      <c r="D63" s="63" t="s">
        <v>404</v>
      </c>
      <c r="E63" s="66" t="str">
        <f>IFERROR(INDEX(M_User!$A$12:$J$67,MATCH(D63,M_User!$D$12:$D$67,0),3),"UNMAPPED")</f>
        <v>Riziki Rajabu Mghamba</v>
      </c>
      <c r="F63" s="65" t="str">
        <f>IFERROR(INDEX(M_User!$A$12:$J$67,MATCH(D63,M_User!$D$12:$D$67,0),5),"UNMAPPED")</f>
        <v>MOS</v>
      </c>
      <c r="G63" s="65" t="str">
        <f>IFERROR(INDEX(M_Depot!$C$7:$C$24,MATCH(F63,M_Depot!$B$7:$B$24,0)),"NO DEPOT")</f>
        <v>MOS1000001</v>
      </c>
      <c r="H63" s="66" t="str">
        <f>IFERROR(INDEX(M_Depot!$D$7:$D$24,MATCH(F63,M_Depot!$B$7:$B$24,0)),"NO DEPOT")</f>
        <v>MOSHI Ambush</v>
      </c>
      <c r="I63" s="63" t="s">
        <v>211</v>
      </c>
      <c r="J63" s="66" t="str">
        <f>IFERROR(INDEX(M_SKU!$A$18:$J$57,MATCH(I63,M_SKU!$B$18:$B$57,0),1),"UNKNOWN SKU")</f>
        <v>KNMW 500ml</v>
      </c>
      <c r="K63" s="63" t="s">
        <v>543</v>
      </c>
      <c r="L63" s="127">
        <v>4</v>
      </c>
      <c r="M63" s="91" cm="1">
        <f t="array" ref="M63">IFERROR(INDEX(M_DepotPrice!$C$10:$C$52,MATCH(1,(M_DepotPrice!$A$10:$A$52=I63)*(M_DepotPrice!$H$10:$H$52=IFERROR(INDEX(M_Depot!$A$7:$A$24,MATCH(F63,M_Depot!$B$7:$B$24,0)),""))*(M_DepotPrice!$G$10:$G$52="Special"),0)),INDEX(M_DepotPrice!$C$10:$C$52,MATCH(1,(M_DepotPrice!$A$10:$A$52=I63)*(M_DepotPrice!$G$10:$G$52="Default"),0)))*1.18</f>
        <v>4199.62</v>
      </c>
      <c r="N63" s="128">
        <f t="shared" si="1"/>
        <v>16798.48</v>
      </c>
      <c r="O63" s="105" t="s">
        <v>3218</v>
      </c>
      <c r="P63" s="68" t="s">
        <v>3219</v>
      </c>
      <c r="Q63" s="62"/>
    </row>
    <row r="64" spans="1:17" ht="15" customHeight="1" x14ac:dyDescent="0.3">
      <c r="A64" s="70" t="s">
        <v>3274</v>
      </c>
      <c r="B64" s="129" t="s">
        <v>2983</v>
      </c>
      <c r="C64" s="130">
        <v>46179</v>
      </c>
      <c r="D64" s="131" t="s">
        <v>404</v>
      </c>
      <c r="E64" s="76" t="str">
        <f>IFERROR(INDEX(M_User!$A$12:$J$67,MATCH(D64,M_User!$D$12:$D$67,0),3),"UNMAPPED")</f>
        <v>Riziki Rajabu Mghamba</v>
      </c>
      <c r="F64" s="75" t="str">
        <f>IFERROR(INDEX(M_User!$A$12:$J$67,MATCH(D64,M_User!$D$12:$D$67,0),5),"UNMAPPED")</f>
        <v>MOS</v>
      </c>
      <c r="G64" s="75" t="str">
        <f>IFERROR(INDEX(M_Depot!$C$7:$C$24,MATCH(F64,M_Depot!$B$7:$B$24,0)),"NO DEPOT")</f>
        <v>MOS1000001</v>
      </c>
      <c r="H64" s="76" t="str">
        <f>IFERROR(INDEX(M_Depot!$D$7:$D$24,MATCH(F64,M_Depot!$B$7:$B$24,0)),"NO DEPOT")</f>
        <v>MOSHI Ambush</v>
      </c>
      <c r="I64" s="131" t="s">
        <v>217</v>
      </c>
      <c r="J64" s="76" t="str">
        <f>IFERROR(INDEX(M_SKU!$A$18:$J$57,MATCH(I64,M_SKU!$B$18:$B$57,0),1),"UNKNOWN SKU")</f>
        <v>KNMW 1500ml</v>
      </c>
      <c r="K64" s="131" t="s">
        <v>544</v>
      </c>
      <c r="L64" s="132">
        <v>4</v>
      </c>
      <c r="M64" s="94" cm="1">
        <f t="array" ref="M64">IFERROR(INDEX(M_DepotPrice!$C$10:$C$52,MATCH(1,(M_DepotPrice!$A$10:$A$52=I64)*(M_DepotPrice!$H$10:$H$52=IFERROR(INDEX(M_Depot!$A$7:$A$24,MATCH(F64,M_Depot!$B$7:$B$24,0)),""))*(M_DepotPrice!$G$10:$G$52="Special"),0)),INDEX(M_DepotPrice!$C$10:$C$52,MATCH(1,(M_DepotPrice!$A$10:$A$52=I64)*(M_DepotPrice!$G$10:$G$52="Default"),0)))*1.18</f>
        <v>4699.9399999999996</v>
      </c>
      <c r="N64" s="133">
        <f t="shared" si="1"/>
        <v>18799.759999999998</v>
      </c>
      <c r="O64" s="122" t="s">
        <v>3218</v>
      </c>
      <c r="P64" s="116" t="s">
        <v>3219</v>
      </c>
      <c r="Q64" s="118"/>
    </row>
    <row r="65" spans="1:17" ht="15" customHeight="1" x14ac:dyDescent="0.3">
      <c r="A65" s="60" t="s">
        <v>3275</v>
      </c>
      <c r="B65" s="126" t="s">
        <v>2984</v>
      </c>
      <c r="C65" s="62">
        <v>46179</v>
      </c>
      <c r="D65" s="63" t="s">
        <v>404</v>
      </c>
      <c r="E65" s="66" t="str">
        <f>IFERROR(INDEX(M_User!$A$12:$J$67,MATCH(D65,M_User!$D$12:$D$67,0),3),"UNMAPPED")</f>
        <v>Riziki Rajabu Mghamba</v>
      </c>
      <c r="F65" s="65" t="str">
        <f>IFERROR(INDEX(M_User!$A$12:$J$67,MATCH(D65,M_User!$D$12:$D$67,0),5),"UNMAPPED")</f>
        <v>MOS</v>
      </c>
      <c r="G65" s="65" t="str">
        <f>IFERROR(INDEX(M_Depot!$C$7:$C$24,MATCH(F65,M_Depot!$B$7:$B$24,0)),"NO DEPOT")</f>
        <v>MOS1000001</v>
      </c>
      <c r="H65" s="66" t="str">
        <f>IFERROR(INDEX(M_Depot!$D$7:$D$24,MATCH(F65,M_Depot!$B$7:$B$24,0)),"NO DEPOT")</f>
        <v>MOSHI Ambush</v>
      </c>
      <c r="I65" s="63" t="s">
        <v>229</v>
      </c>
      <c r="J65" s="66" t="str">
        <f>IFERROR(INDEX(M_SKU!$A$18:$J$57,MATCH(I65,M_SKU!$B$18:$B$57,0),1),"UNKNOWN SKU")</f>
        <v>Coke Pet 500ML ( x12)</v>
      </c>
      <c r="K65" s="63" t="s">
        <v>520</v>
      </c>
      <c r="L65" s="127">
        <v>4</v>
      </c>
      <c r="M65" s="91" cm="1">
        <f t="array" ref="M65">IFERROR(INDEX(M_DepotPrice!$C$10:$C$52,MATCH(1,(M_DepotPrice!$A$10:$A$52=I65)*(M_DepotPrice!$H$10:$H$52=IFERROR(INDEX(M_Depot!$A$7:$A$24,MATCH(F65,M_Depot!$B$7:$B$24,0)),""))*(M_DepotPrice!$G$10:$G$52="Special"),0)),INDEX(M_DepotPrice!$C$10:$C$52,MATCH(1,(M_DepotPrice!$A$10:$A$52=I65)*(M_DepotPrice!$G$10:$G$52="Default"),0)))*1.18</f>
        <v>10499.64</v>
      </c>
      <c r="N65" s="128">
        <f t="shared" si="1"/>
        <v>41998.559999999998</v>
      </c>
      <c r="O65" s="105" t="s">
        <v>3218</v>
      </c>
      <c r="P65" s="68" t="s">
        <v>3219</v>
      </c>
      <c r="Q65" s="62"/>
    </row>
    <row r="66" spans="1:17" ht="15" customHeight="1" x14ac:dyDescent="0.3">
      <c r="A66" s="70" t="s">
        <v>3276</v>
      </c>
      <c r="B66" s="129" t="s">
        <v>2985</v>
      </c>
      <c r="C66" s="130">
        <v>46179</v>
      </c>
      <c r="D66" s="131" t="s">
        <v>404</v>
      </c>
      <c r="E66" s="76" t="str">
        <f>IFERROR(INDEX(M_User!$A$12:$J$67,MATCH(D66,M_User!$D$12:$D$67,0),3),"UNMAPPED")</f>
        <v>Riziki Rajabu Mghamba</v>
      </c>
      <c r="F66" s="75" t="str">
        <f>IFERROR(INDEX(M_User!$A$12:$J$67,MATCH(D66,M_User!$D$12:$D$67,0),5),"UNMAPPED")</f>
        <v>MOS</v>
      </c>
      <c r="G66" s="75" t="str">
        <f>IFERROR(INDEX(M_Depot!$C$7:$C$24,MATCH(F66,M_Depot!$B$7:$B$24,0)),"NO DEPOT")</f>
        <v>MOS1000001</v>
      </c>
      <c r="H66" s="76" t="str">
        <f>IFERROR(INDEX(M_Depot!$D$7:$D$24,MATCH(F66,M_Depot!$B$7:$B$24,0)),"NO DEPOT")</f>
        <v>MOSHI Ambush</v>
      </c>
      <c r="I66" s="131" t="s">
        <v>232</v>
      </c>
      <c r="J66" s="76" t="str">
        <f>IFERROR(INDEX(M_SKU!$A$18:$J$57,MATCH(I66,M_SKU!$B$18:$B$57,0),1),"UNKNOWN SKU")</f>
        <v>Sprite Pet 500ML (x 12)</v>
      </c>
      <c r="K66" s="131" t="s">
        <v>522</v>
      </c>
      <c r="L66" s="132">
        <v>1</v>
      </c>
      <c r="M66" s="94" cm="1">
        <f t="array" ref="M66">IFERROR(INDEX(M_DepotPrice!$C$10:$C$52,MATCH(1,(M_DepotPrice!$A$10:$A$52=I66)*(M_DepotPrice!$H$10:$H$52=IFERROR(INDEX(M_Depot!$A$7:$A$24,MATCH(F66,M_Depot!$B$7:$B$24,0)),""))*(M_DepotPrice!$G$10:$G$52="Special"),0)),INDEX(M_DepotPrice!$C$10:$C$52,MATCH(1,(M_DepotPrice!$A$10:$A$52=I66)*(M_DepotPrice!$G$10:$G$52="Default"),0)))*1.18</f>
        <v>10499.64</v>
      </c>
      <c r="N66" s="133">
        <f t="shared" si="1"/>
        <v>10499.64</v>
      </c>
      <c r="O66" s="122" t="s">
        <v>3218</v>
      </c>
      <c r="P66" s="116" t="s">
        <v>3219</v>
      </c>
      <c r="Q66" s="118"/>
    </row>
    <row r="67" spans="1:17" ht="15" customHeight="1" x14ac:dyDescent="0.3">
      <c r="A67" s="60" t="s">
        <v>3277</v>
      </c>
      <c r="B67" s="126" t="s">
        <v>2986</v>
      </c>
      <c r="C67" s="62">
        <v>46179</v>
      </c>
      <c r="D67" s="63" t="s">
        <v>404</v>
      </c>
      <c r="E67" s="66" t="str">
        <f>IFERROR(INDEX(M_User!$A$12:$J$67,MATCH(D67,M_User!$D$12:$D$67,0),3),"UNMAPPED")</f>
        <v>Riziki Rajabu Mghamba</v>
      </c>
      <c r="F67" s="65" t="str">
        <f>IFERROR(INDEX(M_User!$A$12:$J$67,MATCH(D67,M_User!$D$12:$D$67,0),5),"UNMAPPED")</f>
        <v>MOS</v>
      </c>
      <c r="G67" s="65" t="str">
        <f>IFERROR(INDEX(M_Depot!$C$7:$C$24,MATCH(F67,M_Depot!$B$7:$B$24,0)),"NO DEPOT")</f>
        <v>MOS1000001</v>
      </c>
      <c r="H67" s="66" t="str">
        <f>IFERROR(INDEX(M_Depot!$D$7:$D$24,MATCH(F67,M_Depot!$B$7:$B$24,0)),"NO DEPOT")</f>
        <v>MOSHI Ambush</v>
      </c>
      <c r="I67" s="63" t="s">
        <v>234</v>
      </c>
      <c r="J67" s="66" t="str">
        <f>IFERROR(INDEX(M_SKU!$A$18:$J$57,MATCH(I67,M_SKU!$B$18:$B$57,0),1),"UNKNOWN SKU")</f>
        <v>Fanta Orange Pet 500ML ( x 12)</v>
      </c>
      <c r="K67" s="63" t="s">
        <v>523</v>
      </c>
      <c r="L67" s="127">
        <v>2</v>
      </c>
      <c r="M67" s="91" cm="1">
        <f t="array" ref="M67">IFERROR(INDEX(M_DepotPrice!$C$10:$C$52,MATCH(1,(M_DepotPrice!$A$10:$A$52=I67)*(M_DepotPrice!$H$10:$H$52=IFERROR(INDEX(M_Depot!$A$7:$A$24,MATCH(F67,M_Depot!$B$7:$B$24,0)),""))*(M_DepotPrice!$G$10:$G$52="Special"),0)),INDEX(M_DepotPrice!$C$10:$C$52,MATCH(1,(M_DepotPrice!$A$10:$A$52=I67)*(M_DepotPrice!$G$10:$G$52="Default"),0)))*1.18</f>
        <v>10499.64</v>
      </c>
      <c r="N67" s="128">
        <f t="shared" si="1"/>
        <v>20999.279999999999</v>
      </c>
      <c r="O67" s="105" t="s">
        <v>3218</v>
      </c>
      <c r="P67" s="68" t="s">
        <v>3219</v>
      </c>
      <c r="Q67" s="62"/>
    </row>
    <row r="68" spans="1:17" ht="15" customHeight="1" x14ac:dyDescent="0.3">
      <c r="A68" s="70" t="s">
        <v>3278</v>
      </c>
      <c r="B68" s="129" t="s">
        <v>2987</v>
      </c>
      <c r="C68" s="130">
        <v>46179</v>
      </c>
      <c r="D68" s="131" t="s">
        <v>404</v>
      </c>
      <c r="E68" s="76" t="str">
        <f>IFERROR(INDEX(M_User!$A$12:$J$67,MATCH(D68,M_User!$D$12:$D$67,0),3),"UNMAPPED")</f>
        <v>Riziki Rajabu Mghamba</v>
      </c>
      <c r="F68" s="75" t="str">
        <f>IFERROR(INDEX(M_User!$A$12:$J$67,MATCH(D68,M_User!$D$12:$D$67,0),5),"UNMAPPED")</f>
        <v>MOS</v>
      </c>
      <c r="G68" s="75" t="str">
        <f>IFERROR(INDEX(M_Depot!$C$7:$C$24,MATCH(F68,M_Depot!$B$7:$B$24,0)),"NO DEPOT")</f>
        <v>MOS1000001</v>
      </c>
      <c r="H68" s="76" t="str">
        <f>IFERROR(INDEX(M_Depot!$D$7:$D$24,MATCH(F68,M_Depot!$B$7:$B$24,0)),"NO DEPOT")</f>
        <v>MOSHI Ambush</v>
      </c>
      <c r="I68" s="131" t="s">
        <v>236</v>
      </c>
      <c r="J68" s="76" t="str">
        <f>IFERROR(INDEX(M_SKU!$A$18:$J$57,MATCH(I68,M_SKU!$B$18:$B$57,0),1),"UNKNOWN SKU")</f>
        <v>Fanta Passion Pet 500ML ( x12)</v>
      </c>
      <c r="K68" s="131" t="s">
        <v>524</v>
      </c>
      <c r="L68" s="132">
        <v>3</v>
      </c>
      <c r="M68" s="94" cm="1">
        <f t="array" ref="M68">IFERROR(INDEX(M_DepotPrice!$C$10:$C$52,MATCH(1,(M_DepotPrice!$A$10:$A$52=I68)*(M_DepotPrice!$H$10:$H$52=IFERROR(INDEX(M_Depot!$A$7:$A$24,MATCH(F68,M_Depot!$B$7:$B$24,0)),""))*(M_DepotPrice!$G$10:$G$52="Special"),0)),INDEX(M_DepotPrice!$C$10:$C$52,MATCH(1,(M_DepotPrice!$A$10:$A$52=I68)*(M_DepotPrice!$G$10:$G$52="Default"),0)))*1.18</f>
        <v>10499.64</v>
      </c>
      <c r="N68" s="133">
        <f t="shared" si="1"/>
        <v>31498.92</v>
      </c>
      <c r="O68" s="122" t="s">
        <v>3218</v>
      </c>
      <c r="P68" s="116" t="s">
        <v>3219</v>
      </c>
      <c r="Q68" s="118"/>
    </row>
    <row r="69" spans="1:17" ht="15" customHeight="1" x14ac:dyDescent="0.3">
      <c r="A69" s="60" t="s">
        <v>3279</v>
      </c>
      <c r="B69" s="126" t="s">
        <v>2988</v>
      </c>
      <c r="C69" s="62">
        <v>46179</v>
      </c>
      <c r="D69" s="63" t="s">
        <v>404</v>
      </c>
      <c r="E69" s="66" t="str">
        <f>IFERROR(INDEX(M_User!$A$12:$J$67,MATCH(D69,M_User!$D$12:$D$67,0),3),"UNMAPPED")</f>
        <v>Riziki Rajabu Mghamba</v>
      </c>
      <c r="F69" s="65" t="str">
        <f>IFERROR(INDEX(M_User!$A$12:$J$67,MATCH(D69,M_User!$D$12:$D$67,0),5),"UNMAPPED")</f>
        <v>MOS</v>
      </c>
      <c r="G69" s="65" t="str">
        <f>IFERROR(INDEX(M_Depot!$C$7:$C$24,MATCH(F69,M_Depot!$B$7:$B$24,0)),"NO DEPOT")</f>
        <v>MOS1000001</v>
      </c>
      <c r="H69" s="66" t="str">
        <f>IFERROR(INDEX(M_Depot!$D$7:$D$24,MATCH(F69,M_Depot!$B$7:$B$24,0)),"NO DEPOT")</f>
        <v>MOSHI Ambush</v>
      </c>
      <c r="I69" s="63" t="s">
        <v>242</v>
      </c>
      <c r="J69" s="66" t="str">
        <f>IFERROR(INDEX(M_SKU!$A$18:$J$57,MATCH(I69,M_SKU!$B$18:$B$57,0),1),"UNKNOWN SKU")</f>
        <v>Stoney Tangawizi Pet 500 ml ( x12)</v>
      </c>
      <c r="K69" s="63" t="s">
        <v>525</v>
      </c>
      <c r="L69" s="127">
        <v>1</v>
      </c>
      <c r="M69" s="91" cm="1">
        <f t="array" ref="M69">IFERROR(INDEX(M_DepotPrice!$C$10:$C$52,MATCH(1,(M_DepotPrice!$A$10:$A$52=I69)*(M_DepotPrice!$H$10:$H$52=IFERROR(INDEX(M_Depot!$A$7:$A$24,MATCH(F69,M_Depot!$B$7:$B$24,0)),""))*(M_DepotPrice!$G$10:$G$52="Special"),0)),INDEX(M_DepotPrice!$C$10:$C$52,MATCH(1,(M_DepotPrice!$A$10:$A$52=I69)*(M_DepotPrice!$G$10:$G$52="Default"),0)))*1.18</f>
        <v>10499.64</v>
      </c>
      <c r="N69" s="128">
        <f t="shared" si="1"/>
        <v>10499.64</v>
      </c>
      <c r="O69" s="105" t="s">
        <v>3218</v>
      </c>
      <c r="P69" s="68" t="s">
        <v>3219</v>
      </c>
      <c r="Q69" s="62"/>
    </row>
    <row r="70" spans="1:17" ht="15" customHeight="1" x14ac:dyDescent="0.3">
      <c r="A70" s="70" t="s">
        <v>3280</v>
      </c>
      <c r="B70" s="129" t="s">
        <v>2990</v>
      </c>
      <c r="C70" s="130">
        <v>46179</v>
      </c>
      <c r="D70" s="131" t="s">
        <v>404</v>
      </c>
      <c r="E70" s="76" t="str">
        <f>IFERROR(INDEX(M_User!$A$12:$J$67,MATCH(D70,M_User!$D$12:$D$67,0),3),"UNMAPPED")</f>
        <v>Riziki Rajabu Mghamba</v>
      </c>
      <c r="F70" s="75" t="str">
        <f>IFERROR(INDEX(M_User!$A$12:$J$67,MATCH(D70,M_User!$D$12:$D$67,0),5),"UNMAPPED")</f>
        <v>MOS</v>
      </c>
      <c r="G70" s="75" t="str">
        <f>IFERROR(INDEX(M_Depot!$C$7:$C$24,MATCH(F70,M_Depot!$B$7:$B$24,0)),"NO DEPOT")</f>
        <v>MOS1000001</v>
      </c>
      <c r="H70" s="76" t="str">
        <f>IFERROR(INDEX(M_Depot!$D$7:$D$24,MATCH(F70,M_Depot!$B$7:$B$24,0)),"NO DEPOT")</f>
        <v>MOSHI Ambush</v>
      </c>
      <c r="I70" s="131" t="s">
        <v>252</v>
      </c>
      <c r="J70" s="76" t="str">
        <f>IFERROR(INDEX(M_SKU!$A$18:$J$57,MATCH(I70,M_SKU!$B$18:$B$57,0),1),"UNKNOWN SKU")</f>
        <v>Sprite Zero Pet 300ML (x 12)</v>
      </c>
      <c r="K70" s="131" t="s">
        <v>545</v>
      </c>
      <c r="L70" s="132">
        <v>1</v>
      </c>
      <c r="M70" s="94" cm="1">
        <f t="array" ref="M70">IFERROR(INDEX(M_DepotPrice!$C$10:$C$52,MATCH(1,(M_DepotPrice!$A$10:$A$52=I70)*(M_DepotPrice!$H$10:$H$52=IFERROR(INDEX(M_Depot!$A$7:$A$24,MATCH(F70,M_Depot!$B$7:$B$24,0)),""))*(M_DepotPrice!$G$10:$G$52="Special"),0)),INDEX(M_DepotPrice!$C$10:$C$52,MATCH(1,(M_DepotPrice!$A$10:$A$52=I70)*(M_DepotPrice!$G$10:$G$52="Default"),0)))*1.18</f>
        <v>6000.2999999999993</v>
      </c>
      <c r="N70" s="133">
        <f t="shared" si="1"/>
        <v>6000.2999999999993</v>
      </c>
      <c r="O70" s="122" t="s">
        <v>3218</v>
      </c>
      <c r="P70" s="116" t="s">
        <v>3219</v>
      </c>
      <c r="Q70" s="118"/>
    </row>
    <row r="71" spans="1:17" ht="15" customHeight="1" x14ac:dyDescent="0.3">
      <c r="A71" s="60" t="s">
        <v>3281</v>
      </c>
      <c r="B71" s="126" t="s">
        <v>2992</v>
      </c>
      <c r="C71" s="62">
        <v>46179</v>
      </c>
      <c r="D71" s="63" t="s">
        <v>404</v>
      </c>
      <c r="E71" s="66" t="str">
        <f>IFERROR(INDEX(M_User!$A$12:$J$67,MATCH(D71,M_User!$D$12:$D$67,0),3),"UNMAPPED")</f>
        <v>Riziki Rajabu Mghamba</v>
      </c>
      <c r="F71" s="65" t="str">
        <f>IFERROR(INDEX(M_User!$A$12:$J$67,MATCH(D71,M_User!$D$12:$D$67,0),5),"UNMAPPED")</f>
        <v>MOS</v>
      </c>
      <c r="G71" s="65" t="str">
        <f>IFERROR(INDEX(M_Depot!$C$7:$C$24,MATCH(F71,M_Depot!$B$7:$B$24,0)),"NO DEPOT")</f>
        <v>MOS1000001</v>
      </c>
      <c r="H71" s="66" t="str">
        <f>IFERROR(INDEX(M_Depot!$D$7:$D$24,MATCH(F71,M_Depot!$B$7:$B$24,0)),"NO DEPOT")</f>
        <v>MOSHI Ambush</v>
      </c>
      <c r="I71" s="63" t="s">
        <v>261</v>
      </c>
      <c r="J71" s="66" t="str">
        <f>IFERROR(INDEX(M_SKU!$A$18:$J$57,MATCH(I71,M_SKU!$B$18:$B$57,0),1),"UNKNOWN SKU")</f>
        <v>Sparletta Pine Apple Pet 300ML (x 12)</v>
      </c>
      <c r="K71" s="63" t="s">
        <v>547</v>
      </c>
      <c r="L71" s="127">
        <v>1</v>
      </c>
      <c r="M71" s="91" cm="1">
        <f t="array" ref="M71">IFERROR(INDEX(M_DepotPrice!$C$10:$C$52,MATCH(1,(M_DepotPrice!$A$10:$A$52=I71)*(M_DepotPrice!$H$10:$H$52=IFERROR(INDEX(M_Depot!$A$7:$A$24,MATCH(F71,M_Depot!$B$7:$B$24,0)),""))*(M_DepotPrice!$G$10:$G$52="Special"),0)),INDEX(M_DepotPrice!$C$10:$C$52,MATCH(1,(M_DepotPrice!$A$10:$A$52=I71)*(M_DepotPrice!$G$10:$G$52="Default"),0)))*1.18</f>
        <v>6000.2999999999993</v>
      </c>
      <c r="N71" s="128">
        <f t="shared" si="1"/>
        <v>6000.2999999999993</v>
      </c>
      <c r="O71" s="105" t="s">
        <v>3218</v>
      </c>
      <c r="P71" s="68" t="s">
        <v>3219</v>
      </c>
      <c r="Q71" s="62"/>
    </row>
    <row r="72" spans="1:17" ht="15" customHeight="1" x14ac:dyDescent="0.3">
      <c r="A72" s="70" t="s">
        <v>3282</v>
      </c>
      <c r="B72" s="129" t="s">
        <v>2993</v>
      </c>
      <c r="C72" s="130">
        <v>46179</v>
      </c>
      <c r="D72" s="131" t="s">
        <v>427</v>
      </c>
      <c r="E72" s="76" t="str">
        <f>IFERROR(INDEX(M_User!$A$12:$J$67,MATCH(D72,M_User!$D$12:$D$67,0),3),"UNMAPPED")</f>
        <v>Piniel Julius Singo</v>
      </c>
      <c r="F72" s="75" t="str">
        <f>IFERROR(INDEX(M_User!$A$12:$J$67,MATCH(D72,M_User!$D$12:$D$67,0),5),"UNMAPPED")</f>
        <v>MOS</v>
      </c>
      <c r="G72" s="75" t="str">
        <f>IFERROR(INDEX(M_Depot!$C$7:$C$24,MATCH(F72,M_Depot!$B$7:$B$24,0)),"NO DEPOT")</f>
        <v>MOS1000001</v>
      </c>
      <c r="H72" s="76" t="str">
        <f>IFERROR(INDEX(M_Depot!$D$7:$D$24,MATCH(F72,M_Depot!$B$7:$B$24,0)),"NO DEPOT")</f>
        <v>MOSHI Ambush</v>
      </c>
      <c r="I72" s="131" t="s">
        <v>170</v>
      </c>
      <c r="J72" s="76" t="str">
        <f>IFERROR(INDEX(M_SKU!$A$18:$J$57,MATCH(I72,M_SKU!$B$18:$B$57,0),1),"UNKNOWN SKU")</f>
        <v>Coke RGB 350ml</v>
      </c>
      <c r="K72" s="131" t="s">
        <v>530</v>
      </c>
      <c r="L72" s="132">
        <v>1.09228210929668E-3</v>
      </c>
      <c r="M72" s="94" cm="1">
        <f t="array" ref="M72">IFERROR(INDEX(M_DepotPrice!$C$10:$C$52,MATCH(1,(M_DepotPrice!$A$10:$A$52=I72)*(M_DepotPrice!$H$10:$H$52=IFERROR(INDEX(M_Depot!$A$7:$A$24,MATCH(F72,M_Depot!$B$7:$B$24,0)),""))*(M_DepotPrice!$G$10:$G$52="Special"),0)),INDEX(M_DepotPrice!$C$10:$C$52,MATCH(1,(M_DepotPrice!$A$10:$A$52=I72)*(M_DepotPrice!$G$10:$G$52="Default"),0)))*1.18</f>
        <v>13900.4</v>
      </c>
      <c r="N72" s="133">
        <f t="shared" si="1"/>
        <v>15.183158232067569</v>
      </c>
      <c r="O72" s="122" t="s">
        <v>3218</v>
      </c>
      <c r="P72" s="116" t="s">
        <v>3219</v>
      </c>
      <c r="Q72" s="118"/>
    </row>
    <row r="73" spans="1:17" ht="15" customHeight="1" x14ac:dyDescent="0.3">
      <c r="A73" s="60" t="s">
        <v>3283</v>
      </c>
      <c r="B73" s="126" t="s">
        <v>2994</v>
      </c>
      <c r="C73" s="62">
        <v>46179</v>
      </c>
      <c r="D73" s="63" t="s">
        <v>427</v>
      </c>
      <c r="E73" s="66" t="str">
        <f>IFERROR(INDEX(M_User!$A$12:$J$67,MATCH(D73,M_User!$D$12:$D$67,0),3),"UNMAPPED")</f>
        <v>Piniel Julius Singo</v>
      </c>
      <c r="F73" s="65" t="str">
        <f>IFERROR(INDEX(M_User!$A$12:$J$67,MATCH(D73,M_User!$D$12:$D$67,0),5),"UNMAPPED")</f>
        <v>MOS</v>
      </c>
      <c r="G73" s="65" t="str">
        <f>IFERROR(INDEX(M_Depot!$C$7:$C$24,MATCH(F73,M_Depot!$B$7:$B$24,0)),"NO DEPOT")</f>
        <v>MOS1000001</v>
      </c>
      <c r="H73" s="66" t="str">
        <f>IFERROR(INDEX(M_Depot!$D$7:$D$24,MATCH(F73,M_Depot!$B$7:$B$24,0)),"NO DEPOT")</f>
        <v>MOSHI Ambush</v>
      </c>
      <c r="I73" s="63" t="s">
        <v>178</v>
      </c>
      <c r="J73" s="66" t="str">
        <f>IFERROR(INDEX(M_SKU!$A$18:$J$57,MATCH(I73,M_SKU!$B$18:$B$57,0),1),"UNKNOWN SKU")</f>
        <v>Fanta Orange RGB 350ml</v>
      </c>
      <c r="K73" s="63" t="s">
        <v>531</v>
      </c>
      <c r="L73" s="127">
        <v>8.2098400280905504E-4</v>
      </c>
      <c r="M73" s="91" cm="1">
        <f t="array" ref="M73">IFERROR(INDEX(M_DepotPrice!$C$10:$C$52,MATCH(1,(M_DepotPrice!$A$10:$A$52=I73)*(M_DepotPrice!$H$10:$H$52=IFERROR(INDEX(M_Depot!$A$7:$A$24,MATCH(F73,M_Depot!$B$7:$B$24,0)),""))*(M_DepotPrice!$G$10:$G$52="Special"),0)),INDEX(M_DepotPrice!$C$10:$C$52,MATCH(1,(M_DepotPrice!$A$10:$A$52=I73)*(M_DepotPrice!$G$10:$G$52="Default"),0)))*1.18</f>
        <v>13900.4</v>
      </c>
      <c r="N73" s="128">
        <f t="shared" ref="N73:N104" si="2">L73*M73</f>
        <v>11.412006032646989</v>
      </c>
      <c r="O73" s="105" t="s">
        <v>3218</v>
      </c>
      <c r="P73" s="68" t="s">
        <v>3219</v>
      </c>
      <c r="Q73" s="62"/>
    </row>
    <row r="74" spans="1:17" ht="15" customHeight="1" x14ac:dyDescent="0.3">
      <c r="A74" s="70" t="s">
        <v>3284</v>
      </c>
      <c r="B74" s="129" t="s">
        <v>2999</v>
      </c>
      <c r="C74" s="130">
        <v>46179</v>
      </c>
      <c r="D74" s="131" t="s">
        <v>427</v>
      </c>
      <c r="E74" s="76" t="str">
        <f>IFERROR(INDEX(M_User!$A$12:$J$67,MATCH(D74,M_User!$D$12:$D$67,0),3),"UNMAPPED")</f>
        <v>Piniel Julius Singo</v>
      </c>
      <c r="F74" s="75" t="str">
        <f>IFERROR(INDEX(M_User!$A$12:$J$67,MATCH(D74,M_User!$D$12:$D$67,0),5),"UNMAPPED")</f>
        <v>MOS</v>
      </c>
      <c r="G74" s="75" t="str">
        <f>IFERROR(INDEX(M_Depot!$C$7:$C$24,MATCH(F74,M_Depot!$B$7:$B$24,0)),"NO DEPOT")</f>
        <v>MOS1000001</v>
      </c>
      <c r="H74" s="76" t="str">
        <f>IFERROR(INDEX(M_Depot!$D$7:$D$24,MATCH(F74,M_Depot!$B$7:$B$24,0)),"NO DEPOT")</f>
        <v>MOSHI Ambush</v>
      </c>
      <c r="I74" s="131" t="s">
        <v>190</v>
      </c>
      <c r="J74" s="76" t="str">
        <f>IFERROR(INDEX(M_SKU!$A$18:$J$57,MATCH(I74,M_SKU!$B$18:$B$57,0),1),"UNKNOWN SKU")</f>
        <v>Stoney Tangawizi RGB 350ml</v>
      </c>
      <c r="K74" s="131" t="s">
        <v>536</v>
      </c>
      <c r="L74" s="132">
        <v>4.6807595862201597E-3</v>
      </c>
      <c r="M74" s="94" cm="1">
        <f t="array" ref="M74">IFERROR(INDEX(M_DepotPrice!$C$10:$C$52,MATCH(1,(M_DepotPrice!$A$10:$A$52=I74)*(M_DepotPrice!$H$10:$H$52=IFERROR(INDEX(M_Depot!$A$7:$A$24,MATCH(F74,M_Depot!$B$7:$B$24,0)),""))*(M_DepotPrice!$G$10:$G$52="Special"),0)),INDEX(M_DepotPrice!$C$10:$C$52,MATCH(1,(M_DepotPrice!$A$10:$A$52=I74)*(M_DepotPrice!$G$10:$G$52="Default"),0)))*1.18</f>
        <v>13900.4</v>
      </c>
      <c r="N74" s="133">
        <f t="shared" si="2"/>
        <v>65.064430552294709</v>
      </c>
      <c r="O74" s="122" t="s">
        <v>3218</v>
      </c>
      <c r="P74" s="116" t="s">
        <v>3219</v>
      </c>
      <c r="Q74" s="118"/>
    </row>
    <row r="75" spans="1:17" ht="15" customHeight="1" x14ac:dyDescent="0.3">
      <c r="A75" s="60" t="s">
        <v>3285</v>
      </c>
      <c r="B75" s="126" t="s">
        <v>3003</v>
      </c>
      <c r="C75" s="62">
        <v>46179</v>
      </c>
      <c r="D75" s="63" t="s">
        <v>427</v>
      </c>
      <c r="E75" s="66" t="str">
        <f>IFERROR(INDEX(M_User!$A$12:$J$67,MATCH(D75,M_User!$D$12:$D$67,0),3),"UNMAPPED")</f>
        <v>Piniel Julius Singo</v>
      </c>
      <c r="F75" s="65" t="str">
        <f>IFERROR(INDEX(M_User!$A$12:$J$67,MATCH(D75,M_User!$D$12:$D$67,0),5),"UNMAPPED")</f>
        <v>MOS</v>
      </c>
      <c r="G75" s="65" t="str">
        <f>IFERROR(INDEX(M_Depot!$C$7:$C$24,MATCH(F75,M_Depot!$B$7:$B$24,0)),"NO DEPOT")</f>
        <v>MOS1000001</v>
      </c>
      <c r="H75" s="66" t="str">
        <f>IFERROR(INDEX(M_Depot!$D$7:$D$24,MATCH(F75,M_Depot!$B$7:$B$24,0)),"NO DEPOT")</f>
        <v>MOSHI Ambush</v>
      </c>
      <c r="I75" s="63" t="s">
        <v>203</v>
      </c>
      <c r="J75" s="66" t="str">
        <f>IFERROR(INDEX(M_SKU!$A$18:$J$57,MATCH(I75,M_SKU!$B$18:$B$57,0),1),"UNKNOWN SKU")</f>
        <v>Krest Ginger Ale RGB 300ml</v>
      </c>
      <c r="K75" s="63" t="s">
        <v>541</v>
      </c>
      <c r="L75" s="127">
        <v>4.9396002514199297E-3</v>
      </c>
      <c r="M75" s="91" cm="1">
        <f t="array" ref="M75">IFERROR(INDEX(M_DepotPrice!$C$10:$C$52,MATCH(1,(M_DepotPrice!$A$10:$A$52=I75)*(M_DepotPrice!$H$10:$H$52=IFERROR(INDEX(M_Depot!$A$7:$A$24,MATCH(F75,M_Depot!$B$7:$B$24,0)),""))*(M_DepotPrice!$G$10:$G$52="Special"),0)),INDEX(M_DepotPrice!$C$10:$C$52,MATCH(1,(M_DepotPrice!$A$10:$A$52=I75)*(M_DepotPrice!$G$10:$G$52="Default"),0)))*1.18</f>
        <v>13900.4</v>
      </c>
      <c r="N75" s="128">
        <f t="shared" si="2"/>
        <v>68.662419334837594</v>
      </c>
      <c r="O75" s="105" t="s">
        <v>3218</v>
      </c>
      <c r="P75" s="68" t="s">
        <v>3219</v>
      </c>
      <c r="Q75" s="62"/>
    </row>
    <row r="76" spans="1:17" ht="15" customHeight="1" x14ac:dyDescent="0.3">
      <c r="A76" s="70" t="s">
        <v>3286</v>
      </c>
      <c r="B76" s="129" t="s">
        <v>3015</v>
      </c>
      <c r="C76" s="130">
        <v>46179</v>
      </c>
      <c r="D76" s="131" t="s">
        <v>424</v>
      </c>
      <c r="E76" s="76" t="str">
        <f>IFERROR(INDEX(M_User!$A$12:$J$67,MATCH(D76,M_User!$D$12:$D$67,0),3),"UNMAPPED")</f>
        <v>Raymond P Sangawe</v>
      </c>
      <c r="F76" s="75" t="str">
        <f>IFERROR(INDEX(M_User!$A$12:$J$67,MATCH(D76,M_User!$D$12:$D$67,0),5),"UNMAPPED")</f>
        <v>MOS</v>
      </c>
      <c r="G76" s="75" t="str">
        <f>IFERROR(INDEX(M_Depot!$C$7:$C$24,MATCH(F76,M_Depot!$B$7:$B$24,0)),"NO DEPOT")</f>
        <v>MOS1000001</v>
      </c>
      <c r="H76" s="76" t="str">
        <f>IFERROR(INDEX(M_Depot!$D$7:$D$24,MATCH(F76,M_Depot!$B$7:$B$24,0)),"NO DEPOT")</f>
        <v>MOSHI Ambush</v>
      </c>
      <c r="I76" s="131" t="s">
        <v>170</v>
      </c>
      <c r="J76" s="76" t="str">
        <f>IFERROR(INDEX(M_SKU!$A$18:$J$57,MATCH(I76,M_SKU!$B$18:$B$57,0),1),"UNKNOWN SKU")</f>
        <v>Coke RGB 350ml</v>
      </c>
      <c r="K76" s="131" t="s">
        <v>530</v>
      </c>
      <c r="L76" s="132">
        <v>2.61293498619608E-3</v>
      </c>
      <c r="M76" s="94" cm="1">
        <f t="array" ref="M76">IFERROR(INDEX(M_DepotPrice!$C$10:$C$52,MATCH(1,(M_DepotPrice!$A$10:$A$52=I76)*(M_DepotPrice!$H$10:$H$52=IFERROR(INDEX(M_Depot!$A$7:$A$24,MATCH(F76,M_Depot!$B$7:$B$24,0)),""))*(M_DepotPrice!$G$10:$G$52="Special"),0)),INDEX(M_DepotPrice!$C$10:$C$52,MATCH(1,(M_DepotPrice!$A$10:$A$52=I76)*(M_DepotPrice!$G$10:$G$52="Default"),0)))*1.18</f>
        <v>13900.4</v>
      </c>
      <c r="N76" s="133">
        <f t="shared" si="2"/>
        <v>36.320841482119988</v>
      </c>
      <c r="O76" s="122" t="s">
        <v>3218</v>
      </c>
      <c r="P76" s="116" t="s">
        <v>3219</v>
      </c>
      <c r="Q76" s="118"/>
    </row>
    <row r="77" spans="1:17" ht="15" customHeight="1" x14ac:dyDescent="0.3">
      <c r="A77" s="60" t="s">
        <v>3287</v>
      </c>
      <c r="B77" s="126" t="s">
        <v>3016</v>
      </c>
      <c r="C77" s="62">
        <v>46179</v>
      </c>
      <c r="D77" s="63" t="s">
        <v>424</v>
      </c>
      <c r="E77" s="66" t="str">
        <f>IFERROR(INDEX(M_User!$A$12:$J$67,MATCH(D77,M_User!$D$12:$D$67,0),3),"UNMAPPED")</f>
        <v>Raymond P Sangawe</v>
      </c>
      <c r="F77" s="65" t="str">
        <f>IFERROR(INDEX(M_User!$A$12:$J$67,MATCH(D77,M_User!$D$12:$D$67,0),5),"UNMAPPED")</f>
        <v>MOS</v>
      </c>
      <c r="G77" s="65" t="str">
        <f>IFERROR(INDEX(M_Depot!$C$7:$C$24,MATCH(F77,M_Depot!$B$7:$B$24,0)),"NO DEPOT")</f>
        <v>MOS1000001</v>
      </c>
      <c r="H77" s="66" t="str">
        <f>IFERROR(INDEX(M_Depot!$D$7:$D$24,MATCH(F77,M_Depot!$B$7:$B$24,0)),"NO DEPOT")</f>
        <v>MOSHI Ambush</v>
      </c>
      <c r="I77" s="63" t="s">
        <v>178</v>
      </c>
      <c r="J77" s="66" t="str">
        <f>IFERROR(INDEX(M_SKU!$A$18:$J$57,MATCH(I77,M_SKU!$B$18:$B$57,0),1),"UNKNOWN SKU")</f>
        <v>Fanta Orange RGB 350ml</v>
      </c>
      <c r="K77" s="63" t="s">
        <v>531</v>
      </c>
      <c r="L77" s="127">
        <v>4.6550723706997301E-3</v>
      </c>
      <c r="M77" s="91" cm="1">
        <f t="array" ref="M77">IFERROR(INDEX(M_DepotPrice!$C$10:$C$52,MATCH(1,(M_DepotPrice!$A$10:$A$52=I77)*(M_DepotPrice!$H$10:$H$52=IFERROR(INDEX(M_Depot!$A$7:$A$24,MATCH(F77,M_Depot!$B$7:$B$24,0)),""))*(M_DepotPrice!$G$10:$G$52="Special"),0)),INDEX(M_DepotPrice!$C$10:$C$52,MATCH(1,(M_DepotPrice!$A$10:$A$52=I77)*(M_DepotPrice!$G$10:$G$52="Default"),0)))*1.18</f>
        <v>13900.4</v>
      </c>
      <c r="N77" s="128">
        <f t="shared" si="2"/>
        <v>64.707367981674523</v>
      </c>
      <c r="O77" s="105" t="s">
        <v>3218</v>
      </c>
      <c r="P77" s="68" t="s">
        <v>3219</v>
      </c>
      <c r="Q77" s="62"/>
    </row>
    <row r="78" spans="1:17" ht="15" customHeight="1" x14ac:dyDescent="0.3">
      <c r="A78" s="70" t="s">
        <v>3288</v>
      </c>
      <c r="B78" s="129" t="s">
        <v>3017</v>
      </c>
      <c r="C78" s="130">
        <v>46179</v>
      </c>
      <c r="D78" s="131" t="s">
        <v>424</v>
      </c>
      <c r="E78" s="76" t="str">
        <f>IFERROR(INDEX(M_User!$A$12:$J$67,MATCH(D78,M_User!$D$12:$D$67,0),3),"UNMAPPED")</f>
        <v>Raymond P Sangawe</v>
      </c>
      <c r="F78" s="75" t="str">
        <f>IFERROR(INDEX(M_User!$A$12:$J$67,MATCH(D78,M_User!$D$12:$D$67,0),5),"UNMAPPED")</f>
        <v>MOS</v>
      </c>
      <c r="G78" s="75" t="str">
        <f>IFERROR(INDEX(M_Depot!$C$7:$C$24,MATCH(F78,M_Depot!$B$7:$B$24,0)),"NO DEPOT")</f>
        <v>MOS1000001</v>
      </c>
      <c r="H78" s="76" t="str">
        <f>IFERROR(INDEX(M_Depot!$D$7:$D$24,MATCH(F78,M_Depot!$B$7:$B$24,0)),"NO DEPOT")</f>
        <v>MOSHI Ambush</v>
      </c>
      <c r="I78" s="131" t="s">
        <v>181</v>
      </c>
      <c r="J78" s="76" t="str">
        <f>IFERROR(INDEX(M_SKU!$A$18:$J$57,MATCH(I78,M_SKU!$B$18:$B$57,0),1),"UNKNOWN SKU")</f>
        <v>Fanta Passion RGB 350ml</v>
      </c>
      <c r="K78" s="131" t="s">
        <v>550</v>
      </c>
      <c r="L78" s="132">
        <v>1.0142689567938E-4</v>
      </c>
      <c r="M78" s="94" cm="1">
        <f t="array" ref="M78">IFERROR(INDEX(M_DepotPrice!$C$10:$C$52,MATCH(1,(M_DepotPrice!$A$10:$A$52=I78)*(M_DepotPrice!$H$10:$H$52=IFERROR(INDEX(M_Depot!$A$7:$A$24,MATCH(F78,M_Depot!$B$7:$B$24,0)),""))*(M_DepotPrice!$G$10:$G$52="Special"),0)),INDEX(M_DepotPrice!$C$10:$C$52,MATCH(1,(M_DepotPrice!$A$10:$A$52=I78)*(M_DepotPrice!$G$10:$G$52="Default"),0)))*1.18</f>
        <v>13900.4</v>
      </c>
      <c r="N78" s="133">
        <f t="shared" si="2"/>
        <v>1.4098744207016538</v>
      </c>
      <c r="O78" s="122" t="s">
        <v>3218</v>
      </c>
      <c r="P78" s="116" t="s">
        <v>3219</v>
      </c>
      <c r="Q78" s="118"/>
    </row>
    <row r="79" spans="1:17" ht="15" customHeight="1" x14ac:dyDescent="0.3">
      <c r="A79" s="60" t="s">
        <v>3289</v>
      </c>
      <c r="B79" s="126" t="s">
        <v>3018</v>
      </c>
      <c r="C79" s="62">
        <v>46179</v>
      </c>
      <c r="D79" s="63" t="s">
        <v>424</v>
      </c>
      <c r="E79" s="66" t="str">
        <f>IFERROR(INDEX(M_User!$A$12:$J$67,MATCH(D79,M_User!$D$12:$D$67,0),3),"UNMAPPED")</f>
        <v>Raymond P Sangawe</v>
      </c>
      <c r="F79" s="65" t="str">
        <f>IFERROR(INDEX(M_User!$A$12:$J$67,MATCH(D79,M_User!$D$12:$D$67,0),5),"UNMAPPED")</f>
        <v>MOS</v>
      </c>
      <c r="G79" s="65" t="str">
        <f>IFERROR(INDEX(M_Depot!$C$7:$C$24,MATCH(F79,M_Depot!$B$7:$B$24,0)),"NO DEPOT")</f>
        <v>MOS1000001</v>
      </c>
      <c r="H79" s="66" t="str">
        <f>IFERROR(INDEX(M_Depot!$D$7:$D$24,MATCH(F79,M_Depot!$B$7:$B$24,0)),"NO DEPOT")</f>
        <v>MOSHI Ambush</v>
      </c>
      <c r="I79" s="63" t="s">
        <v>183</v>
      </c>
      <c r="J79" s="66" t="str">
        <f>IFERROR(INDEX(M_SKU!$A$18:$J$57,MATCH(I79,M_SKU!$B$18:$B$57,0),1),"UNKNOWN SKU")</f>
        <v>Fanta Pineapple RGB 350ml</v>
      </c>
      <c r="K79" s="63" t="s">
        <v>533</v>
      </c>
      <c r="L79" s="127">
        <v>4.3569747067111501E-3</v>
      </c>
      <c r="M79" s="91" cm="1">
        <f t="array" ref="M79">IFERROR(INDEX(M_DepotPrice!$C$10:$C$52,MATCH(1,(M_DepotPrice!$A$10:$A$52=I79)*(M_DepotPrice!$H$10:$H$52=IFERROR(INDEX(M_Depot!$A$7:$A$24,MATCH(F79,M_Depot!$B$7:$B$24,0)),""))*(M_DepotPrice!$G$10:$G$52="Special"),0)),INDEX(M_DepotPrice!$C$10:$C$52,MATCH(1,(M_DepotPrice!$A$10:$A$52=I79)*(M_DepotPrice!$G$10:$G$52="Default"),0)))*1.18</f>
        <v>13900.4</v>
      </c>
      <c r="N79" s="128">
        <f t="shared" si="2"/>
        <v>60.563691213167672</v>
      </c>
      <c r="O79" s="105" t="s">
        <v>3218</v>
      </c>
      <c r="P79" s="68" t="s">
        <v>3219</v>
      </c>
      <c r="Q79" s="62"/>
    </row>
    <row r="80" spans="1:17" ht="15" customHeight="1" x14ac:dyDescent="0.3">
      <c r="A80" s="70" t="s">
        <v>3290</v>
      </c>
      <c r="B80" s="129" t="s">
        <v>3019</v>
      </c>
      <c r="C80" s="130">
        <v>46179</v>
      </c>
      <c r="D80" s="131" t="s">
        <v>424</v>
      </c>
      <c r="E80" s="76" t="str">
        <f>IFERROR(INDEX(M_User!$A$12:$J$67,MATCH(D80,M_User!$D$12:$D$67,0),3),"UNMAPPED")</f>
        <v>Raymond P Sangawe</v>
      </c>
      <c r="F80" s="75" t="str">
        <f>IFERROR(INDEX(M_User!$A$12:$J$67,MATCH(D80,M_User!$D$12:$D$67,0),5),"UNMAPPED")</f>
        <v>MOS</v>
      </c>
      <c r="G80" s="75" t="str">
        <f>IFERROR(INDEX(M_Depot!$C$7:$C$24,MATCH(F80,M_Depot!$B$7:$B$24,0)),"NO DEPOT")</f>
        <v>MOS1000001</v>
      </c>
      <c r="H80" s="76" t="str">
        <f>IFERROR(INDEX(M_Depot!$D$7:$D$24,MATCH(F80,M_Depot!$B$7:$B$24,0)),"NO DEPOT")</f>
        <v>MOSHI Ambush</v>
      </c>
      <c r="I80" s="131" t="s">
        <v>185</v>
      </c>
      <c r="J80" s="76" t="str">
        <f>IFERROR(INDEX(M_SKU!$A$18:$J$57,MATCH(I80,M_SKU!$B$18:$B$57,0),1),"UNKNOWN SKU")</f>
        <v>Fanta Fruit Blast RGB 350 ml</v>
      </c>
      <c r="K80" s="131" t="s">
        <v>534</v>
      </c>
      <c r="L80" s="132">
        <v>9.8526066227005993E-4</v>
      </c>
      <c r="M80" s="94" cm="1">
        <f t="array" ref="M80">IFERROR(INDEX(M_DepotPrice!$C$10:$C$52,MATCH(1,(M_DepotPrice!$A$10:$A$52=I80)*(M_DepotPrice!$H$10:$H$52=IFERROR(INDEX(M_Depot!$A$7:$A$24,MATCH(F80,M_Depot!$B$7:$B$24,0)),""))*(M_DepotPrice!$G$10:$G$52="Special"),0)),INDEX(M_DepotPrice!$C$10:$C$52,MATCH(1,(M_DepotPrice!$A$10:$A$52=I80)*(M_DepotPrice!$G$10:$G$52="Default"),0)))*1.18</f>
        <v>13900.4</v>
      </c>
      <c r="N80" s="133">
        <f t="shared" si="2"/>
        <v>13.69551730981874</v>
      </c>
      <c r="O80" s="122" t="s">
        <v>3218</v>
      </c>
      <c r="P80" s="116" t="s">
        <v>3219</v>
      </c>
      <c r="Q80" s="118"/>
    </row>
    <row r="81" spans="1:17" ht="15" customHeight="1" x14ac:dyDescent="0.3">
      <c r="A81" s="60" t="s">
        <v>3291</v>
      </c>
      <c r="B81" s="126" t="s">
        <v>3021</v>
      </c>
      <c r="C81" s="62">
        <v>46179</v>
      </c>
      <c r="D81" s="63" t="s">
        <v>424</v>
      </c>
      <c r="E81" s="66" t="str">
        <f>IFERROR(INDEX(M_User!$A$12:$J$67,MATCH(D81,M_User!$D$12:$D$67,0),3),"UNMAPPED")</f>
        <v>Raymond P Sangawe</v>
      </c>
      <c r="F81" s="65" t="str">
        <f>IFERROR(INDEX(M_User!$A$12:$J$67,MATCH(D81,M_User!$D$12:$D$67,0),5),"UNMAPPED")</f>
        <v>MOS</v>
      </c>
      <c r="G81" s="65" t="str">
        <f>IFERROR(INDEX(M_Depot!$C$7:$C$24,MATCH(F81,M_Depot!$B$7:$B$24,0)),"NO DEPOT")</f>
        <v>MOS1000001</v>
      </c>
      <c r="H81" s="66" t="str">
        <f>IFERROR(INDEX(M_Depot!$D$7:$D$24,MATCH(F81,M_Depot!$B$7:$B$24,0)),"NO DEPOT")</f>
        <v>MOSHI Ambush</v>
      </c>
      <c r="I81" s="63" t="s">
        <v>190</v>
      </c>
      <c r="J81" s="66" t="str">
        <f>IFERROR(INDEX(M_SKU!$A$18:$J$57,MATCH(I81,M_SKU!$B$18:$B$57,0),1),"UNKNOWN SKU")</f>
        <v>Stoney Tangawizi RGB 350ml</v>
      </c>
      <c r="K81" s="63" t="s">
        <v>536</v>
      </c>
      <c r="L81" s="127">
        <v>3.69226143960022E-3</v>
      </c>
      <c r="M81" s="91" cm="1">
        <f t="array" ref="M81">IFERROR(INDEX(M_DepotPrice!$C$10:$C$52,MATCH(1,(M_DepotPrice!$A$10:$A$52=I81)*(M_DepotPrice!$H$10:$H$52=IFERROR(INDEX(M_Depot!$A$7:$A$24,MATCH(F81,M_Depot!$B$7:$B$24,0)),""))*(M_DepotPrice!$G$10:$G$52="Special"),0)),INDEX(M_DepotPrice!$C$10:$C$52,MATCH(1,(M_DepotPrice!$A$10:$A$52=I81)*(M_DepotPrice!$G$10:$G$52="Default"),0)))*1.18</f>
        <v>13900.4</v>
      </c>
      <c r="N81" s="128">
        <f t="shared" si="2"/>
        <v>51.323910915018899</v>
      </c>
      <c r="O81" s="105" t="s">
        <v>3218</v>
      </c>
      <c r="P81" s="68" t="s">
        <v>3219</v>
      </c>
      <c r="Q81" s="62"/>
    </row>
    <row r="82" spans="1:17" ht="15" customHeight="1" x14ac:dyDescent="0.3">
      <c r="A82" s="70" t="s">
        <v>3292</v>
      </c>
      <c r="B82" s="129" t="s">
        <v>3022</v>
      </c>
      <c r="C82" s="130">
        <v>46179</v>
      </c>
      <c r="D82" s="131" t="s">
        <v>424</v>
      </c>
      <c r="E82" s="76" t="str">
        <f>IFERROR(INDEX(M_User!$A$12:$J$67,MATCH(D82,M_User!$D$12:$D$67,0),3),"UNMAPPED")</f>
        <v>Raymond P Sangawe</v>
      </c>
      <c r="F82" s="75" t="str">
        <f>IFERROR(INDEX(M_User!$A$12:$J$67,MATCH(D82,M_User!$D$12:$D$67,0),5),"UNMAPPED")</f>
        <v>MOS</v>
      </c>
      <c r="G82" s="75" t="str">
        <f>IFERROR(INDEX(M_Depot!$C$7:$C$24,MATCH(F82,M_Depot!$B$7:$B$24,0)),"NO DEPOT")</f>
        <v>MOS1000001</v>
      </c>
      <c r="H82" s="76" t="str">
        <f>IFERROR(INDEX(M_Depot!$D$7:$D$24,MATCH(F82,M_Depot!$B$7:$B$24,0)),"NO DEPOT")</f>
        <v>MOSHI Ambush</v>
      </c>
      <c r="I82" s="131" t="s">
        <v>193</v>
      </c>
      <c r="J82" s="76" t="str">
        <f>IFERROR(INDEX(M_SKU!$A$18:$J$57,MATCH(I82,M_SKU!$B$18:$B$57,0),1),"UNKNOWN SKU")</f>
        <v>Sparletta Pinenut RGB 350ml</v>
      </c>
      <c r="K82" s="131" t="s">
        <v>537</v>
      </c>
      <c r="L82" s="132">
        <v>2.2903395205362601E-3</v>
      </c>
      <c r="M82" s="94" cm="1">
        <f t="array" ref="M82">IFERROR(INDEX(M_DepotPrice!$C$10:$C$52,MATCH(1,(M_DepotPrice!$A$10:$A$52=I82)*(M_DepotPrice!$H$10:$H$52=IFERROR(INDEX(M_Depot!$A$7:$A$24,MATCH(F82,M_Depot!$B$7:$B$24,0)),""))*(M_DepotPrice!$G$10:$G$52="Special"),0)),INDEX(M_DepotPrice!$C$10:$C$52,MATCH(1,(M_DepotPrice!$A$10:$A$52=I82)*(M_DepotPrice!$G$10:$G$52="Default"),0)))*1.18</f>
        <v>13900.4</v>
      </c>
      <c r="N82" s="133">
        <f t="shared" si="2"/>
        <v>31.83663547126223</v>
      </c>
      <c r="O82" s="122" t="s">
        <v>3218</v>
      </c>
      <c r="P82" s="116" t="s">
        <v>3219</v>
      </c>
      <c r="Q82" s="118"/>
    </row>
    <row r="83" spans="1:17" ht="15" customHeight="1" x14ac:dyDescent="0.3">
      <c r="A83" s="60" t="s">
        <v>3293</v>
      </c>
      <c r="B83" s="126" t="s">
        <v>3026</v>
      </c>
      <c r="C83" s="62">
        <v>46179</v>
      </c>
      <c r="D83" s="63" t="s">
        <v>424</v>
      </c>
      <c r="E83" s="66" t="str">
        <f>IFERROR(INDEX(M_User!$A$12:$J$67,MATCH(D83,M_User!$D$12:$D$67,0),3),"UNMAPPED")</f>
        <v>Raymond P Sangawe</v>
      </c>
      <c r="F83" s="65" t="str">
        <f>IFERROR(INDEX(M_User!$A$12:$J$67,MATCH(D83,M_User!$D$12:$D$67,0),5),"UNMAPPED")</f>
        <v>MOS</v>
      </c>
      <c r="G83" s="65" t="str">
        <f>IFERROR(INDEX(M_Depot!$C$7:$C$24,MATCH(F83,M_Depot!$B$7:$B$24,0)),"NO DEPOT")</f>
        <v>MOS1000001</v>
      </c>
      <c r="H83" s="66" t="str">
        <f>IFERROR(INDEX(M_Depot!$D$7:$D$24,MATCH(F83,M_Depot!$B$7:$B$24,0)),"NO DEPOT")</f>
        <v>MOSHI Ambush</v>
      </c>
      <c r="I83" s="63" t="s">
        <v>203</v>
      </c>
      <c r="J83" s="66" t="str">
        <f>IFERROR(INDEX(M_SKU!$A$18:$J$57,MATCH(I83,M_SKU!$B$18:$B$57,0),1),"UNKNOWN SKU")</f>
        <v>Krest Ginger Ale RGB 300ml</v>
      </c>
      <c r="K83" s="63" t="s">
        <v>541</v>
      </c>
      <c r="L83" s="127">
        <v>4.4748614590002199E-3</v>
      </c>
      <c r="M83" s="91" cm="1">
        <f t="array" ref="M83">IFERROR(INDEX(M_DepotPrice!$C$10:$C$52,MATCH(1,(M_DepotPrice!$A$10:$A$52=I83)*(M_DepotPrice!$H$10:$H$52=IFERROR(INDEX(M_Depot!$A$7:$A$24,MATCH(F83,M_Depot!$B$7:$B$24,0)),""))*(M_DepotPrice!$G$10:$G$52="Special"),0)),INDEX(M_DepotPrice!$C$10:$C$52,MATCH(1,(M_DepotPrice!$A$10:$A$52=I83)*(M_DepotPrice!$G$10:$G$52="Default"),0)))*1.18</f>
        <v>13900.4</v>
      </c>
      <c r="N83" s="128">
        <f t="shared" si="2"/>
        <v>62.202364224686654</v>
      </c>
      <c r="O83" s="105" t="s">
        <v>3218</v>
      </c>
      <c r="P83" s="68" t="s">
        <v>3219</v>
      </c>
      <c r="Q83" s="62"/>
    </row>
    <row r="84" spans="1:17" ht="15" customHeight="1" x14ac:dyDescent="0.3">
      <c r="A84" s="70" t="s">
        <v>3294</v>
      </c>
      <c r="B84" s="129" t="s">
        <v>3040</v>
      </c>
      <c r="C84" s="130">
        <v>46179</v>
      </c>
      <c r="D84" s="131" t="s">
        <v>370</v>
      </c>
      <c r="E84" s="76" t="str">
        <f>IFERROR(INDEX(M_User!$A$12:$J$67,MATCH(D84,M_User!$D$12:$D$67,0),3),"UNMAPPED")</f>
        <v>Zawadi Jastin Laizer</v>
      </c>
      <c r="F84" s="75" t="str">
        <f>IFERROR(INDEX(M_User!$A$12:$J$67,MATCH(D84,M_User!$D$12:$D$67,0),5),"UNMAPPED")</f>
        <v>MOS</v>
      </c>
      <c r="G84" s="75" t="str">
        <f>IFERROR(INDEX(M_Depot!$C$7:$C$24,MATCH(F84,M_Depot!$B$7:$B$24,0)),"NO DEPOT")</f>
        <v>MOS1000001</v>
      </c>
      <c r="H84" s="76" t="str">
        <f>IFERROR(INDEX(M_Depot!$D$7:$D$24,MATCH(F84,M_Depot!$B$7:$B$24,0)),"NO DEPOT")</f>
        <v>MOSHI Ambush</v>
      </c>
      <c r="I84" s="131" t="s">
        <v>178</v>
      </c>
      <c r="J84" s="76" t="str">
        <f>IFERROR(INDEX(M_SKU!$A$18:$J$57,MATCH(I84,M_SKU!$B$18:$B$57,0),1),"UNKNOWN SKU")</f>
        <v>Fanta Orange RGB 350ml</v>
      </c>
      <c r="K84" s="131" t="s">
        <v>531</v>
      </c>
      <c r="L84" s="132">
        <v>7.0725503330137897E-4</v>
      </c>
      <c r="M84" s="94" cm="1">
        <f t="array" ref="M84">IFERROR(INDEX(M_DepotPrice!$C$10:$C$52,MATCH(1,(M_DepotPrice!$A$10:$A$52=I84)*(M_DepotPrice!$H$10:$H$52=IFERROR(INDEX(M_Depot!$A$7:$A$24,MATCH(F84,M_Depot!$B$7:$B$24,0)),""))*(M_DepotPrice!$G$10:$G$52="Special"),0)),INDEX(M_DepotPrice!$C$10:$C$52,MATCH(1,(M_DepotPrice!$A$10:$A$52=I84)*(M_DepotPrice!$G$10:$G$52="Default"),0)))*1.18</f>
        <v>13900.4</v>
      </c>
      <c r="N84" s="133">
        <f t="shared" si="2"/>
        <v>9.8311278649024878</v>
      </c>
      <c r="O84" s="122" t="s">
        <v>3218</v>
      </c>
      <c r="P84" s="116" t="s">
        <v>3219</v>
      </c>
      <c r="Q84" s="118"/>
    </row>
    <row r="85" spans="1:17" ht="15" customHeight="1" x14ac:dyDescent="0.3">
      <c r="A85" s="60" t="s">
        <v>3295</v>
      </c>
      <c r="B85" s="126" t="s">
        <v>3041</v>
      </c>
      <c r="C85" s="62">
        <v>46179</v>
      </c>
      <c r="D85" s="63" t="s">
        <v>370</v>
      </c>
      <c r="E85" s="66" t="str">
        <f>IFERROR(INDEX(M_User!$A$12:$J$67,MATCH(D85,M_User!$D$12:$D$67,0),3),"UNMAPPED")</f>
        <v>Zawadi Jastin Laizer</v>
      </c>
      <c r="F85" s="65" t="str">
        <f>IFERROR(INDEX(M_User!$A$12:$J$67,MATCH(D85,M_User!$D$12:$D$67,0),5),"UNMAPPED")</f>
        <v>MOS</v>
      </c>
      <c r="G85" s="65" t="str">
        <f>IFERROR(INDEX(M_Depot!$C$7:$C$24,MATCH(F85,M_Depot!$B$7:$B$24,0)),"NO DEPOT")</f>
        <v>MOS1000001</v>
      </c>
      <c r="H85" s="66" t="str">
        <f>IFERROR(INDEX(M_Depot!$D$7:$D$24,MATCH(F85,M_Depot!$B$7:$B$24,0)),"NO DEPOT")</f>
        <v>MOSHI Ambush</v>
      </c>
      <c r="I85" s="63" t="s">
        <v>181</v>
      </c>
      <c r="J85" s="66" t="str">
        <f>IFERROR(INDEX(M_SKU!$A$18:$J$57,MATCH(I85,M_SKU!$B$18:$B$57,0),1),"UNKNOWN SKU")</f>
        <v>Fanta Passion RGB 350ml</v>
      </c>
      <c r="K85" s="63" t="s">
        <v>550</v>
      </c>
      <c r="L85" s="127">
        <v>4.0427254948607301E-3</v>
      </c>
      <c r="M85" s="91" cm="1">
        <f t="array" ref="M85">IFERROR(INDEX(M_DepotPrice!$C$10:$C$52,MATCH(1,(M_DepotPrice!$A$10:$A$52=I85)*(M_DepotPrice!$H$10:$H$52=IFERROR(INDEX(M_Depot!$A$7:$A$24,MATCH(F85,M_Depot!$B$7:$B$24,0)),""))*(M_DepotPrice!$G$10:$G$52="Special"),0)),INDEX(M_DepotPrice!$C$10:$C$52,MATCH(1,(M_DepotPrice!$A$10:$A$52=I85)*(M_DepotPrice!$G$10:$G$52="Default"),0)))*1.18</f>
        <v>13900.4</v>
      </c>
      <c r="N85" s="128">
        <f t="shared" si="2"/>
        <v>56.195501468762089</v>
      </c>
      <c r="O85" s="105" t="s">
        <v>3218</v>
      </c>
      <c r="P85" s="68" t="s">
        <v>3219</v>
      </c>
      <c r="Q85" s="62"/>
    </row>
    <row r="86" spans="1:17" ht="15" customHeight="1" x14ac:dyDescent="0.3">
      <c r="A86" s="70" t="s">
        <v>3296</v>
      </c>
      <c r="B86" s="129" t="s">
        <v>3042</v>
      </c>
      <c r="C86" s="130">
        <v>46179</v>
      </c>
      <c r="D86" s="131" t="s">
        <v>370</v>
      </c>
      <c r="E86" s="76" t="str">
        <f>IFERROR(INDEX(M_User!$A$12:$J$67,MATCH(D86,M_User!$D$12:$D$67,0),3),"UNMAPPED")</f>
        <v>Zawadi Jastin Laizer</v>
      </c>
      <c r="F86" s="75" t="str">
        <f>IFERROR(INDEX(M_User!$A$12:$J$67,MATCH(D86,M_User!$D$12:$D$67,0),5),"UNMAPPED")</f>
        <v>MOS</v>
      </c>
      <c r="G86" s="75" t="str">
        <f>IFERROR(INDEX(M_Depot!$C$7:$C$24,MATCH(F86,M_Depot!$B$7:$B$24,0)),"NO DEPOT")</f>
        <v>MOS1000001</v>
      </c>
      <c r="H86" s="76" t="str">
        <f>IFERROR(INDEX(M_Depot!$D$7:$D$24,MATCH(F86,M_Depot!$B$7:$B$24,0)),"NO DEPOT")</f>
        <v>MOSHI Ambush</v>
      </c>
      <c r="I86" s="131" t="s">
        <v>183</v>
      </c>
      <c r="J86" s="76" t="str">
        <f>IFERROR(INDEX(M_SKU!$A$18:$J$57,MATCH(I86,M_SKU!$B$18:$B$57,0),1),"UNKNOWN SKU")</f>
        <v>Fanta Pineapple RGB 350ml</v>
      </c>
      <c r="K86" s="131" t="s">
        <v>533</v>
      </c>
      <c r="L86" s="132">
        <v>4.1023449725394699E-3</v>
      </c>
      <c r="M86" s="94" cm="1">
        <f t="array" ref="M86">IFERROR(INDEX(M_DepotPrice!$C$10:$C$52,MATCH(1,(M_DepotPrice!$A$10:$A$52=I86)*(M_DepotPrice!$H$10:$H$52=IFERROR(INDEX(M_Depot!$A$7:$A$24,MATCH(F86,M_Depot!$B$7:$B$24,0)),""))*(M_DepotPrice!$G$10:$G$52="Special"),0)),INDEX(M_DepotPrice!$C$10:$C$52,MATCH(1,(M_DepotPrice!$A$10:$A$52=I86)*(M_DepotPrice!$G$10:$G$52="Default"),0)))*1.18</f>
        <v>13900.4</v>
      </c>
      <c r="N86" s="133">
        <f t="shared" si="2"/>
        <v>57.024236056287648</v>
      </c>
      <c r="O86" s="122" t="s">
        <v>3218</v>
      </c>
      <c r="P86" s="116" t="s">
        <v>3219</v>
      </c>
      <c r="Q86" s="118"/>
    </row>
    <row r="87" spans="1:17" ht="15" customHeight="1" x14ac:dyDescent="0.3">
      <c r="A87" s="60" t="s">
        <v>3297</v>
      </c>
      <c r="B87" s="126" t="s">
        <v>3043</v>
      </c>
      <c r="C87" s="62">
        <v>46179</v>
      </c>
      <c r="D87" s="63" t="s">
        <v>370</v>
      </c>
      <c r="E87" s="66" t="str">
        <f>IFERROR(INDEX(M_User!$A$12:$J$67,MATCH(D87,M_User!$D$12:$D$67,0),3),"UNMAPPED")</f>
        <v>Zawadi Jastin Laizer</v>
      </c>
      <c r="F87" s="65" t="str">
        <f>IFERROR(INDEX(M_User!$A$12:$J$67,MATCH(D87,M_User!$D$12:$D$67,0),5),"UNMAPPED")</f>
        <v>MOS</v>
      </c>
      <c r="G87" s="65" t="str">
        <f>IFERROR(INDEX(M_Depot!$C$7:$C$24,MATCH(F87,M_Depot!$B$7:$B$24,0)),"NO DEPOT")</f>
        <v>MOS1000001</v>
      </c>
      <c r="H87" s="66" t="str">
        <f>IFERROR(INDEX(M_Depot!$D$7:$D$24,MATCH(F87,M_Depot!$B$7:$B$24,0)),"NO DEPOT")</f>
        <v>MOSHI Ambush</v>
      </c>
      <c r="I87" s="63" t="s">
        <v>185</v>
      </c>
      <c r="J87" s="66" t="str">
        <f>IFERROR(INDEX(M_SKU!$A$18:$J$57,MATCH(I87,M_SKU!$B$18:$B$57,0),1),"UNKNOWN SKU")</f>
        <v>Fanta Fruit Blast RGB 350 ml</v>
      </c>
      <c r="K87" s="63" t="s">
        <v>534</v>
      </c>
      <c r="L87" s="127">
        <v>1.4371951419001099E-4</v>
      </c>
      <c r="M87" s="91" cm="1">
        <f t="array" ref="M87">IFERROR(INDEX(M_DepotPrice!$C$10:$C$52,MATCH(1,(M_DepotPrice!$A$10:$A$52=I87)*(M_DepotPrice!$H$10:$H$52=IFERROR(INDEX(M_Depot!$A$7:$A$24,MATCH(F87,M_Depot!$B$7:$B$24,0)),""))*(M_DepotPrice!$G$10:$G$52="Special"),0)),INDEX(M_DepotPrice!$C$10:$C$52,MATCH(1,(M_DepotPrice!$A$10:$A$52=I87)*(M_DepotPrice!$G$10:$G$52="Default"),0)))*1.18</f>
        <v>13900.4</v>
      </c>
      <c r="N87" s="128">
        <f t="shared" si="2"/>
        <v>1.9977587350468287</v>
      </c>
      <c r="O87" s="105" t="s">
        <v>3218</v>
      </c>
      <c r="P87" s="68" t="s">
        <v>3219</v>
      </c>
      <c r="Q87" s="62"/>
    </row>
    <row r="88" spans="1:17" ht="15" customHeight="1" x14ac:dyDescent="0.3">
      <c r="A88" s="70" t="s">
        <v>3298</v>
      </c>
      <c r="B88" s="129" t="s">
        <v>3044</v>
      </c>
      <c r="C88" s="130">
        <v>46179</v>
      </c>
      <c r="D88" s="131" t="s">
        <v>370</v>
      </c>
      <c r="E88" s="76" t="str">
        <f>IFERROR(INDEX(M_User!$A$12:$J$67,MATCH(D88,M_User!$D$12:$D$67,0),3),"UNMAPPED")</f>
        <v>Zawadi Jastin Laizer</v>
      </c>
      <c r="F88" s="75" t="str">
        <f>IFERROR(INDEX(M_User!$A$12:$J$67,MATCH(D88,M_User!$D$12:$D$67,0),5),"UNMAPPED")</f>
        <v>MOS</v>
      </c>
      <c r="G88" s="75" t="str">
        <f>IFERROR(INDEX(M_Depot!$C$7:$C$24,MATCH(F88,M_Depot!$B$7:$B$24,0)),"NO DEPOT")</f>
        <v>MOS1000001</v>
      </c>
      <c r="H88" s="76" t="str">
        <f>IFERROR(INDEX(M_Depot!$D$7:$D$24,MATCH(F88,M_Depot!$B$7:$B$24,0)),"NO DEPOT")</f>
        <v>MOSHI Ambush</v>
      </c>
      <c r="I88" s="131" t="s">
        <v>187</v>
      </c>
      <c r="J88" s="76" t="str">
        <f>IFERROR(INDEX(M_SKU!$A$18:$J$57,MATCH(I88,M_SKU!$B$18:$B$57,0),1),"UNKNOWN SKU")</f>
        <v>Sprite 350ml</v>
      </c>
      <c r="K88" s="131" t="s">
        <v>535</v>
      </c>
      <c r="L88" s="132">
        <v>4.2523884126603999E-3</v>
      </c>
      <c r="M88" s="94" cm="1">
        <f t="array" ref="M88">IFERROR(INDEX(M_DepotPrice!$C$10:$C$52,MATCH(1,(M_DepotPrice!$A$10:$A$52=I88)*(M_DepotPrice!$H$10:$H$52=IFERROR(INDEX(M_Depot!$A$7:$A$24,MATCH(F88,M_Depot!$B$7:$B$24,0)),""))*(M_DepotPrice!$G$10:$G$52="Special"),0)),INDEX(M_DepotPrice!$C$10:$C$52,MATCH(1,(M_DepotPrice!$A$10:$A$52=I88)*(M_DepotPrice!$G$10:$G$52="Default"),0)))*1.18</f>
        <v>13900.4</v>
      </c>
      <c r="N88" s="133">
        <f t="shared" si="2"/>
        <v>59.109899891344625</v>
      </c>
      <c r="O88" s="122" t="s">
        <v>3218</v>
      </c>
      <c r="P88" s="116" t="s">
        <v>3219</v>
      </c>
      <c r="Q88" s="118"/>
    </row>
    <row r="89" spans="1:17" ht="15" customHeight="1" x14ac:dyDescent="0.3">
      <c r="A89" s="60" t="s">
        <v>3299</v>
      </c>
      <c r="B89" s="126" t="s">
        <v>3045</v>
      </c>
      <c r="C89" s="62">
        <v>46179</v>
      </c>
      <c r="D89" s="63" t="s">
        <v>370</v>
      </c>
      <c r="E89" s="66" t="str">
        <f>IFERROR(INDEX(M_User!$A$12:$J$67,MATCH(D89,M_User!$D$12:$D$67,0),3),"UNMAPPED")</f>
        <v>Zawadi Jastin Laizer</v>
      </c>
      <c r="F89" s="65" t="str">
        <f>IFERROR(INDEX(M_User!$A$12:$J$67,MATCH(D89,M_User!$D$12:$D$67,0),5),"UNMAPPED")</f>
        <v>MOS</v>
      </c>
      <c r="G89" s="65" t="str">
        <f>IFERROR(INDEX(M_Depot!$C$7:$C$24,MATCH(F89,M_Depot!$B$7:$B$24,0)),"NO DEPOT")</f>
        <v>MOS1000001</v>
      </c>
      <c r="H89" s="66" t="str">
        <f>IFERROR(INDEX(M_Depot!$D$7:$D$24,MATCH(F89,M_Depot!$B$7:$B$24,0)),"NO DEPOT")</f>
        <v>MOSHI Ambush</v>
      </c>
      <c r="I89" s="63" t="s">
        <v>190</v>
      </c>
      <c r="J89" s="66" t="str">
        <f>IFERROR(INDEX(M_SKU!$A$18:$J$57,MATCH(I89,M_SKU!$B$18:$B$57,0),1),"UNKNOWN SKU")</f>
        <v>Stoney Tangawizi RGB 350ml</v>
      </c>
      <c r="K89" s="63" t="s">
        <v>536</v>
      </c>
      <c r="L89" s="127">
        <v>2.45389661185447E-3</v>
      </c>
      <c r="M89" s="91" cm="1">
        <f t="array" ref="M89">IFERROR(INDEX(M_DepotPrice!$C$10:$C$52,MATCH(1,(M_DepotPrice!$A$10:$A$52=I89)*(M_DepotPrice!$H$10:$H$52=IFERROR(INDEX(M_Depot!$A$7:$A$24,MATCH(F89,M_Depot!$B$7:$B$24,0)),""))*(M_DepotPrice!$G$10:$G$52="Special"),0)),INDEX(M_DepotPrice!$C$10:$C$52,MATCH(1,(M_DepotPrice!$A$10:$A$52=I89)*(M_DepotPrice!$G$10:$G$52="Default"),0)))*1.18</f>
        <v>13900.4</v>
      </c>
      <c r="N89" s="128">
        <f t="shared" si="2"/>
        <v>34.110144463421875</v>
      </c>
      <c r="O89" s="105" t="s">
        <v>3218</v>
      </c>
      <c r="P89" s="68" t="s">
        <v>3219</v>
      </c>
      <c r="Q89" s="62"/>
    </row>
    <row r="90" spans="1:17" ht="15" customHeight="1" x14ac:dyDescent="0.3">
      <c r="A90" s="70" t="s">
        <v>3300</v>
      </c>
      <c r="B90" s="129" t="s">
        <v>3066</v>
      </c>
      <c r="C90" s="130">
        <v>46179</v>
      </c>
      <c r="D90" s="131" t="s">
        <v>361</v>
      </c>
      <c r="E90" s="76" t="str">
        <f>IFERROR(INDEX(M_User!$A$12:$J$67,MATCH(D90,M_User!$D$12:$D$67,0),3),"UNMAPPED")</f>
        <v>Masunga Mwala Ramadhani</v>
      </c>
      <c r="F90" s="75" t="str">
        <f>IFERROR(INDEX(M_User!$A$12:$J$67,MATCH(D90,M_User!$D$12:$D$67,0),5),"UNMAPPED")</f>
        <v>MOS</v>
      </c>
      <c r="G90" s="75" t="str">
        <f>IFERROR(INDEX(M_Depot!$C$7:$C$24,MATCH(F90,M_Depot!$B$7:$B$24,0)),"NO DEPOT")</f>
        <v>MOS1000001</v>
      </c>
      <c r="H90" s="76" t="str">
        <f>IFERROR(INDEX(M_Depot!$D$7:$D$24,MATCH(F90,M_Depot!$B$7:$B$24,0)),"NO DEPOT")</f>
        <v>MOSHI Ambush</v>
      </c>
      <c r="I90" s="131" t="s">
        <v>170</v>
      </c>
      <c r="J90" s="76" t="str">
        <f>IFERROR(INDEX(M_SKU!$A$18:$J$57,MATCH(I90,M_SKU!$B$18:$B$57,0),1),"UNKNOWN SKU")</f>
        <v>Coke RGB 350ml</v>
      </c>
      <c r="K90" s="131" t="s">
        <v>585</v>
      </c>
      <c r="L90" s="132">
        <v>3.0695295291955898E-3</v>
      </c>
      <c r="M90" s="94" cm="1">
        <f t="array" ref="M90">IFERROR(INDEX(M_DepotPrice!$C$10:$C$52,MATCH(1,(M_DepotPrice!$A$10:$A$52=I90)*(M_DepotPrice!$H$10:$H$52=IFERROR(INDEX(M_Depot!$A$7:$A$24,MATCH(F90,M_Depot!$B$7:$B$24,0)),""))*(M_DepotPrice!$G$10:$G$52="Special"),0)),INDEX(M_DepotPrice!$C$10:$C$52,MATCH(1,(M_DepotPrice!$A$10:$A$52=I90)*(M_DepotPrice!$G$10:$G$52="Default"),0)))*1.18</f>
        <v>13900.4</v>
      </c>
      <c r="N90" s="133">
        <f t="shared" si="2"/>
        <v>42.667688267630375</v>
      </c>
      <c r="O90" s="122" t="s">
        <v>3218</v>
      </c>
      <c r="P90" s="116" t="s">
        <v>3219</v>
      </c>
      <c r="Q90" s="118"/>
    </row>
    <row r="91" spans="1:17" ht="15" customHeight="1" x14ac:dyDescent="0.3">
      <c r="A91" s="60" t="s">
        <v>3301</v>
      </c>
      <c r="B91" s="126" t="s">
        <v>3068</v>
      </c>
      <c r="C91" s="62">
        <v>46179</v>
      </c>
      <c r="D91" s="63" t="s">
        <v>361</v>
      </c>
      <c r="E91" s="66" t="str">
        <f>IFERROR(INDEX(M_User!$A$12:$J$67,MATCH(D91,M_User!$D$12:$D$67,0),3),"UNMAPPED")</f>
        <v>Masunga Mwala Ramadhani</v>
      </c>
      <c r="F91" s="65" t="str">
        <f>IFERROR(INDEX(M_User!$A$12:$J$67,MATCH(D91,M_User!$D$12:$D$67,0),5),"UNMAPPED")</f>
        <v>MOS</v>
      </c>
      <c r="G91" s="65" t="str">
        <f>IFERROR(INDEX(M_Depot!$C$7:$C$24,MATCH(F91,M_Depot!$B$7:$B$24,0)),"NO DEPOT")</f>
        <v>MOS1000001</v>
      </c>
      <c r="H91" s="66" t="str">
        <f>IFERROR(INDEX(M_Depot!$D$7:$D$24,MATCH(F91,M_Depot!$B$7:$B$24,0)),"NO DEPOT")</f>
        <v>MOSHI Ambush</v>
      </c>
      <c r="I91" s="63" t="s">
        <v>181</v>
      </c>
      <c r="J91" s="66" t="str">
        <f>IFERROR(INDEX(M_SKU!$A$18:$J$57,MATCH(I91,M_SKU!$B$18:$B$57,0),1),"UNKNOWN SKU")</f>
        <v>Fanta Passion RGB 350ml</v>
      </c>
      <c r="K91" s="63" t="s">
        <v>550</v>
      </c>
      <c r="L91" s="127">
        <v>2.5923074684895998E-3</v>
      </c>
      <c r="M91" s="91" cm="1">
        <f t="array" ref="M91">IFERROR(INDEX(M_DepotPrice!$C$10:$C$52,MATCH(1,(M_DepotPrice!$A$10:$A$52=I91)*(M_DepotPrice!$H$10:$H$52=IFERROR(INDEX(M_Depot!$A$7:$A$24,MATCH(F91,M_Depot!$B$7:$B$24,0)),""))*(M_DepotPrice!$G$10:$G$52="Special"),0)),INDEX(M_DepotPrice!$C$10:$C$52,MATCH(1,(M_DepotPrice!$A$10:$A$52=I91)*(M_DepotPrice!$G$10:$G$52="Default"),0)))*1.18</f>
        <v>13900.4</v>
      </c>
      <c r="N91" s="128">
        <f t="shared" si="2"/>
        <v>36.034110734992829</v>
      </c>
      <c r="O91" s="105" t="s">
        <v>3218</v>
      </c>
      <c r="P91" s="68" t="s">
        <v>3219</v>
      </c>
      <c r="Q91" s="62"/>
    </row>
    <row r="92" spans="1:17" ht="15" customHeight="1" x14ac:dyDescent="0.3">
      <c r="A92" s="70" t="s">
        <v>3302</v>
      </c>
      <c r="B92" s="129" t="s">
        <v>3069</v>
      </c>
      <c r="C92" s="130">
        <v>46179</v>
      </c>
      <c r="D92" s="131" t="s">
        <v>361</v>
      </c>
      <c r="E92" s="76" t="str">
        <f>IFERROR(INDEX(M_User!$A$12:$J$67,MATCH(D92,M_User!$D$12:$D$67,0),3),"UNMAPPED")</f>
        <v>Masunga Mwala Ramadhani</v>
      </c>
      <c r="F92" s="75" t="str">
        <f>IFERROR(INDEX(M_User!$A$12:$J$67,MATCH(D92,M_User!$D$12:$D$67,0),5),"UNMAPPED")</f>
        <v>MOS</v>
      </c>
      <c r="G92" s="75" t="str">
        <f>IFERROR(INDEX(M_Depot!$C$7:$C$24,MATCH(F92,M_Depot!$B$7:$B$24,0)),"NO DEPOT")</f>
        <v>MOS1000001</v>
      </c>
      <c r="H92" s="76" t="str">
        <f>IFERROR(INDEX(M_Depot!$D$7:$D$24,MATCH(F92,M_Depot!$B$7:$B$24,0)),"NO DEPOT")</f>
        <v>MOSHI Ambush</v>
      </c>
      <c r="I92" s="131" t="s">
        <v>183</v>
      </c>
      <c r="J92" s="76" t="str">
        <f>IFERROR(INDEX(M_SKU!$A$18:$J$57,MATCH(I92,M_SKU!$B$18:$B$57,0),1),"UNKNOWN SKU")</f>
        <v>Fanta Pineapple RGB 350ml</v>
      </c>
      <c r="K92" s="131" t="s">
        <v>533</v>
      </c>
      <c r="L92" s="132">
        <v>3.66503190592926E-3</v>
      </c>
      <c r="M92" s="94" cm="1">
        <f t="array" ref="M92">IFERROR(INDEX(M_DepotPrice!$C$10:$C$52,MATCH(1,(M_DepotPrice!$A$10:$A$52=I92)*(M_DepotPrice!$H$10:$H$52=IFERROR(INDEX(M_Depot!$A$7:$A$24,MATCH(F92,M_Depot!$B$7:$B$24,0)),""))*(M_DepotPrice!$G$10:$G$52="Special"),0)),INDEX(M_DepotPrice!$C$10:$C$52,MATCH(1,(M_DepotPrice!$A$10:$A$52=I92)*(M_DepotPrice!$G$10:$G$52="Default"),0)))*1.18</f>
        <v>13900.4</v>
      </c>
      <c r="N92" s="133">
        <f t="shared" si="2"/>
        <v>50.945409505179086</v>
      </c>
      <c r="O92" s="122" t="s">
        <v>3218</v>
      </c>
      <c r="P92" s="116" t="s">
        <v>3219</v>
      </c>
      <c r="Q92" s="118"/>
    </row>
    <row r="93" spans="1:17" ht="15" customHeight="1" x14ac:dyDescent="0.3">
      <c r="A93" s="60" t="s">
        <v>3303</v>
      </c>
      <c r="B93" s="126" t="s">
        <v>3071</v>
      </c>
      <c r="C93" s="62">
        <v>46179</v>
      </c>
      <c r="D93" s="63" t="s">
        <v>361</v>
      </c>
      <c r="E93" s="66" t="str">
        <f>IFERROR(INDEX(M_User!$A$12:$J$67,MATCH(D93,M_User!$D$12:$D$67,0),3),"UNMAPPED")</f>
        <v>Masunga Mwala Ramadhani</v>
      </c>
      <c r="F93" s="65" t="str">
        <f>IFERROR(INDEX(M_User!$A$12:$J$67,MATCH(D93,M_User!$D$12:$D$67,0),5),"UNMAPPED")</f>
        <v>MOS</v>
      </c>
      <c r="G93" s="65" t="str">
        <f>IFERROR(INDEX(M_Depot!$C$7:$C$24,MATCH(F93,M_Depot!$B$7:$B$24,0)),"NO DEPOT")</f>
        <v>MOS1000001</v>
      </c>
      <c r="H93" s="66" t="str">
        <f>IFERROR(INDEX(M_Depot!$D$7:$D$24,MATCH(F93,M_Depot!$B$7:$B$24,0)),"NO DEPOT")</f>
        <v>MOSHI Ambush</v>
      </c>
      <c r="I93" s="63" t="s">
        <v>187</v>
      </c>
      <c r="J93" s="66" t="str">
        <f>IFERROR(INDEX(M_SKU!$A$18:$J$57,MATCH(I93,M_SKU!$B$18:$B$57,0),1),"UNKNOWN SKU")</f>
        <v>Sprite 350ml</v>
      </c>
      <c r="K93" s="63" t="s">
        <v>535</v>
      </c>
      <c r="L93" s="127">
        <v>8.3960975974006801E-4</v>
      </c>
      <c r="M93" s="91" cm="1">
        <f t="array" ref="M93">IFERROR(INDEX(M_DepotPrice!$C$10:$C$52,MATCH(1,(M_DepotPrice!$A$10:$A$52=I93)*(M_DepotPrice!$H$10:$H$52=IFERROR(INDEX(M_Depot!$A$7:$A$24,MATCH(F93,M_Depot!$B$7:$B$24,0)),""))*(M_DepotPrice!$G$10:$G$52="Special"),0)),INDEX(M_DepotPrice!$C$10:$C$52,MATCH(1,(M_DepotPrice!$A$10:$A$52=I93)*(M_DepotPrice!$G$10:$G$52="Default"),0)))*1.18</f>
        <v>13900.4</v>
      </c>
      <c r="N93" s="128">
        <f t="shared" si="2"/>
        <v>11.67091150429084</v>
      </c>
      <c r="O93" s="105" t="s">
        <v>3218</v>
      </c>
      <c r="P93" s="68" t="s">
        <v>3219</v>
      </c>
      <c r="Q93" s="62"/>
    </row>
    <row r="94" spans="1:17" ht="15" customHeight="1" x14ac:dyDescent="0.3">
      <c r="A94" s="70" t="s">
        <v>3304</v>
      </c>
      <c r="B94" s="129" t="s">
        <v>3073</v>
      </c>
      <c r="C94" s="130">
        <v>46179</v>
      </c>
      <c r="D94" s="131" t="s">
        <v>361</v>
      </c>
      <c r="E94" s="76" t="str">
        <f>IFERROR(INDEX(M_User!$A$12:$J$67,MATCH(D94,M_User!$D$12:$D$67,0),3),"UNMAPPED")</f>
        <v>Masunga Mwala Ramadhani</v>
      </c>
      <c r="F94" s="75" t="str">
        <f>IFERROR(INDEX(M_User!$A$12:$J$67,MATCH(D94,M_User!$D$12:$D$67,0),5),"UNMAPPED")</f>
        <v>MOS</v>
      </c>
      <c r="G94" s="75" t="str">
        <f>IFERROR(INDEX(M_Depot!$C$7:$C$24,MATCH(F94,M_Depot!$B$7:$B$24,0)),"NO DEPOT")</f>
        <v>MOS1000001</v>
      </c>
      <c r="H94" s="76" t="str">
        <f>IFERROR(INDEX(M_Depot!$D$7:$D$24,MATCH(F94,M_Depot!$B$7:$B$24,0)),"NO DEPOT")</f>
        <v>MOSHI Ambush</v>
      </c>
      <c r="I94" s="131" t="s">
        <v>193</v>
      </c>
      <c r="J94" s="76" t="str">
        <f>IFERROR(INDEX(M_SKU!$A$18:$J$57,MATCH(I94,M_SKU!$B$18:$B$57,0),1),"UNKNOWN SKU")</f>
        <v>Sparletta Pinenut RGB 350ml</v>
      </c>
      <c r="K94" s="131" t="s">
        <v>537</v>
      </c>
      <c r="L94" s="132">
        <v>1.7758042589301999E-3</v>
      </c>
      <c r="M94" s="94" cm="1">
        <f t="array" ref="M94">IFERROR(INDEX(M_DepotPrice!$C$10:$C$52,MATCH(1,(M_DepotPrice!$A$10:$A$52=I94)*(M_DepotPrice!$H$10:$H$52=IFERROR(INDEX(M_Depot!$A$7:$A$24,MATCH(F94,M_Depot!$B$7:$B$24,0)),""))*(M_DepotPrice!$G$10:$G$52="Special"),0)),INDEX(M_DepotPrice!$C$10:$C$52,MATCH(1,(M_DepotPrice!$A$10:$A$52=I94)*(M_DepotPrice!$G$10:$G$52="Default"),0)))*1.18</f>
        <v>13900.4</v>
      </c>
      <c r="N94" s="133">
        <f t="shared" si="2"/>
        <v>24.684389520833349</v>
      </c>
      <c r="O94" s="122" t="s">
        <v>3218</v>
      </c>
      <c r="P94" s="116" t="s">
        <v>3219</v>
      </c>
      <c r="Q94" s="118"/>
    </row>
    <row r="95" spans="1:17" ht="15" customHeight="1" x14ac:dyDescent="0.3">
      <c r="A95" s="60" t="s">
        <v>3305</v>
      </c>
      <c r="B95" s="126" t="s">
        <v>3075</v>
      </c>
      <c r="C95" s="62">
        <v>46179</v>
      </c>
      <c r="D95" s="63" t="s">
        <v>361</v>
      </c>
      <c r="E95" s="66" t="str">
        <f>IFERROR(INDEX(M_User!$A$12:$J$67,MATCH(D95,M_User!$D$12:$D$67,0),3),"UNMAPPED")</f>
        <v>Masunga Mwala Ramadhani</v>
      </c>
      <c r="F95" s="65" t="str">
        <f>IFERROR(INDEX(M_User!$A$12:$J$67,MATCH(D95,M_User!$D$12:$D$67,0),5),"UNMAPPED")</f>
        <v>MOS</v>
      </c>
      <c r="G95" s="65" t="str">
        <f>IFERROR(INDEX(M_Depot!$C$7:$C$24,MATCH(F95,M_Depot!$B$7:$B$24,0)),"NO DEPOT")</f>
        <v>MOS1000001</v>
      </c>
      <c r="H95" s="66" t="str">
        <f>IFERROR(INDEX(M_Depot!$D$7:$D$24,MATCH(F95,M_Depot!$B$7:$B$24,0)),"NO DEPOT")</f>
        <v>MOSHI Ambush</v>
      </c>
      <c r="I95" s="63" t="s">
        <v>199</v>
      </c>
      <c r="J95" s="66" t="str">
        <f>IFERROR(INDEX(M_SKU!$A$18:$J$57,MATCH(I95,M_SKU!$B$18:$B$57,0),1),"UNKNOWN SKU")</f>
        <v>Krest Club Soda RGB 300ml</v>
      </c>
      <c r="K95" s="63" t="s">
        <v>539</v>
      </c>
      <c r="L95" s="127">
        <v>1.63043137378793E-3</v>
      </c>
      <c r="M95" s="91" cm="1">
        <f t="array" ref="M95">IFERROR(INDEX(M_DepotPrice!$C$10:$C$52,MATCH(1,(M_DepotPrice!$A$10:$A$52=I95)*(M_DepotPrice!$H$10:$H$52=IFERROR(INDEX(M_Depot!$A$7:$A$24,MATCH(F95,M_Depot!$B$7:$B$24,0)),""))*(M_DepotPrice!$G$10:$G$52="Special"),0)),INDEX(M_DepotPrice!$C$10:$C$52,MATCH(1,(M_DepotPrice!$A$10:$A$52=I95)*(M_DepotPrice!$G$10:$G$52="Default"),0)))*1.18</f>
        <v>13900.4</v>
      </c>
      <c r="N95" s="128">
        <f t="shared" si="2"/>
        <v>22.66364826820174</v>
      </c>
      <c r="O95" s="105" t="s">
        <v>3218</v>
      </c>
      <c r="P95" s="68" t="s">
        <v>3219</v>
      </c>
      <c r="Q95" s="62"/>
    </row>
    <row r="96" spans="1:17" ht="15" customHeight="1" x14ac:dyDescent="0.3">
      <c r="A96" s="70" t="s">
        <v>3306</v>
      </c>
      <c r="B96" s="129" t="s">
        <v>3141</v>
      </c>
      <c r="C96" s="130">
        <v>46179</v>
      </c>
      <c r="D96" s="131" t="s">
        <v>401</v>
      </c>
      <c r="E96" s="76" t="str">
        <f>IFERROR(INDEX(M_User!$A$12:$J$67,MATCH(D96,M_User!$D$12:$D$67,0),3),"UNMAPPED")</f>
        <v>Alice Jonathan Mfuru</v>
      </c>
      <c r="F96" s="75" t="str">
        <f>IFERROR(INDEX(M_User!$A$12:$J$67,MATCH(D96,M_User!$D$12:$D$67,0),5),"UNMAPPED")</f>
        <v>MOS</v>
      </c>
      <c r="G96" s="75" t="str">
        <f>IFERROR(INDEX(M_Depot!$C$7:$C$24,MATCH(F96,M_Depot!$B$7:$B$24,0)),"NO DEPOT")</f>
        <v>MOS1000001</v>
      </c>
      <c r="H96" s="76" t="str">
        <f>IFERROR(INDEX(M_Depot!$D$7:$D$24,MATCH(F96,M_Depot!$B$7:$B$24,0)),"NO DEPOT")</f>
        <v>MOSHI Ambush</v>
      </c>
      <c r="I96" s="131" t="s">
        <v>181</v>
      </c>
      <c r="J96" s="76" t="str">
        <f>IFERROR(INDEX(M_SKU!$A$18:$J$57,MATCH(I96,M_SKU!$B$18:$B$57,0),1),"UNKNOWN SKU")</f>
        <v>Fanta Passion RGB 350ml</v>
      </c>
      <c r="K96" s="131" t="s">
        <v>550</v>
      </c>
      <c r="L96" s="132">
        <v>3.01250465823943E-3</v>
      </c>
      <c r="M96" s="94" cm="1">
        <f t="array" ref="M96">IFERROR(INDEX(M_DepotPrice!$C$10:$C$52,MATCH(1,(M_DepotPrice!$A$10:$A$52=I96)*(M_DepotPrice!$H$10:$H$52=IFERROR(INDEX(M_Depot!$A$7:$A$24,MATCH(F96,M_Depot!$B$7:$B$24,0)),""))*(M_DepotPrice!$G$10:$G$52="Special"),0)),INDEX(M_DepotPrice!$C$10:$C$52,MATCH(1,(M_DepotPrice!$A$10:$A$52=I96)*(M_DepotPrice!$G$10:$G$52="Default"),0)))*1.18</f>
        <v>13900.4</v>
      </c>
      <c r="N96" s="133">
        <f t="shared" si="2"/>
        <v>41.87501975139137</v>
      </c>
      <c r="O96" s="122" t="s">
        <v>3218</v>
      </c>
      <c r="P96" s="116" t="s">
        <v>3219</v>
      </c>
      <c r="Q96" s="118"/>
    </row>
    <row r="97" spans="1:17" ht="15" customHeight="1" x14ac:dyDescent="0.3">
      <c r="A97" s="60" t="s">
        <v>3307</v>
      </c>
      <c r="B97" s="126" t="s">
        <v>3142</v>
      </c>
      <c r="C97" s="62">
        <v>46179</v>
      </c>
      <c r="D97" s="63" t="s">
        <v>401</v>
      </c>
      <c r="E97" s="66" t="str">
        <f>IFERROR(INDEX(M_User!$A$12:$J$67,MATCH(D97,M_User!$D$12:$D$67,0),3),"UNMAPPED")</f>
        <v>Alice Jonathan Mfuru</v>
      </c>
      <c r="F97" s="65" t="str">
        <f>IFERROR(INDEX(M_User!$A$12:$J$67,MATCH(D97,M_User!$D$12:$D$67,0),5),"UNMAPPED")</f>
        <v>MOS</v>
      </c>
      <c r="G97" s="65" t="str">
        <f>IFERROR(INDEX(M_Depot!$C$7:$C$24,MATCH(F97,M_Depot!$B$7:$B$24,0)),"NO DEPOT")</f>
        <v>MOS1000001</v>
      </c>
      <c r="H97" s="66" t="str">
        <f>IFERROR(INDEX(M_Depot!$D$7:$D$24,MATCH(F97,M_Depot!$B$7:$B$24,0)),"NO DEPOT")</f>
        <v>MOSHI Ambush</v>
      </c>
      <c r="I97" s="63" t="s">
        <v>183</v>
      </c>
      <c r="J97" s="66" t="str">
        <f>IFERROR(INDEX(M_SKU!$A$18:$J$57,MATCH(I97,M_SKU!$B$18:$B$57,0),1),"UNKNOWN SKU")</f>
        <v>Fanta Pineapple RGB 350ml</v>
      </c>
      <c r="K97" s="63" t="s">
        <v>533</v>
      </c>
      <c r="L97" s="127">
        <v>3.4311924598302598E-3</v>
      </c>
      <c r="M97" s="91" cm="1">
        <f t="array" ref="M97">IFERROR(INDEX(M_DepotPrice!$C$10:$C$52,MATCH(1,(M_DepotPrice!$A$10:$A$52=I97)*(M_DepotPrice!$H$10:$H$52=IFERROR(INDEX(M_Depot!$A$7:$A$24,MATCH(F97,M_Depot!$B$7:$B$24,0)),""))*(M_DepotPrice!$G$10:$G$52="Special"),0)),INDEX(M_DepotPrice!$C$10:$C$52,MATCH(1,(M_DepotPrice!$A$10:$A$52=I97)*(M_DepotPrice!$G$10:$G$52="Default"),0)))*1.18</f>
        <v>13900.4</v>
      </c>
      <c r="N97" s="128">
        <f t="shared" si="2"/>
        <v>47.694947668624543</v>
      </c>
      <c r="O97" s="105" t="s">
        <v>3218</v>
      </c>
      <c r="P97" s="68" t="s">
        <v>3219</v>
      </c>
      <c r="Q97" s="62"/>
    </row>
    <row r="98" spans="1:17" ht="15" customHeight="1" x14ac:dyDescent="0.3">
      <c r="A98" s="70" t="s">
        <v>3308</v>
      </c>
      <c r="B98" s="129" t="s">
        <v>3143</v>
      </c>
      <c r="C98" s="130">
        <v>46179</v>
      </c>
      <c r="D98" s="131" t="s">
        <v>401</v>
      </c>
      <c r="E98" s="76" t="str">
        <f>IFERROR(INDEX(M_User!$A$12:$J$67,MATCH(D98,M_User!$D$12:$D$67,0),3),"UNMAPPED")</f>
        <v>Alice Jonathan Mfuru</v>
      </c>
      <c r="F98" s="75" t="str">
        <f>IFERROR(INDEX(M_User!$A$12:$J$67,MATCH(D98,M_User!$D$12:$D$67,0),5),"UNMAPPED")</f>
        <v>MOS</v>
      </c>
      <c r="G98" s="75" t="str">
        <f>IFERROR(INDEX(M_Depot!$C$7:$C$24,MATCH(F98,M_Depot!$B$7:$B$24,0)),"NO DEPOT")</f>
        <v>MOS1000001</v>
      </c>
      <c r="H98" s="76" t="str">
        <f>IFERROR(INDEX(M_Depot!$D$7:$D$24,MATCH(F98,M_Depot!$B$7:$B$24,0)),"NO DEPOT")</f>
        <v>MOSHI Ambush</v>
      </c>
      <c r="I98" s="131" t="s">
        <v>185</v>
      </c>
      <c r="J98" s="76" t="str">
        <f>IFERROR(INDEX(M_SKU!$A$18:$J$57,MATCH(I98,M_SKU!$B$18:$B$57,0),1),"UNKNOWN SKU")</f>
        <v>Fanta Fruit Blast RGB 350 ml</v>
      </c>
      <c r="K98" s="131" t="s">
        <v>534</v>
      </c>
      <c r="L98" s="132">
        <v>2.1107167399608798E-3</v>
      </c>
      <c r="M98" s="94" cm="1">
        <f t="array" ref="M98">IFERROR(INDEX(M_DepotPrice!$C$10:$C$52,MATCH(1,(M_DepotPrice!$A$10:$A$52=I98)*(M_DepotPrice!$H$10:$H$52=IFERROR(INDEX(M_Depot!$A$7:$A$24,MATCH(F98,M_Depot!$B$7:$B$24,0)),""))*(M_DepotPrice!$G$10:$G$52="Special"),0)),INDEX(M_DepotPrice!$C$10:$C$52,MATCH(1,(M_DepotPrice!$A$10:$A$52=I98)*(M_DepotPrice!$G$10:$G$52="Default"),0)))*1.18</f>
        <v>13900.4</v>
      </c>
      <c r="N98" s="133">
        <f t="shared" si="2"/>
        <v>29.339806972152214</v>
      </c>
      <c r="O98" s="122" t="s">
        <v>3218</v>
      </c>
      <c r="P98" s="116" t="s">
        <v>3219</v>
      </c>
      <c r="Q98" s="118"/>
    </row>
    <row r="99" spans="1:17" ht="15" customHeight="1" x14ac:dyDescent="0.3">
      <c r="A99" s="60" t="s">
        <v>3309</v>
      </c>
      <c r="B99" s="126" t="s">
        <v>3146</v>
      </c>
      <c r="C99" s="62">
        <v>46179</v>
      </c>
      <c r="D99" s="63" t="s">
        <v>401</v>
      </c>
      <c r="E99" s="66" t="str">
        <f>IFERROR(INDEX(M_User!$A$12:$J$67,MATCH(D99,M_User!$D$12:$D$67,0),3),"UNMAPPED")</f>
        <v>Alice Jonathan Mfuru</v>
      </c>
      <c r="F99" s="65" t="str">
        <f>IFERROR(INDEX(M_User!$A$12:$J$67,MATCH(D99,M_User!$D$12:$D$67,0),5),"UNMAPPED")</f>
        <v>MOS</v>
      </c>
      <c r="G99" s="65" t="str">
        <f>IFERROR(INDEX(M_Depot!$C$7:$C$24,MATCH(F99,M_Depot!$B$7:$B$24,0)),"NO DEPOT")</f>
        <v>MOS1000001</v>
      </c>
      <c r="H99" s="66" t="str">
        <f>IFERROR(INDEX(M_Depot!$D$7:$D$24,MATCH(F99,M_Depot!$B$7:$B$24,0)),"NO DEPOT")</f>
        <v>MOSHI Ambush</v>
      </c>
      <c r="I99" s="63" t="s">
        <v>193</v>
      </c>
      <c r="J99" s="66" t="str">
        <f>IFERROR(INDEX(M_SKU!$A$18:$J$57,MATCH(I99,M_SKU!$B$18:$B$57,0),1),"UNKNOWN SKU")</f>
        <v>Sparletta Pinenut RGB 350ml</v>
      </c>
      <c r="K99" s="63" t="s">
        <v>537</v>
      </c>
      <c r="L99" s="127">
        <v>2.62888238287701E-3</v>
      </c>
      <c r="M99" s="91" cm="1">
        <f t="array" ref="M99">IFERROR(INDEX(M_DepotPrice!$C$10:$C$52,MATCH(1,(M_DepotPrice!$A$10:$A$52=I99)*(M_DepotPrice!$H$10:$H$52=IFERROR(INDEX(M_Depot!$A$7:$A$24,MATCH(F99,M_Depot!$B$7:$B$24,0)),""))*(M_DepotPrice!$G$10:$G$52="Special"),0)),INDEX(M_DepotPrice!$C$10:$C$52,MATCH(1,(M_DepotPrice!$A$10:$A$52=I99)*(M_DepotPrice!$G$10:$G$52="Default"),0)))*1.18</f>
        <v>13900.4</v>
      </c>
      <c r="N99" s="128">
        <f t="shared" si="2"/>
        <v>36.542516674943592</v>
      </c>
      <c r="O99" s="105" t="s">
        <v>3218</v>
      </c>
      <c r="P99" s="68" t="s">
        <v>3219</v>
      </c>
      <c r="Q99" s="62"/>
    </row>
    <row r="100" spans="1:17" ht="15" customHeight="1" x14ac:dyDescent="0.3">
      <c r="A100" s="70" t="s">
        <v>3310</v>
      </c>
      <c r="B100" s="129" t="s">
        <v>3159</v>
      </c>
      <c r="C100" s="130">
        <v>46179</v>
      </c>
      <c r="D100" s="131" t="s">
        <v>350</v>
      </c>
      <c r="E100" s="76" t="str">
        <f>IFERROR(INDEX(M_User!$A$12:$J$67,MATCH(D100,M_User!$D$12:$D$67,0),3),"UNMAPPED")</f>
        <v>Samson Felix Ngowi</v>
      </c>
      <c r="F100" s="75" t="str">
        <f>IFERROR(INDEX(M_User!$A$12:$J$67,MATCH(D100,M_User!$D$12:$D$67,0),5),"UNMAPPED")</f>
        <v>MOS</v>
      </c>
      <c r="G100" s="75" t="str">
        <f>IFERROR(INDEX(M_Depot!$C$7:$C$24,MATCH(F100,M_Depot!$B$7:$B$24,0)),"NO DEPOT")</f>
        <v>MOS1000001</v>
      </c>
      <c r="H100" s="76" t="str">
        <f>IFERROR(INDEX(M_Depot!$D$7:$D$24,MATCH(F100,M_Depot!$B$7:$B$24,0)),"NO DEPOT")</f>
        <v>MOSHI Ambush</v>
      </c>
      <c r="I100" s="131" t="s">
        <v>170</v>
      </c>
      <c r="J100" s="76" t="str">
        <f>IFERROR(INDEX(M_SKU!$A$18:$J$57,MATCH(I100,M_SKU!$B$18:$B$57,0),1),"UNKNOWN SKU")</f>
        <v>Coke RGB 350ml</v>
      </c>
      <c r="K100" s="131" t="s">
        <v>585</v>
      </c>
      <c r="L100" s="132">
        <v>1.4057887540492901E-3</v>
      </c>
      <c r="M100" s="94" cm="1">
        <f t="array" ref="M100">IFERROR(INDEX(M_DepotPrice!$C$10:$C$52,MATCH(1,(M_DepotPrice!$A$10:$A$52=I100)*(M_DepotPrice!$H$10:$H$52=IFERROR(INDEX(M_Depot!$A$7:$A$24,MATCH(F100,M_Depot!$B$7:$B$24,0)),""))*(M_DepotPrice!$G$10:$G$52="Special"),0)),INDEX(M_DepotPrice!$C$10:$C$52,MATCH(1,(M_DepotPrice!$A$10:$A$52=I100)*(M_DepotPrice!$G$10:$G$52="Default"),0)))*1.18</f>
        <v>13900.4</v>
      </c>
      <c r="N100" s="133">
        <f t="shared" si="2"/>
        <v>19.54102599678675</v>
      </c>
      <c r="O100" s="122" t="s">
        <v>3218</v>
      </c>
      <c r="P100" s="116" t="s">
        <v>3219</v>
      </c>
      <c r="Q100" s="118"/>
    </row>
    <row r="101" spans="1:17" ht="15" customHeight="1" x14ac:dyDescent="0.3">
      <c r="A101" s="60" t="s">
        <v>3311</v>
      </c>
      <c r="B101" s="126" t="s">
        <v>3160</v>
      </c>
      <c r="C101" s="62">
        <v>46179</v>
      </c>
      <c r="D101" s="63" t="s">
        <v>350</v>
      </c>
      <c r="E101" s="66" t="str">
        <f>IFERROR(INDEX(M_User!$A$12:$J$67,MATCH(D101,M_User!$D$12:$D$67,0),3),"UNMAPPED")</f>
        <v>Samson Felix Ngowi</v>
      </c>
      <c r="F101" s="65" t="str">
        <f>IFERROR(INDEX(M_User!$A$12:$J$67,MATCH(D101,M_User!$D$12:$D$67,0),5),"UNMAPPED")</f>
        <v>MOS</v>
      </c>
      <c r="G101" s="65" t="str">
        <f>IFERROR(INDEX(M_Depot!$C$7:$C$24,MATCH(F101,M_Depot!$B$7:$B$24,0)),"NO DEPOT")</f>
        <v>MOS1000001</v>
      </c>
      <c r="H101" s="66" t="str">
        <f>IFERROR(INDEX(M_Depot!$D$7:$D$24,MATCH(F101,M_Depot!$B$7:$B$24,0)),"NO DEPOT")</f>
        <v>MOSHI Ambush</v>
      </c>
      <c r="I101" s="63" t="s">
        <v>178</v>
      </c>
      <c r="J101" s="66" t="str">
        <f>IFERROR(INDEX(M_SKU!$A$18:$J$57,MATCH(I101,M_SKU!$B$18:$B$57,0),1),"UNKNOWN SKU")</f>
        <v>Fanta Orange RGB 350ml</v>
      </c>
      <c r="K101" s="63" t="s">
        <v>590</v>
      </c>
      <c r="L101" s="127">
        <v>3.7007451178310302E-3</v>
      </c>
      <c r="M101" s="91" cm="1">
        <f t="array" ref="M101">IFERROR(INDEX(M_DepotPrice!$C$10:$C$52,MATCH(1,(M_DepotPrice!$A$10:$A$52=I101)*(M_DepotPrice!$H$10:$H$52=IFERROR(INDEX(M_Depot!$A$7:$A$24,MATCH(F101,M_Depot!$B$7:$B$24,0)),""))*(M_DepotPrice!$G$10:$G$52="Special"),0)),INDEX(M_DepotPrice!$C$10:$C$52,MATCH(1,(M_DepotPrice!$A$10:$A$52=I101)*(M_DepotPrice!$G$10:$G$52="Default"),0)))*1.18</f>
        <v>13900.4</v>
      </c>
      <c r="N101" s="128">
        <f t="shared" si="2"/>
        <v>51.441837435898449</v>
      </c>
      <c r="O101" s="105" t="s">
        <v>3218</v>
      </c>
      <c r="P101" s="68" t="s">
        <v>3219</v>
      </c>
      <c r="Q101" s="62"/>
    </row>
    <row r="102" spans="1:17" ht="15" customHeight="1" x14ac:dyDescent="0.3">
      <c r="A102" s="70" t="s">
        <v>3312</v>
      </c>
      <c r="B102" s="129" t="s">
        <v>3162</v>
      </c>
      <c r="C102" s="130">
        <v>46179</v>
      </c>
      <c r="D102" s="131" t="s">
        <v>350</v>
      </c>
      <c r="E102" s="76" t="str">
        <f>IFERROR(INDEX(M_User!$A$12:$J$67,MATCH(D102,M_User!$D$12:$D$67,0),3),"UNMAPPED")</f>
        <v>Samson Felix Ngowi</v>
      </c>
      <c r="F102" s="75" t="str">
        <f>IFERROR(INDEX(M_User!$A$12:$J$67,MATCH(D102,M_User!$D$12:$D$67,0),5),"UNMAPPED")</f>
        <v>MOS</v>
      </c>
      <c r="G102" s="75" t="str">
        <f>IFERROR(INDEX(M_Depot!$C$7:$C$24,MATCH(F102,M_Depot!$B$7:$B$24,0)),"NO DEPOT")</f>
        <v>MOS1000001</v>
      </c>
      <c r="H102" s="76" t="str">
        <f>IFERROR(INDEX(M_Depot!$D$7:$D$24,MATCH(F102,M_Depot!$B$7:$B$24,0)),"NO DEPOT")</f>
        <v>MOSHI Ambush</v>
      </c>
      <c r="I102" s="131" t="s">
        <v>181</v>
      </c>
      <c r="J102" s="76" t="str">
        <f>IFERROR(INDEX(M_SKU!$A$18:$J$57,MATCH(I102,M_SKU!$B$18:$B$57,0),1),"UNKNOWN SKU")</f>
        <v>Fanta Passion RGB 350ml</v>
      </c>
      <c r="K102" s="131" t="s">
        <v>550</v>
      </c>
      <c r="L102" s="132">
        <v>3.82435518090962E-3</v>
      </c>
      <c r="M102" s="94" cm="1">
        <f t="array" ref="M102">IFERROR(INDEX(M_DepotPrice!$C$10:$C$52,MATCH(1,(M_DepotPrice!$A$10:$A$52=I102)*(M_DepotPrice!$H$10:$H$52=IFERROR(INDEX(M_Depot!$A$7:$A$24,MATCH(F102,M_Depot!$B$7:$B$24,0)),""))*(M_DepotPrice!$G$10:$G$52="Special"),0)),INDEX(M_DepotPrice!$C$10:$C$52,MATCH(1,(M_DepotPrice!$A$10:$A$52=I102)*(M_DepotPrice!$G$10:$G$52="Default"),0)))*1.18</f>
        <v>13900.4</v>
      </c>
      <c r="N102" s="133">
        <f t="shared" si="2"/>
        <v>53.160066756716077</v>
      </c>
      <c r="O102" s="122" t="s">
        <v>3218</v>
      </c>
      <c r="P102" s="116" t="s">
        <v>3219</v>
      </c>
      <c r="Q102" s="118"/>
    </row>
    <row r="103" spans="1:17" ht="15" customHeight="1" x14ac:dyDescent="0.3">
      <c r="A103" s="60" t="s">
        <v>3313</v>
      </c>
      <c r="B103" s="126" t="s">
        <v>3164</v>
      </c>
      <c r="C103" s="62">
        <v>46179</v>
      </c>
      <c r="D103" s="63" t="s">
        <v>350</v>
      </c>
      <c r="E103" s="66" t="str">
        <f>IFERROR(INDEX(M_User!$A$12:$J$67,MATCH(D103,M_User!$D$12:$D$67,0),3),"UNMAPPED")</f>
        <v>Samson Felix Ngowi</v>
      </c>
      <c r="F103" s="65" t="str">
        <f>IFERROR(INDEX(M_User!$A$12:$J$67,MATCH(D103,M_User!$D$12:$D$67,0),5),"UNMAPPED")</f>
        <v>MOS</v>
      </c>
      <c r="G103" s="65" t="str">
        <f>IFERROR(INDEX(M_Depot!$C$7:$C$24,MATCH(F103,M_Depot!$B$7:$B$24,0)),"NO DEPOT")</f>
        <v>MOS1000001</v>
      </c>
      <c r="H103" s="66" t="str">
        <f>IFERROR(INDEX(M_Depot!$D$7:$D$24,MATCH(F103,M_Depot!$B$7:$B$24,0)),"NO DEPOT")</f>
        <v>MOSHI Ambush</v>
      </c>
      <c r="I103" s="63" t="s">
        <v>183</v>
      </c>
      <c r="J103" s="66" t="str">
        <f>IFERROR(INDEX(M_SKU!$A$18:$J$57,MATCH(I103,M_SKU!$B$18:$B$57,0),1),"UNKNOWN SKU")</f>
        <v>Fanta Pineapple RGB 350ml</v>
      </c>
      <c r="K103" s="63" t="s">
        <v>533</v>
      </c>
      <c r="L103" s="127">
        <v>3.0468657928324201E-3</v>
      </c>
      <c r="M103" s="91" cm="1">
        <f t="array" ref="M103">IFERROR(INDEX(M_DepotPrice!$C$10:$C$52,MATCH(1,(M_DepotPrice!$A$10:$A$52=I103)*(M_DepotPrice!$H$10:$H$52=IFERROR(INDEX(M_Depot!$A$7:$A$24,MATCH(F103,M_Depot!$B$7:$B$24,0)),""))*(M_DepotPrice!$G$10:$G$52="Special"),0)),INDEX(M_DepotPrice!$C$10:$C$52,MATCH(1,(M_DepotPrice!$A$10:$A$52=I103)*(M_DepotPrice!$G$10:$G$52="Default"),0)))*1.18</f>
        <v>13900.4</v>
      </c>
      <c r="N103" s="128">
        <f t="shared" si="2"/>
        <v>42.352653266687774</v>
      </c>
      <c r="O103" s="105" t="s">
        <v>3218</v>
      </c>
      <c r="P103" s="68" t="s">
        <v>3219</v>
      </c>
      <c r="Q103" s="62"/>
    </row>
    <row r="104" spans="1:17" ht="15" customHeight="1" x14ac:dyDescent="0.3">
      <c r="A104" s="70" t="s">
        <v>3314</v>
      </c>
      <c r="B104" s="129" t="s">
        <v>3165</v>
      </c>
      <c r="C104" s="130">
        <v>46179</v>
      </c>
      <c r="D104" s="131" t="s">
        <v>350</v>
      </c>
      <c r="E104" s="76" t="str">
        <f>IFERROR(INDEX(M_User!$A$12:$J$67,MATCH(D104,M_User!$D$12:$D$67,0),3),"UNMAPPED")</f>
        <v>Samson Felix Ngowi</v>
      </c>
      <c r="F104" s="75" t="str">
        <f>IFERROR(INDEX(M_User!$A$12:$J$67,MATCH(D104,M_User!$D$12:$D$67,0),5),"UNMAPPED")</f>
        <v>MOS</v>
      </c>
      <c r="G104" s="75" t="str">
        <f>IFERROR(INDEX(M_Depot!$C$7:$C$24,MATCH(F104,M_Depot!$B$7:$B$24,0)),"NO DEPOT")</f>
        <v>MOS1000001</v>
      </c>
      <c r="H104" s="76" t="str">
        <f>IFERROR(INDEX(M_Depot!$D$7:$D$24,MATCH(F104,M_Depot!$B$7:$B$24,0)),"NO DEPOT")</f>
        <v>MOSHI Ambush</v>
      </c>
      <c r="I104" s="131" t="s">
        <v>185</v>
      </c>
      <c r="J104" s="76" t="str">
        <f>IFERROR(INDEX(M_SKU!$A$18:$J$57,MATCH(I104,M_SKU!$B$18:$B$57,0),1),"UNKNOWN SKU")</f>
        <v>Fanta Fruit Blast RGB 350 ml</v>
      </c>
      <c r="K104" s="131" t="s">
        <v>534</v>
      </c>
      <c r="L104" s="132">
        <v>3.71397120891698E-3</v>
      </c>
      <c r="M104" s="94" cm="1">
        <f t="array" ref="M104">IFERROR(INDEX(M_DepotPrice!$C$10:$C$52,MATCH(1,(M_DepotPrice!$A$10:$A$52=I104)*(M_DepotPrice!$H$10:$H$52=IFERROR(INDEX(M_Depot!$A$7:$A$24,MATCH(F104,M_Depot!$B$7:$B$24,0)),""))*(M_DepotPrice!$G$10:$G$52="Special"),0)),INDEX(M_DepotPrice!$C$10:$C$52,MATCH(1,(M_DepotPrice!$A$10:$A$52=I104)*(M_DepotPrice!$G$10:$G$52="Default"),0)))*1.18</f>
        <v>13900.4</v>
      </c>
      <c r="N104" s="133">
        <f t="shared" si="2"/>
        <v>51.625685392429588</v>
      </c>
      <c r="O104" s="122" t="s">
        <v>3218</v>
      </c>
      <c r="P104" s="116" t="s">
        <v>3219</v>
      </c>
      <c r="Q104" s="118"/>
    </row>
    <row r="105" spans="1:17" ht="15" customHeight="1" x14ac:dyDescent="0.3">
      <c r="A105" s="60" t="s">
        <v>3315</v>
      </c>
      <c r="B105" s="126" t="s">
        <v>3166</v>
      </c>
      <c r="C105" s="62">
        <v>46179</v>
      </c>
      <c r="D105" s="63" t="s">
        <v>350</v>
      </c>
      <c r="E105" s="66" t="str">
        <f>IFERROR(INDEX(M_User!$A$12:$J$67,MATCH(D105,M_User!$D$12:$D$67,0),3),"UNMAPPED")</f>
        <v>Samson Felix Ngowi</v>
      </c>
      <c r="F105" s="65" t="str">
        <f>IFERROR(INDEX(M_User!$A$12:$J$67,MATCH(D105,M_User!$D$12:$D$67,0),5),"UNMAPPED")</f>
        <v>MOS</v>
      </c>
      <c r="G105" s="65" t="str">
        <f>IFERROR(INDEX(M_Depot!$C$7:$C$24,MATCH(F105,M_Depot!$B$7:$B$24,0)),"NO DEPOT")</f>
        <v>MOS1000001</v>
      </c>
      <c r="H105" s="66" t="str">
        <f>IFERROR(INDEX(M_Depot!$D$7:$D$24,MATCH(F105,M_Depot!$B$7:$B$24,0)),"NO DEPOT")</f>
        <v>MOSHI Ambush</v>
      </c>
      <c r="I105" s="63" t="s">
        <v>187</v>
      </c>
      <c r="J105" s="66" t="str">
        <f>IFERROR(INDEX(M_SKU!$A$18:$J$57,MATCH(I105,M_SKU!$B$18:$B$57,0),1),"UNKNOWN SKU")</f>
        <v>Sprite 350ml</v>
      </c>
      <c r="K105" s="63" t="s">
        <v>535</v>
      </c>
      <c r="L105" s="127">
        <v>1.67735346902131E-3</v>
      </c>
      <c r="M105" s="91" cm="1">
        <f t="array" ref="M105">IFERROR(INDEX(M_DepotPrice!$C$10:$C$52,MATCH(1,(M_DepotPrice!$A$10:$A$52=I105)*(M_DepotPrice!$H$10:$H$52=IFERROR(INDEX(M_Depot!$A$7:$A$24,MATCH(F105,M_Depot!$B$7:$B$24,0)),""))*(M_DepotPrice!$G$10:$G$52="Special"),0)),INDEX(M_DepotPrice!$C$10:$C$52,MATCH(1,(M_DepotPrice!$A$10:$A$52=I105)*(M_DepotPrice!$G$10:$G$52="Default"),0)))*1.18</f>
        <v>13900.4</v>
      </c>
      <c r="N105" s="128">
        <f t="shared" ref="N105:N111" si="3">L105*M105</f>
        <v>23.315884160783817</v>
      </c>
      <c r="O105" s="105" t="s">
        <v>3218</v>
      </c>
      <c r="P105" s="68" t="s">
        <v>3219</v>
      </c>
      <c r="Q105" s="62"/>
    </row>
    <row r="106" spans="1:17" ht="15" customHeight="1" x14ac:dyDescent="0.3">
      <c r="A106" s="70" t="s">
        <v>3316</v>
      </c>
      <c r="B106" s="129" t="s">
        <v>3167</v>
      </c>
      <c r="C106" s="130">
        <v>46179</v>
      </c>
      <c r="D106" s="131" t="s">
        <v>350</v>
      </c>
      <c r="E106" s="76" t="str">
        <f>IFERROR(INDEX(M_User!$A$12:$J$67,MATCH(D106,M_User!$D$12:$D$67,0),3),"UNMAPPED")</f>
        <v>Samson Felix Ngowi</v>
      </c>
      <c r="F106" s="75" t="str">
        <f>IFERROR(INDEX(M_User!$A$12:$J$67,MATCH(D106,M_User!$D$12:$D$67,0),5),"UNMAPPED")</f>
        <v>MOS</v>
      </c>
      <c r="G106" s="75" t="str">
        <f>IFERROR(INDEX(M_Depot!$C$7:$C$24,MATCH(F106,M_Depot!$B$7:$B$24,0)),"NO DEPOT")</f>
        <v>MOS1000001</v>
      </c>
      <c r="H106" s="76" t="str">
        <f>IFERROR(INDEX(M_Depot!$D$7:$D$24,MATCH(F106,M_Depot!$B$7:$B$24,0)),"NO DEPOT")</f>
        <v>MOSHI Ambush</v>
      </c>
      <c r="I106" s="131" t="s">
        <v>190</v>
      </c>
      <c r="J106" s="76" t="str">
        <f>IFERROR(INDEX(M_SKU!$A$18:$J$57,MATCH(I106,M_SKU!$B$18:$B$57,0),1),"UNKNOWN SKU")</f>
        <v>Stoney Tangawizi RGB 350ml</v>
      </c>
      <c r="K106" s="131" t="s">
        <v>536</v>
      </c>
      <c r="L106" s="132">
        <v>2.40277222094476E-3</v>
      </c>
      <c r="M106" s="94" cm="1">
        <f t="array" ref="M106">IFERROR(INDEX(M_DepotPrice!$C$10:$C$52,MATCH(1,(M_DepotPrice!$A$10:$A$52=I106)*(M_DepotPrice!$H$10:$H$52=IFERROR(INDEX(M_Depot!$A$7:$A$24,MATCH(F106,M_Depot!$B$7:$B$24,0)),""))*(M_DepotPrice!$G$10:$G$52="Special"),0)),INDEX(M_DepotPrice!$C$10:$C$52,MATCH(1,(M_DepotPrice!$A$10:$A$52=I106)*(M_DepotPrice!$G$10:$G$52="Default"),0)))*1.18</f>
        <v>13900.4</v>
      </c>
      <c r="N106" s="133">
        <f t="shared" si="3"/>
        <v>33.399494980020542</v>
      </c>
      <c r="O106" s="122" t="s">
        <v>3218</v>
      </c>
      <c r="P106" s="116" t="s">
        <v>3219</v>
      </c>
      <c r="Q106" s="118"/>
    </row>
    <row r="107" spans="1:17" ht="15" customHeight="1" x14ac:dyDescent="0.3">
      <c r="A107" s="60" t="s">
        <v>3317</v>
      </c>
      <c r="B107" s="126" t="s">
        <v>3168</v>
      </c>
      <c r="C107" s="62">
        <v>46179</v>
      </c>
      <c r="D107" s="63" t="s">
        <v>350</v>
      </c>
      <c r="E107" s="66" t="str">
        <f>IFERROR(INDEX(M_User!$A$12:$J$67,MATCH(D107,M_User!$D$12:$D$67,0),3),"UNMAPPED")</f>
        <v>Samson Felix Ngowi</v>
      </c>
      <c r="F107" s="65" t="str">
        <f>IFERROR(INDEX(M_User!$A$12:$J$67,MATCH(D107,M_User!$D$12:$D$67,0),5),"UNMAPPED")</f>
        <v>MOS</v>
      </c>
      <c r="G107" s="65" t="str">
        <f>IFERROR(INDEX(M_Depot!$C$7:$C$24,MATCH(F107,M_Depot!$B$7:$B$24,0)),"NO DEPOT")</f>
        <v>MOS1000001</v>
      </c>
      <c r="H107" s="66" t="str">
        <f>IFERROR(INDEX(M_Depot!$D$7:$D$24,MATCH(F107,M_Depot!$B$7:$B$24,0)),"NO DEPOT")</f>
        <v>MOSHI Ambush</v>
      </c>
      <c r="I107" s="63" t="s">
        <v>193</v>
      </c>
      <c r="J107" s="66" t="str">
        <f>IFERROR(INDEX(M_SKU!$A$18:$J$57,MATCH(I107,M_SKU!$B$18:$B$57,0),1),"UNKNOWN SKU")</f>
        <v>Sparletta Pinenut RGB 350ml</v>
      </c>
      <c r="K107" s="63" t="s">
        <v>591</v>
      </c>
      <c r="L107" s="127">
        <v>1.5610017441200499E-4</v>
      </c>
      <c r="M107" s="91" cm="1">
        <f t="array" ref="M107">IFERROR(INDEX(M_DepotPrice!$C$10:$C$52,MATCH(1,(M_DepotPrice!$A$10:$A$52=I107)*(M_DepotPrice!$H$10:$H$52=IFERROR(INDEX(M_Depot!$A$7:$A$24,MATCH(F107,M_Depot!$B$7:$B$24,0)),""))*(M_DepotPrice!$G$10:$G$52="Special"),0)),INDEX(M_DepotPrice!$C$10:$C$52,MATCH(1,(M_DepotPrice!$A$10:$A$52=I107)*(M_DepotPrice!$G$10:$G$52="Default"),0)))*1.18</f>
        <v>13900.4</v>
      </c>
      <c r="N107" s="128">
        <f t="shared" si="3"/>
        <v>2.1698548643966342</v>
      </c>
      <c r="O107" s="105" t="s">
        <v>3218</v>
      </c>
      <c r="P107" s="68" t="s">
        <v>3219</v>
      </c>
      <c r="Q107" s="62"/>
    </row>
    <row r="108" spans="1:17" ht="15" customHeight="1" x14ac:dyDescent="0.3">
      <c r="A108" s="70" t="s">
        <v>3318</v>
      </c>
      <c r="B108" s="129" t="s">
        <v>3170</v>
      </c>
      <c r="C108" s="130">
        <v>46179</v>
      </c>
      <c r="D108" s="131" t="s">
        <v>350</v>
      </c>
      <c r="E108" s="76" t="str">
        <f>IFERROR(INDEX(M_User!$A$12:$J$67,MATCH(D108,M_User!$D$12:$D$67,0),3),"UNMAPPED")</f>
        <v>Samson Felix Ngowi</v>
      </c>
      <c r="F108" s="75" t="str">
        <f>IFERROR(INDEX(M_User!$A$12:$J$67,MATCH(D108,M_User!$D$12:$D$67,0),5),"UNMAPPED")</f>
        <v>MOS</v>
      </c>
      <c r="G108" s="75" t="str">
        <f>IFERROR(INDEX(M_Depot!$C$7:$C$24,MATCH(F108,M_Depot!$B$7:$B$24,0)),"NO DEPOT")</f>
        <v>MOS1000001</v>
      </c>
      <c r="H108" s="76" t="str">
        <f>IFERROR(INDEX(M_Depot!$D$7:$D$24,MATCH(F108,M_Depot!$B$7:$B$24,0)),"NO DEPOT")</f>
        <v>MOSHI Ambush</v>
      </c>
      <c r="I108" s="131" t="s">
        <v>196</v>
      </c>
      <c r="J108" s="76" t="str">
        <f>IFERROR(INDEX(M_SKU!$A$18:$J$57,MATCH(I108,M_SKU!$B$18:$B$57,0),1),"UNKNOWN SKU")</f>
        <v>Krest Bitter Lemon RGB 300ml</v>
      </c>
      <c r="K108" s="131" t="s">
        <v>538</v>
      </c>
      <c r="L108" s="132">
        <v>3.2234513542805899E-4</v>
      </c>
      <c r="M108" s="94" cm="1">
        <f t="array" ref="M108">IFERROR(INDEX(M_DepotPrice!$C$10:$C$52,MATCH(1,(M_DepotPrice!$A$10:$A$52=I108)*(M_DepotPrice!$H$10:$H$52=IFERROR(INDEX(M_Depot!$A$7:$A$24,MATCH(F108,M_Depot!$B$7:$B$24,0)),""))*(M_DepotPrice!$G$10:$G$52="Special"),0)),INDEX(M_DepotPrice!$C$10:$C$52,MATCH(1,(M_DepotPrice!$A$10:$A$52=I108)*(M_DepotPrice!$G$10:$G$52="Default"),0)))*1.18</f>
        <v>13900.4</v>
      </c>
      <c r="N108" s="133">
        <f t="shared" si="3"/>
        <v>4.480726320504191</v>
      </c>
      <c r="O108" s="122" t="s">
        <v>3218</v>
      </c>
      <c r="P108" s="116" t="s">
        <v>3219</v>
      </c>
      <c r="Q108" s="118"/>
    </row>
    <row r="109" spans="1:17" ht="15" customHeight="1" x14ac:dyDescent="0.3">
      <c r="A109" s="60" t="s">
        <v>3319</v>
      </c>
      <c r="B109" s="126" t="s">
        <v>3171</v>
      </c>
      <c r="C109" s="62">
        <v>46179</v>
      </c>
      <c r="D109" s="63" t="s">
        <v>350</v>
      </c>
      <c r="E109" s="66" t="str">
        <f>IFERROR(INDEX(M_User!$A$12:$J$67,MATCH(D109,M_User!$D$12:$D$67,0),3),"UNMAPPED")</f>
        <v>Samson Felix Ngowi</v>
      </c>
      <c r="F109" s="65" t="str">
        <f>IFERROR(INDEX(M_User!$A$12:$J$67,MATCH(D109,M_User!$D$12:$D$67,0),5),"UNMAPPED")</f>
        <v>MOS</v>
      </c>
      <c r="G109" s="65" t="str">
        <f>IFERROR(INDEX(M_Depot!$C$7:$C$24,MATCH(F109,M_Depot!$B$7:$B$24,0)),"NO DEPOT")</f>
        <v>MOS1000001</v>
      </c>
      <c r="H109" s="66" t="str">
        <f>IFERROR(INDEX(M_Depot!$D$7:$D$24,MATCH(F109,M_Depot!$B$7:$B$24,0)),"NO DEPOT")</f>
        <v>MOSHI Ambush</v>
      </c>
      <c r="I109" s="63" t="s">
        <v>199</v>
      </c>
      <c r="J109" s="66" t="str">
        <f>IFERROR(INDEX(M_SKU!$A$18:$J$57,MATCH(I109,M_SKU!$B$18:$B$57,0),1),"UNKNOWN SKU")</f>
        <v>Krest Club Soda RGB 300ml</v>
      </c>
      <c r="K109" s="63" t="s">
        <v>592</v>
      </c>
      <c r="L109" s="127">
        <v>1.9509847751460201E-3</v>
      </c>
      <c r="M109" s="91" cm="1">
        <f t="array" ref="M109">IFERROR(INDEX(M_DepotPrice!$C$10:$C$52,MATCH(1,(M_DepotPrice!$A$10:$A$52=I109)*(M_DepotPrice!$H$10:$H$52=IFERROR(INDEX(M_Depot!$A$7:$A$24,MATCH(F109,M_Depot!$B$7:$B$24,0)),""))*(M_DepotPrice!$G$10:$G$52="Special"),0)),INDEX(M_DepotPrice!$C$10:$C$52,MATCH(1,(M_DepotPrice!$A$10:$A$52=I109)*(M_DepotPrice!$G$10:$G$52="Default"),0)))*1.18</f>
        <v>13900.4</v>
      </c>
      <c r="N109" s="128">
        <f t="shared" si="3"/>
        <v>27.119468768439738</v>
      </c>
      <c r="O109" s="105" t="s">
        <v>3218</v>
      </c>
      <c r="P109" s="68" t="s">
        <v>3219</v>
      </c>
      <c r="Q109" s="62"/>
    </row>
    <row r="110" spans="1:17" ht="15" customHeight="1" x14ac:dyDescent="0.3">
      <c r="A110" s="70" t="s">
        <v>3320</v>
      </c>
      <c r="B110" s="129" t="s">
        <v>3172</v>
      </c>
      <c r="C110" s="130">
        <v>46179</v>
      </c>
      <c r="D110" s="131" t="s">
        <v>350</v>
      </c>
      <c r="E110" s="76" t="str">
        <f>IFERROR(INDEX(M_User!$A$12:$J$67,MATCH(D110,M_User!$D$12:$D$67,0),3),"UNMAPPED")</f>
        <v>Samson Felix Ngowi</v>
      </c>
      <c r="F110" s="75" t="str">
        <f>IFERROR(INDEX(M_User!$A$12:$J$67,MATCH(D110,M_User!$D$12:$D$67,0),5),"UNMAPPED")</f>
        <v>MOS</v>
      </c>
      <c r="G110" s="75" t="str">
        <f>IFERROR(INDEX(M_Depot!$C$7:$C$24,MATCH(F110,M_Depot!$B$7:$B$24,0)),"NO DEPOT")</f>
        <v>MOS1000001</v>
      </c>
      <c r="H110" s="76" t="str">
        <f>IFERROR(INDEX(M_Depot!$D$7:$D$24,MATCH(F110,M_Depot!$B$7:$B$24,0)),"NO DEPOT")</f>
        <v>MOSHI Ambush</v>
      </c>
      <c r="I110" s="131" t="s">
        <v>199</v>
      </c>
      <c r="J110" s="76" t="str">
        <f>IFERROR(INDEX(M_SKU!$A$18:$J$57,MATCH(I110,M_SKU!$B$18:$B$57,0),1),"UNKNOWN SKU")</f>
        <v>Krest Club Soda RGB 300ml</v>
      </c>
      <c r="K110" s="131" t="s">
        <v>539</v>
      </c>
      <c r="L110" s="132">
        <v>2.55133302749089E-3</v>
      </c>
      <c r="M110" s="94" cm="1">
        <f t="array" ref="M110">IFERROR(INDEX(M_DepotPrice!$C$10:$C$52,MATCH(1,(M_DepotPrice!$A$10:$A$52=I110)*(M_DepotPrice!$H$10:$H$52=IFERROR(INDEX(M_Depot!$A$7:$A$24,MATCH(F110,M_Depot!$B$7:$B$24,0)),""))*(M_DepotPrice!$G$10:$G$52="Special"),0)),INDEX(M_DepotPrice!$C$10:$C$52,MATCH(1,(M_DepotPrice!$A$10:$A$52=I110)*(M_DepotPrice!$G$10:$G$52="Default"),0)))*1.18</f>
        <v>13900.4</v>
      </c>
      <c r="N110" s="133">
        <f t="shared" si="3"/>
        <v>35.46454961533437</v>
      </c>
      <c r="O110" s="122" t="s">
        <v>3218</v>
      </c>
      <c r="P110" s="116" t="s">
        <v>3219</v>
      </c>
      <c r="Q110" s="118"/>
    </row>
    <row r="111" spans="1:17" ht="15" customHeight="1" x14ac:dyDescent="0.3">
      <c r="A111" s="60" t="s">
        <v>3321</v>
      </c>
      <c r="B111" s="126" t="s">
        <v>3175</v>
      </c>
      <c r="C111" s="62">
        <v>46179</v>
      </c>
      <c r="D111" s="63" t="s">
        <v>350</v>
      </c>
      <c r="E111" s="66" t="str">
        <f>IFERROR(INDEX(M_User!$A$12:$J$67,MATCH(D111,M_User!$D$12:$D$67,0),3),"UNMAPPED")</f>
        <v>Samson Felix Ngowi</v>
      </c>
      <c r="F111" s="65" t="str">
        <f>IFERROR(INDEX(M_User!$A$12:$J$67,MATCH(D111,M_User!$D$12:$D$67,0),5),"UNMAPPED")</f>
        <v>MOS</v>
      </c>
      <c r="G111" s="65" t="str">
        <f>IFERROR(INDEX(M_Depot!$C$7:$C$24,MATCH(F111,M_Depot!$B$7:$B$24,0)),"NO DEPOT")</f>
        <v>MOS1000001</v>
      </c>
      <c r="H111" s="66" t="str">
        <f>IFERROR(INDEX(M_Depot!$D$7:$D$24,MATCH(F111,M_Depot!$B$7:$B$24,0)),"NO DEPOT")</f>
        <v>MOSHI Ambush</v>
      </c>
      <c r="I111" s="63" t="s">
        <v>209</v>
      </c>
      <c r="J111" s="66" t="str">
        <f>IFERROR(INDEX(M_SKU!$A$18:$J$57,MATCH(I111,M_SKU!$B$18:$B$57,0),1),"UNKNOWN SKU")</f>
        <v>Sparletta Red Apple RGB 350ml</v>
      </c>
      <c r="K111" s="63" t="s">
        <v>542</v>
      </c>
      <c r="L111" s="127">
        <v>4.1942809417788702E-4</v>
      </c>
      <c r="M111" s="91" cm="1">
        <f t="array" ref="M111">IFERROR(INDEX(M_DepotPrice!$C$10:$C$52,MATCH(1,(M_DepotPrice!$A$10:$A$52=I111)*(M_DepotPrice!$H$10:$H$52=IFERROR(INDEX(M_Depot!$A$7:$A$24,MATCH(F111,M_Depot!$B$7:$B$24,0)),""))*(M_DepotPrice!$G$10:$G$52="Special"),0)),INDEX(M_DepotPrice!$C$10:$C$52,MATCH(1,(M_DepotPrice!$A$10:$A$52=I111)*(M_DepotPrice!$G$10:$G$52="Default"),0)))*1.18</f>
        <v>13900.4</v>
      </c>
      <c r="N111" s="128">
        <f t="shared" si="3"/>
        <v>5.8302182803103006</v>
      </c>
      <c r="O111" s="105" t="s">
        <v>3218</v>
      </c>
      <c r="P111" s="68" t="s">
        <v>3219</v>
      </c>
      <c r="Q111" s="62"/>
    </row>
    <row r="114" spans="1:4" ht="15" customHeight="1" x14ac:dyDescent="0.3">
      <c r="A114" s="83" t="s">
        <v>626</v>
      </c>
    </row>
    <row r="115" spans="1:4" ht="15" customHeight="1" x14ac:dyDescent="0.3">
      <c r="A115" s="14" t="s">
        <v>3322</v>
      </c>
      <c r="D115" s="15">
        <f>COUNTA(A9:A111)</f>
        <v>103</v>
      </c>
    </row>
    <row r="116" spans="1:4" ht="15" customHeight="1" x14ac:dyDescent="0.3">
      <c r="A116" s="84" t="s">
        <v>3323</v>
      </c>
      <c r="D116" s="15">
        <f>SUMPRODUCT(1/COUNTIF(D9:D111,D9:D111))</f>
        <v>14.000000000000009</v>
      </c>
    </row>
    <row r="117" spans="1:4" ht="15" customHeight="1" x14ac:dyDescent="0.3">
      <c r="A117" s="84" t="s">
        <v>3324</v>
      </c>
      <c r="D117" s="124">
        <f>SUM(L9:L111)</f>
        <v>28.240627308873528</v>
      </c>
    </row>
    <row r="118" spans="1:4" ht="15" customHeight="1" x14ac:dyDescent="0.3">
      <c r="A118" s="14" t="s">
        <v>3325</v>
      </c>
      <c r="D118" s="134">
        <f>SUM(N9:N111)</f>
        <v>263742.49584426585</v>
      </c>
    </row>
    <row r="120" spans="1:4" ht="15" customHeight="1" x14ac:dyDescent="0.3">
      <c r="A120" s="15" t="s">
        <v>3326</v>
      </c>
    </row>
    <row r="121" spans="1:4" ht="15" customHeight="1" x14ac:dyDescent="0.3">
      <c r="A121" s="84" t="s">
        <v>3327</v>
      </c>
      <c r="D121" s="134">
        <f>SUMIF(D9:D111,"MOS100645",N9:N111)</f>
        <v>261171.22359658143</v>
      </c>
    </row>
    <row r="123" spans="1:4" ht="15" customHeight="1" x14ac:dyDescent="0.3">
      <c r="A123" s="1" t="s">
        <v>3328</v>
      </c>
    </row>
  </sheetData>
  <conditionalFormatting sqref="P9:P111">
    <cfRule type="cellIs" dxfId="28" priority="2" operator="equal">
      <formula>"Pending Push"</formula>
    </cfRule>
    <cfRule type="cellIs" dxfId="27" priority="3" operator="equal">
      <formula>"Pushed to SAP"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56"/>
  <sheetViews>
    <sheetView showGridLines="0" zoomScaleNormal="100" workbookViewId="0">
      <pane xSplit="4" ySplit="8" topLeftCell="E9" activePane="bottomRight" state="frozen"/>
      <selection activeCell="F9" sqref="F9"/>
      <selection pane="topRight" activeCell="F9" sqref="F9"/>
      <selection pane="bottomLeft" activeCell="F9" sqref="F9"/>
      <selection pane="bottomRight" activeCell="E9" sqref="E9"/>
    </sheetView>
  </sheetViews>
  <sheetFormatPr defaultColWidth="8.6640625" defaultRowHeight="14.4" x14ac:dyDescent="0.3"/>
  <cols>
    <col min="1" max="2" width="12" customWidth="1"/>
    <col min="3" max="3" width="14" customWidth="1"/>
    <col min="4" max="4" width="13" customWidth="1"/>
    <col min="5" max="5" width="22" customWidth="1"/>
    <col min="6" max="6" width="14" bestFit="1" customWidth="1"/>
    <col min="7" max="7" width="28" customWidth="1"/>
    <col min="8" max="8" width="16.5546875" bestFit="1" customWidth="1"/>
    <col min="9" max="9" width="12" customWidth="1"/>
    <col min="10" max="10" width="22" customWidth="1"/>
    <col min="11" max="11" width="38" customWidth="1"/>
    <col min="12" max="15" width="14" customWidth="1"/>
  </cols>
  <sheetData>
    <row r="1" spans="1:15" ht="19.5" customHeight="1" x14ac:dyDescent="0.4">
      <c r="A1" s="13" t="s">
        <v>3329</v>
      </c>
    </row>
    <row r="2" spans="1:15" ht="15" customHeight="1" x14ac:dyDescent="0.3">
      <c r="A2" s="1" t="s">
        <v>3330</v>
      </c>
    </row>
    <row r="3" spans="1:15" ht="15" customHeight="1" x14ac:dyDescent="0.3">
      <c r="A3" s="96" t="s">
        <v>3331</v>
      </c>
    </row>
    <row r="4" spans="1:15" ht="15" customHeight="1" x14ac:dyDescent="0.3">
      <c r="A4" s="1" t="s">
        <v>3332</v>
      </c>
    </row>
    <row r="6" spans="1:15" ht="15" customHeight="1" x14ac:dyDescent="0.3">
      <c r="A6" s="15" t="s">
        <v>494</v>
      </c>
      <c r="B6" s="48" t="s">
        <v>495</v>
      </c>
      <c r="D6" s="49" t="s">
        <v>3207</v>
      </c>
      <c r="F6" s="50" t="s">
        <v>497</v>
      </c>
      <c r="H6" s="51" t="s">
        <v>3333</v>
      </c>
      <c r="J6" s="107" t="s">
        <v>3334</v>
      </c>
    </row>
    <row r="8" spans="1:15" ht="36" customHeight="1" x14ac:dyDescent="0.3">
      <c r="A8" s="54" t="s">
        <v>3335</v>
      </c>
      <c r="B8" s="55" t="s">
        <v>3210</v>
      </c>
      <c r="C8" s="55" t="s">
        <v>3336</v>
      </c>
      <c r="D8" s="55" t="s">
        <v>647</v>
      </c>
      <c r="E8" s="56" t="s">
        <v>648</v>
      </c>
      <c r="F8" s="55" t="s">
        <v>509</v>
      </c>
      <c r="G8" s="56" t="s">
        <v>277</v>
      </c>
      <c r="H8" s="55" t="s">
        <v>510</v>
      </c>
      <c r="I8" s="55" t="s">
        <v>3337</v>
      </c>
      <c r="J8" s="57" t="s">
        <v>3338</v>
      </c>
      <c r="K8" s="57" t="s">
        <v>3339</v>
      </c>
      <c r="L8" s="57" t="s">
        <v>3340</v>
      </c>
      <c r="M8" s="57" t="s">
        <v>3341</v>
      </c>
      <c r="N8" s="109" t="s">
        <v>3342</v>
      </c>
      <c r="O8" s="109" t="s">
        <v>3343</v>
      </c>
    </row>
    <row r="9" spans="1:15" ht="15" customHeight="1" x14ac:dyDescent="0.3">
      <c r="A9" s="60" t="s">
        <v>3344</v>
      </c>
      <c r="B9" s="126" t="s">
        <v>2799</v>
      </c>
      <c r="C9" s="68" t="s">
        <v>3345</v>
      </c>
      <c r="D9" s="63" t="s">
        <v>395</v>
      </c>
      <c r="E9" s="135" t="str">
        <f>IFERROR(INDEX(M_User!$A$12:$J$67,MATCH(D9,M_User!$D$12:$D$67,0),3),"UNMAPPED")</f>
        <v>Meshack  Jeremiah</v>
      </c>
      <c r="F9" s="63" t="s">
        <v>170</v>
      </c>
      <c r="G9" s="135" t="str">
        <f>IFERROR(INDEX(M_SKU!$A$18:$J$57,MATCH(F9,M_SKU!$B$18:$B$57,0),1),"UNKNOWN SKU")</f>
        <v>Coke RGB 350ml</v>
      </c>
      <c r="H9" s="63" t="s">
        <v>530</v>
      </c>
      <c r="I9" s="90">
        <v>3.9580275520023599E-3</v>
      </c>
      <c r="J9" s="136"/>
      <c r="K9" s="137"/>
      <c r="L9" s="136"/>
      <c r="M9" s="138"/>
      <c r="N9" s="62">
        <v>46180</v>
      </c>
      <c r="O9" s="139" t="str">
        <f t="shared" ref="O9:O72" ca="1" si="0">IF(ISBLANK(M9),IF(TODAY()&gt;N9,"BREACHED","PENDING"),IF(M9&lt;=N9,"Within SLA","BREACHED"))</f>
        <v>BREACHED</v>
      </c>
    </row>
    <row r="10" spans="1:15" ht="15" customHeight="1" x14ac:dyDescent="0.3">
      <c r="A10" s="70" t="s">
        <v>3346</v>
      </c>
      <c r="B10" s="140" t="s">
        <v>2800</v>
      </c>
      <c r="C10" s="141" t="s">
        <v>3347</v>
      </c>
      <c r="D10" s="73" t="s">
        <v>395</v>
      </c>
      <c r="E10" s="142" t="str">
        <f>IFERROR(INDEX(M_User!$A$12:$J$67,MATCH(D10,M_User!$D$12:$D$67,0),3),"UNMAPPED")</f>
        <v>Meshack  Jeremiah</v>
      </c>
      <c r="F10" s="73" t="s">
        <v>178</v>
      </c>
      <c r="G10" s="142" t="str">
        <f>IFERROR(INDEX(M_SKU!$A$18:$J$57,MATCH(F10,M_SKU!$B$18:$B$57,0),1),"UNKNOWN SKU")</f>
        <v>Fanta Orange RGB 350ml</v>
      </c>
      <c r="H10" s="73" t="s">
        <v>531</v>
      </c>
      <c r="I10" s="93">
        <v>1.3449316438394201E-3</v>
      </c>
      <c r="J10" s="136"/>
      <c r="K10" s="137"/>
      <c r="L10" s="136"/>
      <c r="M10" s="138"/>
      <c r="N10" s="130">
        <v>46180</v>
      </c>
      <c r="O10" s="143" t="str">
        <f t="shared" ca="1" si="0"/>
        <v>BREACHED</v>
      </c>
    </row>
    <row r="11" spans="1:15" ht="15" customHeight="1" x14ac:dyDescent="0.3">
      <c r="A11" s="60" t="s">
        <v>3348</v>
      </c>
      <c r="B11" s="126" t="s">
        <v>2801</v>
      </c>
      <c r="C11" s="68" t="s">
        <v>3345</v>
      </c>
      <c r="D11" s="63" t="s">
        <v>395</v>
      </c>
      <c r="E11" s="135" t="str">
        <f>IFERROR(INDEX(M_User!$A$12:$J$67,MATCH(D11,M_User!$D$12:$D$67,0),3),"UNMAPPED")</f>
        <v>Meshack  Jeremiah</v>
      </c>
      <c r="F11" s="63" t="s">
        <v>181</v>
      </c>
      <c r="G11" s="135" t="str">
        <f>IFERROR(INDEX(M_SKU!$A$18:$J$57,MATCH(F11,M_SKU!$B$18:$B$57,0),1),"UNKNOWN SKU")</f>
        <v>Fanta Passion RGB 350ml</v>
      </c>
      <c r="H11" s="63" t="s">
        <v>550</v>
      </c>
      <c r="I11" s="90">
        <v>3.0169508336903598E-3</v>
      </c>
      <c r="J11" s="136"/>
      <c r="K11" s="137"/>
      <c r="L11" s="136"/>
      <c r="M11" s="138"/>
      <c r="N11" s="62">
        <v>46180</v>
      </c>
      <c r="O11" s="139" t="str">
        <f t="shared" ca="1" si="0"/>
        <v>BREACHED</v>
      </c>
    </row>
    <row r="12" spans="1:15" ht="15" customHeight="1" x14ac:dyDescent="0.3">
      <c r="A12" s="70" t="s">
        <v>3349</v>
      </c>
      <c r="B12" s="140" t="s">
        <v>2803</v>
      </c>
      <c r="C12" s="141" t="s">
        <v>3347</v>
      </c>
      <c r="D12" s="73" t="s">
        <v>395</v>
      </c>
      <c r="E12" s="142" t="str">
        <f>IFERROR(INDEX(M_User!$A$12:$J$67,MATCH(D12,M_User!$D$12:$D$67,0),3),"UNMAPPED")</f>
        <v>Meshack  Jeremiah</v>
      </c>
      <c r="F12" s="73" t="s">
        <v>185</v>
      </c>
      <c r="G12" s="142" t="str">
        <f>IFERROR(INDEX(M_SKU!$A$18:$J$57,MATCH(F12,M_SKU!$B$18:$B$57,0),1),"UNKNOWN SKU")</f>
        <v>Fanta Fruit Blast RGB 350 ml</v>
      </c>
      <c r="H12" s="73" t="s">
        <v>534</v>
      </c>
      <c r="I12" s="93">
        <v>2.45685952361019E-3</v>
      </c>
      <c r="J12" s="144" t="s">
        <v>3350</v>
      </c>
      <c r="K12" s="145" t="s">
        <v>3351</v>
      </c>
      <c r="L12" s="144" t="s">
        <v>436</v>
      </c>
      <c r="M12" s="146">
        <v>46179</v>
      </c>
      <c r="N12" s="130">
        <v>46180</v>
      </c>
      <c r="O12" s="143" t="str">
        <f t="shared" ca="1" si="0"/>
        <v>Within SLA</v>
      </c>
    </row>
    <row r="13" spans="1:15" ht="15" customHeight="1" x14ac:dyDescent="0.3">
      <c r="A13" s="60" t="s">
        <v>3352</v>
      </c>
      <c r="B13" s="126" t="s">
        <v>2804</v>
      </c>
      <c r="C13" s="68" t="s">
        <v>3345</v>
      </c>
      <c r="D13" s="63" t="s">
        <v>395</v>
      </c>
      <c r="E13" s="135" t="str">
        <f>IFERROR(INDEX(M_User!$A$12:$J$67,MATCH(D13,M_User!$D$12:$D$67,0),3),"UNMAPPED")</f>
        <v>Meshack  Jeremiah</v>
      </c>
      <c r="F13" s="63" t="s">
        <v>187</v>
      </c>
      <c r="G13" s="135" t="str">
        <f>IFERROR(INDEX(M_SKU!$A$18:$J$57,MATCH(F13,M_SKU!$B$18:$B$57,0),1),"UNKNOWN SKU")</f>
        <v>Sprite 350ml</v>
      </c>
      <c r="H13" s="63" t="s">
        <v>535</v>
      </c>
      <c r="I13" s="90">
        <v>3.0874536407798901E-3</v>
      </c>
      <c r="J13" s="136"/>
      <c r="K13" s="137"/>
      <c r="L13" s="136"/>
      <c r="M13" s="138"/>
      <c r="N13" s="62">
        <v>46180</v>
      </c>
      <c r="O13" s="139" t="str">
        <f t="shared" ca="1" si="0"/>
        <v>BREACHED</v>
      </c>
    </row>
    <row r="14" spans="1:15" ht="15" customHeight="1" x14ac:dyDescent="0.3">
      <c r="A14" s="70" t="s">
        <v>3353</v>
      </c>
      <c r="B14" s="140" t="s">
        <v>2805</v>
      </c>
      <c r="C14" s="141" t="s">
        <v>3347</v>
      </c>
      <c r="D14" s="73" t="s">
        <v>395</v>
      </c>
      <c r="E14" s="142" t="str">
        <f>IFERROR(INDEX(M_User!$A$12:$J$67,MATCH(D14,M_User!$D$12:$D$67,0),3),"UNMAPPED")</f>
        <v>Meshack  Jeremiah</v>
      </c>
      <c r="F14" s="73" t="s">
        <v>190</v>
      </c>
      <c r="G14" s="142" t="str">
        <f>IFERROR(INDEX(M_SKU!$A$18:$J$57,MATCH(F14,M_SKU!$B$18:$B$57,0),1),"UNKNOWN SKU")</f>
        <v>Stoney Tangawizi RGB 350ml</v>
      </c>
      <c r="H14" s="73" t="s">
        <v>536</v>
      </c>
      <c r="I14" s="93">
        <v>4.07045760539404E-3</v>
      </c>
      <c r="J14" s="136"/>
      <c r="K14" s="137"/>
      <c r="L14" s="136"/>
      <c r="M14" s="138"/>
      <c r="N14" s="130">
        <v>46180</v>
      </c>
      <c r="O14" s="143" t="str">
        <f t="shared" ca="1" si="0"/>
        <v>BREACHED</v>
      </c>
    </row>
    <row r="15" spans="1:15" ht="15" customHeight="1" x14ac:dyDescent="0.3">
      <c r="A15" s="60" t="s">
        <v>3354</v>
      </c>
      <c r="B15" s="126" t="s">
        <v>2806</v>
      </c>
      <c r="C15" s="105" t="s">
        <v>3347</v>
      </c>
      <c r="D15" s="63" t="s">
        <v>395</v>
      </c>
      <c r="E15" s="135" t="str">
        <f>IFERROR(INDEX(M_User!$A$12:$J$67,MATCH(D15,M_User!$D$12:$D$67,0),3),"UNMAPPED")</f>
        <v>Meshack  Jeremiah</v>
      </c>
      <c r="F15" s="63" t="s">
        <v>193</v>
      </c>
      <c r="G15" s="135" t="str">
        <f>IFERROR(INDEX(M_SKU!$A$18:$J$57,MATCH(F15,M_SKU!$B$18:$B$57,0),1),"UNKNOWN SKU")</f>
        <v>Sparletta Pinenut RGB 350ml</v>
      </c>
      <c r="H15" s="63" t="s">
        <v>537</v>
      </c>
      <c r="I15" s="90">
        <v>2.3942122858950899E-3</v>
      </c>
      <c r="J15" s="136"/>
      <c r="K15" s="137"/>
      <c r="L15" s="136"/>
      <c r="M15" s="138"/>
      <c r="N15" s="62">
        <v>46180</v>
      </c>
      <c r="O15" s="139" t="str">
        <f t="shared" ca="1" si="0"/>
        <v>BREACHED</v>
      </c>
    </row>
    <row r="16" spans="1:15" ht="15" customHeight="1" x14ac:dyDescent="0.3">
      <c r="A16" s="70" t="s">
        <v>3355</v>
      </c>
      <c r="B16" s="140" t="s">
        <v>2807</v>
      </c>
      <c r="C16" s="141" t="s">
        <v>3347</v>
      </c>
      <c r="D16" s="73" t="s">
        <v>395</v>
      </c>
      <c r="E16" s="142" t="str">
        <f>IFERROR(INDEX(M_User!$A$12:$J$67,MATCH(D16,M_User!$D$12:$D$67,0),3),"UNMAPPED")</f>
        <v>Meshack  Jeremiah</v>
      </c>
      <c r="F16" s="73" t="s">
        <v>196</v>
      </c>
      <c r="G16" s="142" t="str">
        <f>IFERROR(INDEX(M_SKU!$A$18:$J$57,MATCH(F16,M_SKU!$B$18:$B$57,0),1),"UNKNOWN SKU")</f>
        <v>Krest Bitter Lemon RGB 300ml</v>
      </c>
      <c r="H16" s="73" t="s">
        <v>538</v>
      </c>
      <c r="I16" s="93">
        <v>2.6302759048961498E-3</v>
      </c>
      <c r="J16" s="136"/>
      <c r="K16" s="137"/>
      <c r="L16" s="136"/>
      <c r="M16" s="138"/>
      <c r="N16" s="130">
        <v>46180</v>
      </c>
      <c r="O16" s="143" t="str">
        <f t="shared" ca="1" si="0"/>
        <v>BREACHED</v>
      </c>
    </row>
    <row r="17" spans="1:15" ht="15" customHeight="1" x14ac:dyDescent="0.3">
      <c r="A17" s="60" t="s">
        <v>3356</v>
      </c>
      <c r="B17" s="126" t="s">
        <v>2808</v>
      </c>
      <c r="C17" s="68" t="s">
        <v>3345</v>
      </c>
      <c r="D17" s="63" t="s">
        <v>395</v>
      </c>
      <c r="E17" s="135" t="str">
        <f>IFERROR(INDEX(M_User!$A$12:$J$67,MATCH(D17,M_User!$D$12:$D$67,0),3),"UNMAPPED")</f>
        <v>Meshack  Jeremiah</v>
      </c>
      <c r="F17" s="63" t="s">
        <v>199</v>
      </c>
      <c r="G17" s="135" t="str">
        <f>IFERROR(INDEX(M_SKU!$A$18:$J$57,MATCH(F17,M_SKU!$B$18:$B$57,0),1),"UNKNOWN SKU")</f>
        <v>Krest Club Soda RGB 300ml</v>
      </c>
      <c r="H17" s="63" t="s">
        <v>539</v>
      </c>
      <c r="I17" s="90">
        <v>3.36221427754915E-3</v>
      </c>
      <c r="J17" s="136"/>
      <c r="K17" s="137"/>
      <c r="L17" s="136"/>
      <c r="M17" s="138"/>
      <c r="N17" s="62">
        <v>46180</v>
      </c>
      <c r="O17" s="139" t="str">
        <f t="shared" ca="1" si="0"/>
        <v>BREACHED</v>
      </c>
    </row>
    <row r="18" spans="1:15" ht="15" customHeight="1" x14ac:dyDescent="0.3">
      <c r="A18" s="70" t="s">
        <v>3357</v>
      </c>
      <c r="B18" s="140" t="s">
        <v>2809</v>
      </c>
      <c r="C18" s="147" t="s">
        <v>3345</v>
      </c>
      <c r="D18" s="73" t="s">
        <v>395</v>
      </c>
      <c r="E18" s="142" t="str">
        <f>IFERROR(INDEX(M_User!$A$12:$J$67,MATCH(D18,M_User!$D$12:$D$67,0),3),"UNMAPPED")</f>
        <v>Meshack  Jeremiah</v>
      </c>
      <c r="F18" s="73" t="s">
        <v>201</v>
      </c>
      <c r="G18" s="142" t="str">
        <f>IFERROR(INDEX(M_SKU!$A$18:$J$57,MATCH(F18,M_SKU!$B$18:$B$57,0),1),"UNKNOWN SKU")</f>
        <v>Krest Tonic Water RGB 300ml</v>
      </c>
      <c r="H18" s="73" t="s">
        <v>540</v>
      </c>
      <c r="I18" s="93">
        <v>2.6009740915389802E-3</v>
      </c>
      <c r="J18" s="136"/>
      <c r="K18" s="137"/>
      <c r="L18" s="136"/>
      <c r="M18" s="138"/>
      <c r="N18" s="130">
        <v>46180</v>
      </c>
      <c r="O18" s="143" t="str">
        <f t="shared" ca="1" si="0"/>
        <v>BREACHED</v>
      </c>
    </row>
    <row r="19" spans="1:15" ht="15" customHeight="1" x14ac:dyDescent="0.3">
      <c r="A19" s="60" t="s">
        <v>3358</v>
      </c>
      <c r="B19" s="126" t="s">
        <v>2810</v>
      </c>
      <c r="C19" s="68" t="s">
        <v>3345</v>
      </c>
      <c r="D19" s="63" t="s">
        <v>395</v>
      </c>
      <c r="E19" s="135" t="str">
        <f>IFERROR(INDEX(M_User!$A$12:$J$67,MATCH(D19,M_User!$D$12:$D$67,0),3),"UNMAPPED")</f>
        <v>Meshack  Jeremiah</v>
      </c>
      <c r="F19" s="63" t="s">
        <v>203</v>
      </c>
      <c r="G19" s="135" t="str">
        <f>IFERROR(INDEX(M_SKU!$A$18:$J$57,MATCH(F19,M_SKU!$B$18:$B$57,0),1),"UNKNOWN SKU")</f>
        <v>Krest Ginger Ale RGB 300ml</v>
      </c>
      <c r="H19" s="63" t="s">
        <v>541</v>
      </c>
      <c r="I19" s="90">
        <v>4.6661472047340204E-3</v>
      </c>
      <c r="J19" s="136"/>
      <c r="K19" s="137"/>
      <c r="L19" s="136"/>
      <c r="M19" s="138"/>
      <c r="N19" s="62">
        <v>46180</v>
      </c>
      <c r="O19" s="139" t="str">
        <f t="shared" ca="1" si="0"/>
        <v>BREACHED</v>
      </c>
    </row>
    <row r="20" spans="1:15" ht="15" customHeight="1" x14ac:dyDescent="0.3">
      <c r="A20" s="70" t="s">
        <v>3359</v>
      </c>
      <c r="B20" s="140" t="s">
        <v>2811</v>
      </c>
      <c r="C20" s="141" t="s">
        <v>3347</v>
      </c>
      <c r="D20" s="73" t="s">
        <v>395</v>
      </c>
      <c r="E20" s="142" t="str">
        <f>IFERROR(INDEX(M_User!$A$12:$J$67,MATCH(D20,M_User!$D$12:$D$67,0),3),"UNMAPPED")</f>
        <v>Meshack  Jeremiah</v>
      </c>
      <c r="F20" s="73" t="s">
        <v>209</v>
      </c>
      <c r="G20" s="142" t="str">
        <f>IFERROR(INDEX(M_SKU!$A$18:$J$57,MATCH(F20,M_SKU!$B$18:$B$57,0),1),"UNKNOWN SKU")</f>
        <v>Sparletta Red Apple RGB 350ml</v>
      </c>
      <c r="H20" s="73" t="s">
        <v>542</v>
      </c>
      <c r="I20" s="93">
        <v>4.7773802358080898E-4</v>
      </c>
      <c r="J20" s="136"/>
      <c r="K20" s="137"/>
      <c r="L20" s="136"/>
      <c r="M20" s="138"/>
      <c r="N20" s="130">
        <v>46180</v>
      </c>
      <c r="O20" s="143" t="str">
        <f t="shared" ca="1" si="0"/>
        <v>BREACHED</v>
      </c>
    </row>
    <row r="21" spans="1:15" ht="15" customHeight="1" x14ac:dyDescent="0.3">
      <c r="A21" s="60" t="s">
        <v>3360</v>
      </c>
      <c r="B21" s="126" t="s">
        <v>2823</v>
      </c>
      <c r="C21" s="68" t="s">
        <v>3345</v>
      </c>
      <c r="D21" s="63" t="s">
        <v>376</v>
      </c>
      <c r="E21" s="135" t="str">
        <f>IFERROR(INDEX(M_User!$A$12:$J$67,MATCH(D21,M_User!$D$12:$D$67,0),3),"UNMAPPED")</f>
        <v>Zefania Julius Ngoma</v>
      </c>
      <c r="F21" s="63" t="s">
        <v>170</v>
      </c>
      <c r="G21" s="135" t="str">
        <f>IFERROR(INDEX(M_SKU!$A$18:$J$57,MATCH(F21,M_SKU!$B$18:$B$57,0),1),"UNKNOWN SKU")</f>
        <v>Coke RGB 350ml</v>
      </c>
      <c r="H21" s="63" t="s">
        <v>530</v>
      </c>
      <c r="I21" s="90">
        <v>3.0227208629982601E-3</v>
      </c>
      <c r="J21" s="136"/>
      <c r="K21" s="137"/>
      <c r="L21" s="136"/>
      <c r="M21" s="138"/>
      <c r="N21" s="62">
        <v>46180</v>
      </c>
      <c r="O21" s="139" t="str">
        <f t="shared" ca="1" si="0"/>
        <v>BREACHED</v>
      </c>
    </row>
    <row r="22" spans="1:15" ht="15" customHeight="1" x14ac:dyDescent="0.3">
      <c r="A22" s="70" t="s">
        <v>3361</v>
      </c>
      <c r="B22" s="140" t="s">
        <v>2824</v>
      </c>
      <c r="C22" s="147" t="s">
        <v>3345</v>
      </c>
      <c r="D22" s="73" t="s">
        <v>376</v>
      </c>
      <c r="E22" s="142" t="str">
        <f>IFERROR(INDEX(M_User!$A$12:$J$67,MATCH(D22,M_User!$D$12:$D$67,0),3),"UNMAPPED")</f>
        <v>Zefania Julius Ngoma</v>
      </c>
      <c r="F22" s="73" t="s">
        <v>178</v>
      </c>
      <c r="G22" s="142" t="str">
        <f>IFERROR(INDEX(M_SKU!$A$18:$J$57,MATCH(F22,M_SKU!$B$18:$B$57,0),1),"UNKNOWN SKU")</f>
        <v>Fanta Orange RGB 350ml</v>
      </c>
      <c r="H22" s="73" t="s">
        <v>531</v>
      </c>
      <c r="I22" s="93">
        <v>4.8592863854495204E-3</v>
      </c>
      <c r="J22" s="136"/>
      <c r="K22" s="137"/>
      <c r="L22" s="136"/>
      <c r="M22" s="138"/>
      <c r="N22" s="130">
        <v>46180</v>
      </c>
      <c r="O22" s="143" t="str">
        <f t="shared" ca="1" si="0"/>
        <v>BREACHED</v>
      </c>
    </row>
    <row r="23" spans="1:15" ht="15" customHeight="1" x14ac:dyDescent="0.3">
      <c r="A23" s="60" t="s">
        <v>3362</v>
      </c>
      <c r="B23" s="126" t="s">
        <v>2825</v>
      </c>
      <c r="C23" s="68" t="s">
        <v>3345</v>
      </c>
      <c r="D23" s="63" t="s">
        <v>376</v>
      </c>
      <c r="E23" s="135" t="str">
        <f>IFERROR(INDEX(M_User!$A$12:$J$67,MATCH(D23,M_User!$D$12:$D$67,0),3),"UNMAPPED")</f>
        <v>Zefania Julius Ngoma</v>
      </c>
      <c r="F23" s="63" t="s">
        <v>181</v>
      </c>
      <c r="G23" s="135" t="str">
        <f>IFERROR(INDEX(M_SKU!$A$18:$J$57,MATCH(F23,M_SKU!$B$18:$B$57,0),1),"UNKNOWN SKU")</f>
        <v>Fanta Passion RGB 350ml</v>
      </c>
      <c r="H23" s="63" t="s">
        <v>550</v>
      </c>
      <c r="I23" s="90">
        <v>3.4945932904502102E-3</v>
      </c>
      <c r="J23" s="136"/>
      <c r="K23" s="137"/>
      <c r="L23" s="136"/>
      <c r="M23" s="138"/>
      <c r="N23" s="62">
        <v>46180</v>
      </c>
      <c r="O23" s="139" t="str">
        <f t="shared" ca="1" si="0"/>
        <v>BREACHED</v>
      </c>
    </row>
    <row r="24" spans="1:15" ht="15" customHeight="1" x14ac:dyDescent="0.3">
      <c r="A24" s="70" t="s">
        <v>3363</v>
      </c>
      <c r="B24" s="140" t="s">
        <v>2826</v>
      </c>
      <c r="C24" s="141" t="s">
        <v>3347</v>
      </c>
      <c r="D24" s="73" t="s">
        <v>376</v>
      </c>
      <c r="E24" s="142" t="str">
        <f>IFERROR(INDEX(M_User!$A$12:$J$67,MATCH(D24,M_User!$D$12:$D$67,0),3),"UNMAPPED")</f>
        <v>Zefania Julius Ngoma</v>
      </c>
      <c r="F24" s="73" t="s">
        <v>183</v>
      </c>
      <c r="G24" s="142" t="str">
        <f>IFERROR(INDEX(M_SKU!$A$18:$J$57,MATCH(F24,M_SKU!$B$18:$B$57,0),1),"UNKNOWN SKU")</f>
        <v>Fanta Pineapple RGB 350ml</v>
      </c>
      <c r="H24" s="73" t="s">
        <v>533</v>
      </c>
      <c r="I24" s="93">
        <v>3.1459237547912799E-3</v>
      </c>
      <c r="J24" s="136"/>
      <c r="K24" s="137"/>
      <c r="L24" s="136"/>
      <c r="M24" s="138"/>
      <c r="N24" s="130">
        <v>46180</v>
      </c>
      <c r="O24" s="143" t="str">
        <f t="shared" ca="1" si="0"/>
        <v>BREACHED</v>
      </c>
    </row>
    <row r="25" spans="1:15" ht="15" customHeight="1" x14ac:dyDescent="0.3">
      <c r="A25" s="60" t="s">
        <v>3364</v>
      </c>
      <c r="B25" s="126" t="s">
        <v>2827</v>
      </c>
      <c r="C25" s="105" t="s">
        <v>3347</v>
      </c>
      <c r="D25" s="63" t="s">
        <v>376</v>
      </c>
      <c r="E25" s="135" t="str">
        <f>IFERROR(INDEX(M_User!$A$12:$J$67,MATCH(D25,M_User!$D$12:$D$67,0),3),"UNMAPPED")</f>
        <v>Zefania Julius Ngoma</v>
      </c>
      <c r="F25" s="63" t="s">
        <v>185</v>
      </c>
      <c r="G25" s="135" t="str">
        <f>IFERROR(INDEX(M_SKU!$A$18:$J$57,MATCH(F25,M_SKU!$B$18:$B$57,0),1),"UNKNOWN SKU")</f>
        <v>Fanta Fruit Blast RGB 350 ml</v>
      </c>
      <c r="H25" s="63" t="s">
        <v>534</v>
      </c>
      <c r="I25" s="90">
        <v>4.3352658048196897E-3</v>
      </c>
      <c r="J25" s="136"/>
      <c r="K25" s="137"/>
      <c r="L25" s="136"/>
      <c r="M25" s="138"/>
      <c r="N25" s="62">
        <v>46180</v>
      </c>
      <c r="O25" s="139" t="str">
        <f t="shared" ca="1" si="0"/>
        <v>BREACHED</v>
      </c>
    </row>
    <row r="26" spans="1:15" ht="15" customHeight="1" x14ac:dyDescent="0.3">
      <c r="A26" s="70" t="s">
        <v>3365</v>
      </c>
      <c r="B26" s="140" t="s">
        <v>2828</v>
      </c>
      <c r="C26" s="141" t="s">
        <v>3347</v>
      </c>
      <c r="D26" s="73" t="s">
        <v>376</v>
      </c>
      <c r="E26" s="142" t="str">
        <f>IFERROR(INDEX(M_User!$A$12:$J$67,MATCH(D26,M_User!$D$12:$D$67,0),3),"UNMAPPED")</f>
        <v>Zefania Julius Ngoma</v>
      </c>
      <c r="F26" s="73" t="s">
        <v>187</v>
      </c>
      <c r="G26" s="142" t="str">
        <f>IFERROR(INDEX(M_SKU!$A$18:$J$57,MATCH(F26,M_SKU!$B$18:$B$57,0),1),"UNKNOWN SKU")</f>
        <v>Sprite 350ml</v>
      </c>
      <c r="H26" s="73" t="s">
        <v>535</v>
      </c>
      <c r="I26" s="93">
        <v>2.66923798572893E-3</v>
      </c>
      <c r="J26" s="136"/>
      <c r="K26" s="137"/>
      <c r="L26" s="136"/>
      <c r="M26" s="138"/>
      <c r="N26" s="130">
        <v>46180</v>
      </c>
      <c r="O26" s="143" t="str">
        <f t="shared" ca="1" si="0"/>
        <v>BREACHED</v>
      </c>
    </row>
    <row r="27" spans="1:15" ht="23.25" customHeight="1" x14ac:dyDescent="0.3">
      <c r="A27" s="60" t="s">
        <v>3366</v>
      </c>
      <c r="B27" s="126" t="s">
        <v>2829</v>
      </c>
      <c r="C27" s="68" t="s">
        <v>3345</v>
      </c>
      <c r="D27" s="63" t="s">
        <v>376</v>
      </c>
      <c r="E27" s="135" t="str">
        <f>IFERROR(INDEX(M_User!$A$12:$J$67,MATCH(D27,M_User!$D$12:$D$67,0),3),"UNMAPPED")</f>
        <v>Zefania Julius Ngoma</v>
      </c>
      <c r="F27" s="63" t="s">
        <v>190</v>
      </c>
      <c r="G27" s="135" t="str">
        <f>IFERROR(INDEX(M_SKU!$A$18:$J$57,MATCH(F27,M_SKU!$B$18:$B$57,0),1),"UNKNOWN SKU")</f>
        <v>Stoney Tangawizi RGB 350ml</v>
      </c>
      <c r="H27" s="63" t="s">
        <v>536</v>
      </c>
      <c r="I27" s="90">
        <v>4.8767689972978301E-4</v>
      </c>
      <c r="J27" s="144" t="s">
        <v>3367</v>
      </c>
      <c r="K27" s="145" t="s">
        <v>3368</v>
      </c>
      <c r="L27" s="144" t="s">
        <v>431</v>
      </c>
      <c r="M27" s="146">
        <v>46180</v>
      </c>
      <c r="N27" s="62">
        <v>46180</v>
      </c>
      <c r="O27" s="139" t="str">
        <f t="shared" ca="1" si="0"/>
        <v>Within SLA</v>
      </c>
    </row>
    <row r="28" spans="1:15" ht="23.25" customHeight="1" x14ac:dyDescent="0.3">
      <c r="A28" s="70" t="s">
        <v>3369</v>
      </c>
      <c r="B28" s="140" t="s">
        <v>2830</v>
      </c>
      <c r="C28" s="147" t="s">
        <v>3345</v>
      </c>
      <c r="D28" s="73" t="s">
        <v>376</v>
      </c>
      <c r="E28" s="142" t="str">
        <f>IFERROR(INDEX(M_User!$A$12:$J$67,MATCH(D28,M_User!$D$12:$D$67,0),3),"UNMAPPED")</f>
        <v>Zefania Julius Ngoma</v>
      </c>
      <c r="F28" s="73" t="s">
        <v>193</v>
      </c>
      <c r="G28" s="142" t="str">
        <f>IFERROR(INDEX(M_SKU!$A$18:$J$57,MATCH(F28,M_SKU!$B$18:$B$57,0),1),"UNKNOWN SKU")</f>
        <v>Sparletta Pinenut RGB 350ml</v>
      </c>
      <c r="H28" s="73" t="s">
        <v>537</v>
      </c>
      <c r="I28" s="93">
        <v>4.8925704636502698E-3</v>
      </c>
      <c r="J28" s="144" t="s">
        <v>3367</v>
      </c>
      <c r="K28" s="145" t="s">
        <v>3368</v>
      </c>
      <c r="L28" s="144" t="s">
        <v>428</v>
      </c>
      <c r="M28" s="146">
        <v>46179</v>
      </c>
      <c r="N28" s="130">
        <v>46180</v>
      </c>
      <c r="O28" s="143" t="str">
        <f t="shared" ca="1" si="0"/>
        <v>Within SLA</v>
      </c>
    </row>
    <row r="29" spans="1:15" ht="15" customHeight="1" x14ac:dyDescent="0.3">
      <c r="A29" s="60" t="s">
        <v>3370</v>
      </c>
      <c r="B29" s="126" t="s">
        <v>2831</v>
      </c>
      <c r="C29" s="68" t="s">
        <v>3345</v>
      </c>
      <c r="D29" s="63" t="s">
        <v>376</v>
      </c>
      <c r="E29" s="135" t="str">
        <f>IFERROR(INDEX(M_User!$A$12:$J$67,MATCH(D29,M_User!$D$12:$D$67,0),3),"UNMAPPED")</f>
        <v>Zefania Julius Ngoma</v>
      </c>
      <c r="F29" s="63" t="s">
        <v>209</v>
      </c>
      <c r="G29" s="135" t="str">
        <f>IFERROR(INDEX(M_SKU!$A$18:$J$57,MATCH(F29,M_SKU!$B$18:$B$57,0),1),"UNKNOWN SKU")</f>
        <v>Sparletta Red Apple RGB 350ml</v>
      </c>
      <c r="H29" s="63" t="s">
        <v>542</v>
      </c>
      <c r="I29" s="90">
        <v>3.0962628193540701E-3</v>
      </c>
      <c r="J29" s="136"/>
      <c r="K29" s="137"/>
      <c r="L29" s="136"/>
      <c r="M29" s="138"/>
      <c r="N29" s="62">
        <v>46180</v>
      </c>
      <c r="O29" s="139" t="str">
        <f t="shared" ca="1" si="0"/>
        <v>BREACHED</v>
      </c>
    </row>
    <row r="30" spans="1:15" ht="15" customHeight="1" x14ac:dyDescent="0.3">
      <c r="A30" s="70" t="s">
        <v>3371</v>
      </c>
      <c r="B30" s="140" t="s">
        <v>2840</v>
      </c>
      <c r="C30" s="141" t="s">
        <v>3347</v>
      </c>
      <c r="D30" s="73" t="s">
        <v>421</v>
      </c>
      <c r="E30" s="142" t="str">
        <f>IFERROR(INDEX(M_User!$A$12:$J$67,MATCH(D30,M_User!$D$12:$D$67,0),3),"UNMAPPED")</f>
        <v>Deodat Francis Materu</v>
      </c>
      <c r="F30" s="73" t="s">
        <v>170</v>
      </c>
      <c r="G30" s="142" t="str">
        <f>IFERROR(INDEX(M_SKU!$A$18:$J$57,MATCH(F30,M_SKU!$B$18:$B$57,0),1),"UNKNOWN SKU")</f>
        <v>Coke RGB 350ml</v>
      </c>
      <c r="H30" s="73" t="s">
        <v>530</v>
      </c>
      <c r="I30" s="93">
        <v>2.5662855929020601E-3</v>
      </c>
      <c r="J30" s="136"/>
      <c r="K30" s="137"/>
      <c r="L30" s="136"/>
      <c r="M30" s="138"/>
      <c r="N30" s="130">
        <v>46180</v>
      </c>
      <c r="O30" s="143" t="str">
        <f t="shared" ca="1" si="0"/>
        <v>BREACHED</v>
      </c>
    </row>
    <row r="31" spans="1:15" ht="15" customHeight="1" x14ac:dyDescent="0.3">
      <c r="A31" s="60" t="s">
        <v>3372</v>
      </c>
      <c r="B31" s="126" t="s">
        <v>2841</v>
      </c>
      <c r="C31" s="105" t="s">
        <v>3347</v>
      </c>
      <c r="D31" s="63" t="s">
        <v>421</v>
      </c>
      <c r="E31" s="135" t="str">
        <f>IFERROR(INDEX(M_User!$A$12:$J$67,MATCH(D31,M_User!$D$12:$D$67,0),3),"UNMAPPED")</f>
        <v>Deodat Francis Materu</v>
      </c>
      <c r="F31" s="63" t="s">
        <v>178</v>
      </c>
      <c r="G31" s="135" t="str">
        <f>IFERROR(INDEX(M_SKU!$A$18:$J$57,MATCH(F31,M_SKU!$B$18:$B$57,0),1),"UNKNOWN SKU")</f>
        <v>Fanta Orange RGB 350ml</v>
      </c>
      <c r="H31" s="63" t="s">
        <v>531</v>
      </c>
      <c r="I31" s="90">
        <v>8.7388464693116696E-4</v>
      </c>
      <c r="J31" s="136"/>
      <c r="K31" s="137"/>
      <c r="L31" s="136"/>
      <c r="M31" s="138"/>
      <c r="N31" s="62">
        <v>46180</v>
      </c>
      <c r="O31" s="139" t="str">
        <f t="shared" ca="1" si="0"/>
        <v>BREACHED</v>
      </c>
    </row>
    <row r="32" spans="1:15" ht="15" customHeight="1" x14ac:dyDescent="0.3">
      <c r="A32" s="70" t="s">
        <v>3373</v>
      </c>
      <c r="B32" s="140" t="s">
        <v>2842</v>
      </c>
      <c r="C32" s="141" t="s">
        <v>3347</v>
      </c>
      <c r="D32" s="73" t="s">
        <v>421</v>
      </c>
      <c r="E32" s="142" t="str">
        <f>IFERROR(INDEX(M_User!$A$12:$J$67,MATCH(D32,M_User!$D$12:$D$67,0),3),"UNMAPPED")</f>
        <v>Deodat Francis Materu</v>
      </c>
      <c r="F32" s="73" t="s">
        <v>181</v>
      </c>
      <c r="G32" s="142" t="str">
        <f>IFERROR(INDEX(M_SKU!$A$18:$J$57,MATCH(F32,M_SKU!$B$18:$B$57,0),1),"UNKNOWN SKU")</f>
        <v>Fanta Passion RGB 350ml</v>
      </c>
      <c r="H32" s="73" t="s">
        <v>550</v>
      </c>
      <c r="I32" s="93">
        <v>3.07814405523921E-3</v>
      </c>
      <c r="J32" s="136"/>
      <c r="K32" s="137"/>
      <c r="L32" s="136"/>
      <c r="M32" s="138"/>
      <c r="N32" s="130">
        <v>46180</v>
      </c>
      <c r="O32" s="143" t="str">
        <f t="shared" ca="1" si="0"/>
        <v>BREACHED</v>
      </c>
    </row>
    <row r="33" spans="1:15" ht="23.25" customHeight="1" x14ac:dyDescent="0.3">
      <c r="A33" s="60" t="s">
        <v>3374</v>
      </c>
      <c r="B33" s="126" t="s">
        <v>2843</v>
      </c>
      <c r="C33" s="105" t="s">
        <v>3347</v>
      </c>
      <c r="D33" s="63" t="s">
        <v>421</v>
      </c>
      <c r="E33" s="135" t="str">
        <f>IFERROR(INDEX(M_User!$A$12:$J$67,MATCH(D33,M_User!$D$12:$D$67,0),3),"UNMAPPED")</f>
        <v>Deodat Francis Materu</v>
      </c>
      <c r="F33" s="63" t="s">
        <v>183</v>
      </c>
      <c r="G33" s="135" t="str">
        <f>IFERROR(INDEX(M_SKU!$A$18:$J$57,MATCH(F33,M_SKU!$B$18:$B$57,0),1),"UNKNOWN SKU")</f>
        <v>Fanta Pineapple RGB 350ml</v>
      </c>
      <c r="H33" s="63" t="s">
        <v>533</v>
      </c>
      <c r="I33" s="90">
        <v>2.0751647645593798E-3</v>
      </c>
      <c r="J33" s="144" t="s">
        <v>3367</v>
      </c>
      <c r="K33" s="145" t="s">
        <v>3375</v>
      </c>
      <c r="L33" s="144" t="s">
        <v>428</v>
      </c>
      <c r="M33" s="146">
        <v>46179</v>
      </c>
      <c r="N33" s="62">
        <v>46180</v>
      </c>
      <c r="O33" s="139" t="str">
        <f t="shared" ca="1" si="0"/>
        <v>Within SLA</v>
      </c>
    </row>
    <row r="34" spans="1:15" ht="15" customHeight="1" x14ac:dyDescent="0.3">
      <c r="A34" s="70" t="s">
        <v>3376</v>
      </c>
      <c r="B34" s="140" t="s">
        <v>2844</v>
      </c>
      <c r="C34" s="147" t="s">
        <v>3345</v>
      </c>
      <c r="D34" s="73" t="s">
        <v>421</v>
      </c>
      <c r="E34" s="142" t="str">
        <f>IFERROR(INDEX(M_User!$A$12:$J$67,MATCH(D34,M_User!$D$12:$D$67,0),3),"UNMAPPED")</f>
        <v>Deodat Francis Materu</v>
      </c>
      <c r="F34" s="73" t="s">
        <v>185</v>
      </c>
      <c r="G34" s="142" t="str">
        <f>IFERROR(INDEX(M_SKU!$A$18:$J$57,MATCH(F34,M_SKU!$B$18:$B$57,0),1),"UNKNOWN SKU")</f>
        <v>Fanta Fruit Blast RGB 350 ml</v>
      </c>
      <c r="H34" s="73" t="s">
        <v>534</v>
      </c>
      <c r="I34" s="93">
        <v>4.5121630690399001E-3</v>
      </c>
      <c r="J34" s="136"/>
      <c r="K34" s="137"/>
      <c r="L34" s="136"/>
      <c r="M34" s="138"/>
      <c r="N34" s="130">
        <v>46180</v>
      </c>
      <c r="O34" s="143" t="str">
        <f t="shared" ca="1" si="0"/>
        <v>BREACHED</v>
      </c>
    </row>
    <row r="35" spans="1:15" ht="15" customHeight="1" x14ac:dyDescent="0.3">
      <c r="A35" s="60" t="s">
        <v>3377</v>
      </c>
      <c r="B35" s="126" t="s">
        <v>2845</v>
      </c>
      <c r="C35" s="105" t="s">
        <v>3347</v>
      </c>
      <c r="D35" s="63" t="s">
        <v>421</v>
      </c>
      <c r="E35" s="135" t="str">
        <f>IFERROR(INDEX(M_User!$A$12:$J$67,MATCH(D35,M_User!$D$12:$D$67,0),3),"UNMAPPED")</f>
        <v>Deodat Francis Materu</v>
      </c>
      <c r="F35" s="63" t="s">
        <v>187</v>
      </c>
      <c r="G35" s="135" t="str">
        <f>IFERROR(INDEX(M_SKU!$A$18:$J$57,MATCH(F35,M_SKU!$B$18:$B$57,0),1),"UNKNOWN SKU")</f>
        <v>Sprite 350ml</v>
      </c>
      <c r="H35" s="63" t="s">
        <v>535</v>
      </c>
      <c r="I35" s="90">
        <v>1.33508719501929E-3</v>
      </c>
      <c r="J35" s="136"/>
      <c r="K35" s="137"/>
      <c r="L35" s="136"/>
      <c r="M35" s="138"/>
      <c r="N35" s="62">
        <v>46180</v>
      </c>
      <c r="O35" s="139" t="str">
        <f t="shared" ca="1" si="0"/>
        <v>BREACHED</v>
      </c>
    </row>
    <row r="36" spans="1:15" ht="15" customHeight="1" x14ac:dyDescent="0.3">
      <c r="A36" s="70" t="s">
        <v>3378</v>
      </c>
      <c r="B36" s="140" t="s">
        <v>2846</v>
      </c>
      <c r="C36" s="147" t="s">
        <v>3345</v>
      </c>
      <c r="D36" s="73" t="s">
        <v>421</v>
      </c>
      <c r="E36" s="142" t="str">
        <f>IFERROR(INDEX(M_User!$A$12:$J$67,MATCH(D36,M_User!$D$12:$D$67,0),3),"UNMAPPED")</f>
        <v>Deodat Francis Materu</v>
      </c>
      <c r="F36" s="73" t="s">
        <v>190</v>
      </c>
      <c r="G36" s="142" t="str">
        <f>IFERROR(INDEX(M_SKU!$A$18:$J$57,MATCH(F36,M_SKU!$B$18:$B$57,0),1),"UNKNOWN SKU")</f>
        <v>Stoney Tangawizi RGB 350ml</v>
      </c>
      <c r="H36" s="73" t="s">
        <v>536</v>
      </c>
      <c r="I36" s="93">
        <v>1.4881310721497299E-3</v>
      </c>
      <c r="J36" s="136"/>
      <c r="K36" s="137"/>
      <c r="L36" s="136"/>
      <c r="M36" s="138"/>
      <c r="N36" s="130">
        <v>46180</v>
      </c>
      <c r="O36" s="143" t="str">
        <f t="shared" ca="1" si="0"/>
        <v>BREACHED</v>
      </c>
    </row>
    <row r="37" spans="1:15" ht="15" customHeight="1" x14ac:dyDescent="0.3">
      <c r="A37" s="60" t="s">
        <v>3379</v>
      </c>
      <c r="B37" s="126" t="s">
        <v>2847</v>
      </c>
      <c r="C37" s="105" t="s">
        <v>3347</v>
      </c>
      <c r="D37" s="63" t="s">
        <v>421</v>
      </c>
      <c r="E37" s="135" t="str">
        <f>IFERROR(INDEX(M_User!$A$12:$J$67,MATCH(D37,M_User!$D$12:$D$67,0),3),"UNMAPPED")</f>
        <v>Deodat Francis Materu</v>
      </c>
      <c r="F37" s="63" t="s">
        <v>193</v>
      </c>
      <c r="G37" s="135" t="str">
        <f>IFERROR(INDEX(M_SKU!$A$18:$J$57,MATCH(F37,M_SKU!$B$18:$B$57,0),1),"UNKNOWN SKU")</f>
        <v>Sparletta Pinenut RGB 350ml</v>
      </c>
      <c r="H37" s="63" t="s">
        <v>537</v>
      </c>
      <c r="I37" s="90">
        <v>3.2481749314059501E-3</v>
      </c>
      <c r="J37" s="136"/>
      <c r="K37" s="137"/>
      <c r="L37" s="136"/>
      <c r="M37" s="138"/>
      <c r="N37" s="62">
        <v>46180</v>
      </c>
      <c r="O37" s="139" t="str">
        <f t="shared" ca="1" si="0"/>
        <v>BREACHED</v>
      </c>
    </row>
    <row r="38" spans="1:15" ht="15" customHeight="1" x14ac:dyDescent="0.3">
      <c r="A38" s="70" t="s">
        <v>3380</v>
      </c>
      <c r="B38" s="140" t="s">
        <v>2848</v>
      </c>
      <c r="C38" s="147" t="s">
        <v>3345</v>
      </c>
      <c r="D38" s="73" t="s">
        <v>421</v>
      </c>
      <c r="E38" s="142" t="str">
        <f>IFERROR(INDEX(M_User!$A$12:$J$67,MATCH(D38,M_User!$D$12:$D$67,0),3),"UNMAPPED")</f>
        <v>Deodat Francis Materu</v>
      </c>
      <c r="F38" s="73" t="s">
        <v>196</v>
      </c>
      <c r="G38" s="142" t="str">
        <f>IFERROR(INDEX(M_SKU!$A$18:$J$57,MATCH(F38,M_SKU!$B$18:$B$57,0),1),"UNKNOWN SKU")</f>
        <v>Krest Bitter Lemon RGB 300ml</v>
      </c>
      <c r="H38" s="73" t="s">
        <v>538</v>
      </c>
      <c r="I38" s="93">
        <v>2.54803122725966E-3</v>
      </c>
      <c r="J38" s="136"/>
      <c r="K38" s="137"/>
      <c r="L38" s="136"/>
      <c r="M38" s="138"/>
      <c r="N38" s="130">
        <v>46180</v>
      </c>
      <c r="O38" s="143" t="str">
        <f t="shared" ca="1" si="0"/>
        <v>BREACHED</v>
      </c>
    </row>
    <row r="39" spans="1:15" ht="23.25" customHeight="1" x14ac:dyDescent="0.3">
      <c r="A39" s="60" t="s">
        <v>3381</v>
      </c>
      <c r="B39" s="126" t="s">
        <v>2849</v>
      </c>
      <c r="C39" s="105" t="s">
        <v>3347</v>
      </c>
      <c r="D39" s="63" t="s">
        <v>421</v>
      </c>
      <c r="E39" s="135" t="str">
        <f>IFERROR(INDEX(M_User!$A$12:$J$67,MATCH(D39,M_User!$D$12:$D$67,0),3),"UNMAPPED")</f>
        <v>Deodat Francis Materu</v>
      </c>
      <c r="F39" s="63" t="s">
        <v>199</v>
      </c>
      <c r="G39" s="135" t="str">
        <f>IFERROR(INDEX(M_SKU!$A$18:$J$57,MATCH(F39,M_SKU!$B$18:$B$57,0),1),"UNKNOWN SKU")</f>
        <v>Krest Club Soda RGB 300ml</v>
      </c>
      <c r="H39" s="63" t="s">
        <v>539</v>
      </c>
      <c r="I39" s="90">
        <v>1.3011742492727899E-3</v>
      </c>
      <c r="J39" s="144" t="s">
        <v>3367</v>
      </c>
      <c r="K39" s="145" t="s">
        <v>3375</v>
      </c>
      <c r="L39" s="144" t="s">
        <v>436</v>
      </c>
      <c r="M39" s="146">
        <v>46179</v>
      </c>
      <c r="N39" s="62">
        <v>46180</v>
      </c>
      <c r="O39" s="139" t="str">
        <f t="shared" ca="1" si="0"/>
        <v>Within SLA</v>
      </c>
    </row>
    <row r="40" spans="1:15" ht="15" customHeight="1" x14ac:dyDescent="0.3">
      <c r="A40" s="70" t="s">
        <v>3382</v>
      </c>
      <c r="B40" s="140" t="s">
        <v>2850</v>
      </c>
      <c r="C40" s="141" t="s">
        <v>3347</v>
      </c>
      <c r="D40" s="73" t="s">
        <v>421</v>
      </c>
      <c r="E40" s="142" t="str">
        <f>IFERROR(INDEX(M_User!$A$12:$J$67,MATCH(D40,M_User!$D$12:$D$67,0),3),"UNMAPPED")</f>
        <v>Deodat Francis Materu</v>
      </c>
      <c r="F40" s="73" t="s">
        <v>201</v>
      </c>
      <c r="G40" s="142" t="str">
        <f>IFERROR(INDEX(M_SKU!$A$18:$J$57,MATCH(F40,M_SKU!$B$18:$B$57,0),1),"UNKNOWN SKU")</f>
        <v>Krest Tonic Water RGB 300ml</v>
      </c>
      <c r="H40" s="73" t="s">
        <v>540</v>
      </c>
      <c r="I40" s="93">
        <v>8.2252986423902996E-4</v>
      </c>
      <c r="J40" s="136"/>
      <c r="K40" s="137"/>
      <c r="L40" s="136"/>
      <c r="M40" s="138"/>
      <c r="N40" s="130">
        <v>46180</v>
      </c>
      <c r="O40" s="143" t="str">
        <f t="shared" ca="1" si="0"/>
        <v>BREACHED</v>
      </c>
    </row>
    <row r="41" spans="1:15" ht="23.25" customHeight="1" x14ac:dyDescent="0.3">
      <c r="A41" s="60" t="s">
        <v>3383</v>
      </c>
      <c r="B41" s="126" t="s">
        <v>2851</v>
      </c>
      <c r="C41" s="105" t="s">
        <v>3347</v>
      </c>
      <c r="D41" s="63" t="s">
        <v>421</v>
      </c>
      <c r="E41" s="135" t="str">
        <f>IFERROR(INDEX(M_User!$A$12:$J$67,MATCH(D41,M_User!$D$12:$D$67,0),3),"UNMAPPED")</f>
        <v>Deodat Francis Materu</v>
      </c>
      <c r="F41" s="63" t="s">
        <v>203</v>
      </c>
      <c r="G41" s="135" t="str">
        <f>IFERROR(INDEX(M_SKU!$A$18:$J$57,MATCH(F41,M_SKU!$B$18:$B$57,0),1),"UNKNOWN SKU")</f>
        <v>Krest Ginger Ale RGB 300ml</v>
      </c>
      <c r="H41" s="63" t="s">
        <v>541</v>
      </c>
      <c r="I41" s="90">
        <v>1.1533975535660301E-3</v>
      </c>
      <c r="J41" s="144" t="s">
        <v>3384</v>
      </c>
      <c r="K41" s="145" t="s">
        <v>3385</v>
      </c>
      <c r="L41" s="144" t="s">
        <v>431</v>
      </c>
      <c r="M41" s="146">
        <v>46179</v>
      </c>
      <c r="N41" s="62">
        <v>46180</v>
      </c>
      <c r="O41" s="139" t="str">
        <f t="shared" ca="1" si="0"/>
        <v>Within SLA</v>
      </c>
    </row>
    <row r="42" spans="1:15" ht="23.25" customHeight="1" x14ac:dyDescent="0.3">
      <c r="A42" s="70" t="s">
        <v>3386</v>
      </c>
      <c r="B42" s="140" t="s">
        <v>2852</v>
      </c>
      <c r="C42" s="141" t="s">
        <v>3347</v>
      </c>
      <c r="D42" s="73" t="s">
        <v>421</v>
      </c>
      <c r="E42" s="142" t="str">
        <f>IFERROR(INDEX(M_User!$A$12:$J$67,MATCH(D42,M_User!$D$12:$D$67,0),3),"UNMAPPED")</f>
        <v>Deodat Francis Materu</v>
      </c>
      <c r="F42" s="73" t="s">
        <v>209</v>
      </c>
      <c r="G42" s="142" t="str">
        <f>IFERROR(INDEX(M_SKU!$A$18:$J$57,MATCH(F42,M_SKU!$B$18:$B$57,0),1),"UNKNOWN SKU")</f>
        <v>Sparletta Red Apple RGB 350ml</v>
      </c>
      <c r="H42" s="73" t="s">
        <v>542</v>
      </c>
      <c r="I42" s="93">
        <v>2.7640083572079699E-3</v>
      </c>
      <c r="J42" s="144" t="s">
        <v>3367</v>
      </c>
      <c r="K42" s="145" t="s">
        <v>3375</v>
      </c>
      <c r="L42" s="144" t="s">
        <v>434</v>
      </c>
      <c r="M42" s="146">
        <v>46180</v>
      </c>
      <c r="N42" s="130">
        <v>46180</v>
      </c>
      <c r="O42" s="143" t="str">
        <f t="shared" ca="1" si="0"/>
        <v>Within SLA</v>
      </c>
    </row>
    <row r="43" spans="1:15" ht="15" customHeight="1" x14ac:dyDescent="0.3">
      <c r="A43" s="60" t="s">
        <v>3387</v>
      </c>
      <c r="B43" s="126" t="s">
        <v>2868</v>
      </c>
      <c r="C43" s="68" t="s">
        <v>3345</v>
      </c>
      <c r="D43" s="63" t="s">
        <v>336</v>
      </c>
      <c r="E43" s="135" t="str">
        <f>IFERROR(INDEX(M_User!$A$12:$J$67,MATCH(D43,M_User!$D$12:$D$67,0),3),"UNMAPPED")</f>
        <v>George Gibson Mmary</v>
      </c>
      <c r="F43" s="63" t="s">
        <v>170</v>
      </c>
      <c r="G43" s="135" t="str">
        <f>IFERROR(INDEX(M_SKU!$A$18:$J$57,MATCH(F43,M_SKU!$B$18:$B$57,0),1),"UNKNOWN SKU")</f>
        <v>Coke RGB 350ml</v>
      </c>
      <c r="H43" s="63" t="s">
        <v>585</v>
      </c>
      <c r="I43" s="90">
        <v>4.2863992880981501E-3</v>
      </c>
      <c r="J43" s="136"/>
      <c r="K43" s="137"/>
      <c r="L43" s="136"/>
      <c r="M43" s="138"/>
      <c r="N43" s="62">
        <v>46180</v>
      </c>
      <c r="O43" s="139" t="str">
        <f t="shared" ca="1" si="0"/>
        <v>BREACHED</v>
      </c>
    </row>
    <row r="44" spans="1:15" ht="15" customHeight="1" x14ac:dyDescent="0.3">
      <c r="A44" s="70" t="s">
        <v>3388</v>
      </c>
      <c r="B44" s="140" t="s">
        <v>2869</v>
      </c>
      <c r="C44" s="147" t="s">
        <v>3345</v>
      </c>
      <c r="D44" s="73" t="s">
        <v>336</v>
      </c>
      <c r="E44" s="142" t="str">
        <f>IFERROR(INDEX(M_User!$A$12:$J$67,MATCH(D44,M_User!$D$12:$D$67,0),3),"UNMAPPED")</f>
        <v>George Gibson Mmary</v>
      </c>
      <c r="F44" s="73" t="s">
        <v>178</v>
      </c>
      <c r="G44" s="142" t="str">
        <f>IFERROR(INDEX(M_SKU!$A$18:$J$57,MATCH(F44,M_SKU!$B$18:$B$57,0),1),"UNKNOWN SKU")</f>
        <v>Fanta Orange RGB 350ml</v>
      </c>
      <c r="H44" s="73" t="s">
        <v>531</v>
      </c>
      <c r="I44" s="93">
        <v>3.1067579585579699E-3</v>
      </c>
      <c r="J44" s="136"/>
      <c r="K44" s="137"/>
      <c r="L44" s="136"/>
      <c r="M44" s="138"/>
      <c r="N44" s="130">
        <v>46180</v>
      </c>
      <c r="O44" s="143" t="str">
        <f t="shared" ca="1" si="0"/>
        <v>BREACHED</v>
      </c>
    </row>
    <row r="45" spans="1:15" ht="23.25" customHeight="1" x14ac:dyDescent="0.3">
      <c r="A45" s="60" t="s">
        <v>3389</v>
      </c>
      <c r="B45" s="126" t="s">
        <v>2870</v>
      </c>
      <c r="C45" s="105" t="s">
        <v>3347</v>
      </c>
      <c r="D45" s="63" t="s">
        <v>336</v>
      </c>
      <c r="E45" s="135" t="str">
        <f>IFERROR(INDEX(M_User!$A$12:$J$67,MATCH(D45,M_User!$D$12:$D$67,0),3),"UNMAPPED")</f>
        <v>George Gibson Mmary</v>
      </c>
      <c r="F45" s="63" t="s">
        <v>181</v>
      </c>
      <c r="G45" s="135" t="str">
        <f>IFERROR(INDEX(M_SKU!$A$18:$J$57,MATCH(F45,M_SKU!$B$18:$B$57,0),1),"UNKNOWN SKU")</f>
        <v>Fanta Passion RGB 350ml</v>
      </c>
      <c r="H45" s="63" t="s">
        <v>550</v>
      </c>
      <c r="I45" s="90">
        <v>4.2364434444093196E-3</v>
      </c>
      <c r="J45" s="144" t="s">
        <v>3390</v>
      </c>
      <c r="K45" s="145" t="s">
        <v>3391</v>
      </c>
      <c r="L45" s="144" t="s">
        <v>433</v>
      </c>
      <c r="M45" s="146">
        <v>46179</v>
      </c>
      <c r="N45" s="62">
        <v>46180</v>
      </c>
      <c r="O45" s="139" t="str">
        <f t="shared" ca="1" si="0"/>
        <v>Within SLA</v>
      </c>
    </row>
    <row r="46" spans="1:15" ht="15" customHeight="1" x14ac:dyDescent="0.3">
      <c r="A46" s="70" t="s">
        <v>3392</v>
      </c>
      <c r="B46" s="140" t="s">
        <v>2871</v>
      </c>
      <c r="C46" s="141" t="s">
        <v>3347</v>
      </c>
      <c r="D46" s="73" t="s">
        <v>336</v>
      </c>
      <c r="E46" s="142" t="str">
        <f>IFERROR(INDEX(M_User!$A$12:$J$67,MATCH(D46,M_User!$D$12:$D$67,0),3),"UNMAPPED")</f>
        <v>George Gibson Mmary</v>
      </c>
      <c r="F46" s="73" t="s">
        <v>183</v>
      </c>
      <c r="G46" s="142" t="str">
        <f>IFERROR(INDEX(M_SKU!$A$18:$J$57,MATCH(F46,M_SKU!$B$18:$B$57,0),1),"UNKNOWN SKU")</f>
        <v>Fanta Pineapple RGB 350ml</v>
      </c>
      <c r="H46" s="73" t="s">
        <v>533</v>
      </c>
      <c r="I46" s="93">
        <v>4.76364386949646E-4</v>
      </c>
      <c r="J46" s="136"/>
      <c r="K46" s="137"/>
      <c r="L46" s="136"/>
      <c r="M46" s="138"/>
      <c r="N46" s="130">
        <v>46180</v>
      </c>
      <c r="O46" s="143" t="str">
        <f t="shared" ca="1" si="0"/>
        <v>BREACHED</v>
      </c>
    </row>
    <row r="47" spans="1:15" ht="15" customHeight="1" x14ac:dyDescent="0.3">
      <c r="A47" s="60" t="s">
        <v>3393</v>
      </c>
      <c r="B47" s="126" t="s">
        <v>2872</v>
      </c>
      <c r="C47" s="105" t="s">
        <v>3347</v>
      </c>
      <c r="D47" s="63" t="s">
        <v>336</v>
      </c>
      <c r="E47" s="135" t="str">
        <f>IFERROR(INDEX(M_User!$A$12:$J$67,MATCH(D47,M_User!$D$12:$D$67,0),3),"UNMAPPED")</f>
        <v>George Gibson Mmary</v>
      </c>
      <c r="F47" s="63" t="s">
        <v>185</v>
      </c>
      <c r="G47" s="135" t="str">
        <f>IFERROR(INDEX(M_SKU!$A$18:$J$57,MATCH(F47,M_SKU!$B$18:$B$57,0),1),"UNKNOWN SKU")</f>
        <v>Fanta Fruit Blast RGB 350 ml</v>
      </c>
      <c r="H47" s="63" t="s">
        <v>534</v>
      </c>
      <c r="I47" s="90">
        <v>2.2880739493860202E-3</v>
      </c>
      <c r="J47" s="144" t="s">
        <v>3350</v>
      </c>
      <c r="K47" s="145" t="s">
        <v>3394</v>
      </c>
      <c r="L47" s="144" t="s">
        <v>434</v>
      </c>
      <c r="M47" s="146">
        <v>46179</v>
      </c>
      <c r="N47" s="62">
        <v>46180</v>
      </c>
      <c r="O47" s="139" t="str">
        <f t="shared" ca="1" si="0"/>
        <v>Within SLA</v>
      </c>
    </row>
    <row r="48" spans="1:15" ht="23.25" customHeight="1" x14ac:dyDescent="0.3">
      <c r="A48" s="70" t="s">
        <v>3395</v>
      </c>
      <c r="B48" s="140" t="s">
        <v>2873</v>
      </c>
      <c r="C48" s="147" t="s">
        <v>3345</v>
      </c>
      <c r="D48" s="73" t="s">
        <v>336</v>
      </c>
      <c r="E48" s="142" t="str">
        <f>IFERROR(INDEX(M_User!$A$12:$J$67,MATCH(D48,M_User!$D$12:$D$67,0),3),"UNMAPPED")</f>
        <v>George Gibson Mmary</v>
      </c>
      <c r="F48" s="73" t="s">
        <v>187</v>
      </c>
      <c r="G48" s="142" t="str">
        <f>IFERROR(INDEX(M_SKU!$A$18:$J$57,MATCH(F48,M_SKU!$B$18:$B$57,0),1),"UNKNOWN SKU")</f>
        <v>Sprite 350ml</v>
      </c>
      <c r="H48" s="73" t="s">
        <v>535</v>
      </c>
      <c r="I48" s="93">
        <v>4.9151848243207397E-3</v>
      </c>
      <c r="J48" s="144" t="s">
        <v>3367</v>
      </c>
      <c r="K48" s="145" t="s">
        <v>3396</v>
      </c>
      <c r="L48" s="144" t="s">
        <v>430</v>
      </c>
      <c r="M48" s="146">
        <v>46179</v>
      </c>
      <c r="N48" s="130">
        <v>46180</v>
      </c>
      <c r="O48" s="143" t="str">
        <f t="shared" ca="1" si="0"/>
        <v>Within SLA</v>
      </c>
    </row>
    <row r="49" spans="1:15" ht="15" customHeight="1" x14ac:dyDescent="0.3">
      <c r="A49" s="60" t="s">
        <v>3397</v>
      </c>
      <c r="B49" s="126" t="s">
        <v>2874</v>
      </c>
      <c r="C49" s="105" t="s">
        <v>3347</v>
      </c>
      <c r="D49" s="63" t="s">
        <v>336</v>
      </c>
      <c r="E49" s="135" t="str">
        <f>IFERROR(INDEX(M_User!$A$12:$J$67,MATCH(D49,M_User!$D$12:$D$67,0),3),"UNMAPPED")</f>
        <v>George Gibson Mmary</v>
      </c>
      <c r="F49" s="63" t="s">
        <v>190</v>
      </c>
      <c r="G49" s="135" t="str">
        <f>IFERROR(INDEX(M_SKU!$A$18:$J$57,MATCH(F49,M_SKU!$B$18:$B$57,0),1),"UNKNOWN SKU")</f>
        <v>Stoney Tangawizi RGB 350ml</v>
      </c>
      <c r="H49" s="63" t="s">
        <v>536</v>
      </c>
      <c r="I49" s="90">
        <v>1.7259117987000799E-3</v>
      </c>
      <c r="J49" s="136"/>
      <c r="K49" s="137"/>
      <c r="L49" s="136"/>
      <c r="M49" s="138"/>
      <c r="N49" s="62">
        <v>46180</v>
      </c>
      <c r="O49" s="139" t="str">
        <f t="shared" ca="1" si="0"/>
        <v>BREACHED</v>
      </c>
    </row>
    <row r="50" spans="1:15" ht="15" customHeight="1" x14ac:dyDescent="0.3">
      <c r="A50" s="70" t="s">
        <v>3398</v>
      </c>
      <c r="B50" s="140" t="s">
        <v>2875</v>
      </c>
      <c r="C50" s="141" t="s">
        <v>3347</v>
      </c>
      <c r="D50" s="73" t="s">
        <v>336</v>
      </c>
      <c r="E50" s="142" t="str">
        <f>IFERROR(INDEX(M_User!$A$12:$J$67,MATCH(D50,M_User!$D$12:$D$67,0),3),"UNMAPPED")</f>
        <v>George Gibson Mmary</v>
      </c>
      <c r="F50" s="73" t="s">
        <v>193</v>
      </c>
      <c r="G50" s="142" t="str">
        <f>IFERROR(INDEX(M_SKU!$A$18:$J$57,MATCH(F50,M_SKU!$B$18:$B$57,0),1),"UNKNOWN SKU")</f>
        <v>Sparletta Pinenut RGB 350ml</v>
      </c>
      <c r="H50" s="73" t="s">
        <v>537</v>
      </c>
      <c r="I50" s="93">
        <v>1.14833275745985E-3</v>
      </c>
      <c r="J50" s="144" t="s">
        <v>3350</v>
      </c>
      <c r="K50" s="145" t="s">
        <v>3399</v>
      </c>
      <c r="L50" s="144" t="s">
        <v>436</v>
      </c>
      <c r="M50" s="146">
        <v>46179</v>
      </c>
      <c r="N50" s="130">
        <v>46180</v>
      </c>
      <c r="O50" s="143" t="str">
        <f t="shared" ca="1" si="0"/>
        <v>Within SLA</v>
      </c>
    </row>
    <row r="51" spans="1:15" ht="15" customHeight="1" x14ac:dyDescent="0.3">
      <c r="A51" s="60" t="s">
        <v>3400</v>
      </c>
      <c r="B51" s="126" t="s">
        <v>2876</v>
      </c>
      <c r="C51" s="105" t="s">
        <v>3347</v>
      </c>
      <c r="D51" s="63" t="s">
        <v>336</v>
      </c>
      <c r="E51" s="135" t="str">
        <f>IFERROR(INDEX(M_User!$A$12:$J$67,MATCH(D51,M_User!$D$12:$D$67,0),3),"UNMAPPED")</f>
        <v>George Gibson Mmary</v>
      </c>
      <c r="F51" s="63" t="s">
        <v>196</v>
      </c>
      <c r="G51" s="135" t="str">
        <f>IFERROR(INDEX(M_SKU!$A$18:$J$57,MATCH(F51,M_SKU!$B$18:$B$57,0),1),"UNKNOWN SKU")</f>
        <v>Krest Bitter Lemon RGB 300ml</v>
      </c>
      <c r="H51" s="63" t="s">
        <v>538</v>
      </c>
      <c r="I51" s="90">
        <v>4.9887160674211295E-4</v>
      </c>
      <c r="J51" s="136"/>
      <c r="K51" s="137"/>
      <c r="L51" s="136"/>
      <c r="M51" s="138"/>
      <c r="N51" s="62">
        <v>46180</v>
      </c>
      <c r="O51" s="139" t="str">
        <f t="shared" ca="1" si="0"/>
        <v>BREACHED</v>
      </c>
    </row>
    <row r="52" spans="1:15" ht="23.25" customHeight="1" x14ac:dyDescent="0.3">
      <c r="A52" s="70" t="s">
        <v>3401</v>
      </c>
      <c r="B52" s="140" t="s">
        <v>2878</v>
      </c>
      <c r="C52" s="147" t="s">
        <v>3345</v>
      </c>
      <c r="D52" s="73" t="s">
        <v>336</v>
      </c>
      <c r="E52" s="142" t="str">
        <f>IFERROR(INDEX(M_User!$A$12:$J$67,MATCH(D52,M_User!$D$12:$D$67,0),3),"UNMAPPED")</f>
        <v>George Gibson Mmary</v>
      </c>
      <c r="F52" s="73" t="s">
        <v>201</v>
      </c>
      <c r="G52" s="142" t="str">
        <f>IFERROR(INDEX(M_SKU!$A$18:$J$57,MATCH(F52,M_SKU!$B$18:$B$57,0),1),"UNKNOWN SKU")</f>
        <v>Krest Tonic Water RGB 300ml</v>
      </c>
      <c r="H52" s="73" t="s">
        <v>540</v>
      </c>
      <c r="I52" s="93">
        <v>1.94981145070777E-3</v>
      </c>
      <c r="J52" s="144" t="s">
        <v>3367</v>
      </c>
      <c r="K52" s="145" t="s">
        <v>3402</v>
      </c>
      <c r="L52" s="144" t="s">
        <v>435</v>
      </c>
      <c r="M52" s="146">
        <v>46179</v>
      </c>
      <c r="N52" s="130">
        <v>46180</v>
      </c>
      <c r="O52" s="143" t="str">
        <f t="shared" ca="1" si="0"/>
        <v>Within SLA</v>
      </c>
    </row>
    <row r="53" spans="1:15" ht="15" customHeight="1" x14ac:dyDescent="0.3">
      <c r="A53" s="60" t="s">
        <v>3403</v>
      </c>
      <c r="B53" s="126" t="s">
        <v>2879</v>
      </c>
      <c r="C53" s="68" t="s">
        <v>3345</v>
      </c>
      <c r="D53" s="63" t="s">
        <v>336</v>
      </c>
      <c r="E53" s="135" t="str">
        <f>IFERROR(INDEX(M_User!$A$12:$J$67,MATCH(D53,M_User!$D$12:$D$67,0),3),"UNMAPPED")</f>
        <v>George Gibson Mmary</v>
      </c>
      <c r="F53" s="63" t="s">
        <v>203</v>
      </c>
      <c r="G53" s="135" t="str">
        <f>IFERROR(INDEX(M_SKU!$A$18:$J$57,MATCH(F53,M_SKU!$B$18:$B$57,0),1),"UNKNOWN SKU")</f>
        <v>Krest Ginger Ale RGB 300ml</v>
      </c>
      <c r="H53" s="63" t="s">
        <v>541</v>
      </c>
      <c r="I53" s="90">
        <v>6.0045978542011601E-4</v>
      </c>
      <c r="J53" s="136"/>
      <c r="K53" s="137"/>
      <c r="L53" s="136"/>
      <c r="M53" s="138"/>
      <c r="N53" s="62">
        <v>46180</v>
      </c>
      <c r="O53" s="139" t="str">
        <f t="shared" ca="1" si="0"/>
        <v>BREACHED</v>
      </c>
    </row>
    <row r="54" spans="1:15" ht="15" customHeight="1" x14ac:dyDescent="0.3">
      <c r="A54" s="70" t="s">
        <v>3404</v>
      </c>
      <c r="B54" s="140" t="s">
        <v>2880</v>
      </c>
      <c r="C54" s="141" t="s">
        <v>3347</v>
      </c>
      <c r="D54" s="73" t="s">
        <v>336</v>
      </c>
      <c r="E54" s="142" t="str">
        <f>IFERROR(INDEX(M_User!$A$12:$J$67,MATCH(D54,M_User!$D$12:$D$67,0),3),"UNMAPPED")</f>
        <v>George Gibson Mmary</v>
      </c>
      <c r="F54" s="73" t="s">
        <v>209</v>
      </c>
      <c r="G54" s="142" t="str">
        <f>IFERROR(INDEX(M_SKU!$A$18:$J$57,MATCH(F54,M_SKU!$B$18:$B$57,0),1),"UNKNOWN SKU")</f>
        <v>Sparletta Red Apple RGB 350ml</v>
      </c>
      <c r="H54" s="73" t="s">
        <v>542</v>
      </c>
      <c r="I54" s="93">
        <v>1.87584999027979E-3</v>
      </c>
      <c r="J54" s="144" t="s">
        <v>3384</v>
      </c>
      <c r="K54" s="145" t="s">
        <v>3405</v>
      </c>
      <c r="L54" s="144" t="s">
        <v>436</v>
      </c>
      <c r="M54" s="146">
        <v>46179</v>
      </c>
      <c r="N54" s="130">
        <v>46180</v>
      </c>
      <c r="O54" s="143" t="str">
        <f t="shared" ca="1" si="0"/>
        <v>Within SLA</v>
      </c>
    </row>
    <row r="55" spans="1:15" ht="15" customHeight="1" x14ac:dyDescent="0.3">
      <c r="A55" s="60" t="s">
        <v>3406</v>
      </c>
      <c r="B55" s="126" t="s">
        <v>2891</v>
      </c>
      <c r="C55" s="68" t="s">
        <v>3345</v>
      </c>
      <c r="D55" s="63" t="s">
        <v>339</v>
      </c>
      <c r="E55" s="135" t="str">
        <f>IFERROR(INDEX(M_User!$A$12:$J$67,MATCH(D55,M_User!$D$12:$D$67,0),3),"UNMAPPED")</f>
        <v>Erick K. Mkama</v>
      </c>
      <c r="F55" s="63" t="s">
        <v>170</v>
      </c>
      <c r="G55" s="135" t="str">
        <f>IFERROR(INDEX(M_SKU!$A$18:$J$57,MATCH(F55,M_SKU!$B$18:$B$57,0),1),"UNKNOWN SKU")</f>
        <v>Coke RGB 350ml</v>
      </c>
      <c r="H55" s="63" t="s">
        <v>530</v>
      </c>
      <c r="I55" s="90">
        <v>1.4803381919925601E-4</v>
      </c>
      <c r="J55" s="136"/>
      <c r="K55" s="137"/>
      <c r="L55" s="136"/>
      <c r="M55" s="138"/>
      <c r="N55" s="62">
        <v>46180</v>
      </c>
      <c r="O55" s="139" t="str">
        <f t="shared" ca="1" si="0"/>
        <v>BREACHED</v>
      </c>
    </row>
    <row r="56" spans="1:15" ht="15" customHeight="1" x14ac:dyDescent="0.3">
      <c r="A56" s="70" t="s">
        <v>3407</v>
      </c>
      <c r="B56" s="140" t="s">
        <v>2892</v>
      </c>
      <c r="C56" s="141" t="s">
        <v>3347</v>
      </c>
      <c r="D56" s="73" t="s">
        <v>339</v>
      </c>
      <c r="E56" s="142" t="str">
        <f>IFERROR(INDEX(M_User!$A$12:$J$67,MATCH(D56,M_User!$D$12:$D$67,0),3),"UNMAPPED")</f>
        <v>Erick K. Mkama</v>
      </c>
      <c r="F56" s="73" t="s">
        <v>178</v>
      </c>
      <c r="G56" s="142" t="str">
        <f>IFERROR(INDEX(M_SKU!$A$18:$J$57,MATCH(F56,M_SKU!$B$18:$B$57,0),1),"UNKNOWN SKU")</f>
        <v>Fanta Orange RGB 350ml</v>
      </c>
      <c r="H56" s="73" t="s">
        <v>531</v>
      </c>
      <c r="I56" s="93">
        <v>1.0213285305495901E-3</v>
      </c>
      <c r="J56" s="136"/>
      <c r="K56" s="137"/>
      <c r="L56" s="136"/>
      <c r="M56" s="138"/>
      <c r="N56" s="130">
        <v>46180</v>
      </c>
      <c r="O56" s="143" t="str">
        <f t="shared" ca="1" si="0"/>
        <v>BREACHED</v>
      </c>
    </row>
    <row r="57" spans="1:15" ht="15" customHeight="1" x14ac:dyDescent="0.3">
      <c r="A57" s="60" t="s">
        <v>3408</v>
      </c>
      <c r="B57" s="126" t="s">
        <v>2893</v>
      </c>
      <c r="C57" s="105" t="s">
        <v>3347</v>
      </c>
      <c r="D57" s="63" t="s">
        <v>339</v>
      </c>
      <c r="E57" s="135" t="str">
        <f>IFERROR(INDEX(M_User!$A$12:$J$67,MATCH(D57,M_User!$D$12:$D$67,0),3),"UNMAPPED")</f>
        <v>Erick K. Mkama</v>
      </c>
      <c r="F57" s="63" t="s">
        <v>181</v>
      </c>
      <c r="G57" s="135" t="str">
        <f>IFERROR(INDEX(M_SKU!$A$18:$J$57,MATCH(F57,M_SKU!$B$18:$B$57,0),1),"UNKNOWN SKU")</f>
        <v>Fanta Passion RGB 350ml</v>
      </c>
      <c r="H57" s="63" t="s">
        <v>550</v>
      </c>
      <c r="I57" s="90">
        <v>1.9391514805988701E-4</v>
      </c>
      <c r="J57" s="136"/>
      <c r="K57" s="137"/>
      <c r="L57" s="136"/>
      <c r="M57" s="138"/>
      <c r="N57" s="62">
        <v>46180</v>
      </c>
      <c r="O57" s="139" t="str">
        <f t="shared" ca="1" si="0"/>
        <v>BREACHED</v>
      </c>
    </row>
    <row r="58" spans="1:15" ht="15" customHeight="1" x14ac:dyDescent="0.3">
      <c r="A58" s="70" t="s">
        <v>3409</v>
      </c>
      <c r="B58" s="140" t="s">
        <v>2894</v>
      </c>
      <c r="C58" s="147" t="s">
        <v>3345</v>
      </c>
      <c r="D58" s="73" t="s">
        <v>339</v>
      </c>
      <c r="E58" s="142" t="str">
        <f>IFERROR(INDEX(M_User!$A$12:$J$67,MATCH(D58,M_User!$D$12:$D$67,0),3),"UNMAPPED")</f>
        <v>Erick K. Mkama</v>
      </c>
      <c r="F58" s="73" t="s">
        <v>183</v>
      </c>
      <c r="G58" s="142" t="str">
        <f>IFERROR(INDEX(M_SKU!$A$18:$J$57,MATCH(F58,M_SKU!$B$18:$B$57,0),1),"UNKNOWN SKU")</f>
        <v>Fanta Pineapple RGB 350ml</v>
      </c>
      <c r="H58" s="73" t="s">
        <v>533</v>
      </c>
      <c r="I58" s="93">
        <v>3.27452489609015E-3</v>
      </c>
      <c r="J58" s="136"/>
      <c r="K58" s="137"/>
      <c r="L58" s="136"/>
      <c r="M58" s="138"/>
      <c r="N58" s="130">
        <v>46180</v>
      </c>
      <c r="O58" s="143" t="str">
        <f t="shared" ca="1" si="0"/>
        <v>BREACHED</v>
      </c>
    </row>
    <row r="59" spans="1:15" ht="15" customHeight="1" x14ac:dyDescent="0.3">
      <c r="A59" s="60" t="s">
        <v>3410</v>
      </c>
      <c r="B59" s="126" t="s">
        <v>2895</v>
      </c>
      <c r="C59" s="68" t="s">
        <v>3345</v>
      </c>
      <c r="D59" s="63" t="s">
        <v>339</v>
      </c>
      <c r="E59" s="135" t="str">
        <f>IFERROR(INDEX(M_User!$A$12:$J$67,MATCH(D59,M_User!$D$12:$D$67,0),3),"UNMAPPED")</f>
        <v>Erick K. Mkama</v>
      </c>
      <c r="F59" s="63" t="s">
        <v>185</v>
      </c>
      <c r="G59" s="135" t="str">
        <f>IFERROR(INDEX(M_SKU!$A$18:$J$57,MATCH(F59,M_SKU!$B$18:$B$57,0),1),"UNKNOWN SKU")</f>
        <v>Fanta Fruit Blast RGB 350 ml</v>
      </c>
      <c r="H59" s="63" t="s">
        <v>534</v>
      </c>
      <c r="I59" s="90">
        <v>9.2843221967031696E-4</v>
      </c>
      <c r="J59" s="144" t="s">
        <v>3384</v>
      </c>
      <c r="K59" s="145" t="s">
        <v>3411</v>
      </c>
      <c r="L59" s="144" t="s">
        <v>435</v>
      </c>
      <c r="M59" s="146">
        <v>46179</v>
      </c>
      <c r="N59" s="62">
        <v>46180</v>
      </c>
      <c r="O59" s="139" t="str">
        <f t="shared" ca="1" si="0"/>
        <v>Within SLA</v>
      </c>
    </row>
    <row r="60" spans="1:15" ht="15" customHeight="1" x14ac:dyDescent="0.3">
      <c r="A60" s="70" t="s">
        <v>3412</v>
      </c>
      <c r="B60" s="140" t="s">
        <v>2896</v>
      </c>
      <c r="C60" s="141" t="s">
        <v>3347</v>
      </c>
      <c r="D60" s="73" t="s">
        <v>339</v>
      </c>
      <c r="E60" s="142" t="str">
        <f>IFERROR(INDEX(M_User!$A$12:$J$67,MATCH(D60,M_User!$D$12:$D$67,0),3),"UNMAPPED")</f>
        <v>Erick K. Mkama</v>
      </c>
      <c r="F60" s="73" t="s">
        <v>187</v>
      </c>
      <c r="G60" s="142" t="str">
        <f>IFERROR(INDEX(M_SKU!$A$18:$J$57,MATCH(F60,M_SKU!$B$18:$B$57,0),1),"UNKNOWN SKU")</f>
        <v>Sprite 350ml</v>
      </c>
      <c r="H60" s="73" t="s">
        <v>535</v>
      </c>
      <c r="I60" s="93">
        <v>1.70933293018982E-3</v>
      </c>
      <c r="J60" s="136"/>
      <c r="K60" s="137"/>
      <c r="L60" s="136"/>
      <c r="M60" s="138"/>
      <c r="N60" s="130">
        <v>46180</v>
      </c>
      <c r="O60" s="143" t="str">
        <f t="shared" ca="1" si="0"/>
        <v>BREACHED</v>
      </c>
    </row>
    <row r="61" spans="1:15" ht="23.25" customHeight="1" x14ac:dyDescent="0.3">
      <c r="A61" s="60" t="s">
        <v>3413</v>
      </c>
      <c r="B61" s="126" t="s">
        <v>2897</v>
      </c>
      <c r="C61" s="68" t="s">
        <v>3345</v>
      </c>
      <c r="D61" s="63" t="s">
        <v>339</v>
      </c>
      <c r="E61" s="135" t="str">
        <f>IFERROR(INDEX(M_User!$A$12:$J$67,MATCH(D61,M_User!$D$12:$D$67,0),3),"UNMAPPED")</f>
        <v>Erick K. Mkama</v>
      </c>
      <c r="F61" s="63" t="s">
        <v>190</v>
      </c>
      <c r="G61" s="135" t="str">
        <f>IFERROR(INDEX(M_SKU!$A$18:$J$57,MATCH(F61,M_SKU!$B$18:$B$57,0),1),"UNKNOWN SKU")</f>
        <v>Stoney Tangawizi RGB 350ml</v>
      </c>
      <c r="H61" s="63" t="s">
        <v>536</v>
      </c>
      <c r="I61" s="90">
        <v>2.38256430829775E-3</v>
      </c>
      <c r="J61" s="144" t="s">
        <v>3367</v>
      </c>
      <c r="K61" s="145" t="s">
        <v>3396</v>
      </c>
      <c r="L61" s="144" t="s">
        <v>434</v>
      </c>
      <c r="M61" s="146">
        <v>46179</v>
      </c>
      <c r="N61" s="62">
        <v>46180</v>
      </c>
      <c r="O61" s="139" t="str">
        <f t="shared" ca="1" si="0"/>
        <v>Within SLA</v>
      </c>
    </row>
    <row r="62" spans="1:15" ht="15" customHeight="1" x14ac:dyDescent="0.3">
      <c r="A62" s="70" t="s">
        <v>3414</v>
      </c>
      <c r="B62" s="140" t="s">
        <v>2898</v>
      </c>
      <c r="C62" s="147" t="s">
        <v>3345</v>
      </c>
      <c r="D62" s="73" t="s">
        <v>339</v>
      </c>
      <c r="E62" s="142" t="str">
        <f>IFERROR(INDEX(M_User!$A$12:$J$67,MATCH(D62,M_User!$D$12:$D$67,0),3),"UNMAPPED")</f>
        <v>Erick K. Mkama</v>
      </c>
      <c r="F62" s="73" t="s">
        <v>193</v>
      </c>
      <c r="G62" s="142" t="str">
        <f>IFERROR(INDEX(M_SKU!$A$18:$J$57,MATCH(F62,M_SKU!$B$18:$B$57,0),1),"UNKNOWN SKU")</f>
        <v>Sparletta Pinenut RGB 350ml</v>
      </c>
      <c r="H62" s="73" t="s">
        <v>580</v>
      </c>
      <c r="I62" s="93">
        <v>2.4788415879939399E-3</v>
      </c>
      <c r="J62" s="136"/>
      <c r="K62" s="137"/>
      <c r="L62" s="136"/>
      <c r="M62" s="138"/>
      <c r="N62" s="130">
        <v>46180</v>
      </c>
      <c r="O62" s="143" t="str">
        <f t="shared" ca="1" si="0"/>
        <v>BREACHED</v>
      </c>
    </row>
    <row r="63" spans="1:15" ht="15" customHeight="1" x14ac:dyDescent="0.3">
      <c r="A63" s="60" t="s">
        <v>3415</v>
      </c>
      <c r="B63" s="126" t="s">
        <v>2899</v>
      </c>
      <c r="C63" s="105" t="s">
        <v>3347</v>
      </c>
      <c r="D63" s="63" t="s">
        <v>339</v>
      </c>
      <c r="E63" s="135" t="str">
        <f>IFERROR(INDEX(M_User!$A$12:$J$67,MATCH(D63,M_User!$D$12:$D$67,0),3),"UNMAPPED")</f>
        <v>Erick K. Mkama</v>
      </c>
      <c r="F63" s="63" t="s">
        <v>196</v>
      </c>
      <c r="G63" s="135" t="str">
        <f>IFERROR(INDEX(M_SKU!$A$18:$J$57,MATCH(F63,M_SKU!$B$18:$B$57,0),1),"UNKNOWN SKU")</f>
        <v>Krest Bitter Lemon RGB 300ml</v>
      </c>
      <c r="H63" s="63" t="s">
        <v>538</v>
      </c>
      <c r="I63" s="90">
        <v>2.61642120881322E-3</v>
      </c>
      <c r="J63" s="136"/>
      <c r="K63" s="137"/>
      <c r="L63" s="136"/>
      <c r="M63" s="138"/>
      <c r="N63" s="62">
        <v>46180</v>
      </c>
      <c r="O63" s="139" t="str">
        <f t="shared" ca="1" si="0"/>
        <v>BREACHED</v>
      </c>
    </row>
    <row r="64" spans="1:15" ht="15" customHeight="1" x14ac:dyDescent="0.3">
      <c r="A64" s="70" t="s">
        <v>3416</v>
      </c>
      <c r="B64" s="140" t="s">
        <v>2900</v>
      </c>
      <c r="C64" s="141" t="s">
        <v>3347</v>
      </c>
      <c r="D64" s="73" t="s">
        <v>339</v>
      </c>
      <c r="E64" s="142" t="str">
        <f>IFERROR(INDEX(M_User!$A$12:$J$67,MATCH(D64,M_User!$D$12:$D$67,0),3),"UNMAPPED")</f>
        <v>Erick K. Mkama</v>
      </c>
      <c r="F64" s="73" t="s">
        <v>199</v>
      </c>
      <c r="G64" s="142" t="str">
        <f>IFERROR(INDEX(M_SKU!$A$18:$J$57,MATCH(F64,M_SKU!$B$18:$B$57,0),1),"UNKNOWN SKU")</f>
        <v>Krest Club Soda RGB 300ml</v>
      </c>
      <c r="H64" s="73" t="s">
        <v>539</v>
      </c>
      <c r="I64" s="93">
        <v>3.26926038610292E-3</v>
      </c>
      <c r="J64" s="136"/>
      <c r="K64" s="137"/>
      <c r="L64" s="136"/>
      <c r="M64" s="138"/>
      <c r="N64" s="130">
        <v>46180</v>
      </c>
      <c r="O64" s="143" t="str">
        <f t="shared" ca="1" si="0"/>
        <v>BREACHED</v>
      </c>
    </row>
    <row r="65" spans="1:15" ht="23.25" customHeight="1" x14ac:dyDescent="0.3">
      <c r="A65" s="60" t="s">
        <v>3417</v>
      </c>
      <c r="B65" s="126" t="s">
        <v>2901</v>
      </c>
      <c r="C65" s="105" t="s">
        <v>3347</v>
      </c>
      <c r="D65" s="63" t="s">
        <v>339</v>
      </c>
      <c r="E65" s="135" t="str">
        <f>IFERROR(INDEX(M_User!$A$12:$J$67,MATCH(D65,M_User!$D$12:$D$67,0),3),"UNMAPPED")</f>
        <v>Erick K. Mkama</v>
      </c>
      <c r="F65" s="63" t="s">
        <v>201</v>
      </c>
      <c r="G65" s="135" t="str">
        <f>IFERROR(INDEX(M_SKU!$A$18:$J$57,MATCH(F65,M_SKU!$B$18:$B$57,0),1),"UNKNOWN SKU")</f>
        <v>Krest Tonic Water RGB 300ml</v>
      </c>
      <c r="H65" s="63" t="s">
        <v>540</v>
      </c>
      <c r="I65" s="90">
        <v>1.37916300284291E-3</v>
      </c>
      <c r="J65" s="144" t="s">
        <v>3367</v>
      </c>
      <c r="K65" s="145" t="s">
        <v>3418</v>
      </c>
      <c r="L65" s="144" t="s">
        <v>430</v>
      </c>
      <c r="M65" s="146">
        <v>46179</v>
      </c>
      <c r="N65" s="62">
        <v>46180</v>
      </c>
      <c r="O65" s="139" t="str">
        <f t="shared" ca="1" si="0"/>
        <v>Within SLA</v>
      </c>
    </row>
    <row r="66" spans="1:15" ht="23.25" customHeight="1" x14ac:dyDescent="0.3">
      <c r="A66" s="70" t="s">
        <v>3419</v>
      </c>
      <c r="B66" s="140" t="s">
        <v>2902</v>
      </c>
      <c r="C66" s="147" t="s">
        <v>3345</v>
      </c>
      <c r="D66" s="73" t="s">
        <v>339</v>
      </c>
      <c r="E66" s="142" t="str">
        <f>IFERROR(INDEX(M_User!$A$12:$J$67,MATCH(D66,M_User!$D$12:$D$67,0),3),"UNMAPPED")</f>
        <v>Erick K. Mkama</v>
      </c>
      <c r="F66" s="73" t="s">
        <v>203</v>
      </c>
      <c r="G66" s="142" t="str">
        <f>IFERROR(INDEX(M_SKU!$A$18:$J$57,MATCH(F66,M_SKU!$B$18:$B$57,0),1),"UNKNOWN SKU")</f>
        <v>Krest Ginger Ale RGB 300ml</v>
      </c>
      <c r="H66" s="73" t="s">
        <v>541</v>
      </c>
      <c r="I66" s="93">
        <v>1.1238367653601E-3</v>
      </c>
      <c r="J66" s="144" t="s">
        <v>3367</v>
      </c>
      <c r="K66" s="145" t="s">
        <v>3420</v>
      </c>
      <c r="L66" s="144" t="s">
        <v>434</v>
      </c>
      <c r="M66" s="146">
        <v>46179</v>
      </c>
      <c r="N66" s="130">
        <v>46180</v>
      </c>
      <c r="O66" s="143" t="str">
        <f t="shared" ca="1" si="0"/>
        <v>Within SLA</v>
      </c>
    </row>
    <row r="67" spans="1:15" ht="15" customHeight="1" x14ac:dyDescent="0.3">
      <c r="A67" s="60" t="s">
        <v>3421</v>
      </c>
      <c r="B67" s="126" t="s">
        <v>2903</v>
      </c>
      <c r="C67" s="68" t="s">
        <v>3345</v>
      </c>
      <c r="D67" s="63" t="s">
        <v>339</v>
      </c>
      <c r="E67" s="135" t="str">
        <f>IFERROR(INDEX(M_User!$A$12:$J$67,MATCH(D67,M_User!$D$12:$D$67,0),3),"UNMAPPED")</f>
        <v>Erick K. Mkama</v>
      </c>
      <c r="F67" s="63" t="s">
        <v>209</v>
      </c>
      <c r="G67" s="135" t="str">
        <f>IFERROR(INDEX(M_SKU!$A$18:$J$57,MATCH(F67,M_SKU!$B$18:$B$57,0),1),"UNKNOWN SKU")</f>
        <v>Sparletta Red Apple RGB 350ml</v>
      </c>
      <c r="H67" s="63" t="s">
        <v>542</v>
      </c>
      <c r="I67" s="90">
        <v>1.8840494674958999E-3</v>
      </c>
      <c r="J67" s="136"/>
      <c r="K67" s="137"/>
      <c r="L67" s="136"/>
      <c r="M67" s="138"/>
      <c r="N67" s="62">
        <v>46180</v>
      </c>
      <c r="O67" s="139" t="str">
        <f t="shared" ca="1" si="0"/>
        <v>BREACHED</v>
      </c>
    </row>
    <row r="68" spans="1:15" ht="15" customHeight="1" x14ac:dyDescent="0.3">
      <c r="A68" s="70" t="s">
        <v>3422</v>
      </c>
      <c r="B68" s="140" t="s">
        <v>2917</v>
      </c>
      <c r="C68" s="147" t="s">
        <v>3345</v>
      </c>
      <c r="D68" s="73" t="s">
        <v>412</v>
      </c>
      <c r="E68" s="142" t="str">
        <f>IFERROR(INDEX(M_User!$A$12:$J$67,MATCH(D68,M_User!$D$12:$D$67,0),3),"UNMAPPED")</f>
        <v>Jonas Steven Michael</v>
      </c>
      <c r="F68" s="73" t="s">
        <v>170</v>
      </c>
      <c r="G68" s="142" t="str">
        <f>IFERROR(INDEX(M_SKU!$A$18:$J$57,MATCH(F68,M_SKU!$B$18:$B$57,0),1),"UNKNOWN SKU")</f>
        <v>Coke RGB 350ml</v>
      </c>
      <c r="H68" s="73" t="s">
        <v>530</v>
      </c>
      <c r="I68" s="93">
        <v>4.4648250491618998E-3</v>
      </c>
      <c r="J68" s="136"/>
      <c r="K68" s="137"/>
      <c r="L68" s="136"/>
      <c r="M68" s="138"/>
      <c r="N68" s="130">
        <v>46180</v>
      </c>
      <c r="O68" s="143" t="str">
        <f t="shared" ca="1" si="0"/>
        <v>BREACHED</v>
      </c>
    </row>
    <row r="69" spans="1:15" ht="23.25" customHeight="1" x14ac:dyDescent="0.3">
      <c r="A69" s="60" t="s">
        <v>3423</v>
      </c>
      <c r="B69" s="126" t="s">
        <v>2918</v>
      </c>
      <c r="C69" s="68" t="s">
        <v>3345</v>
      </c>
      <c r="D69" s="63" t="s">
        <v>412</v>
      </c>
      <c r="E69" s="135" t="str">
        <f>IFERROR(INDEX(M_User!$A$12:$J$67,MATCH(D69,M_User!$D$12:$D$67,0),3),"UNMAPPED")</f>
        <v>Jonas Steven Michael</v>
      </c>
      <c r="F69" s="63" t="s">
        <v>178</v>
      </c>
      <c r="G69" s="135" t="str">
        <f>IFERROR(INDEX(M_SKU!$A$18:$J$57,MATCH(F69,M_SKU!$B$18:$B$57,0),1),"UNKNOWN SKU")</f>
        <v>Fanta Orange RGB 350ml</v>
      </c>
      <c r="H69" s="63" t="s">
        <v>531</v>
      </c>
      <c r="I69" s="90">
        <v>9.2645510265132501E-4</v>
      </c>
      <c r="J69" s="144" t="s">
        <v>3367</v>
      </c>
      <c r="K69" s="145" t="s">
        <v>3368</v>
      </c>
      <c r="L69" s="144" t="s">
        <v>436</v>
      </c>
      <c r="M69" s="146">
        <v>46180</v>
      </c>
      <c r="N69" s="62">
        <v>46180</v>
      </c>
      <c r="O69" s="139" t="str">
        <f t="shared" ca="1" si="0"/>
        <v>Within SLA</v>
      </c>
    </row>
    <row r="70" spans="1:15" ht="15" customHeight="1" x14ac:dyDescent="0.3">
      <c r="A70" s="70" t="s">
        <v>3424</v>
      </c>
      <c r="B70" s="140" t="s">
        <v>2919</v>
      </c>
      <c r="C70" s="147" t="s">
        <v>3345</v>
      </c>
      <c r="D70" s="73" t="s">
        <v>412</v>
      </c>
      <c r="E70" s="142" t="str">
        <f>IFERROR(INDEX(M_User!$A$12:$J$67,MATCH(D70,M_User!$D$12:$D$67,0),3),"UNMAPPED")</f>
        <v>Jonas Steven Michael</v>
      </c>
      <c r="F70" s="73" t="s">
        <v>181</v>
      </c>
      <c r="G70" s="142" t="str">
        <f>IFERROR(INDEX(M_SKU!$A$18:$J$57,MATCH(F70,M_SKU!$B$18:$B$57,0),1),"UNKNOWN SKU")</f>
        <v>Fanta Passion RGB 350ml</v>
      </c>
      <c r="H70" s="73" t="s">
        <v>550</v>
      </c>
      <c r="I70" s="93">
        <v>4.7695840275996399E-3</v>
      </c>
      <c r="J70" s="136"/>
      <c r="K70" s="137"/>
      <c r="L70" s="136"/>
      <c r="M70" s="138"/>
      <c r="N70" s="130">
        <v>46180</v>
      </c>
      <c r="O70" s="143" t="str">
        <f t="shared" ca="1" si="0"/>
        <v>BREACHED</v>
      </c>
    </row>
    <row r="71" spans="1:15" ht="23.25" customHeight="1" x14ac:dyDescent="0.3">
      <c r="A71" s="60" t="s">
        <v>3425</v>
      </c>
      <c r="B71" s="126" t="s">
        <v>2920</v>
      </c>
      <c r="C71" s="68" t="s">
        <v>3345</v>
      </c>
      <c r="D71" s="63" t="s">
        <v>412</v>
      </c>
      <c r="E71" s="135" t="str">
        <f>IFERROR(INDEX(M_User!$A$12:$J$67,MATCH(D71,M_User!$D$12:$D$67,0),3),"UNMAPPED")</f>
        <v>Jonas Steven Michael</v>
      </c>
      <c r="F71" s="63" t="s">
        <v>183</v>
      </c>
      <c r="G71" s="135" t="str">
        <f>IFERROR(INDEX(M_SKU!$A$18:$J$57,MATCH(F71,M_SKU!$B$18:$B$57,0),1),"UNKNOWN SKU")</f>
        <v>Fanta Pineapple RGB 350ml</v>
      </c>
      <c r="H71" s="63" t="s">
        <v>533</v>
      </c>
      <c r="I71" s="90">
        <v>3.68401830348875E-3</v>
      </c>
      <c r="J71" s="144" t="s">
        <v>3367</v>
      </c>
      <c r="K71" s="145" t="s">
        <v>3402</v>
      </c>
      <c r="L71" s="144" t="s">
        <v>431</v>
      </c>
      <c r="M71" s="146">
        <v>46180</v>
      </c>
      <c r="N71" s="62">
        <v>46180</v>
      </c>
      <c r="O71" s="139" t="str">
        <f t="shared" ca="1" si="0"/>
        <v>Within SLA</v>
      </c>
    </row>
    <row r="72" spans="1:15" ht="15" customHeight="1" x14ac:dyDescent="0.3">
      <c r="A72" s="70" t="s">
        <v>3426</v>
      </c>
      <c r="B72" s="140" t="s">
        <v>2921</v>
      </c>
      <c r="C72" s="147" t="s">
        <v>3345</v>
      </c>
      <c r="D72" s="73" t="s">
        <v>412</v>
      </c>
      <c r="E72" s="142" t="str">
        <f>IFERROR(INDEX(M_User!$A$12:$J$67,MATCH(D72,M_User!$D$12:$D$67,0),3),"UNMAPPED")</f>
        <v>Jonas Steven Michael</v>
      </c>
      <c r="F72" s="73" t="s">
        <v>185</v>
      </c>
      <c r="G72" s="142" t="str">
        <f>IFERROR(INDEX(M_SKU!$A$18:$J$57,MATCH(F72,M_SKU!$B$18:$B$57,0),1),"UNKNOWN SKU")</f>
        <v>Fanta Fruit Blast RGB 350 ml</v>
      </c>
      <c r="H72" s="73" t="s">
        <v>534</v>
      </c>
      <c r="I72" s="93">
        <v>4.4481596390295603E-3</v>
      </c>
      <c r="J72" s="136"/>
      <c r="K72" s="137"/>
      <c r="L72" s="136"/>
      <c r="M72" s="138"/>
      <c r="N72" s="130">
        <v>46180</v>
      </c>
      <c r="O72" s="143" t="str">
        <f t="shared" ca="1" si="0"/>
        <v>BREACHED</v>
      </c>
    </row>
    <row r="73" spans="1:15" ht="15" customHeight="1" x14ac:dyDescent="0.3">
      <c r="A73" s="60" t="s">
        <v>3427</v>
      </c>
      <c r="B73" s="126" t="s">
        <v>2922</v>
      </c>
      <c r="C73" s="68" t="s">
        <v>3345</v>
      </c>
      <c r="D73" s="63" t="s">
        <v>412</v>
      </c>
      <c r="E73" s="135" t="str">
        <f>IFERROR(INDEX(M_User!$A$12:$J$67,MATCH(D73,M_User!$D$12:$D$67,0),3),"UNMAPPED")</f>
        <v>Jonas Steven Michael</v>
      </c>
      <c r="F73" s="63" t="s">
        <v>187</v>
      </c>
      <c r="G73" s="135" t="str">
        <f>IFERROR(INDEX(M_SKU!$A$18:$J$57,MATCH(F73,M_SKU!$B$18:$B$57,0),1),"UNKNOWN SKU")</f>
        <v>Sprite 350ml</v>
      </c>
      <c r="H73" s="63" t="s">
        <v>535</v>
      </c>
      <c r="I73" s="90">
        <v>3.7062880393898801E-3</v>
      </c>
      <c r="J73" s="136"/>
      <c r="K73" s="137"/>
      <c r="L73" s="136"/>
      <c r="M73" s="138"/>
      <c r="N73" s="62">
        <v>46180</v>
      </c>
      <c r="O73" s="139" t="str">
        <f t="shared" ref="O73:O136" ca="1" si="1">IF(ISBLANK(M73),IF(TODAY()&gt;N73,"BREACHED","PENDING"),IF(M73&lt;=N73,"Within SLA","BREACHED"))</f>
        <v>BREACHED</v>
      </c>
    </row>
    <row r="74" spans="1:15" ht="23.25" customHeight="1" x14ac:dyDescent="0.3">
      <c r="A74" s="70" t="s">
        <v>3428</v>
      </c>
      <c r="B74" s="140" t="s">
        <v>2923</v>
      </c>
      <c r="C74" s="147" t="s">
        <v>3345</v>
      </c>
      <c r="D74" s="73" t="s">
        <v>412</v>
      </c>
      <c r="E74" s="142" t="str">
        <f>IFERROR(INDEX(M_User!$A$12:$J$67,MATCH(D74,M_User!$D$12:$D$67,0),3),"UNMAPPED")</f>
        <v>Jonas Steven Michael</v>
      </c>
      <c r="F74" s="73" t="s">
        <v>190</v>
      </c>
      <c r="G74" s="142" t="str">
        <f>IFERROR(INDEX(M_SKU!$A$18:$J$57,MATCH(F74,M_SKU!$B$18:$B$57,0),1),"UNKNOWN SKU")</f>
        <v>Stoney Tangawizi RGB 350ml</v>
      </c>
      <c r="H74" s="73" t="s">
        <v>536</v>
      </c>
      <c r="I74" s="93">
        <v>2.2508576883804002E-3</v>
      </c>
      <c r="J74" s="144" t="s">
        <v>3384</v>
      </c>
      <c r="K74" s="145" t="s">
        <v>3429</v>
      </c>
      <c r="L74" s="144" t="s">
        <v>434</v>
      </c>
      <c r="M74" s="146">
        <v>46179</v>
      </c>
      <c r="N74" s="130">
        <v>46180</v>
      </c>
      <c r="O74" s="143" t="str">
        <f t="shared" ca="1" si="1"/>
        <v>Within SLA</v>
      </c>
    </row>
    <row r="75" spans="1:15" ht="15" customHeight="1" x14ac:dyDescent="0.3">
      <c r="A75" s="60" t="s">
        <v>3430</v>
      </c>
      <c r="B75" s="126" t="s">
        <v>2924</v>
      </c>
      <c r="C75" s="105" t="s">
        <v>3347</v>
      </c>
      <c r="D75" s="63" t="s">
        <v>412</v>
      </c>
      <c r="E75" s="135" t="str">
        <f>IFERROR(INDEX(M_User!$A$12:$J$67,MATCH(D75,M_User!$D$12:$D$67,0),3),"UNMAPPED")</f>
        <v>Jonas Steven Michael</v>
      </c>
      <c r="F75" s="63" t="s">
        <v>193</v>
      </c>
      <c r="G75" s="135" t="str">
        <f>IFERROR(INDEX(M_SKU!$A$18:$J$57,MATCH(F75,M_SKU!$B$18:$B$57,0),1),"UNKNOWN SKU")</f>
        <v>Sparletta Pinenut RGB 350ml</v>
      </c>
      <c r="H75" s="63" t="s">
        <v>537</v>
      </c>
      <c r="I75" s="90">
        <v>4.2466684211003303E-3</v>
      </c>
      <c r="J75" s="136"/>
      <c r="K75" s="137"/>
      <c r="L75" s="136"/>
      <c r="M75" s="138"/>
      <c r="N75" s="62">
        <v>46180</v>
      </c>
      <c r="O75" s="139" t="str">
        <f t="shared" ca="1" si="1"/>
        <v>BREACHED</v>
      </c>
    </row>
    <row r="76" spans="1:15" ht="15" customHeight="1" x14ac:dyDescent="0.3">
      <c r="A76" s="70" t="s">
        <v>3431</v>
      </c>
      <c r="B76" s="140" t="s">
        <v>2925</v>
      </c>
      <c r="C76" s="147" t="s">
        <v>3345</v>
      </c>
      <c r="D76" s="73" t="s">
        <v>412</v>
      </c>
      <c r="E76" s="142" t="str">
        <f>IFERROR(INDEX(M_User!$A$12:$J$67,MATCH(D76,M_User!$D$12:$D$67,0),3),"UNMAPPED")</f>
        <v>Jonas Steven Michael</v>
      </c>
      <c r="F76" s="73" t="s">
        <v>196</v>
      </c>
      <c r="G76" s="142" t="str">
        <f>IFERROR(INDEX(M_SKU!$A$18:$J$57,MATCH(F76,M_SKU!$B$18:$B$57,0),1),"UNKNOWN SKU")</f>
        <v>Krest Bitter Lemon RGB 300ml</v>
      </c>
      <c r="H76" s="73" t="s">
        <v>538</v>
      </c>
      <c r="I76" s="93">
        <v>2.5009863697038602E-3</v>
      </c>
      <c r="J76" s="136"/>
      <c r="K76" s="137"/>
      <c r="L76" s="136"/>
      <c r="M76" s="138"/>
      <c r="N76" s="130">
        <v>46180</v>
      </c>
      <c r="O76" s="143" t="str">
        <f t="shared" ca="1" si="1"/>
        <v>BREACHED</v>
      </c>
    </row>
    <row r="77" spans="1:15" ht="15" customHeight="1" x14ac:dyDescent="0.3">
      <c r="A77" s="60" t="s">
        <v>3432</v>
      </c>
      <c r="B77" s="126" t="s">
        <v>2926</v>
      </c>
      <c r="C77" s="68" t="s">
        <v>3345</v>
      </c>
      <c r="D77" s="63" t="s">
        <v>412</v>
      </c>
      <c r="E77" s="135" t="str">
        <f>IFERROR(INDEX(M_User!$A$12:$J$67,MATCH(D77,M_User!$D$12:$D$67,0),3),"UNMAPPED")</f>
        <v>Jonas Steven Michael</v>
      </c>
      <c r="F77" s="63" t="s">
        <v>199</v>
      </c>
      <c r="G77" s="135" t="str">
        <f>IFERROR(INDEX(M_SKU!$A$18:$J$57,MATCH(F77,M_SKU!$B$18:$B$57,0),1),"UNKNOWN SKU")</f>
        <v>Krest Club Soda RGB 300ml</v>
      </c>
      <c r="H77" s="63" t="s">
        <v>539</v>
      </c>
      <c r="I77" s="90">
        <v>2.7717466901997501E-3</v>
      </c>
      <c r="J77" s="136"/>
      <c r="K77" s="137"/>
      <c r="L77" s="136"/>
      <c r="M77" s="138"/>
      <c r="N77" s="62">
        <v>46180</v>
      </c>
      <c r="O77" s="139" t="str">
        <f t="shared" ca="1" si="1"/>
        <v>BREACHED</v>
      </c>
    </row>
    <row r="78" spans="1:15" ht="15" customHeight="1" x14ac:dyDescent="0.3">
      <c r="A78" s="70" t="s">
        <v>3433</v>
      </c>
      <c r="B78" s="140" t="s">
        <v>2927</v>
      </c>
      <c r="C78" s="147" t="s">
        <v>3345</v>
      </c>
      <c r="D78" s="73" t="s">
        <v>412</v>
      </c>
      <c r="E78" s="142" t="str">
        <f>IFERROR(INDEX(M_User!$A$12:$J$67,MATCH(D78,M_User!$D$12:$D$67,0),3),"UNMAPPED")</f>
        <v>Jonas Steven Michael</v>
      </c>
      <c r="F78" s="73" t="s">
        <v>201</v>
      </c>
      <c r="G78" s="142" t="str">
        <f>IFERROR(INDEX(M_SKU!$A$18:$J$57,MATCH(F78,M_SKU!$B$18:$B$57,0),1),"UNKNOWN SKU")</f>
        <v>Krest Tonic Water RGB 300ml</v>
      </c>
      <c r="H78" s="73" t="s">
        <v>540</v>
      </c>
      <c r="I78" s="93">
        <v>1.8918214338848301E-3</v>
      </c>
      <c r="J78" s="136"/>
      <c r="K78" s="137"/>
      <c r="L78" s="136"/>
      <c r="M78" s="138"/>
      <c r="N78" s="130">
        <v>46180</v>
      </c>
      <c r="O78" s="143" t="str">
        <f t="shared" ca="1" si="1"/>
        <v>BREACHED</v>
      </c>
    </row>
    <row r="79" spans="1:15" ht="15" customHeight="1" x14ac:dyDescent="0.3">
      <c r="A79" s="60" t="s">
        <v>3434</v>
      </c>
      <c r="B79" s="126" t="s">
        <v>2928</v>
      </c>
      <c r="C79" s="68" t="s">
        <v>3345</v>
      </c>
      <c r="D79" s="63" t="s">
        <v>412</v>
      </c>
      <c r="E79" s="135" t="str">
        <f>IFERROR(INDEX(M_User!$A$12:$J$67,MATCH(D79,M_User!$D$12:$D$67,0),3),"UNMAPPED")</f>
        <v>Jonas Steven Michael</v>
      </c>
      <c r="F79" s="63" t="s">
        <v>203</v>
      </c>
      <c r="G79" s="135" t="str">
        <f>IFERROR(INDEX(M_SKU!$A$18:$J$57,MATCH(F79,M_SKU!$B$18:$B$57,0),1),"UNKNOWN SKU")</f>
        <v>Krest Ginger Ale RGB 300ml</v>
      </c>
      <c r="H79" s="63" t="s">
        <v>541</v>
      </c>
      <c r="I79" s="90">
        <v>1.0228768312098E-3</v>
      </c>
      <c r="J79" s="136"/>
      <c r="K79" s="137"/>
      <c r="L79" s="136"/>
      <c r="M79" s="138"/>
      <c r="N79" s="62">
        <v>46180</v>
      </c>
      <c r="O79" s="139" t="str">
        <f t="shared" ca="1" si="1"/>
        <v>BREACHED</v>
      </c>
    </row>
    <row r="80" spans="1:15" ht="15" customHeight="1" x14ac:dyDescent="0.3">
      <c r="A80" s="70" t="s">
        <v>3435</v>
      </c>
      <c r="B80" s="140" t="s">
        <v>2929</v>
      </c>
      <c r="C80" s="147" t="s">
        <v>3345</v>
      </c>
      <c r="D80" s="73" t="s">
        <v>412</v>
      </c>
      <c r="E80" s="142" t="str">
        <f>IFERROR(INDEX(M_User!$A$12:$J$67,MATCH(D80,M_User!$D$12:$D$67,0),3),"UNMAPPED")</f>
        <v>Jonas Steven Michael</v>
      </c>
      <c r="F80" s="73" t="s">
        <v>209</v>
      </c>
      <c r="G80" s="142" t="str">
        <f>IFERROR(INDEX(M_SKU!$A$18:$J$57,MATCH(F80,M_SKU!$B$18:$B$57,0),1),"UNKNOWN SKU")</f>
        <v>Sparletta Red Apple RGB 350ml</v>
      </c>
      <c r="H80" s="73" t="s">
        <v>542</v>
      </c>
      <c r="I80" s="93">
        <v>1.1873634070600999E-3</v>
      </c>
      <c r="J80" s="136"/>
      <c r="K80" s="137"/>
      <c r="L80" s="136"/>
      <c r="M80" s="138"/>
      <c r="N80" s="130">
        <v>46180</v>
      </c>
      <c r="O80" s="143" t="str">
        <f t="shared" ca="1" si="1"/>
        <v>BREACHED</v>
      </c>
    </row>
    <row r="81" spans="1:15" ht="15" customHeight="1" x14ac:dyDescent="0.3">
      <c r="A81" s="60" t="s">
        <v>3436</v>
      </c>
      <c r="B81" s="126" t="s">
        <v>2942</v>
      </c>
      <c r="C81" s="105" t="s">
        <v>3347</v>
      </c>
      <c r="D81" s="63" t="s">
        <v>384</v>
      </c>
      <c r="E81" s="135" t="str">
        <f>IFERROR(INDEX(M_User!$A$12:$J$67,MATCH(D81,M_User!$D$12:$D$67,0),3),"UNMAPPED")</f>
        <v>Gastory S Msaki</v>
      </c>
      <c r="F81" s="63" t="s">
        <v>170</v>
      </c>
      <c r="G81" s="135" t="str">
        <f>IFERROR(INDEX(M_SKU!$A$18:$J$57,MATCH(F81,M_SKU!$B$18:$B$57,0),1),"UNKNOWN SKU")</f>
        <v>Coke RGB 350ml</v>
      </c>
      <c r="H81" s="63" t="s">
        <v>530</v>
      </c>
      <c r="I81" s="90">
        <v>3.5482308156016299E-3</v>
      </c>
      <c r="J81" s="136"/>
      <c r="K81" s="137"/>
      <c r="L81" s="136"/>
      <c r="M81" s="138"/>
      <c r="N81" s="62">
        <v>46180</v>
      </c>
      <c r="O81" s="139" t="str">
        <f t="shared" ca="1" si="1"/>
        <v>BREACHED</v>
      </c>
    </row>
    <row r="82" spans="1:15" ht="15" customHeight="1" x14ac:dyDescent="0.3">
      <c r="A82" s="70" t="s">
        <v>3437</v>
      </c>
      <c r="B82" s="140" t="s">
        <v>2943</v>
      </c>
      <c r="C82" s="147" t="s">
        <v>3345</v>
      </c>
      <c r="D82" s="73" t="s">
        <v>384</v>
      </c>
      <c r="E82" s="142" t="str">
        <f>IFERROR(INDEX(M_User!$A$12:$J$67,MATCH(D82,M_User!$D$12:$D$67,0),3),"UNMAPPED")</f>
        <v>Gastory S Msaki</v>
      </c>
      <c r="F82" s="73" t="s">
        <v>178</v>
      </c>
      <c r="G82" s="142" t="str">
        <f>IFERROR(INDEX(M_SKU!$A$18:$J$57,MATCH(F82,M_SKU!$B$18:$B$57,0),1),"UNKNOWN SKU")</f>
        <v>Fanta Orange RGB 350ml</v>
      </c>
      <c r="H82" s="73" t="s">
        <v>531</v>
      </c>
      <c r="I82" s="93">
        <v>2.4825179523890701E-4</v>
      </c>
      <c r="J82" s="144" t="s">
        <v>3384</v>
      </c>
      <c r="K82" s="145" t="s">
        <v>3411</v>
      </c>
      <c r="L82" s="144" t="s">
        <v>428</v>
      </c>
      <c r="M82" s="146">
        <v>46179</v>
      </c>
      <c r="N82" s="130">
        <v>46180</v>
      </c>
      <c r="O82" s="143" t="str">
        <f t="shared" ca="1" si="1"/>
        <v>Within SLA</v>
      </c>
    </row>
    <row r="83" spans="1:15" ht="15" customHeight="1" x14ac:dyDescent="0.3">
      <c r="A83" s="60" t="s">
        <v>3438</v>
      </c>
      <c r="B83" s="126" t="s">
        <v>2944</v>
      </c>
      <c r="C83" s="68" t="s">
        <v>3345</v>
      </c>
      <c r="D83" s="63" t="s">
        <v>384</v>
      </c>
      <c r="E83" s="135" t="str">
        <f>IFERROR(INDEX(M_User!$A$12:$J$67,MATCH(D83,M_User!$D$12:$D$67,0),3),"UNMAPPED")</f>
        <v>Gastory S Msaki</v>
      </c>
      <c r="F83" s="63" t="s">
        <v>181</v>
      </c>
      <c r="G83" s="135" t="str">
        <f>IFERROR(INDEX(M_SKU!$A$18:$J$57,MATCH(F83,M_SKU!$B$18:$B$57,0),1),"UNKNOWN SKU")</f>
        <v>Fanta Passion RGB 350ml</v>
      </c>
      <c r="H83" s="63" t="s">
        <v>550</v>
      </c>
      <c r="I83" s="90">
        <v>1.2658411556494299E-3</v>
      </c>
      <c r="J83" s="136"/>
      <c r="K83" s="137"/>
      <c r="L83" s="136"/>
      <c r="M83" s="138"/>
      <c r="N83" s="62">
        <v>46180</v>
      </c>
      <c r="O83" s="139" t="str">
        <f t="shared" ca="1" si="1"/>
        <v>BREACHED</v>
      </c>
    </row>
    <row r="84" spans="1:15" ht="15" customHeight="1" x14ac:dyDescent="0.3">
      <c r="A84" s="70" t="s">
        <v>3439</v>
      </c>
      <c r="B84" s="140" t="s">
        <v>2945</v>
      </c>
      <c r="C84" s="141" t="s">
        <v>3347</v>
      </c>
      <c r="D84" s="73" t="s">
        <v>384</v>
      </c>
      <c r="E84" s="142" t="str">
        <f>IFERROR(INDEX(M_User!$A$12:$J$67,MATCH(D84,M_User!$D$12:$D$67,0),3),"UNMAPPED")</f>
        <v>Gastory S Msaki</v>
      </c>
      <c r="F84" s="73" t="s">
        <v>183</v>
      </c>
      <c r="G84" s="142" t="str">
        <f>IFERROR(INDEX(M_SKU!$A$18:$J$57,MATCH(F84,M_SKU!$B$18:$B$57,0),1),"UNKNOWN SKU")</f>
        <v>Fanta Pineapple RGB 350ml</v>
      </c>
      <c r="H84" s="73" t="s">
        <v>533</v>
      </c>
      <c r="I84" s="93">
        <v>8.4137364796976798E-4</v>
      </c>
      <c r="J84" s="136"/>
      <c r="K84" s="137"/>
      <c r="L84" s="136"/>
      <c r="M84" s="138"/>
      <c r="N84" s="130">
        <v>46180</v>
      </c>
      <c r="O84" s="143" t="str">
        <f t="shared" ca="1" si="1"/>
        <v>BREACHED</v>
      </c>
    </row>
    <row r="85" spans="1:15" ht="15" customHeight="1" x14ac:dyDescent="0.3">
      <c r="A85" s="60" t="s">
        <v>3440</v>
      </c>
      <c r="B85" s="126" t="s">
        <v>2946</v>
      </c>
      <c r="C85" s="68" t="s">
        <v>3345</v>
      </c>
      <c r="D85" s="63" t="s">
        <v>384</v>
      </c>
      <c r="E85" s="135" t="str">
        <f>IFERROR(INDEX(M_User!$A$12:$J$67,MATCH(D85,M_User!$D$12:$D$67,0),3),"UNMAPPED")</f>
        <v>Gastory S Msaki</v>
      </c>
      <c r="F85" s="63" t="s">
        <v>185</v>
      </c>
      <c r="G85" s="135" t="str">
        <f>IFERROR(INDEX(M_SKU!$A$18:$J$57,MATCH(F85,M_SKU!$B$18:$B$57,0),1),"UNKNOWN SKU")</f>
        <v>Fanta Fruit Blast RGB 350 ml</v>
      </c>
      <c r="H85" s="63" t="s">
        <v>534</v>
      </c>
      <c r="I85" s="90">
        <v>1.34289570648982E-3</v>
      </c>
      <c r="J85" s="136"/>
      <c r="K85" s="137"/>
      <c r="L85" s="136"/>
      <c r="M85" s="138"/>
      <c r="N85" s="62">
        <v>46180</v>
      </c>
      <c r="O85" s="139" t="str">
        <f t="shared" ca="1" si="1"/>
        <v>BREACHED</v>
      </c>
    </row>
    <row r="86" spans="1:15" ht="15" customHeight="1" x14ac:dyDescent="0.3">
      <c r="A86" s="70" t="s">
        <v>3441</v>
      </c>
      <c r="B86" s="140" t="s">
        <v>2947</v>
      </c>
      <c r="C86" s="141" t="s">
        <v>3347</v>
      </c>
      <c r="D86" s="73" t="s">
        <v>384</v>
      </c>
      <c r="E86" s="142" t="str">
        <f>IFERROR(INDEX(M_User!$A$12:$J$67,MATCH(D86,M_User!$D$12:$D$67,0),3),"UNMAPPED")</f>
        <v>Gastory S Msaki</v>
      </c>
      <c r="F86" s="73" t="s">
        <v>187</v>
      </c>
      <c r="G86" s="142" t="str">
        <f>IFERROR(INDEX(M_SKU!$A$18:$J$57,MATCH(F86,M_SKU!$B$18:$B$57,0),1),"UNKNOWN SKU")</f>
        <v>Sprite 350ml</v>
      </c>
      <c r="H86" s="73" t="s">
        <v>535</v>
      </c>
      <c r="I86" s="93">
        <v>2.6427930387102898E-3</v>
      </c>
      <c r="J86" s="136"/>
      <c r="K86" s="137"/>
      <c r="L86" s="136"/>
      <c r="M86" s="138"/>
      <c r="N86" s="130">
        <v>46180</v>
      </c>
      <c r="O86" s="143" t="str">
        <f t="shared" ca="1" si="1"/>
        <v>BREACHED</v>
      </c>
    </row>
    <row r="87" spans="1:15" ht="15" customHeight="1" x14ac:dyDescent="0.3">
      <c r="A87" s="60" t="s">
        <v>3442</v>
      </c>
      <c r="B87" s="126" t="s">
        <v>2948</v>
      </c>
      <c r="C87" s="105" t="s">
        <v>3347</v>
      </c>
      <c r="D87" s="63" t="s">
        <v>384</v>
      </c>
      <c r="E87" s="135" t="str">
        <f>IFERROR(INDEX(M_User!$A$12:$J$67,MATCH(D87,M_User!$D$12:$D$67,0),3),"UNMAPPED")</f>
        <v>Gastory S Msaki</v>
      </c>
      <c r="F87" s="63" t="s">
        <v>190</v>
      </c>
      <c r="G87" s="135" t="str">
        <f>IFERROR(INDEX(M_SKU!$A$18:$J$57,MATCH(F87,M_SKU!$B$18:$B$57,0),1),"UNKNOWN SKU")</f>
        <v>Stoney Tangawizi RGB 350ml</v>
      </c>
      <c r="H87" s="63" t="s">
        <v>536</v>
      </c>
      <c r="I87" s="90">
        <v>1.90280968383039E-3</v>
      </c>
      <c r="J87" s="144" t="s">
        <v>3350</v>
      </c>
      <c r="K87" s="145" t="s">
        <v>3399</v>
      </c>
      <c r="L87" s="144" t="s">
        <v>436</v>
      </c>
      <c r="M87" s="146">
        <v>46179</v>
      </c>
      <c r="N87" s="62">
        <v>46180</v>
      </c>
      <c r="O87" s="139" t="str">
        <f t="shared" ca="1" si="1"/>
        <v>Within SLA</v>
      </c>
    </row>
    <row r="88" spans="1:15" ht="15" customHeight="1" x14ac:dyDescent="0.3">
      <c r="A88" s="70" t="s">
        <v>3443</v>
      </c>
      <c r="B88" s="140" t="s">
        <v>2949</v>
      </c>
      <c r="C88" s="147" t="s">
        <v>3345</v>
      </c>
      <c r="D88" s="73" t="s">
        <v>384</v>
      </c>
      <c r="E88" s="142" t="str">
        <f>IFERROR(INDEX(M_User!$A$12:$J$67,MATCH(D88,M_User!$D$12:$D$67,0),3),"UNMAPPED")</f>
        <v>Gastory S Msaki</v>
      </c>
      <c r="F88" s="73" t="s">
        <v>193</v>
      </c>
      <c r="G88" s="142" t="str">
        <f>IFERROR(INDEX(M_SKU!$A$18:$J$57,MATCH(F88,M_SKU!$B$18:$B$57,0),1),"UNKNOWN SKU")</f>
        <v>Sparletta Pinenut RGB 350ml</v>
      </c>
      <c r="H88" s="73" t="s">
        <v>537</v>
      </c>
      <c r="I88" s="93">
        <v>3.59065427882976E-3</v>
      </c>
      <c r="J88" s="136"/>
      <c r="K88" s="137"/>
      <c r="L88" s="136"/>
      <c r="M88" s="138"/>
      <c r="N88" s="130">
        <v>46180</v>
      </c>
      <c r="O88" s="143" t="str">
        <f t="shared" ca="1" si="1"/>
        <v>BREACHED</v>
      </c>
    </row>
    <row r="89" spans="1:15" ht="15" customHeight="1" x14ac:dyDescent="0.3">
      <c r="A89" s="60" t="s">
        <v>3444</v>
      </c>
      <c r="B89" s="126" t="s">
        <v>2950</v>
      </c>
      <c r="C89" s="68" t="s">
        <v>3345</v>
      </c>
      <c r="D89" s="63" t="s">
        <v>384</v>
      </c>
      <c r="E89" s="135" t="str">
        <f>IFERROR(INDEX(M_User!$A$12:$J$67,MATCH(D89,M_User!$D$12:$D$67,0),3),"UNMAPPED")</f>
        <v>Gastory S Msaki</v>
      </c>
      <c r="F89" s="63" t="s">
        <v>196</v>
      </c>
      <c r="G89" s="135" t="str">
        <f>IFERROR(INDEX(M_SKU!$A$18:$J$57,MATCH(F89,M_SKU!$B$18:$B$57,0),1),"UNKNOWN SKU")</f>
        <v>Krest Bitter Lemon RGB 300ml</v>
      </c>
      <c r="H89" s="63" t="s">
        <v>538</v>
      </c>
      <c r="I89" s="90">
        <v>1.8784127813918901E-3</v>
      </c>
      <c r="J89" s="136"/>
      <c r="K89" s="137"/>
      <c r="L89" s="136"/>
      <c r="M89" s="138"/>
      <c r="N89" s="62">
        <v>46180</v>
      </c>
      <c r="O89" s="139" t="str">
        <f t="shared" ca="1" si="1"/>
        <v>BREACHED</v>
      </c>
    </row>
    <row r="90" spans="1:15" ht="23.25" customHeight="1" x14ac:dyDescent="0.3">
      <c r="A90" s="70" t="s">
        <v>3445</v>
      </c>
      <c r="B90" s="140" t="s">
        <v>2951</v>
      </c>
      <c r="C90" s="141" t="s">
        <v>3347</v>
      </c>
      <c r="D90" s="73" t="s">
        <v>384</v>
      </c>
      <c r="E90" s="142" t="str">
        <f>IFERROR(INDEX(M_User!$A$12:$J$67,MATCH(D90,M_User!$D$12:$D$67,0),3),"UNMAPPED")</f>
        <v>Gastory S Msaki</v>
      </c>
      <c r="F90" s="73" t="s">
        <v>199</v>
      </c>
      <c r="G90" s="142" t="str">
        <f>IFERROR(INDEX(M_SKU!$A$18:$J$57,MATCH(F90,M_SKU!$B$18:$B$57,0),1),"UNKNOWN SKU")</f>
        <v>Krest Club Soda RGB 300ml</v>
      </c>
      <c r="H90" s="73" t="s">
        <v>539</v>
      </c>
      <c r="I90" s="93">
        <v>1.57007270120102E-3</v>
      </c>
      <c r="J90" s="144" t="s">
        <v>3384</v>
      </c>
      <c r="K90" s="145" t="s">
        <v>3385</v>
      </c>
      <c r="L90" s="144" t="s">
        <v>435</v>
      </c>
      <c r="M90" s="146">
        <v>46180</v>
      </c>
      <c r="N90" s="130">
        <v>46180</v>
      </c>
      <c r="O90" s="143" t="str">
        <f t="shared" ca="1" si="1"/>
        <v>Within SLA</v>
      </c>
    </row>
    <row r="91" spans="1:15" ht="15" customHeight="1" x14ac:dyDescent="0.3">
      <c r="A91" s="60" t="s">
        <v>3446</v>
      </c>
      <c r="B91" s="126" t="s">
        <v>2952</v>
      </c>
      <c r="C91" s="105" t="s">
        <v>3347</v>
      </c>
      <c r="D91" s="63" t="s">
        <v>384</v>
      </c>
      <c r="E91" s="135" t="str">
        <f>IFERROR(INDEX(M_User!$A$12:$J$67,MATCH(D91,M_User!$D$12:$D$67,0),3),"UNMAPPED")</f>
        <v>Gastory S Msaki</v>
      </c>
      <c r="F91" s="63" t="s">
        <v>201</v>
      </c>
      <c r="G91" s="135" t="str">
        <f>IFERROR(INDEX(M_SKU!$A$18:$J$57,MATCH(F91,M_SKU!$B$18:$B$57,0),1),"UNKNOWN SKU")</f>
        <v>Krest Tonic Water RGB 300ml</v>
      </c>
      <c r="H91" s="63" t="s">
        <v>540</v>
      </c>
      <c r="I91" s="90">
        <v>2.9364631192068899E-3</v>
      </c>
      <c r="J91" s="136"/>
      <c r="K91" s="137"/>
      <c r="L91" s="136"/>
      <c r="M91" s="138"/>
      <c r="N91" s="62">
        <v>46180</v>
      </c>
      <c r="O91" s="139" t="str">
        <f t="shared" ca="1" si="1"/>
        <v>BREACHED</v>
      </c>
    </row>
    <row r="92" spans="1:15" ht="15" customHeight="1" x14ac:dyDescent="0.3">
      <c r="A92" s="70" t="s">
        <v>3447</v>
      </c>
      <c r="B92" s="140" t="s">
        <v>2953</v>
      </c>
      <c r="C92" s="141" t="s">
        <v>3347</v>
      </c>
      <c r="D92" s="73" t="s">
        <v>384</v>
      </c>
      <c r="E92" s="142" t="str">
        <f>IFERROR(INDEX(M_User!$A$12:$J$67,MATCH(D92,M_User!$D$12:$D$67,0),3),"UNMAPPED")</f>
        <v>Gastory S Msaki</v>
      </c>
      <c r="F92" s="73" t="s">
        <v>203</v>
      </c>
      <c r="G92" s="142" t="str">
        <f>IFERROR(INDEX(M_SKU!$A$18:$J$57,MATCH(F92,M_SKU!$B$18:$B$57,0),1),"UNKNOWN SKU")</f>
        <v>Krest Ginger Ale RGB 300ml</v>
      </c>
      <c r="H92" s="73" t="s">
        <v>541</v>
      </c>
      <c r="I92" s="93">
        <v>1.77471599601292E-3</v>
      </c>
      <c r="J92" s="136"/>
      <c r="K92" s="137"/>
      <c r="L92" s="136"/>
      <c r="M92" s="138"/>
      <c r="N92" s="130">
        <v>46180</v>
      </c>
      <c r="O92" s="143" t="str">
        <f t="shared" ca="1" si="1"/>
        <v>BREACHED</v>
      </c>
    </row>
    <row r="93" spans="1:15" ht="15" customHeight="1" x14ac:dyDescent="0.3">
      <c r="A93" s="60" t="s">
        <v>3448</v>
      </c>
      <c r="B93" s="126" t="s">
        <v>2954</v>
      </c>
      <c r="C93" s="68" t="s">
        <v>3345</v>
      </c>
      <c r="D93" s="63" t="s">
        <v>384</v>
      </c>
      <c r="E93" s="135" t="str">
        <f>IFERROR(INDEX(M_User!$A$12:$J$67,MATCH(D93,M_User!$D$12:$D$67,0),3),"UNMAPPED")</f>
        <v>Gastory S Msaki</v>
      </c>
      <c r="F93" s="63" t="s">
        <v>209</v>
      </c>
      <c r="G93" s="135" t="str">
        <f>IFERROR(INDEX(M_SKU!$A$18:$J$57,MATCH(F93,M_SKU!$B$18:$B$57,0),1),"UNKNOWN SKU")</f>
        <v>Sparletta Red Apple RGB 350ml</v>
      </c>
      <c r="H93" s="63" t="s">
        <v>542</v>
      </c>
      <c r="I93" s="90">
        <v>3.9545935291311297E-3</v>
      </c>
      <c r="J93" s="136"/>
      <c r="K93" s="137"/>
      <c r="L93" s="136"/>
      <c r="M93" s="138"/>
      <c r="N93" s="62">
        <v>46180</v>
      </c>
      <c r="O93" s="139" t="str">
        <f t="shared" ca="1" si="1"/>
        <v>BREACHED</v>
      </c>
    </row>
    <row r="94" spans="1:15" ht="15" customHeight="1" x14ac:dyDescent="0.3">
      <c r="A94" s="70" t="s">
        <v>3449</v>
      </c>
      <c r="B94" s="140" t="s">
        <v>2968</v>
      </c>
      <c r="C94" s="141" t="s">
        <v>3347</v>
      </c>
      <c r="D94" s="73" t="s">
        <v>404</v>
      </c>
      <c r="E94" s="142" t="str">
        <f>IFERROR(INDEX(M_User!$A$12:$J$67,MATCH(D94,M_User!$D$12:$D$67,0),3),"UNMAPPED")</f>
        <v>Riziki Rajabu Mghamba</v>
      </c>
      <c r="F94" s="73" t="s">
        <v>170</v>
      </c>
      <c r="G94" s="142" t="str">
        <f>IFERROR(INDEX(M_SKU!$A$18:$J$57,MATCH(F94,M_SKU!$B$18:$B$57,0),1),"UNKNOWN SKU")</f>
        <v>Coke RGB 350ml</v>
      </c>
      <c r="H94" s="73" t="s">
        <v>529</v>
      </c>
      <c r="I94" s="93">
        <v>0.63772198076731901</v>
      </c>
      <c r="J94" s="144" t="s">
        <v>3350</v>
      </c>
      <c r="K94" s="145" t="s">
        <v>3450</v>
      </c>
      <c r="L94" s="144" t="s">
        <v>430</v>
      </c>
      <c r="M94" s="146">
        <v>46179</v>
      </c>
      <c r="N94" s="130">
        <v>46180</v>
      </c>
      <c r="O94" s="143" t="str">
        <f t="shared" ca="1" si="1"/>
        <v>Within SLA</v>
      </c>
    </row>
    <row r="95" spans="1:15" ht="15" customHeight="1" x14ac:dyDescent="0.3">
      <c r="A95" s="60" t="s">
        <v>3451</v>
      </c>
      <c r="B95" s="126" t="s">
        <v>2969</v>
      </c>
      <c r="C95" s="105" t="s">
        <v>3347</v>
      </c>
      <c r="D95" s="63" t="s">
        <v>404</v>
      </c>
      <c r="E95" s="135" t="str">
        <f>IFERROR(INDEX(M_User!$A$12:$J$67,MATCH(D95,M_User!$D$12:$D$67,0),3),"UNMAPPED")</f>
        <v>Riziki Rajabu Mghamba</v>
      </c>
      <c r="F95" s="63" t="s">
        <v>170</v>
      </c>
      <c r="G95" s="135" t="str">
        <f>IFERROR(INDEX(M_SKU!$A$18:$J$57,MATCH(F95,M_SKU!$B$18:$B$57,0),1),"UNKNOWN SKU")</f>
        <v>Coke RGB 350ml</v>
      </c>
      <c r="H95" s="63" t="s">
        <v>530</v>
      </c>
      <c r="I95" s="90">
        <v>2.7537910461144999</v>
      </c>
      <c r="J95" s="136"/>
      <c r="K95" s="137"/>
      <c r="L95" s="136"/>
      <c r="M95" s="138"/>
      <c r="N95" s="62">
        <v>46180</v>
      </c>
      <c r="O95" s="139" t="str">
        <f t="shared" ca="1" si="1"/>
        <v>BREACHED</v>
      </c>
    </row>
    <row r="96" spans="1:15" ht="15" customHeight="1" x14ac:dyDescent="0.3">
      <c r="A96" s="70" t="s">
        <v>3452</v>
      </c>
      <c r="B96" s="140" t="s">
        <v>2970</v>
      </c>
      <c r="C96" s="141" t="s">
        <v>3347</v>
      </c>
      <c r="D96" s="73" t="s">
        <v>404</v>
      </c>
      <c r="E96" s="142" t="str">
        <f>IFERROR(INDEX(M_User!$A$12:$J$67,MATCH(D96,M_User!$D$12:$D$67,0),3),"UNMAPPED")</f>
        <v>Riziki Rajabu Mghamba</v>
      </c>
      <c r="F96" s="73" t="s">
        <v>178</v>
      </c>
      <c r="G96" s="142" t="str">
        <f>IFERROR(INDEX(M_SKU!$A$18:$J$57,MATCH(F96,M_SKU!$B$18:$B$57,0),1),"UNKNOWN SKU")</f>
        <v>Fanta Orange RGB 350ml</v>
      </c>
      <c r="H96" s="73" t="s">
        <v>531</v>
      </c>
      <c r="I96" s="93">
        <v>0.73517495366729102</v>
      </c>
      <c r="J96" s="144" t="s">
        <v>3350</v>
      </c>
      <c r="K96" s="145" t="s">
        <v>3351</v>
      </c>
      <c r="L96" s="144" t="s">
        <v>431</v>
      </c>
      <c r="M96" s="146">
        <v>46179</v>
      </c>
      <c r="N96" s="130">
        <v>46180</v>
      </c>
      <c r="O96" s="143" t="str">
        <f t="shared" ca="1" si="1"/>
        <v>Within SLA</v>
      </c>
    </row>
    <row r="97" spans="1:15" ht="15" customHeight="1" x14ac:dyDescent="0.3">
      <c r="A97" s="60" t="s">
        <v>3453</v>
      </c>
      <c r="B97" s="126" t="s">
        <v>2971</v>
      </c>
      <c r="C97" s="105" t="s">
        <v>3347</v>
      </c>
      <c r="D97" s="63" t="s">
        <v>404</v>
      </c>
      <c r="E97" s="135" t="str">
        <f>IFERROR(INDEX(M_User!$A$12:$J$67,MATCH(D97,M_User!$D$12:$D$67,0),3),"UNMAPPED")</f>
        <v>Riziki Rajabu Mghamba</v>
      </c>
      <c r="F97" s="63" t="s">
        <v>181</v>
      </c>
      <c r="G97" s="135" t="str">
        <f>IFERROR(INDEX(M_SKU!$A$18:$J$57,MATCH(F97,M_SKU!$B$18:$B$57,0),1),"UNKNOWN SKU")</f>
        <v>Fanta Passion RGB 350ml</v>
      </c>
      <c r="H97" s="63" t="s">
        <v>532</v>
      </c>
      <c r="I97" s="90">
        <v>0.45220468330932001</v>
      </c>
      <c r="J97" s="136"/>
      <c r="K97" s="137"/>
      <c r="L97" s="136"/>
      <c r="M97" s="138"/>
      <c r="N97" s="62">
        <v>46180</v>
      </c>
      <c r="O97" s="139" t="str">
        <f t="shared" ca="1" si="1"/>
        <v>BREACHED</v>
      </c>
    </row>
    <row r="98" spans="1:15" ht="15" customHeight="1" x14ac:dyDescent="0.3">
      <c r="A98" s="70" t="s">
        <v>3454</v>
      </c>
      <c r="B98" s="140" t="s">
        <v>2972</v>
      </c>
      <c r="C98" s="141" t="s">
        <v>3347</v>
      </c>
      <c r="D98" s="73" t="s">
        <v>404</v>
      </c>
      <c r="E98" s="142" t="str">
        <f>IFERROR(INDEX(M_User!$A$12:$J$67,MATCH(D98,M_User!$D$12:$D$67,0),3),"UNMAPPED")</f>
        <v>Riziki Rajabu Mghamba</v>
      </c>
      <c r="F98" s="73" t="s">
        <v>183</v>
      </c>
      <c r="G98" s="142" t="str">
        <f>IFERROR(INDEX(M_SKU!$A$18:$J$57,MATCH(F98,M_SKU!$B$18:$B$57,0),1),"UNKNOWN SKU")</f>
        <v>Fanta Pineapple RGB 350ml</v>
      </c>
      <c r="H98" s="73" t="s">
        <v>533</v>
      </c>
      <c r="I98" s="93">
        <v>0.634300467790189</v>
      </c>
      <c r="J98" s="136"/>
      <c r="K98" s="137"/>
      <c r="L98" s="136"/>
      <c r="M98" s="138"/>
      <c r="N98" s="130">
        <v>46180</v>
      </c>
      <c r="O98" s="143" t="str">
        <f t="shared" ca="1" si="1"/>
        <v>BREACHED</v>
      </c>
    </row>
    <row r="99" spans="1:15" ht="15" customHeight="1" x14ac:dyDescent="0.3">
      <c r="A99" s="60" t="s">
        <v>3455</v>
      </c>
      <c r="B99" s="126" t="s">
        <v>2973</v>
      </c>
      <c r="C99" s="105" t="s">
        <v>3347</v>
      </c>
      <c r="D99" s="63" t="s">
        <v>404</v>
      </c>
      <c r="E99" s="135" t="str">
        <f>IFERROR(INDEX(M_User!$A$12:$J$67,MATCH(D99,M_User!$D$12:$D$67,0),3),"UNMAPPED")</f>
        <v>Riziki Rajabu Mghamba</v>
      </c>
      <c r="F99" s="63" t="s">
        <v>185</v>
      </c>
      <c r="G99" s="135" t="str">
        <f>IFERROR(INDEX(M_SKU!$A$18:$J$57,MATCH(F99,M_SKU!$B$18:$B$57,0),1),"UNKNOWN SKU")</f>
        <v>Fanta Fruit Blast RGB 350 ml</v>
      </c>
      <c r="H99" s="63" t="s">
        <v>534</v>
      </c>
      <c r="I99" s="90">
        <v>0.69433081710442102</v>
      </c>
      <c r="J99" s="136"/>
      <c r="K99" s="137"/>
      <c r="L99" s="136"/>
      <c r="M99" s="138"/>
      <c r="N99" s="62">
        <v>46180</v>
      </c>
      <c r="O99" s="139" t="str">
        <f t="shared" ca="1" si="1"/>
        <v>BREACHED</v>
      </c>
    </row>
    <row r="100" spans="1:15" ht="15" customHeight="1" x14ac:dyDescent="0.3">
      <c r="A100" s="70" t="s">
        <v>3456</v>
      </c>
      <c r="B100" s="140" t="s">
        <v>2974</v>
      </c>
      <c r="C100" s="141" t="s">
        <v>3347</v>
      </c>
      <c r="D100" s="73" t="s">
        <v>404</v>
      </c>
      <c r="E100" s="142" t="str">
        <f>IFERROR(INDEX(M_User!$A$12:$J$67,MATCH(D100,M_User!$D$12:$D$67,0),3),"UNMAPPED")</f>
        <v>Riziki Rajabu Mghamba</v>
      </c>
      <c r="F100" s="73" t="s">
        <v>187</v>
      </c>
      <c r="G100" s="142" t="str">
        <f>IFERROR(INDEX(M_SKU!$A$18:$J$57,MATCH(F100,M_SKU!$B$18:$B$57,0),1),"UNKNOWN SKU")</f>
        <v>Sprite 350ml</v>
      </c>
      <c r="H100" s="73" t="s">
        <v>535</v>
      </c>
      <c r="I100" s="93">
        <v>0.48680122065220999</v>
      </c>
      <c r="J100" s="144" t="s">
        <v>3390</v>
      </c>
      <c r="K100" s="145" t="s">
        <v>3457</v>
      </c>
      <c r="L100" s="144" t="s">
        <v>431</v>
      </c>
      <c r="M100" s="146">
        <v>46179</v>
      </c>
      <c r="N100" s="130">
        <v>46180</v>
      </c>
      <c r="O100" s="143" t="str">
        <f t="shared" ca="1" si="1"/>
        <v>Within SLA</v>
      </c>
    </row>
    <row r="101" spans="1:15" ht="15" customHeight="1" x14ac:dyDescent="0.3">
      <c r="A101" s="60" t="s">
        <v>3458</v>
      </c>
      <c r="B101" s="126" t="s">
        <v>2975</v>
      </c>
      <c r="C101" s="105" t="s">
        <v>3347</v>
      </c>
      <c r="D101" s="63" t="s">
        <v>404</v>
      </c>
      <c r="E101" s="135" t="str">
        <f>IFERROR(INDEX(M_User!$A$12:$J$67,MATCH(D101,M_User!$D$12:$D$67,0),3),"UNMAPPED")</f>
        <v>Riziki Rajabu Mghamba</v>
      </c>
      <c r="F101" s="63" t="s">
        <v>190</v>
      </c>
      <c r="G101" s="135" t="str">
        <f>IFERROR(INDEX(M_SKU!$A$18:$J$57,MATCH(F101,M_SKU!$B$18:$B$57,0),1),"UNKNOWN SKU")</f>
        <v>Stoney Tangawizi RGB 350ml</v>
      </c>
      <c r="H101" s="63" t="s">
        <v>536</v>
      </c>
      <c r="I101" s="90">
        <v>0.16120889522112</v>
      </c>
      <c r="J101" s="144" t="s">
        <v>3350</v>
      </c>
      <c r="K101" s="145" t="s">
        <v>3399</v>
      </c>
      <c r="L101" s="144" t="s">
        <v>430</v>
      </c>
      <c r="M101" s="146">
        <v>46180</v>
      </c>
      <c r="N101" s="62">
        <v>46180</v>
      </c>
      <c r="O101" s="139" t="str">
        <f t="shared" ca="1" si="1"/>
        <v>Within SLA</v>
      </c>
    </row>
    <row r="102" spans="1:15" ht="15" customHeight="1" x14ac:dyDescent="0.3">
      <c r="A102" s="70" t="s">
        <v>3459</v>
      </c>
      <c r="B102" s="140" t="s">
        <v>2976</v>
      </c>
      <c r="C102" s="141" t="s">
        <v>3347</v>
      </c>
      <c r="D102" s="73" t="s">
        <v>404</v>
      </c>
      <c r="E102" s="142" t="str">
        <f>IFERROR(INDEX(M_User!$A$12:$J$67,MATCH(D102,M_User!$D$12:$D$67,0),3),"UNMAPPED")</f>
        <v>Riziki Rajabu Mghamba</v>
      </c>
      <c r="F102" s="73" t="s">
        <v>193</v>
      </c>
      <c r="G102" s="142" t="str">
        <f>IFERROR(INDEX(M_SKU!$A$18:$J$57,MATCH(F102,M_SKU!$B$18:$B$57,0),1),"UNKNOWN SKU")</f>
        <v>Sparletta Pinenut RGB 350ml</v>
      </c>
      <c r="H102" s="73" t="s">
        <v>537</v>
      </c>
      <c r="I102" s="93">
        <v>0.12274556507912</v>
      </c>
      <c r="J102" s="136"/>
      <c r="K102" s="137"/>
      <c r="L102" s="136"/>
      <c r="M102" s="138"/>
      <c r="N102" s="130">
        <v>46180</v>
      </c>
      <c r="O102" s="143" t="str">
        <f t="shared" ca="1" si="1"/>
        <v>BREACHED</v>
      </c>
    </row>
    <row r="103" spans="1:15" ht="15" customHeight="1" x14ac:dyDescent="0.3">
      <c r="A103" s="60" t="s">
        <v>3460</v>
      </c>
      <c r="B103" s="126" t="s">
        <v>2977</v>
      </c>
      <c r="C103" s="105" t="s">
        <v>3347</v>
      </c>
      <c r="D103" s="63" t="s">
        <v>404</v>
      </c>
      <c r="E103" s="135" t="str">
        <f>IFERROR(INDEX(M_User!$A$12:$J$67,MATCH(D103,M_User!$D$12:$D$67,0),3),"UNMAPPED")</f>
        <v>Riziki Rajabu Mghamba</v>
      </c>
      <c r="F103" s="63" t="s">
        <v>196</v>
      </c>
      <c r="G103" s="135" t="str">
        <f>IFERROR(INDEX(M_SKU!$A$18:$J$57,MATCH(F103,M_SKU!$B$18:$B$57,0),1),"UNKNOWN SKU")</f>
        <v>Krest Bitter Lemon RGB 300ml</v>
      </c>
      <c r="H103" s="63" t="s">
        <v>538</v>
      </c>
      <c r="I103" s="90">
        <v>8.1844973342070901E-2</v>
      </c>
      <c r="J103" s="136"/>
      <c r="K103" s="137"/>
      <c r="L103" s="136"/>
      <c r="M103" s="138"/>
      <c r="N103" s="62">
        <v>46180</v>
      </c>
      <c r="O103" s="139" t="str">
        <f t="shared" ca="1" si="1"/>
        <v>BREACHED</v>
      </c>
    </row>
    <row r="104" spans="1:15" ht="23.25" customHeight="1" x14ac:dyDescent="0.3">
      <c r="A104" s="70" t="s">
        <v>3461</v>
      </c>
      <c r="B104" s="140" t="s">
        <v>2978</v>
      </c>
      <c r="C104" s="141" t="s">
        <v>3347</v>
      </c>
      <c r="D104" s="73" t="s">
        <v>404</v>
      </c>
      <c r="E104" s="142" t="str">
        <f>IFERROR(INDEX(M_User!$A$12:$J$67,MATCH(D104,M_User!$D$12:$D$67,0),3),"UNMAPPED")</f>
        <v>Riziki Rajabu Mghamba</v>
      </c>
      <c r="F104" s="73" t="s">
        <v>199</v>
      </c>
      <c r="G104" s="142" t="str">
        <f>IFERROR(INDEX(M_SKU!$A$18:$J$57,MATCH(F104,M_SKU!$B$18:$B$57,0),1),"UNKNOWN SKU")</f>
        <v>Krest Club Soda RGB 300ml</v>
      </c>
      <c r="H104" s="73" t="s">
        <v>539</v>
      </c>
      <c r="I104" s="93">
        <v>8.3950542426492997E-2</v>
      </c>
      <c r="J104" s="144" t="s">
        <v>3367</v>
      </c>
      <c r="K104" s="145" t="s">
        <v>3375</v>
      </c>
      <c r="L104" s="144" t="s">
        <v>435</v>
      </c>
      <c r="M104" s="146">
        <v>46180</v>
      </c>
      <c r="N104" s="130">
        <v>46180</v>
      </c>
      <c r="O104" s="143" t="str">
        <f t="shared" ca="1" si="1"/>
        <v>Within SLA</v>
      </c>
    </row>
    <row r="105" spans="1:15" ht="15" customHeight="1" x14ac:dyDescent="0.3">
      <c r="A105" s="60" t="s">
        <v>3462</v>
      </c>
      <c r="B105" s="126" t="s">
        <v>2979</v>
      </c>
      <c r="C105" s="105" t="s">
        <v>3347</v>
      </c>
      <c r="D105" s="63" t="s">
        <v>404</v>
      </c>
      <c r="E105" s="135" t="str">
        <f>IFERROR(INDEX(M_User!$A$12:$J$67,MATCH(D105,M_User!$D$12:$D$67,0),3),"UNMAPPED")</f>
        <v>Riziki Rajabu Mghamba</v>
      </c>
      <c r="F105" s="63" t="s">
        <v>201</v>
      </c>
      <c r="G105" s="135" t="str">
        <f>IFERROR(INDEX(M_SKU!$A$18:$J$57,MATCH(F105,M_SKU!$B$18:$B$57,0),1),"UNKNOWN SKU")</f>
        <v>Krest Tonic Water RGB 300ml</v>
      </c>
      <c r="H105" s="63" t="s">
        <v>540</v>
      </c>
      <c r="I105" s="90">
        <v>8.8127286008622199E-2</v>
      </c>
      <c r="J105" s="136"/>
      <c r="K105" s="137"/>
      <c r="L105" s="136"/>
      <c r="M105" s="138"/>
      <c r="N105" s="62">
        <v>46180</v>
      </c>
      <c r="O105" s="139" t="str">
        <f t="shared" ca="1" si="1"/>
        <v>BREACHED</v>
      </c>
    </row>
    <row r="106" spans="1:15" ht="23.25" customHeight="1" x14ac:dyDescent="0.3">
      <c r="A106" s="70" t="s">
        <v>3463</v>
      </c>
      <c r="B106" s="140" t="s">
        <v>2980</v>
      </c>
      <c r="C106" s="141" t="s">
        <v>3347</v>
      </c>
      <c r="D106" s="73" t="s">
        <v>404</v>
      </c>
      <c r="E106" s="142" t="str">
        <f>IFERROR(INDEX(M_User!$A$12:$J$67,MATCH(D106,M_User!$D$12:$D$67,0),3),"UNMAPPED")</f>
        <v>Riziki Rajabu Mghamba</v>
      </c>
      <c r="F106" s="73" t="s">
        <v>203</v>
      </c>
      <c r="G106" s="142" t="str">
        <f>IFERROR(INDEX(M_SKU!$A$18:$J$57,MATCH(F106,M_SKU!$B$18:$B$57,0),1),"UNKNOWN SKU")</f>
        <v>Krest Ginger Ale RGB 300ml</v>
      </c>
      <c r="H106" s="73" t="s">
        <v>541</v>
      </c>
      <c r="I106" s="93">
        <v>5.8971175184110998E-2</v>
      </c>
      <c r="J106" s="144" t="s">
        <v>3367</v>
      </c>
      <c r="K106" s="145" t="s">
        <v>3418</v>
      </c>
      <c r="L106" s="144" t="s">
        <v>432</v>
      </c>
      <c r="M106" s="146">
        <v>46180</v>
      </c>
      <c r="N106" s="130">
        <v>46180</v>
      </c>
      <c r="O106" s="143" t="str">
        <f t="shared" ca="1" si="1"/>
        <v>Within SLA</v>
      </c>
    </row>
    <row r="107" spans="1:15" ht="15" customHeight="1" x14ac:dyDescent="0.3">
      <c r="A107" s="60" t="s">
        <v>3464</v>
      </c>
      <c r="B107" s="126" t="s">
        <v>2981</v>
      </c>
      <c r="C107" s="105" t="s">
        <v>3347</v>
      </c>
      <c r="D107" s="63" t="s">
        <v>404</v>
      </c>
      <c r="E107" s="135" t="str">
        <f>IFERROR(INDEX(M_User!$A$12:$J$67,MATCH(D107,M_User!$D$12:$D$67,0),3),"UNMAPPED")</f>
        <v>Riziki Rajabu Mghamba</v>
      </c>
      <c r="F107" s="63" t="s">
        <v>209</v>
      </c>
      <c r="G107" s="135" t="str">
        <f>IFERROR(INDEX(M_SKU!$A$18:$J$57,MATCH(F107,M_SKU!$B$18:$B$57,0),1),"UNKNOWN SKU")</f>
        <v>Sparletta Red Apple RGB 350ml</v>
      </c>
      <c r="H107" s="63" t="s">
        <v>542</v>
      </c>
      <c r="I107" s="90">
        <v>6.4475410381750003E-2</v>
      </c>
      <c r="J107" s="136"/>
      <c r="K107" s="137"/>
      <c r="L107" s="136"/>
      <c r="M107" s="138"/>
      <c r="N107" s="62">
        <v>46180</v>
      </c>
      <c r="O107" s="139" t="str">
        <f t="shared" ca="1" si="1"/>
        <v>BREACHED</v>
      </c>
    </row>
    <row r="108" spans="1:15" ht="15" customHeight="1" x14ac:dyDescent="0.3">
      <c r="A108" s="70" t="s">
        <v>3465</v>
      </c>
      <c r="B108" s="140" t="s">
        <v>2982</v>
      </c>
      <c r="C108" s="141" t="s">
        <v>3347</v>
      </c>
      <c r="D108" s="73" t="s">
        <v>404</v>
      </c>
      <c r="E108" s="142" t="str">
        <f>IFERROR(INDEX(M_User!$A$12:$J$67,MATCH(D108,M_User!$D$12:$D$67,0),3),"UNMAPPED")</f>
        <v>Riziki Rajabu Mghamba</v>
      </c>
      <c r="F108" s="73" t="s">
        <v>211</v>
      </c>
      <c r="G108" s="142" t="str">
        <f>IFERROR(INDEX(M_SKU!$A$18:$J$57,MATCH(F108,M_SKU!$B$18:$B$57,0),1),"UNKNOWN SKU")</f>
        <v>KNMW 500ml</v>
      </c>
      <c r="H108" s="73" t="s">
        <v>543</v>
      </c>
      <c r="I108" s="93">
        <v>4</v>
      </c>
      <c r="J108" s="136"/>
      <c r="K108" s="137"/>
      <c r="L108" s="136"/>
      <c r="M108" s="138"/>
      <c r="N108" s="130">
        <v>46180</v>
      </c>
      <c r="O108" s="143" t="str">
        <f t="shared" ca="1" si="1"/>
        <v>BREACHED</v>
      </c>
    </row>
    <row r="109" spans="1:15" ht="15" customHeight="1" x14ac:dyDescent="0.3">
      <c r="A109" s="60" t="s">
        <v>3466</v>
      </c>
      <c r="B109" s="126" t="s">
        <v>2983</v>
      </c>
      <c r="C109" s="105" t="s">
        <v>3347</v>
      </c>
      <c r="D109" s="63" t="s">
        <v>404</v>
      </c>
      <c r="E109" s="135" t="str">
        <f>IFERROR(INDEX(M_User!$A$12:$J$67,MATCH(D109,M_User!$D$12:$D$67,0),3),"UNMAPPED")</f>
        <v>Riziki Rajabu Mghamba</v>
      </c>
      <c r="F109" s="63" t="s">
        <v>217</v>
      </c>
      <c r="G109" s="135" t="str">
        <f>IFERROR(INDEX(M_SKU!$A$18:$J$57,MATCH(F109,M_SKU!$B$18:$B$57,0),1),"UNKNOWN SKU")</f>
        <v>KNMW 1500ml</v>
      </c>
      <c r="H109" s="63" t="s">
        <v>544</v>
      </c>
      <c r="I109" s="90">
        <v>4</v>
      </c>
      <c r="J109" s="136"/>
      <c r="K109" s="137"/>
      <c r="L109" s="136"/>
      <c r="M109" s="138"/>
      <c r="N109" s="62">
        <v>46180</v>
      </c>
      <c r="O109" s="139" t="str">
        <f t="shared" ca="1" si="1"/>
        <v>BREACHED</v>
      </c>
    </row>
    <row r="110" spans="1:15" ht="15" customHeight="1" x14ac:dyDescent="0.3">
      <c r="A110" s="70" t="s">
        <v>3467</v>
      </c>
      <c r="B110" s="140" t="s">
        <v>2984</v>
      </c>
      <c r="C110" s="141" t="s">
        <v>3347</v>
      </c>
      <c r="D110" s="73" t="s">
        <v>404</v>
      </c>
      <c r="E110" s="142" t="str">
        <f>IFERROR(INDEX(M_User!$A$12:$J$67,MATCH(D110,M_User!$D$12:$D$67,0),3),"UNMAPPED")</f>
        <v>Riziki Rajabu Mghamba</v>
      </c>
      <c r="F110" s="73" t="s">
        <v>229</v>
      </c>
      <c r="G110" s="142" t="str">
        <f>IFERROR(INDEX(M_SKU!$A$18:$J$57,MATCH(F110,M_SKU!$B$18:$B$57,0),1),"UNKNOWN SKU")</f>
        <v>Coke Pet 500ML ( x12)</v>
      </c>
      <c r="H110" s="73" t="s">
        <v>520</v>
      </c>
      <c r="I110" s="93">
        <v>4</v>
      </c>
      <c r="J110" s="144" t="s">
        <v>3350</v>
      </c>
      <c r="K110" s="145" t="s">
        <v>3450</v>
      </c>
      <c r="L110" s="144" t="s">
        <v>436</v>
      </c>
      <c r="M110" s="146">
        <v>46179</v>
      </c>
      <c r="N110" s="130">
        <v>46180</v>
      </c>
      <c r="O110" s="143" t="str">
        <f t="shared" ca="1" si="1"/>
        <v>Within SLA</v>
      </c>
    </row>
    <row r="111" spans="1:15" ht="15" customHeight="1" x14ac:dyDescent="0.3">
      <c r="A111" s="60" t="s">
        <v>3468</v>
      </c>
      <c r="B111" s="126" t="s">
        <v>2985</v>
      </c>
      <c r="C111" s="105" t="s">
        <v>3347</v>
      </c>
      <c r="D111" s="63" t="s">
        <v>404</v>
      </c>
      <c r="E111" s="135" t="str">
        <f>IFERROR(INDEX(M_User!$A$12:$J$67,MATCH(D111,M_User!$D$12:$D$67,0),3),"UNMAPPED")</f>
        <v>Riziki Rajabu Mghamba</v>
      </c>
      <c r="F111" s="63" t="s">
        <v>232</v>
      </c>
      <c r="G111" s="135" t="str">
        <f>IFERROR(INDEX(M_SKU!$A$18:$J$57,MATCH(F111,M_SKU!$B$18:$B$57,0),1),"UNKNOWN SKU")</f>
        <v>Sprite Pet 500ML (x 12)</v>
      </c>
      <c r="H111" s="63" t="s">
        <v>522</v>
      </c>
      <c r="I111" s="90">
        <v>1</v>
      </c>
      <c r="J111" s="136"/>
      <c r="K111" s="137"/>
      <c r="L111" s="136"/>
      <c r="M111" s="138"/>
      <c r="N111" s="62">
        <v>46180</v>
      </c>
      <c r="O111" s="139" t="str">
        <f t="shared" ca="1" si="1"/>
        <v>BREACHED</v>
      </c>
    </row>
    <row r="112" spans="1:15" ht="15" customHeight="1" x14ac:dyDescent="0.3">
      <c r="A112" s="70" t="s">
        <v>3469</v>
      </c>
      <c r="B112" s="140" t="s">
        <v>2986</v>
      </c>
      <c r="C112" s="141" t="s">
        <v>3347</v>
      </c>
      <c r="D112" s="73" t="s">
        <v>404</v>
      </c>
      <c r="E112" s="142" t="str">
        <f>IFERROR(INDEX(M_User!$A$12:$J$67,MATCH(D112,M_User!$D$12:$D$67,0),3),"UNMAPPED")</f>
        <v>Riziki Rajabu Mghamba</v>
      </c>
      <c r="F112" s="73" t="s">
        <v>234</v>
      </c>
      <c r="G112" s="142" t="str">
        <f>IFERROR(INDEX(M_SKU!$A$18:$J$57,MATCH(F112,M_SKU!$B$18:$B$57,0),1),"UNKNOWN SKU")</f>
        <v>Fanta Orange Pet 500ML ( x 12)</v>
      </c>
      <c r="H112" s="73" t="s">
        <v>523</v>
      </c>
      <c r="I112" s="93">
        <v>2</v>
      </c>
      <c r="J112" s="136"/>
      <c r="K112" s="137"/>
      <c r="L112" s="136"/>
      <c r="M112" s="138"/>
      <c r="N112" s="130">
        <v>46180</v>
      </c>
      <c r="O112" s="143" t="str">
        <f t="shared" ca="1" si="1"/>
        <v>BREACHED</v>
      </c>
    </row>
    <row r="113" spans="1:15" ht="15" customHeight="1" x14ac:dyDescent="0.3">
      <c r="A113" s="60" t="s">
        <v>3470</v>
      </c>
      <c r="B113" s="126" t="s">
        <v>2987</v>
      </c>
      <c r="C113" s="105" t="s">
        <v>3347</v>
      </c>
      <c r="D113" s="63" t="s">
        <v>404</v>
      </c>
      <c r="E113" s="135" t="str">
        <f>IFERROR(INDEX(M_User!$A$12:$J$67,MATCH(D113,M_User!$D$12:$D$67,0),3),"UNMAPPED")</f>
        <v>Riziki Rajabu Mghamba</v>
      </c>
      <c r="F113" s="63" t="s">
        <v>236</v>
      </c>
      <c r="G113" s="135" t="str">
        <f>IFERROR(INDEX(M_SKU!$A$18:$J$57,MATCH(F113,M_SKU!$B$18:$B$57,0),1),"UNKNOWN SKU")</f>
        <v>Fanta Passion Pet 500ML ( x12)</v>
      </c>
      <c r="H113" s="63" t="s">
        <v>524</v>
      </c>
      <c r="I113" s="90">
        <v>3</v>
      </c>
      <c r="J113" s="136"/>
      <c r="K113" s="137"/>
      <c r="L113" s="136"/>
      <c r="M113" s="138"/>
      <c r="N113" s="62">
        <v>46180</v>
      </c>
      <c r="O113" s="139" t="str">
        <f t="shared" ca="1" si="1"/>
        <v>BREACHED</v>
      </c>
    </row>
    <row r="114" spans="1:15" ht="15" customHeight="1" x14ac:dyDescent="0.3">
      <c r="A114" s="70" t="s">
        <v>3471</v>
      </c>
      <c r="B114" s="140" t="s">
        <v>2988</v>
      </c>
      <c r="C114" s="141" t="s">
        <v>3347</v>
      </c>
      <c r="D114" s="73" t="s">
        <v>404</v>
      </c>
      <c r="E114" s="142" t="str">
        <f>IFERROR(INDEX(M_User!$A$12:$J$67,MATCH(D114,M_User!$D$12:$D$67,0),3),"UNMAPPED")</f>
        <v>Riziki Rajabu Mghamba</v>
      </c>
      <c r="F114" s="73" t="s">
        <v>242</v>
      </c>
      <c r="G114" s="142" t="str">
        <f>IFERROR(INDEX(M_SKU!$A$18:$J$57,MATCH(F114,M_SKU!$B$18:$B$57,0),1),"UNKNOWN SKU")</f>
        <v>Stoney Tangawizi Pet 500 ml ( x12)</v>
      </c>
      <c r="H114" s="73" t="s">
        <v>525</v>
      </c>
      <c r="I114" s="93">
        <v>1</v>
      </c>
      <c r="J114" s="136"/>
      <c r="K114" s="137"/>
      <c r="L114" s="136"/>
      <c r="M114" s="138"/>
      <c r="N114" s="130">
        <v>46180</v>
      </c>
      <c r="O114" s="143" t="str">
        <f t="shared" ca="1" si="1"/>
        <v>BREACHED</v>
      </c>
    </row>
    <row r="115" spans="1:15" ht="23.25" customHeight="1" x14ac:dyDescent="0.3">
      <c r="A115" s="60" t="s">
        <v>3472</v>
      </c>
      <c r="B115" s="126" t="s">
        <v>2990</v>
      </c>
      <c r="C115" s="105" t="s">
        <v>3347</v>
      </c>
      <c r="D115" s="63" t="s">
        <v>404</v>
      </c>
      <c r="E115" s="135" t="str">
        <f>IFERROR(INDEX(M_User!$A$12:$J$67,MATCH(D115,M_User!$D$12:$D$67,0),3),"UNMAPPED")</f>
        <v>Riziki Rajabu Mghamba</v>
      </c>
      <c r="F115" s="63" t="s">
        <v>252</v>
      </c>
      <c r="G115" s="135" t="str">
        <f>IFERROR(INDEX(M_SKU!$A$18:$J$57,MATCH(F115,M_SKU!$B$18:$B$57,0),1),"UNKNOWN SKU")</f>
        <v>Sprite Zero Pet 300ML (x 12)</v>
      </c>
      <c r="H115" s="63" t="s">
        <v>545</v>
      </c>
      <c r="I115" s="90">
        <v>1</v>
      </c>
      <c r="J115" s="144" t="s">
        <v>3367</v>
      </c>
      <c r="K115" s="145" t="s">
        <v>3418</v>
      </c>
      <c r="L115" s="144" t="s">
        <v>433</v>
      </c>
      <c r="M115" s="146">
        <v>46180</v>
      </c>
      <c r="N115" s="62">
        <v>46180</v>
      </c>
      <c r="O115" s="139" t="str">
        <f t="shared" ca="1" si="1"/>
        <v>Within SLA</v>
      </c>
    </row>
    <row r="116" spans="1:15" ht="23.25" customHeight="1" x14ac:dyDescent="0.3">
      <c r="A116" s="70" t="s">
        <v>3473</v>
      </c>
      <c r="B116" s="140" t="s">
        <v>2992</v>
      </c>
      <c r="C116" s="141" t="s">
        <v>3347</v>
      </c>
      <c r="D116" s="73" t="s">
        <v>404</v>
      </c>
      <c r="E116" s="142" t="str">
        <f>IFERROR(INDEX(M_User!$A$12:$J$67,MATCH(D116,M_User!$D$12:$D$67,0),3),"UNMAPPED")</f>
        <v>Riziki Rajabu Mghamba</v>
      </c>
      <c r="F116" s="73" t="s">
        <v>261</v>
      </c>
      <c r="G116" s="142" t="str">
        <f>IFERROR(INDEX(M_SKU!$A$18:$J$57,MATCH(F116,M_SKU!$B$18:$B$57,0),1),"UNKNOWN SKU")</f>
        <v>Sparletta Pine Apple Pet 300ML (x 12)</v>
      </c>
      <c r="H116" s="73" t="s">
        <v>547</v>
      </c>
      <c r="I116" s="93">
        <v>1</v>
      </c>
      <c r="J116" s="136"/>
      <c r="K116" s="137"/>
      <c r="L116" s="136"/>
      <c r="M116" s="138"/>
      <c r="N116" s="130">
        <v>46180</v>
      </c>
      <c r="O116" s="143" t="str">
        <f t="shared" ca="1" si="1"/>
        <v>BREACHED</v>
      </c>
    </row>
    <row r="117" spans="1:15" ht="15" customHeight="1" x14ac:dyDescent="0.3">
      <c r="A117" s="60" t="s">
        <v>3474</v>
      </c>
      <c r="B117" s="126" t="s">
        <v>2993</v>
      </c>
      <c r="C117" s="105" t="s">
        <v>3347</v>
      </c>
      <c r="D117" s="63" t="s">
        <v>427</v>
      </c>
      <c r="E117" s="135" t="str">
        <f>IFERROR(INDEX(M_User!$A$12:$J$67,MATCH(D117,M_User!$D$12:$D$67,0),3),"UNMAPPED")</f>
        <v>Piniel Julius Singo</v>
      </c>
      <c r="F117" s="63" t="s">
        <v>170</v>
      </c>
      <c r="G117" s="135" t="str">
        <f>IFERROR(INDEX(M_SKU!$A$18:$J$57,MATCH(F117,M_SKU!$B$18:$B$57,0),1),"UNKNOWN SKU")</f>
        <v>Coke RGB 350ml</v>
      </c>
      <c r="H117" s="63" t="s">
        <v>530</v>
      </c>
      <c r="I117" s="90">
        <v>1.09228210929668E-3</v>
      </c>
      <c r="J117" s="136"/>
      <c r="K117" s="137"/>
      <c r="L117" s="136"/>
      <c r="M117" s="138"/>
      <c r="N117" s="62">
        <v>46180</v>
      </c>
      <c r="O117" s="139" t="str">
        <f t="shared" ca="1" si="1"/>
        <v>BREACHED</v>
      </c>
    </row>
    <row r="118" spans="1:15" ht="15" customHeight="1" x14ac:dyDescent="0.3">
      <c r="A118" s="70" t="s">
        <v>3475</v>
      </c>
      <c r="B118" s="140" t="s">
        <v>2994</v>
      </c>
      <c r="C118" s="141" t="s">
        <v>3347</v>
      </c>
      <c r="D118" s="73" t="s">
        <v>427</v>
      </c>
      <c r="E118" s="142" t="str">
        <f>IFERROR(INDEX(M_User!$A$12:$J$67,MATCH(D118,M_User!$D$12:$D$67,0),3),"UNMAPPED")</f>
        <v>Piniel Julius Singo</v>
      </c>
      <c r="F118" s="73" t="s">
        <v>178</v>
      </c>
      <c r="G118" s="142" t="str">
        <f>IFERROR(INDEX(M_SKU!$A$18:$J$57,MATCH(F118,M_SKU!$B$18:$B$57,0),1),"UNKNOWN SKU")</f>
        <v>Fanta Orange RGB 350ml</v>
      </c>
      <c r="H118" s="73" t="s">
        <v>531</v>
      </c>
      <c r="I118" s="93">
        <v>8.2098400280905504E-4</v>
      </c>
      <c r="J118" s="136"/>
      <c r="K118" s="137"/>
      <c r="L118" s="136"/>
      <c r="M118" s="138"/>
      <c r="N118" s="130">
        <v>46180</v>
      </c>
      <c r="O118" s="143" t="str">
        <f t="shared" ca="1" si="1"/>
        <v>BREACHED</v>
      </c>
    </row>
    <row r="119" spans="1:15" ht="15" customHeight="1" x14ac:dyDescent="0.3">
      <c r="A119" s="60" t="s">
        <v>3476</v>
      </c>
      <c r="B119" s="126" t="s">
        <v>2995</v>
      </c>
      <c r="C119" s="68" t="s">
        <v>3345</v>
      </c>
      <c r="D119" s="63" t="s">
        <v>427</v>
      </c>
      <c r="E119" s="135" t="str">
        <f>IFERROR(INDEX(M_User!$A$12:$J$67,MATCH(D119,M_User!$D$12:$D$67,0),3),"UNMAPPED")</f>
        <v>Piniel Julius Singo</v>
      </c>
      <c r="F119" s="63" t="s">
        <v>181</v>
      </c>
      <c r="G119" s="135" t="str">
        <f>IFERROR(INDEX(M_SKU!$A$18:$J$57,MATCH(F119,M_SKU!$B$18:$B$57,0),1),"UNKNOWN SKU")</f>
        <v>Fanta Passion RGB 350ml</v>
      </c>
      <c r="H119" s="63" t="s">
        <v>550</v>
      </c>
      <c r="I119" s="90">
        <v>1.3698372549497699E-3</v>
      </c>
      <c r="J119" s="136"/>
      <c r="K119" s="137"/>
      <c r="L119" s="136"/>
      <c r="M119" s="138"/>
      <c r="N119" s="62">
        <v>46180</v>
      </c>
      <c r="O119" s="139" t="str">
        <f t="shared" ca="1" si="1"/>
        <v>BREACHED</v>
      </c>
    </row>
    <row r="120" spans="1:15" ht="23.25" customHeight="1" x14ac:dyDescent="0.3">
      <c r="A120" s="70" t="s">
        <v>3477</v>
      </c>
      <c r="B120" s="140" t="s">
        <v>2996</v>
      </c>
      <c r="C120" s="147" t="s">
        <v>3345</v>
      </c>
      <c r="D120" s="73" t="s">
        <v>427</v>
      </c>
      <c r="E120" s="142" t="str">
        <f>IFERROR(INDEX(M_User!$A$12:$J$67,MATCH(D120,M_User!$D$12:$D$67,0),3),"UNMAPPED")</f>
        <v>Piniel Julius Singo</v>
      </c>
      <c r="F120" s="73" t="s">
        <v>183</v>
      </c>
      <c r="G120" s="142" t="str">
        <f>IFERROR(INDEX(M_SKU!$A$18:$J$57,MATCH(F120,M_SKU!$B$18:$B$57,0),1),"UNKNOWN SKU")</f>
        <v>Fanta Pineapple RGB 350ml</v>
      </c>
      <c r="H120" s="73" t="s">
        <v>533</v>
      </c>
      <c r="I120" s="93">
        <v>1.9608399573503E-3</v>
      </c>
      <c r="J120" s="144" t="s">
        <v>3367</v>
      </c>
      <c r="K120" s="145" t="s">
        <v>3368</v>
      </c>
      <c r="L120" s="144" t="s">
        <v>431</v>
      </c>
      <c r="M120" s="146">
        <v>46179</v>
      </c>
      <c r="N120" s="130">
        <v>46180</v>
      </c>
      <c r="O120" s="143" t="str">
        <f t="shared" ca="1" si="1"/>
        <v>Within SLA</v>
      </c>
    </row>
    <row r="121" spans="1:15" ht="15" customHeight="1" x14ac:dyDescent="0.3">
      <c r="A121" s="60" t="s">
        <v>3478</v>
      </c>
      <c r="B121" s="126" t="s">
        <v>2997</v>
      </c>
      <c r="C121" s="68" t="s">
        <v>3345</v>
      </c>
      <c r="D121" s="63" t="s">
        <v>427</v>
      </c>
      <c r="E121" s="135" t="str">
        <f>IFERROR(INDEX(M_User!$A$12:$J$67,MATCH(D121,M_User!$D$12:$D$67,0),3),"UNMAPPED")</f>
        <v>Piniel Julius Singo</v>
      </c>
      <c r="F121" s="63" t="s">
        <v>185</v>
      </c>
      <c r="G121" s="135" t="str">
        <f>IFERROR(INDEX(M_SKU!$A$18:$J$57,MATCH(F121,M_SKU!$B$18:$B$57,0),1),"UNKNOWN SKU")</f>
        <v>Fanta Fruit Blast RGB 350 ml</v>
      </c>
      <c r="H121" s="63" t="s">
        <v>534</v>
      </c>
      <c r="I121" s="90">
        <v>9.4897014331418695E-4</v>
      </c>
      <c r="J121" s="136"/>
      <c r="K121" s="137"/>
      <c r="L121" s="136"/>
      <c r="M121" s="138"/>
      <c r="N121" s="62">
        <v>46180</v>
      </c>
      <c r="O121" s="139" t="str">
        <f t="shared" ca="1" si="1"/>
        <v>BREACHED</v>
      </c>
    </row>
    <row r="122" spans="1:15" ht="23.25" customHeight="1" x14ac:dyDescent="0.3">
      <c r="A122" s="70" t="s">
        <v>3479</v>
      </c>
      <c r="B122" s="140" t="s">
        <v>2998</v>
      </c>
      <c r="C122" s="147" t="s">
        <v>3345</v>
      </c>
      <c r="D122" s="73" t="s">
        <v>427</v>
      </c>
      <c r="E122" s="142" t="str">
        <f>IFERROR(INDEX(M_User!$A$12:$J$67,MATCH(D122,M_User!$D$12:$D$67,0),3),"UNMAPPED")</f>
        <v>Piniel Julius Singo</v>
      </c>
      <c r="F122" s="73" t="s">
        <v>187</v>
      </c>
      <c r="G122" s="142" t="str">
        <f>IFERROR(INDEX(M_SKU!$A$18:$J$57,MATCH(F122,M_SKU!$B$18:$B$57,0),1),"UNKNOWN SKU")</f>
        <v>Sprite 350ml</v>
      </c>
      <c r="H122" s="73" t="s">
        <v>535</v>
      </c>
      <c r="I122" s="93">
        <v>5.4592380780982296E-4</v>
      </c>
      <c r="J122" s="144" t="s">
        <v>3367</v>
      </c>
      <c r="K122" s="145" t="s">
        <v>3420</v>
      </c>
      <c r="L122" s="144" t="s">
        <v>431</v>
      </c>
      <c r="M122" s="146">
        <v>46179</v>
      </c>
      <c r="N122" s="130">
        <v>46180</v>
      </c>
      <c r="O122" s="143" t="str">
        <f t="shared" ca="1" si="1"/>
        <v>Within SLA</v>
      </c>
    </row>
    <row r="123" spans="1:15" ht="15" customHeight="1" x14ac:dyDescent="0.3">
      <c r="A123" s="60" t="s">
        <v>3480</v>
      </c>
      <c r="B123" s="126" t="s">
        <v>2999</v>
      </c>
      <c r="C123" s="105" t="s">
        <v>3347</v>
      </c>
      <c r="D123" s="63" t="s">
        <v>427</v>
      </c>
      <c r="E123" s="135" t="str">
        <f>IFERROR(INDEX(M_User!$A$12:$J$67,MATCH(D123,M_User!$D$12:$D$67,0),3),"UNMAPPED")</f>
        <v>Piniel Julius Singo</v>
      </c>
      <c r="F123" s="63" t="s">
        <v>190</v>
      </c>
      <c r="G123" s="135" t="str">
        <f>IFERROR(INDEX(M_SKU!$A$18:$J$57,MATCH(F123,M_SKU!$B$18:$B$57,0),1),"UNKNOWN SKU")</f>
        <v>Stoney Tangawizi RGB 350ml</v>
      </c>
      <c r="H123" s="63" t="s">
        <v>536</v>
      </c>
      <c r="I123" s="90">
        <v>4.6807595862201597E-3</v>
      </c>
      <c r="J123" s="144" t="s">
        <v>3350</v>
      </c>
      <c r="K123" s="145" t="s">
        <v>3394</v>
      </c>
      <c r="L123" s="144" t="s">
        <v>434</v>
      </c>
      <c r="M123" s="146">
        <v>46180</v>
      </c>
      <c r="N123" s="62">
        <v>46180</v>
      </c>
      <c r="O123" s="139" t="str">
        <f t="shared" ca="1" si="1"/>
        <v>Within SLA</v>
      </c>
    </row>
    <row r="124" spans="1:15" ht="15" customHeight="1" x14ac:dyDescent="0.3">
      <c r="A124" s="70" t="s">
        <v>3481</v>
      </c>
      <c r="B124" s="140" t="s">
        <v>3000</v>
      </c>
      <c r="C124" s="147" t="s">
        <v>3345</v>
      </c>
      <c r="D124" s="73" t="s">
        <v>427</v>
      </c>
      <c r="E124" s="142" t="str">
        <f>IFERROR(INDEX(M_User!$A$12:$J$67,MATCH(D124,M_User!$D$12:$D$67,0),3),"UNMAPPED")</f>
        <v>Piniel Julius Singo</v>
      </c>
      <c r="F124" s="73" t="s">
        <v>193</v>
      </c>
      <c r="G124" s="142" t="str">
        <f>IFERROR(INDEX(M_SKU!$A$18:$J$57,MATCH(F124,M_SKU!$B$18:$B$57,0),1),"UNKNOWN SKU")</f>
        <v>Sparletta Pinenut RGB 350ml</v>
      </c>
      <c r="H124" s="73" t="s">
        <v>537</v>
      </c>
      <c r="I124" s="93">
        <v>2.1559238094828199E-3</v>
      </c>
      <c r="J124" s="144" t="s">
        <v>3384</v>
      </c>
      <c r="K124" s="145" t="s">
        <v>3411</v>
      </c>
      <c r="L124" s="144" t="s">
        <v>431</v>
      </c>
      <c r="M124" s="146">
        <v>46180</v>
      </c>
      <c r="N124" s="130">
        <v>46180</v>
      </c>
      <c r="O124" s="143" t="str">
        <f t="shared" ca="1" si="1"/>
        <v>Within SLA</v>
      </c>
    </row>
    <row r="125" spans="1:15" ht="15" customHeight="1" x14ac:dyDescent="0.3">
      <c r="A125" s="60" t="s">
        <v>3482</v>
      </c>
      <c r="B125" s="126" t="s">
        <v>3002</v>
      </c>
      <c r="C125" s="68" t="s">
        <v>3345</v>
      </c>
      <c r="D125" s="63" t="s">
        <v>427</v>
      </c>
      <c r="E125" s="135" t="str">
        <f>IFERROR(INDEX(M_User!$A$12:$J$67,MATCH(D125,M_User!$D$12:$D$67,0),3),"UNMAPPED")</f>
        <v>Piniel Julius Singo</v>
      </c>
      <c r="F125" s="63" t="s">
        <v>201</v>
      </c>
      <c r="G125" s="135" t="str">
        <f>IFERROR(INDEX(M_SKU!$A$18:$J$57,MATCH(F125,M_SKU!$B$18:$B$57,0),1),"UNKNOWN SKU")</f>
        <v>Krest Tonic Water RGB 300ml</v>
      </c>
      <c r="H125" s="63" t="s">
        <v>540</v>
      </c>
      <c r="I125" s="90">
        <v>1.6971568919903501E-3</v>
      </c>
      <c r="J125" s="144" t="s">
        <v>3384</v>
      </c>
      <c r="K125" s="145" t="s">
        <v>3411</v>
      </c>
      <c r="L125" s="144" t="s">
        <v>434</v>
      </c>
      <c r="M125" s="146">
        <v>46179</v>
      </c>
      <c r="N125" s="62">
        <v>46180</v>
      </c>
      <c r="O125" s="139" t="str">
        <f t="shared" ca="1" si="1"/>
        <v>Within SLA</v>
      </c>
    </row>
    <row r="126" spans="1:15" ht="15" customHeight="1" x14ac:dyDescent="0.3">
      <c r="A126" s="70" t="s">
        <v>3483</v>
      </c>
      <c r="B126" s="140" t="s">
        <v>3003</v>
      </c>
      <c r="C126" s="141" t="s">
        <v>3347</v>
      </c>
      <c r="D126" s="73" t="s">
        <v>427</v>
      </c>
      <c r="E126" s="142" t="str">
        <f>IFERROR(INDEX(M_User!$A$12:$J$67,MATCH(D126,M_User!$D$12:$D$67,0),3),"UNMAPPED")</f>
        <v>Piniel Julius Singo</v>
      </c>
      <c r="F126" s="73" t="s">
        <v>203</v>
      </c>
      <c r="G126" s="142" t="str">
        <f>IFERROR(INDEX(M_SKU!$A$18:$J$57,MATCH(F126,M_SKU!$B$18:$B$57,0),1),"UNKNOWN SKU")</f>
        <v>Krest Ginger Ale RGB 300ml</v>
      </c>
      <c r="H126" s="73" t="s">
        <v>541</v>
      </c>
      <c r="I126" s="93">
        <v>4.9396002514199297E-3</v>
      </c>
      <c r="J126" s="136"/>
      <c r="K126" s="137"/>
      <c r="L126" s="136"/>
      <c r="M126" s="138"/>
      <c r="N126" s="130">
        <v>46180</v>
      </c>
      <c r="O126" s="143" t="str">
        <f t="shared" ca="1" si="1"/>
        <v>BREACHED</v>
      </c>
    </row>
    <row r="127" spans="1:15" ht="15" customHeight="1" x14ac:dyDescent="0.3">
      <c r="A127" s="60" t="s">
        <v>3484</v>
      </c>
      <c r="B127" s="126" t="s">
        <v>3004</v>
      </c>
      <c r="C127" s="68" t="s">
        <v>3345</v>
      </c>
      <c r="D127" s="63" t="s">
        <v>427</v>
      </c>
      <c r="E127" s="135" t="str">
        <f>IFERROR(INDEX(M_User!$A$12:$J$67,MATCH(D127,M_User!$D$12:$D$67,0),3),"UNMAPPED")</f>
        <v>Piniel Julius Singo</v>
      </c>
      <c r="F127" s="63" t="s">
        <v>209</v>
      </c>
      <c r="G127" s="135" t="str">
        <f>IFERROR(INDEX(M_SKU!$A$18:$J$57,MATCH(F127,M_SKU!$B$18:$B$57,0),1),"UNKNOWN SKU")</f>
        <v>Sparletta Red Apple RGB 350ml</v>
      </c>
      <c r="H127" s="63" t="s">
        <v>542</v>
      </c>
      <c r="I127" s="90">
        <v>3.12067558796494E-3</v>
      </c>
      <c r="J127" s="136"/>
      <c r="K127" s="137"/>
      <c r="L127" s="136"/>
      <c r="M127" s="138"/>
      <c r="N127" s="62">
        <v>46180</v>
      </c>
      <c r="O127" s="139" t="str">
        <f t="shared" ca="1" si="1"/>
        <v>BREACHED</v>
      </c>
    </row>
    <row r="128" spans="1:15" ht="15" customHeight="1" x14ac:dyDescent="0.3">
      <c r="A128" s="70" t="s">
        <v>3485</v>
      </c>
      <c r="B128" s="140" t="s">
        <v>3015</v>
      </c>
      <c r="C128" s="141" t="s">
        <v>3347</v>
      </c>
      <c r="D128" s="73" t="s">
        <v>424</v>
      </c>
      <c r="E128" s="142" t="str">
        <f>IFERROR(INDEX(M_User!$A$12:$J$67,MATCH(D128,M_User!$D$12:$D$67,0),3),"UNMAPPED")</f>
        <v>Raymond P Sangawe</v>
      </c>
      <c r="F128" s="73" t="s">
        <v>170</v>
      </c>
      <c r="G128" s="142" t="str">
        <f>IFERROR(INDEX(M_SKU!$A$18:$J$57,MATCH(F128,M_SKU!$B$18:$B$57,0),1),"UNKNOWN SKU")</f>
        <v>Coke RGB 350ml</v>
      </c>
      <c r="H128" s="73" t="s">
        <v>530</v>
      </c>
      <c r="I128" s="93">
        <v>2.61293498619608E-3</v>
      </c>
      <c r="J128" s="136"/>
      <c r="K128" s="137"/>
      <c r="L128" s="136"/>
      <c r="M128" s="138"/>
      <c r="N128" s="130">
        <v>46180</v>
      </c>
      <c r="O128" s="143" t="str">
        <f t="shared" ca="1" si="1"/>
        <v>BREACHED</v>
      </c>
    </row>
    <row r="129" spans="1:15" ht="23.25" customHeight="1" x14ac:dyDescent="0.3">
      <c r="A129" s="60" t="s">
        <v>3486</v>
      </c>
      <c r="B129" s="126" t="s">
        <v>3016</v>
      </c>
      <c r="C129" s="105" t="s">
        <v>3347</v>
      </c>
      <c r="D129" s="63" t="s">
        <v>424</v>
      </c>
      <c r="E129" s="135" t="str">
        <f>IFERROR(INDEX(M_User!$A$12:$J$67,MATCH(D129,M_User!$D$12:$D$67,0),3),"UNMAPPED")</f>
        <v>Raymond P Sangawe</v>
      </c>
      <c r="F129" s="63" t="s">
        <v>178</v>
      </c>
      <c r="G129" s="135" t="str">
        <f>IFERROR(INDEX(M_SKU!$A$18:$J$57,MATCH(F129,M_SKU!$B$18:$B$57,0),1),"UNKNOWN SKU")</f>
        <v>Fanta Orange RGB 350ml</v>
      </c>
      <c r="H129" s="63" t="s">
        <v>531</v>
      </c>
      <c r="I129" s="90">
        <v>4.6550723706997301E-3</v>
      </c>
      <c r="J129" s="144" t="s">
        <v>3384</v>
      </c>
      <c r="K129" s="145" t="s">
        <v>3385</v>
      </c>
      <c r="L129" s="144" t="s">
        <v>430</v>
      </c>
      <c r="M129" s="146">
        <v>46179</v>
      </c>
      <c r="N129" s="62">
        <v>46180</v>
      </c>
      <c r="O129" s="139" t="str">
        <f t="shared" ca="1" si="1"/>
        <v>Within SLA</v>
      </c>
    </row>
    <row r="130" spans="1:15" ht="15" customHeight="1" x14ac:dyDescent="0.3">
      <c r="A130" s="70" t="s">
        <v>3487</v>
      </c>
      <c r="B130" s="140" t="s">
        <v>3017</v>
      </c>
      <c r="C130" s="141" t="s">
        <v>3347</v>
      </c>
      <c r="D130" s="73" t="s">
        <v>424</v>
      </c>
      <c r="E130" s="142" t="str">
        <f>IFERROR(INDEX(M_User!$A$12:$J$67,MATCH(D130,M_User!$D$12:$D$67,0),3),"UNMAPPED")</f>
        <v>Raymond P Sangawe</v>
      </c>
      <c r="F130" s="73" t="s">
        <v>181</v>
      </c>
      <c r="G130" s="142" t="str">
        <f>IFERROR(INDEX(M_SKU!$A$18:$J$57,MATCH(F130,M_SKU!$B$18:$B$57,0),1),"UNKNOWN SKU")</f>
        <v>Fanta Passion RGB 350ml</v>
      </c>
      <c r="H130" s="73" t="s">
        <v>550</v>
      </c>
      <c r="I130" s="93">
        <v>1.0142689567938E-4</v>
      </c>
      <c r="J130" s="136"/>
      <c r="K130" s="137"/>
      <c r="L130" s="136"/>
      <c r="M130" s="138"/>
      <c r="N130" s="130">
        <v>46180</v>
      </c>
      <c r="O130" s="143" t="str">
        <f t="shared" ca="1" si="1"/>
        <v>BREACHED</v>
      </c>
    </row>
    <row r="131" spans="1:15" ht="15" customHeight="1" x14ac:dyDescent="0.3">
      <c r="A131" s="60" t="s">
        <v>3488</v>
      </c>
      <c r="B131" s="126" t="s">
        <v>3018</v>
      </c>
      <c r="C131" s="105" t="s">
        <v>3347</v>
      </c>
      <c r="D131" s="63" t="s">
        <v>424</v>
      </c>
      <c r="E131" s="135" t="str">
        <f>IFERROR(INDEX(M_User!$A$12:$J$67,MATCH(D131,M_User!$D$12:$D$67,0),3),"UNMAPPED")</f>
        <v>Raymond P Sangawe</v>
      </c>
      <c r="F131" s="63" t="s">
        <v>183</v>
      </c>
      <c r="G131" s="135" t="str">
        <f>IFERROR(INDEX(M_SKU!$A$18:$J$57,MATCH(F131,M_SKU!$B$18:$B$57,0),1),"UNKNOWN SKU")</f>
        <v>Fanta Pineapple RGB 350ml</v>
      </c>
      <c r="H131" s="63" t="s">
        <v>533</v>
      </c>
      <c r="I131" s="90">
        <v>4.3569747067111501E-3</v>
      </c>
      <c r="J131" s="136"/>
      <c r="K131" s="137"/>
      <c r="L131" s="136"/>
      <c r="M131" s="138"/>
      <c r="N131" s="62">
        <v>46180</v>
      </c>
      <c r="O131" s="139" t="str">
        <f t="shared" ca="1" si="1"/>
        <v>BREACHED</v>
      </c>
    </row>
    <row r="132" spans="1:15" ht="15" customHeight="1" x14ac:dyDescent="0.3">
      <c r="A132" s="70" t="s">
        <v>3489</v>
      </c>
      <c r="B132" s="140" t="s">
        <v>3019</v>
      </c>
      <c r="C132" s="141" t="s">
        <v>3347</v>
      </c>
      <c r="D132" s="73" t="s">
        <v>424</v>
      </c>
      <c r="E132" s="142" t="str">
        <f>IFERROR(INDEX(M_User!$A$12:$J$67,MATCH(D132,M_User!$D$12:$D$67,0),3),"UNMAPPED")</f>
        <v>Raymond P Sangawe</v>
      </c>
      <c r="F132" s="73" t="s">
        <v>185</v>
      </c>
      <c r="G132" s="142" t="str">
        <f>IFERROR(INDEX(M_SKU!$A$18:$J$57,MATCH(F132,M_SKU!$B$18:$B$57,0),1),"UNKNOWN SKU")</f>
        <v>Fanta Fruit Blast RGB 350 ml</v>
      </c>
      <c r="H132" s="73" t="s">
        <v>534</v>
      </c>
      <c r="I132" s="93">
        <v>9.8526066227005993E-4</v>
      </c>
      <c r="J132" s="136"/>
      <c r="K132" s="137"/>
      <c r="L132" s="136"/>
      <c r="M132" s="138"/>
      <c r="N132" s="130">
        <v>46180</v>
      </c>
      <c r="O132" s="143" t="str">
        <f t="shared" ca="1" si="1"/>
        <v>BREACHED</v>
      </c>
    </row>
    <row r="133" spans="1:15" ht="15" customHeight="1" x14ac:dyDescent="0.3">
      <c r="A133" s="60" t="s">
        <v>3490</v>
      </c>
      <c r="B133" s="126" t="s">
        <v>3020</v>
      </c>
      <c r="C133" s="68" t="s">
        <v>3345</v>
      </c>
      <c r="D133" s="63" t="s">
        <v>424</v>
      </c>
      <c r="E133" s="135" t="str">
        <f>IFERROR(INDEX(M_User!$A$12:$J$67,MATCH(D133,M_User!$D$12:$D$67,0),3),"UNMAPPED")</f>
        <v>Raymond P Sangawe</v>
      </c>
      <c r="F133" s="63" t="s">
        <v>187</v>
      </c>
      <c r="G133" s="135" t="str">
        <f>IFERROR(INDEX(M_SKU!$A$18:$J$57,MATCH(F133,M_SKU!$B$18:$B$57,0),1),"UNKNOWN SKU")</f>
        <v>Sprite 350ml</v>
      </c>
      <c r="H133" s="63" t="s">
        <v>558</v>
      </c>
      <c r="I133" s="90">
        <v>2.4581650260393499E-3</v>
      </c>
      <c r="J133" s="136"/>
      <c r="K133" s="137"/>
      <c r="L133" s="136"/>
      <c r="M133" s="138"/>
      <c r="N133" s="62">
        <v>46180</v>
      </c>
      <c r="O133" s="139" t="str">
        <f t="shared" ca="1" si="1"/>
        <v>BREACHED</v>
      </c>
    </row>
    <row r="134" spans="1:15" ht="15" customHeight="1" x14ac:dyDescent="0.3">
      <c r="A134" s="70" t="s">
        <v>3491</v>
      </c>
      <c r="B134" s="140" t="s">
        <v>3021</v>
      </c>
      <c r="C134" s="141" t="s">
        <v>3347</v>
      </c>
      <c r="D134" s="73" t="s">
        <v>424</v>
      </c>
      <c r="E134" s="142" t="str">
        <f>IFERROR(INDEX(M_User!$A$12:$J$67,MATCH(D134,M_User!$D$12:$D$67,0),3),"UNMAPPED")</f>
        <v>Raymond P Sangawe</v>
      </c>
      <c r="F134" s="73" t="s">
        <v>190</v>
      </c>
      <c r="G134" s="142" t="str">
        <f>IFERROR(INDEX(M_SKU!$A$18:$J$57,MATCH(F134,M_SKU!$B$18:$B$57,0),1),"UNKNOWN SKU")</f>
        <v>Stoney Tangawizi RGB 350ml</v>
      </c>
      <c r="H134" s="73" t="s">
        <v>536</v>
      </c>
      <c r="I134" s="93">
        <v>3.69226143960022E-3</v>
      </c>
      <c r="J134" s="136"/>
      <c r="K134" s="137"/>
      <c r="L134" s="136"/>
      <c r="M134" s="138"/>
      <c r="N134" s="130">
        <v>46180</v>
      </c>
      <c r="O134" s="143" t="str">
        <f t="shared" ca="1" si="1"/>
        <v>BREACHED</v>
      </c>
    </row>
    <row r="135" spans="1:15" ht="23.25" customHeight="1" x14ac:dyDescent="0.3">
      <c r="A135" s="60" t="s">
        <v>3492</v>
      </c>
      <c r="B135" s="126" t="s">
        <v>3022</v>
      </c>
      <c r="C135" s="105" t="s">
        <v>3347</v>
      </c>
      <c r="D135" s="63" t="s">
        <v>424</v>
      </c>
      <c r="E135" s="135" t="str">
        <f>IFERROR(INDEX(M_User!$A$12:$J$67,MATCH(D135,M_User!$D$12:$D$67,0),3),"UNMAPPED")</f>
        <v>Raymond P Sangawe</v>
      </c>
      <c r="F135" s="63" t="s">
        <v>193</v>
      </c>
      <c r="G135" s="135" t="str">
        <f>IFERROR(INDEX(M_SKU!$A$18:$J$57,MATCH(F135,M_SKU!$B$18:$B$57,0),1),"UNKNOWN SKU")</f>
        <v>Sparletta Pinenut RGB 350ml</v>
      </c>
      <c r="H135" s="63" t="s">
        <v>537</v>
      </c>
      <c r="I135" s="90">
        <v>2.2903395205362601E-3</v>
      </c>
      <c r="J135" s="144" t="s">
        <v>3367</v>
      </c>
      <c r="K135" s="145" t="s">
        <v>3375</v>
      </c>
      <c r="L135" s="144" t="s">
        <v>436</v>
      </c>
      <c r="M135" s="146">
        <v>46179</v>
      </c>
      <c r="N135" s="62">
        <v>46180</v>
      </c>
      <c r="O135" s="139" t="str">
        <f t="shared" ca="1" si="1"/>
        <v>Within SLA</v>
      </c>
    </row>
    <row r="136" spans="1:15" ht="15" customHeight="1" x14ac:dyDescent="0.3">
      <c r="A136" s="70" t="s">
        <v>3493</v>
      </c>
      <c r="B136" s="140" t="s">
        <v>3023</v>
      </c>
      <c r="C136" s="147" t="s">
        <v>3345</v>
      </c>
      <c r="D136" s="73" t="s">
        <v>424</v>
      </c>
      <c r="E136" s="142" t="str">
        <f>IFERROR(INDEX(M_User!$A$12:$J$67,MATCH(D136,M_User!$D$12:$D$67,0),3),"UNMAPPED")</f>
        <v>Raymond P Sangawe</v>
      </c>
      <c r="F136" s="73" t="s">
        <v>196</v>
      </c>
      <c r="G136" s="142" t="str">
        <f>IFERROR(INDEX(M_SKU!$A$18:$J$57,MATCH(F136,M_SKU!$B$18:$B$57,0),1),"UNKNOWN SKU")</f>
        <v>Krest Bitter Lemon RGB 300ml</v>
      </c>
      <c r="H136" s="73" t="s">
        <v>538</v>
      </c>
      <c r="I136" s="93">
        <v>3.76716122795095E-3</v>
      </c>
      <c r="J136" s="136"/>
      <c r="K136" s="137"/>
      <c r="L136" s="136"/>
      <c r="M136" s="138"/>
      <c r="N136" s="130">
        <v>46180</v>
      </c>
      <c r="O136" s="143" t="str">
        <f t="shared" ca="1" si="1"/>
        <v>BREACHED</v>
      </c>
    </row>
    <row r="137" spans="1:15" ht="23.25" customHeight="1" x14ac:dyDescent="0.3">
      <c r="A137" s="60" t="s">
        <v>3494</v>
      </c>
      <c r="B137" s="126" t="s">
        <v>3024</v>
      </c>
      <c r="C137" s="68" t="s">
        <v>3345</v>
      </c>
      <c r="D137" s="63" t="s">
        <v>424</v>
      </c>
      <c r="E137" s="135" t="str">
        <f>IFERROR(INDEX(M_User!$A$12:$J$67,MATCH(D137,M_User!$D$12:$D$67,0),3),"UNMAPPED")</f>
        <v>Raymond P Sangawe</v>
      </c>
      <c r="F137" s="63" t="s">
        <v>199</v>
      </c>
      <c r="G137" s="135" t="str">
        <f>IFERROR(INDEX(M_SKU!$A$18:$J$57,MATCH(F137,M_SKU!$B$18:$B$57,0),1),"UNKNOWN SKU")</f>
        <v>Krest Club Soda RGB 300ml</v>
      </c>
      <c r="H137" s="63" t="s">
        <v>539</v>
      </c>
      <c r="I137" s="90">
        <v>2.7204929591660401E-3</v>
      </c>
      <c r="J137" s="144" t="s">
        <v>3384</v>
      </c>
      <c r="K137" s="145" t="s">
        <v>3429</v>
      </c>
      <c r="L137" s="144" t="s">
        <v>435</v>
      </c>
      <c r="M137" s="146">
        <v>46179</v>
      </c>
      <c r="N137" s="62">
        <v>46180</v>
      </c>
      <c r="O137" s="139" t="str">
        <f t="shared" ref="O137:O200" ca="1" si="2">IF(ISBLANK(M137),IF(TODAY()&gt;N137,"BREACHED","PENDING"),IF(M137&lt;=N137,"Within SLA","BREACHED"))</f>
        <v>Within SLA</v>
      </c>
    </row>
    <row r="138" spans="1:15" ht="15" customHeight="1" x14ac:dyDescent="0.3">
      <c r="A138" s="70" t="s">
        <v>3495</v>
      </c>
      <c r="B138" s="140" t="s">
        <v>3025</v>
      </c>
      <c r="C138" s="147" t="s">
        <v>3345</v>
      </c>
      <c r="D138" s="73" t="s">
        <v>424</v>
      </c>
      <c r="E138" s="142" t="str">
        <f>IFERROR(INDEX(M_User!$A$12:$J$67,MATCH(D138,M_User!$D$12:$D$67,0),3),"UNMAPPED")</f>
        <v>Raymond P Sangawe</v>
      </c>
      <c r="F138" s="73" t="s">
        <v>201</v>
      </c>
      <c r="G138" s="142" t="str">
        <f>IFERROR(INDEX(M_SKU!$A$18:$J$57,MATCH(F138,M_SKU!$B$18:$B$57,0),1),"UNKNOWN SKU")</f>
        <v>Krest Tonic Water RGB 300ml</v>
      </c>
      <c r="H138" s="73" t="s">
        <v>540</v>
      </c>
      <c r="I138" s="93">
        <v>3.9676006372049199E-3</v>
      </c>
      <c r="J138" s="136"/>
      <c r="K138" s="137"/>
      <c r="L138" s="136"/>
      <c r="M138" s="138"/>
      <c r="N138" s="130">
        <v>46180</v>
      </c>
      <c r="O138" s="143" t="str">
        <f t="shared" ca="1" si="2"/>
        <v>BREACHED</v>
      </c>
    </row>
    <row r="139" spans="1:15" ht="15" customHeight="1" x14ac:dyDescent="0.3">
      <c r="A139" s="60" t="s">
        <v>3496</v>
      </c>
      <c r="B139" s="126" t="s">
        <v>3026</v>
      </c>
      <c r="C139" s="105" t="s">
        <v>3347</v>
      </c>
      <c r="D139" s="63" t="s">
        <v>424</v>
      </c>
      <c r="E139" s="135" t="str">
        <f>IFERROR(INDEX(M_User!$A$12:$J$67,MATCH(D139,M_User!$D$12:$D$67,0),3),"UNMAPPED")</f>
        <v>Raymond P Sangawe</v>
      </c>
      <c r="F139" s="63" t="s">
        <v>203</v>
      </c>
      <c r="G139" s="135" t="str">
        <f>IFERROR(INDEX(M_SKU!$A$18:$J$57,MATCH(F139,M_SKU!$B$18:$B$57,0),1),"UNKNOWN SKU")</f>
        <v>Krest Ginger Ale RGB 300ml</v>
      </c>
      <c r="H139" s="63" t="s">
        <v>541</v>
      </c>
      <c r="I139" s="90">
        <v>4.4748614590002199E-3</v>
      </c>
      <c r="J139" s="136"/>
      <c r="K139" s="137"/>
      <c r="L139" s="136"/>
      <c r="M139" s="138"/>
      <c r="N139" s="62">
        <v>46180</v>
      </c>
      <c r="O139" s="139" t="str">
        <f t="shared" ca="1" si="2"/>
        <v>BREACHED</v>
      </c>
    </row>
    <row r="140" spans="1:15" ht="23.25" customHeight="1" x14ac:dyDescent="0.3">
      <c r="A140" s="70" t="s">
        <v>3497</v>
      </c>
      <c r="B140" s="140" t="s">
        <v>3027</v>
      </c>
      <c r="C140" s="147" t="s">
        <v>3345</v>
      </c>
      <c r="D140" s="73" t="s">
        <v>424</v>
      </c>
      <c r="E140" s="142" t="str">
        <f>IFERROR(INDEX(M_User!$A$12:$J$67,MATCH(D140,M_User!$D$12:$D$67,0),3),"UNMAPPED")</f>
        <v>Raymond P Sangawe</v>
      </c>
      <c r="F140" s="73" t="s">
        <v>209</v>
      </c>
      <c r="G140" s="142" t="str">
        <f>IFERROR(INDEX(M_SKU!$A$18:$J$57,MATCH(F140,M_SKU!$B$18:$B$57,0),1),"UNKNOWN SKU")</f>
        <v>Sparletta Red Apple RGB 350ml</v>
      </c>
      <c r="H140" s="73" t="s">
        <v>542</v>
      </c>
      <c r="I140" s="93">
        <v>1.8216031541229999E-3</v>
      </c>
      <c r="J140" s="144" t="s">
        <v>3367</v>
      </c>
      <c r="K140" s="145" t="s">
        <v>3396</v>
      </c>
      <c r="L140" s="144" t="s">
        <v>433</v>
      </c>
      <c r="M140" s="146">
        <v>46179</v>
      </c>
      <c r="N140" s="130">
        <v>46180</v>
      </c>
      <c r="O140" s="143" t="str">
        <f t="shared" ca="1" si="2"/>
        <v>Within SLA</v>
      </c>
    </row>
    <row r="141" spans="1:15" ht="15" customHeight="1" x14ac:dyDescent="0.3">
      <c r="A141" s="60" t="s">
        <v>3498</v>
      </c>
      <c r="B141" s="126" t="s">
        <v>3039</v>
      </c>
      <c r="C141" s="68" t="s">
        <v>3345</v>
      </c>
      <c r="D141" s="63" t="s">
        <v>370</v>
      </c>
      <c r="E141" s="135" t="str">
        <f>IFERROR(INDEX(M_User!$A$12:$J$67,MATCH(D141,M_User!$D$12:$D$67,0),3),"UNMAPPED")</f>
        <v>Zawadi Jastin Laizer</v>
      </c>
      <c r="F141" s="63" t="s">
        <v>170</v>
      </c>
      <c r="G141" s="135" t="str">
        <f>IFERROR(INDEX(M_SKU!$A$18:$J$57,MATCH(F141,M_SKU!$B$18:$B$57,0),1),"UNKNOWN SKU")</f>
        <v>Coke RGB 350ml</v>
      </c>
      <c r="H141" s="63" t="s">
        <v>530</v>
      </c>
      <c r="I141" s="90">
        <v>3.5871567077947501E-3</v>
      </c>
      <c r="J141" s="136"/>
      <c r="K141" s="137"/>
      <c r="L141" s="136"/>
      <c r="M141" s="138"/>
      <c r="N141" s="62">
        <v>46180</v>
      </c>
      <c r="O141" s="139" t="str">
        <f t="shared" ca="1" si="2"/>
        <v>BREACHED</v>
      </c>
    </row>
    <row r="142" spans="1:15" ht="15" customHeight="1" x14ac:dyDescent="0.3">
      <c r="A142" s="70" t="s">
        <v>3499</v>
      </c>
      <c r="B142" s="140" t="s">
        <v>3040</v>
      </c>
      <c r="C142" s="141" t="s">
        <v>3347</v>
      </c>
      <c r="D142" s="73" t="s">
        <v>370</v>
      </c>
      <c r="E142" s="142" t="str">
        <f>IFERROR(INDEX(M_User!$A$12:$J$67,MATCH(D142,M_User!$D$12:$D$67,0),3),"UNMAPPED")</f>
        <v>Zawadi Jastin Laizer</v>
      </c>
      <c r="F142" s="73" t="s">
        <v>178</v>
      </c>
      <c r="G142" s="142" t="str">
        <f>IFERROR(INDEX(M_SKU!$A$18:$J$57,MATCH(F142,M_SKU!$B$18:$B$57,0),1),"UNKNOWN SKU")</f>
        <v>Fanta Orange RGB 350ml</v>
      </c>
      <c r="H142" s="73" t="s">
        <v>531</v>
      </c>
      <c r="I142" s="93">
        <v>7.0725503330137897E-4</v>
      </c>
      <c r="J142" s="136"/>
      <c r="K142" s="137"/>
      <c r="L142" s="136"/>
      <c r="M142" s="138"/>
      <c r="N142" s="130">
        <v>46180</v>
      </c>
      <c r="O142" s="143" t="str">
        <f t="shared" ca="1" si="2"/>
        <v>BREACHED</v>
      </c>
    </row>
    <row r="143" spans="1:15" ht="15" customHeight="1" x14ac:dyDescent="0.3">
      <c r="A143" s="60" t="s">
        <v>3500</v>
      </c>
      <c r="B143" s="126" t="s">
        <v>3041</v>
      </c>
      <c r="C143" s="105" t="s">
        <v>3347</v>
      </c>
      <c r="D143" s="63" t="s">
        <v>370</v>
      </c>
      <c r="E143" s="135" t="str">
        <f>IFERROR(INDEX(M_User!$A$12:$J$67,MATCH(D143,M_User!$D$12:$D$67,0),3),"UNMAPPED")</f>
        <v>Zawadi Jastin Laizer</v>
      </c>
      <c r="F143" s="63" t="s">
        <v>181</v>
      </c>
      <c r="G143" s="135" t="str">
        <f>IFERROR(INDEX(M_SKU!$A$18:$J$57,MATCH(F143,M_SKU!$B$18:$B$57,0),1),"UNKNOWN SKU")</f>
        <v>Fanta Passion RGB 350ml</v>
      </c>
      <c r="H143" s="63" t="s">
        <v>550</v>
      </c>
      <c r="I143" s="90">
        <v>4.0427254948607301E-3</v>
      </c>
      <c r="J143" s="136"/>
      <c r="K143" s="137"/>
      <c r="L143" s="136"/>
      <c r="M143" s="138"/>
      <c r="N143" s="62">
        <v>46180</v>
      </c>
      <c r="O143" s="139" t="str">
        <f t="shared" ca="1" si="2"/>
        <v>BREACHED</v>
      </c>
    </row>
    <row r="144" spans="1:15" ht="15" customHeight="1" x14ac:dyDescent="0.3">
      <c r="A144" s="70" t="s">
        <v>3501</v>
      </c>
      <c r="B144" s="140" t="s">
        <v>3042</v>
      </c>
      <c r="C144" s="141" t="s">
        <v>3347</v>
      </c>
      <c r="D144" s="73" t="s">
        <v>370</v>
      </c>
      <c r="E144" s="142" t="str">
        <f>IFERROR(INDEX(M_User!$A$12:$J$67,MATCH(D144,M_User!$D$12:$D$67,0),3),"UNMAPPED")</f>
        <v>Zawadi Jastin Laizer</v>
      </c>
      <c r="F144" s="73" t="s">
        <v>183</v>
      </c>
      <c r="G144" s="142" t="str">
        <f>IFERROR(INDEX(M_SKU!$A$18:$J$57,MATCH(F144,M_SKU!$B$18:$B$57,0),1),"UNKNOWN SKU")</f>
        <v>Fanta Pineapple RGB 350ml</v>
      </c>
      <c r="H144" s="73" t="s">
        <v>533</v>
      </c>
      <c r="I144" s="93">
        <v>4.1023449725394699E-3</v>
      </c>
      <c r="J144" s="136"/>
      <c r="K144" s="137"/>
      <c r="L144" s="136"/>
      <c r="M144" s="138"/>
      <c r="N144" s="130">
        <v>46180</v>
      </c>
      <c r="O144" s="143" t="str">
        <f t="shared" ca="1" si="2"/>
        <v>BREACHED</v>
      </c>
    </row>
    <row r="145" spans="1:15" ht="15" customHeight="1" x14ac:dyDescent="0.3">
      <c r="A145" s="60" t="s">
        <v>3502</v>
      </c>
      <c r="B145" s="126" t="s">
        <v>3043</v>
      </c>
      <c r="C145" s="105" t="s">
        <v>3347</v>
      </c>
      <c r="D145" s="63" t="s">
        <v>370</v>
      </c>
      <c r="E145" s="135" t="str">
        <f>IFERROR(INDEX(M_User!$A$12:$J$67,MATCH(D145,M_User!$D$12:$D$67,0),3),"UNMAPPED")</f>
        <v>Zawadi Jastin Laizer</v>
      </c>
      <c r="F145" s="63" t="s">
        <v>185</v>
      </c>
      <c r="G145" s="135" t="str">
        <f>IFERROR(INDEX(M_SKU!$A$18:$J$57,MATCH(F145,M_SKU!$B$18:$B$57,0),1),"UNKNOWN SKU")</f>
        <v>Fanta Fruit Blast RGB 350 ml</v>
      </c>
      <c r="H145" s="63" t="s">
        <v>534</v>
      </c>
      <c r="I145" s="90">
        <v>1.4371951419001099E-4</v>
      </c>
      <c r="J145" s="136"/>
      <c r="K145" s="137"/>
      <c r="L145" s="136"/>
      <c r="M145" s="138"/>
      <c r="N145" s="62">
        <v>46180</v>
      </c>
      <c r="O145" s="139" t="str">
        <f t="shared" ca="1" si="2"/>
        <v>BREACHED</v>
      </c>
    </row>
    <row r="146" spans="1:15" ht="15" customHeight="1" x14ac:dyDescent="0.3">
      <c r="A146" s="70" t="s">
        <v>3503</v>
      </c>
      <c r="B146" s="140" t="s">
        <v>3044</v>
      </c>
      <c r="C146" s="141" t="s">
        <v>3347</v>
      </c>
      <c r="D146" s="73" t="s">
        <v>370</v>
      </c>
      <c r="E146" s="142" t="str">
        <f>IFERROR(INDEX(M_User!$A$12:$J$67,MATCH(D146,M_User!$D$12:$D$67,0),3),"UNMAPPED")</f>
        <v>Zawadi Jastin Laizer</v>
      </c>
      <c r="F146" s="73" t="s">
        <v>187</v>
      </c>
      <c r="G146" s="142" t="str">
        <f>IFERROR(INDEX(M_SKU!$A$18:$J$57,MATCH(F146,M_SKU!$B$18:$B$57,0),1),"UNKNOWN SKU")</f>
        <v>Sprite 350ml</v>
      </c>
      <c r="H146" s="73" t="s">
        <v>535</v>
      </c>
      <c r="I146" s="93">
        <v>4.2523884126603999E-3</v>
      </c>
      <c r="J146" s="136"/>
      <c r="K146" s="137"/>
      <c r="L146" s="136"/>
      <c r="M146" s="138"/>
      <c r="N146" s="130">
        <v>46180</v>
      </c>
      <c r="O146" s="143" t="str">
        <f t="shared" ca="1" si="2"/>
        <v>BREACHED</v>
      </c>
    </row>
    <row r="147" spans="1:15" ht="15" customHeight="1" x14ac:dyDescent="0.3">
      <c r="A147" s="60" t="s">
        <v>3504</v>
      </c>
      <c r="B147" s="126" t="s">
        <v>3045</v>
      </c>
      <c r="C147" s="105" t="s">
        <v>3347</v>
      </c>
      <c r="D147" s="63" t="s">
        <v>370</v>
      </c>
      <c r="E147" s="135" t="str">
        <f>IFERROR(INDEX(M_User!$A$12:$J$67,MATCH(D147,M_User!$D$12:$D$67,0),3),"UNMAPPED")</f>
        <v>Zawadi Jastin Laizer</v>
      </c>
      <c r="F147" s="63" t="s">
        <v>190</v>
      </c>
      <c r="G147" s="135" t="str">
        <f>IFERROR(INDEX(M_SKU!$A$18:$J$57,MATCH(F147,M_SKU!$B$18:$B$57,0),1),"UNKNOWN SKU")</f>
        <v>Stoney Tangawizi RGB 350ml</v>
      </c>
      <c r="H147" s="63" t="s">
        <v>536</v>
      </c>
      <c r="I147" s="90">
        <v>2.45389661185447E-3</v>
      </c>
      <c r="J147" s="136"/>
      <c r="K147" s="137"/>
      <c r="L147" s="136"/>
      <c r="M147" s="138"/>
      <c r="N147" s="62">
        <v>46180</v>
      </c>
      <c r="O147" s="139" t="str">
        <f t="shared" ca="1" si="2"/>
        <v>BREACHED</v>
      </c>
    </row>
    <row r="148" spans="1:15" ht="15" customHeight="1" x14ac:dyDescent="0.3">
      <c r="A148" s="70" t="s">
        <v>3505</v>
      </c>
      <c r="B148" s="140" t="s">
        <v>3046</v>
      </c>
      <c r="C148" s="147" t="s">
        <v>3345</v>
      </c>
      <c r="D148" s="73" t="s">
        <v>370</v>
      </c>
      <c r="E148" s="142" t="str">
        <f>IFERROR(INDEX(M_User!$A$12:$J$67,MATCH(D148,M_User!$D$12:$D$67,0),3),"UNMAPPED")</f>
        <v>Zawadi Jastin Laizer</v>
      </c>
      <c r="F148" s="73" t="s">
        <v>193</v>
      </c>
      <c r="G148" s="142" t="str">
        <f>IFERROR(INDEX(M_SKU!$A$18:$J$57,MATCH(F148,M_SKU!$B$18:$B$57,0),1),"UNKNOWN SKU")</f>
        <v>Sparletta Pinenut RGB 350ml</v>
      </c>
      <c r="H148" s="73" t="s">
        <v>537</v>
      </c>
      <c r="I148" s="93">
        <v>1.79987596637998E-3</v>
      </c>
      <c r="J148" s="136"/>
      <c r="K148" s="137"/>
      <c r="L148" s="136"/>
      <c r="M148" s="138"/>
      <c r="N148" s="130">
        <v>46180</v>
      </c>
      <c r="O148" s="143" t="str">
        <f t="shared" ca="1" si="2"/>
        <v>BREACHED</v>
      </c>
    </row>
    <row r="149" spans="1:15" ht="15" customHeight="1" x14ac:dyDescent="0.3">
      <c r="A149" s="60" t="s">
        <v>3506</v>
      </c>
      <c r="B149" s="126" t="s">
        <v>3047</v>
      </c>
      <c r="C149" s="68" t="s">
        <v>3345</v>
      </c>
      <c r="D149" s="63" t="s">
        <v>370</v>
      </c>
      <c r="E149" s="135" t="str">
        <f>IFERROR(INDEX(M_User!$A$12:$J$67,MATCH(D149,M_User!$D$12:$D$67,0),3),"UNMAPPED")</f>
        <v>Zawadi Jastin Laizer</v>
      </c>
      <c r="F149" s="63" t="s">
        <v>196</v>
      </c>
      <c r="G149" s="135" t="str">
        <f>IFERROR(INDEX(M_SKU!$A$18:$J$57,MATCH(F149,M_SKU!$B$18:$B$57,0),1),"UNKNOWN SKU")</f>
        <v>Krest Bitter Lemon RGB 300ml</v>
      </c>
      <c r="H149" s="63" t="s">
        <v>538</v>
      </c>
      <c r="I149" s="90">
        <v>4.3037198762587697E-3</v>
      </c>
      <c r="J149" s="136"/>
      <c r="K149" s="137"/>
      <c r="L149" s="136"/>
      <c r="M149" s="138"/>
      <c r="N149" s="62">
        <v>46180</v>
      </c>
      <c r="O149" s="139" t="str">
        <f t="shared" ca="1" si="2"/>
        <v>BREACHED</v>
      </c>
    </row>
    <row r="150" spans="1:15" ht="15" customHeight="1" x14ac:dyDescent="0.3">
      <c r="A150" s="70" t="s">
        <v>3507</v>
      </c>
      <c r="B150" s="140" t="s">
        <v>3048</v>
      </c>
      <c r="C150" s="147" t="s">
        <v>3345</v>
      </c>
      <c r="D150" s="73" t="s">
        <v>370</v>
      </c>
      <c r="E150" s="142" t="str">
        <f>IFERROR(INDEX(M_User!$A$12:$J$67,MATCH(D150,M_User!$D$12:$D$67,0),3),"UNMAPPED")</f>
        <v>Zawadi Jastin Laizer</v>
      </c>
      <c r="F150" s="73" t="s">
        <v>199</v>
      </c>
      <c r="G150" s="142" t="str">
        <f>IFERROR(INDEX(M_SKU!$A$18:$J$57,MATCH(F150,M_SKU!$B$18:$B$57,0),1),"UNKNOWN SKU")</f>
        <v>Krest Club Soda RGB 300ml</v>
      </c>
      <c r="H150" s="73" t="s">
        <v>539</v>
      </c>
      <c r="I150" s="93">
        <v>3.0616108766302599E-3</v>
      </c>
      <c r="J150" s="136"/>
      <c r="K150" s="137"/>
      <c r="L150" s="136"/>
      <c r="M150" s="138"/>
      <c r="N150" s="130">
        <v>46180</v>
      </c>
      <c r="O150" s="143" t="str">
        <f t="shared" ca="1" si="2"/>
        <v>BREACHED</v>
      </c>
    </row>
    <row r="151" spans="1:15" ht="15" customHeight="1" x14ac:dyDescent="0.3">
      <c r="A151" s="60" t="s">
        <v>3508</v>
      </c>
      <c r="B151" s="126" t="s">
        <v>3049</v>
      </c>
      <c r="C151" s="68" t="s">
        <v>3345</v>
      </c>
      <c r="D151" s="63" t="s">
        <v>370</v>
      </c>
      <c r="E151" s="135" t="str">
        <f>IFERROR(INDEX(M_User!$A$12:$J$67,MATCH(D151,M_User!$D$12:$D$67,0),3),"UNMAPPED")</f>
        <v>Zawadi Jastin Laizer</v>
      </c>
      <c r="F151" s="63" t="s">
        <v>201</v>
      </c>
      <c r="G151" s="135" t="str">
        <f>IFERROR(INDEX(M_SKU!$A$18:$J$57,MATCH(F151,M_SKU!$B$18:$B$57,0),1),"UNKNOWN SKU")</f>
        <v>Krest Tonic Water RGB 300ml</v>
      </c>
      <c r="H151" s="63" t="s">
        <v>540</v>
      </c>
      <c r="I151" s="90">
        <v>7.2878534270315299E-4</v>
      </c>
      <c r="J151" s="136"/>
      <c r="K151" s="137"/>
      <c r="L151" s="136"/>
      <c r="M151" s="138"/>
      <c r="N151" s="62">
        <v>46180</v>
      </c>
      <c r="O151" s="139" t="str">
        <f t="shared" ca="1" si="2"/>
        <v>BREACHED</v>
      </c>
    </row>
    <row r="152" spans="1:15" ht="15" customHeight="1" x14ac:dyDescent="0.3">
      <c r="A152" s="70" t="s">
        <v>3509</v>
      </c>
      <c r="B152" s="140" t="s">
        <v>3050</v>
      </c>
      <c r="C152" s="147" t="s">
        <v>3345</v>
      </c>
      <c r="D152" s="73" t="s">
        <v>370</v>
      </c>
      <c r="E152" s="142" t="str">
        <f>IFERROR(INDEX(M_User!$A$12:$J$67,MATCH(D152,M_User!$D$12:$D$67,0),3),"UNMAPPED")</f>
        <v>Zawadi Jastin Laizer</v>
      </c>
      <c r="F152" s="73" t="s">
        <v>203</v>
      </c>
      <c r="G152" s="142" t="str">
        <f>IFERROR(INDEX(M_SKU!$A$18:$J$57,MATCH(F152,M_SKU!$B$18:$B$57,0),1),"UNKNOWN SKU")</f>
        <v>Krest Ginger Ale RGB 300ml</v>
      </c>
      <c r="H152" s="73" t="s">
        <v>541</v>
      </c>
      <c r="I152" s="93">
        <v>2.8430655132258799E-3</v>
      </c>
      <c r="J152" s="144" t="s">
        <v>3384</v>
      </c>
      <c r="K152" s="145" t="s">
        <v>3411</v>
      </c>
      <c r="L152" s="144" t="s">
        <v>431</v>
      </c>
      <c r="M152" s="146">
        <v>46180</v>
      </c>
      <c r="N152" s="130">
        <v>46180</v>
      </c>
      <c r="O152" s="143" t="str">
        <f t="shared" ca="1" si="2"/>
        <v>Within SLA</v>
      </c>
    </row>
    <row r="153" spans="1:15" ht="23.25" customHeight="1" x14ac:dyDescent="0.3">
      <c r="A153" s="60" t="s">
        <v>3510</v>
      </c>
      <c r="B153" s="126" t="s">
        <v>3051</v>
      </c>
      <c r="C153" s="68" t="s">
        <v>3345</v>
      </c>
      <c r="D153" s="63" t="s">
        <v>370</v>
      </c>
      <c r="E153" s="135" t="str">
        <f>IFERROR(INDEX(M_User!$A$12:$J$67,MATCH(D153,M_User!$D$12:$D$67,0),3),"UNMAPPED")</f>
        <v>Zawadi Jastin Laizer</v>
      </c>
      <c r="F153" s="63" t="s">
        <v>209</v>
      </c>
      <c r="G153" s="135" t="str">
        <f>IFERROR(INDEX(M_SKU!$A$18:$J$57,MATCH(F153,M_SKU!$B$18:$B$57,0),1),"UNKNOWN SKU")</f>
        <v>Sparletta Red Apple RGB 350ml</v>
      </c>
      <c r="H153" s="63" t="s">
        <v>542</v>
      </c>
      <c r="I153" s="90">
        <v>4.9680630555800596E-3</v>
      </c>
      <c r="J153" s="144" t="s">
        <v>3367</v>
      </c>
      <c r="K153" s="145" t="s">
        <v>3368</v>
      </c>
      <c r="L153" s="144" t="s">
        <v>433</v>
      </c>
      <c r="M153" s="146">
        <v>46179</v>
      </c>
      <c r="N153" s="62">
        <v>46180</v>
      </c>
      <c r="O153" s="139" t="str">
        <f t="shared" ca="1" si="2"/>
        <v>Within SLA</v>
      </c>
    </row>
    <row r="154" spans="1:15" ht="15" customHeight="1" x14ac:dyDescent="0.3">
      <c r="A154" s="70" t="s">
        <v>3511</v>
      </c>
      <c r="B154" s="140" t="s">
        <v>3065</v>
      </c>
      <c r="C154" s="147" t="s">
        <v>3345</v>
      </c>
      <c r="D154" s="73" t="s">
        <v>361</v>
      </c>
      <c r="E154" s="142" t="str">
        <f>IFERROR(INDEX(M_User!$A$12:$J$67,MATCH(D154,M_User!$D$12:$D$67,0),3),"UNMAPPED")</f>
        <v>Masunga Mwala Ramadhani</v>
      </c>
      <c r="F154" s="73" t="s">
        <v>170</v>
      </c>
      <c r="G154" s="142" t="str">
        <f>IFERROR(INDEX(M_SKU!$A$18:$J$57,MATCH(F154,M_SKU!$B$18:$B$57,0),1),"UNKNOWN SKU")</f>
        <v>Coke RGB 350ml</v>
      </c>
      <c r="H154" s="73" t="s">
        <v>529</v>
      </c>
      <c r="I154" s="93">
        <v>3.70700210937946E-3</v>
      </c>
      <c r="J154" s="136"/>
      <c r="K154" s="137"/>
      <c r="L154" s="136"/>
      <c r="M154" s="138"/>
      <c r="N154" s="130">
        <v>46180</v>
      </c>
      <c r="O154" s="143" t="str">
        <f t="shared" ca="1" si="2"/>
        <v>BREACHED</v>
      </c>
    </row>
    <row r="155" spans="1:15" ht="15" customHeight="1" x14ac:dyDescent="0.3">
      <c r="A155" s="60" t="s">
        <v>3512</v>
      </c>
      <c r="B155" s="126" t="s">
        <v>3066</v>
      </c>
      <c r="C155" s="105" t="s">
        <v>3347</v>
      </c>
      <c r="D155" s="63" t="s">
        <v>361</v>
      </c>
      <c r="E155" s="135" t="str">
        <f>IFERROR(INDEX(M_User!$A$12:$J$67,MATCH(D155,M_User!$D$12:$D$67,0),3),"UNMAPPED")</f>
        <v>Masunga Mwala Ramadhani</v>
      </c>
      <c r="F155" s="63" t="s">
        <v>170</v>
      </c>
      <c r="G155" s="135" t="str">
        <f>IFERROR(INDEX(M_SKU!$A$18:$J$57,MATCH(F155,M_SKU!$B$18:$B$57,0),1),"UNKNOWN SKU")</f>
        <v>Coke RGB 350ml</v>
      </c>
      <c r="H155" s="63" t="s">
        <v>585</v>
      </c>
      <c r="I155" s="90">
        <v>3.0695295291955898E-3</v>
      </c>
      <c r="J155" s="136"/>
      <c r="K155" s="137"/>
      <c r="L155" s="136"/>
      <c r="M155" s="138"/>
      <c r="N155" s="62">
        <v>46180</v>
      </c>
      <c r="O155" s="139" t="str">
        <f t="shared" ca="1" si="2"/>
        <v>BREACHED</v>
      </c>
    </row>
    <row r="156" spans="1:15" ht="15" customHeight="1" x14ac:dyDescent="0.3">
      <c r="A156" s="70" t="s">
        <v>3513</v>
      </c>
      <c r="B156" s="140" t="s">
        <v>3067</v>
      </c>
      <c r="C156" s="147" t="s">
        <v>3345</v>
      </c>
      <c r="D156" s="73" t="s">
        <v>361</v>
      </c>
      <c r="E156" s="142" t="str">
        <f>IFERROR(INDEX(M_User!$A$12:$J$67,MATCH(D156,M_User!$D$12:$D$67,0),3),"UNMAPPED")</f>
        <v>Masunga Mwala Ramadhani</v>
      </c>
      <c r="F156" s="73" t="s">
        <v>178</v>
      </c>
      <c r="G156" s="142" t="str">
        <f>IFERROR(INDEX(M_SKU!$A$18:$J$57,MATCH(F156,M_SKU!$B$18:$B$57,0),1),"UNKNOWN SKU")</f>
        <v>Fanta Orange RGB 350ml</v>
      </c>
      <c r="H156" s="73" t="s">
        <v>531</v>
      </c>
      <c r="I156" s="93">
        <v>3.7968676109994002E-3</v>
      </c>
      <c r="J156" s="136"/>
      <c r="K156" s="137"/>
      <c r="L156" s="136"/>
      <c r="M156" s="138"/>
      <c r="N156" s="130">
        <v>46180</v>
      </c>
      <c r="O156" s="143" t="str">
        <f t="shared" ca="1" si="2"/>
        <v>BREACHED</v>
      </c>
    </row>
    <row r="157" spans="1:15" ht="23.25" customHeight="1" x14ac:dyDescent="0.3">
      <c r="A157" s="60" t="s">
        <v>3514</v>
      </c>
      <c r="B157" s="126" t="s">
        <v>3068</v>
      </c>
      <c r="C157" s="105" t="s">
        <v>3347</v>
      </c>
      <c r="D157" s="63" t="s">
        <v>361</v>
      </c>
      <c r="E157" s="135" t="str">
        <f>IFERROR(INDEX(M_User!$A$12:$J$67,MATCH(D157,M_User!$D$12:$D$67,0),3),"UNMAPPED")</f>
        <v>Masunga Mwala Ramadhani</v>
      </c>
      <c r="F157" s="63" t="s">
        <v>181</v>
      </c>
      <c r="G157" s="135" t="str">
        <f>IFERROR(INDEX(M_SKU!$A$18:$J$57,MATCH(F157,M_SKU!$B$18:$B$57,0),1),"UNKNOWN SKU")</f>
        <v>Fanta Passion RGB 350ml</v>
      </c>
      <c r="H157" s="63" t="s">
        <v>550</v>
      </c>
      <c r="I157" s="90">
        <v>2.5923074684895998E-3</v>
      </c>
      <c r="J157" s="144" t="s">
        <v>3367</v>
      </c>
      <c r="K157" s="145" t="s">
        <v>3375</v>
      </c>
      <c r="L157" s="144" t="s">
        <v>430</v>
      </c>
      <c r="M157" s="146">
        <v>46180</v>
      </c>
      <c r="N157" s="62">
        <v>46180</v>
      </c>
      <c r="O157" s="139" t="str">
        <f t="shared" ca="1" si="2"/>
        <v>Within SLA</v>
      </c>
    </row>
    <row r="158" spans="1:15" ht="15" customHeight="1" x14ac:dyDescent="0.3">
      <c r="A158" s="70" t="s">
        <v>3515</v>
      </c>
      <c r="B158" s="140" t="s">
        <v>3069</v>
      </c>
      <c r="C158" s="141" t="s">
        <v>3347</v>
      </c>
      <c r="D158" s="73" t="s">
        <v>361</v>
      </c>
      <c r="E158" s="142" t="str">
        <f>IFERROR(INDEX(M_User!$A$12:$J$67,MATCH(D158,M_User!$D$12:$D$67,0),3),"UNMAPPED")</f>
        <v>Masunga Mwala Ramadhani</v>
      </c>
      <c r="F158" s="73" t="s">
        <v>183</v>
      </c>
      <c r="G158" s="142" t="str">
        <f>IFERROR(INDEX(M_SKU!$A$18:$J$57,MATCH(F158,M_SKU!$B$18:$B$57,0),1),"UNKNOWN SKU")</f>
        <v>Fanta Pineapple RGB 350ml</v>
      </c>
      <c r="H158" s="73" t="s">
        <v>533</v>
      </c>
      <c r="I158" s="93">
        <v>3.66503190592926E-3</v>
      </c>
      <c r="J158" s="144" t="s">
        <v>3350</v>
      </c>
      <c r="K158" s="145" t="s">
        <v>3394</v>
      </c>
      <c r="L158" s="144" t="s">
        <v>435</v>
      </c>
      <c r="M158" s="146">
        <v>46179</v>
      </c>
      <c r="N158" s="130">
        <v>46180</v>
      </c>
      <c r="O158" s="143" t="str">
        <f t="shared" ca="1" si="2"/>
        <v>Within SLA</v>
      </c>
    </row>
    <row r="159" spans="1:15" ht="15" customHeight="1" x14ac:dyDescent="0.3">
      <c r="A159" s="60" t="s">
        <v>3516</v>
      </c>
      <c r="B159" s="126" t="s">
        <v>3070</v>
      </c>
      <c r="C159" s="68" t="s">
        <v>3345</v>
      </c>
      <c r="D159" s="63" t="s">
        <v>361</v>
      </c>
      <c r="E159" s="135" t="str">
        <f>IFERROR(INDEX(M_User!$A$12:$J$67,MATCH(D159,M_User!$D$12:$D$67,0),3),"UNMAPPED")</f>
        <v>Masunga Mwala Ramadhani</v>
      </c>
      <c r="F159" s="63" t="s">
        <v>185</v>
      </c>
      <c r="G159" s="135" t="str">
        <f>IFERROR(INDEX(M_SKU!$A$18:$J$57,MATCH(F159,M_SKU!$B$18:$B$57,0),1),"UNKNOWN SKU")</f>
        <v>Fanta Fruit Blast RGB 350 ml</v>
      </c>
      <c r="H159" s="63" t="s">
        <v>534</v>
      </c>
      <c r="I159" s="90">
        <v>4.7099497259017699E-4</v>
      </c>
      <c r="J159" s="136"/>
      <c r="K159" s="137"/>
      <c r="L159" s="136"/>
      <c r="M159" s="138"/>
      <c r="N159" s="62">
        <v>46180</v>
      </c>
      <c r="O159" s="139" t="str">
        <f t="shared" ca="1" si="2"/>
        <v>BREACHED</v>
      </c>
    </row>
    <row r="160" spans="1:15" ht="23.25" customHeight="1" x14ac:dyDescent="0.3">
      <c r="A160" s="70" t="s">
        <v>3517</v>
      </c>
      <c r="B160" s="140" t="s">
        <v>3071</v>
      </c>
      <c r="C160" s="141" t="s">
        <v>3347</v>
      </c>
      <c r="D160" s="73" t="s">
        <v>361</v>
      </c>
      <c r="E160" s="142" t="str">
        <f>IFERROR(INDEX(M_User!$A$12:$J$67,MATCH(D160,M_User!$D$12:$D$67,0),3),"UNMAPPED")</f>
        <v>Masunga Mwala Ramadhani</v>
      </c>
      <c r="F160" s="73" t="s">
        <v>187</v>
      </c>
      <c r="G160" s="142" t="str">
        <f>IFERROR(INDEX(M_SKU!$A$18:$J$57,MATCH(F160,M_SKU!$B$18:$B$57,0),1),"UNKNOWN SKU")</f>
        <v>Sprite 350ml</v>
      </c>
      <c r="H160" s="73" t="s">
        <v>535</v>
      </c>
      <c r="I160" s="93">
        <v>8.3960975974006801E-4</v>
      </c>
      <c r="J160" s="144" t="s">
        <v>3384</v>
      </c>
      <c r="K160" s="145" t="s">
        <v>3385</v>
      </c>
      <c r="L160" s="144" t="s">
        <v>436</v>
      </c>
      <c r="M160" s="146">
        <v>46180</v>
      </c>
      <c r="N160" s="130">
        <v>46180</v>
      </c>
      <c r="O160" s="143" t="str">
        <f t="shared" ca="1" si="2"/>
        <v>Within SLA</v>
      </c>
    </row>
    <row r="161" spans="1:15" ht="23.25" customHeight="1" x14ac:dyDescent="0.3">
      <c r="A161" s="60" t="s">
        <v>3518</v>
      </c>
      <c r="B161" s="126" t="s">
        <v>3072</v>
      </c>
      <c r="C161" s="68" t="s">
        <v>3345</v>
      </c>
      <c r="D161" s="63" t="s">
        <v>361</v>
      </c>
      <c r="E161" s="135" t="str">
        <f>IFERROR(INDEX(M_User!$A$12:$J$67,MATCH(D161,M_User!$D$12:$D$67,0),3),"UNMAPPED")</f>
        <v>Masunga Mwala Ramadhani</v>
      </c>
      <c r="F161" s="63" t="s">
        <v>190</v>
      </c>
      <c r="G161" s="135" t="str">
        <f>IFERROR(INDEX(M_SKU!$A$18:$J$57,MATCH(F161,M_SKU!$B$18:$B$57,0),1),"UNKNOWN SKU")</f>
        <v>Stoney Tangawizi RGB 350ml</v>
      </c>
      <c r="H161" s="63" t="s">
        <v>536</v>
      </c>
      <c r="I161" s="90">
        <v>1.32923220305003E-3</v>
      </c>
      <c r="J161" s="144" t="s">
        <v>3384</v>
      </c>
      <c r="K161" s="145" t="s">
        <v>3429</v>
      </c>
      <c r="L161" s="144" t="s">
        <v>431</v>
      </c>
      <c r="M161" s="146">
        <v>46179</v>
      </c>
      <c r="N161" s="62">
        <v>46180</v>
      </c>
      <c r="O161" s="139" t="str">
        <f t="shared" ca="1" si="2"/>
        <v>Within SLA</v>
      </c>
    </row>
    <row r="162" spans="1:15" ht="23.25" customHeight="1" x14ac:dyDescent="0.3">
      <c r="A162" s="70" t="s">
        <v>3519</v>
      </c>
      <c r="B162" s="140" t="s">
        <v>3073</v>
      </c>
      <c r="C162" s="141" t="s">
        <v>3347</v>
      </c>
      <c r="D162" s="73" t="s">
        <v>361</v>
      </c>
      <c r="E162" s="142" t="str">
        <f>IFERROR(INDEX(M_User!$A$12:$J$67,MATCH(D162,M_User!$D$12:$D$67,0),3),"UNMAPPED")</f>
        <v>Masunga Mwala Ramadhani</v>
      </c>
      <c r="F162" s="73" t="s">
        <v>193</v>
      </c>
      <c r="G162" s="142" t="str">
        <f>IFERROR(INDEX(M_SKU!$A$18:$J$57,MATCH(F162,M_SKU!$B$18:$B$57,0),1),"UNKNOWN SKU")</f>
        <v>Sparletta Pinenut RGB 350ml</v>
      </c>
      <c r="H162" s="73" t="s">
        <v>537</v>
      </c>
      <c r="I162" s="93">
        <v>1.7758042589301999E-3</v>
      </c>
      <c r="J162" s="144" t="s">
        <v>3367</v>
      </c>
      <c r="K162" s="145" t="s">
        <v>3418</v>
      </c>
      <c r="L162" s="144" t="s">
        <v>435</v>
      </c>
      <c r="M162" s="146">
        <v>46179</v>
      </c>
      <c r="N162" s="130">
        <v>46180</v>
      </c>
      <c r="O162" s="143" t="str">
        <f t="shared" ca="1" si="2"/>
        <v>Within SLA</v>
      </c>
    </row>
    <row r="163" spans="1:15" ht="15" customHeight="1" x14ac:dyDescent="0.3">
      <c r="A163" s="60" t="s">
        <v>3520</v>
      </c>
      <c r="B163" s="126" t="s">
        <v>3074</v>
      </c>
      <c r="C163" s="68" t="s">
        <v>3345</v>
      </c>
      <c r="D163" s="63" t="s">
        <v>361</v>
      </c>
      <c r="E163" s="135" t="str">
        <f>IFERROR(INDEX(M_User!$A$12:$J$67,MATCH(D163,M_User!$D$12:$D$67,0),3),"UNMAPPED")</f>
        <v>Masunga Mwala Ramadhani</v>
      </c>
      <c r="F163" s="63" t="s">
        <v>196</v>
      </c>
      <c r="G163" s="135" t="str">
        <f>IFERROR(INDEX(M_SKU!$A$18:$J$57,MATCH(F163,M_SKU!$B$18:$B$57,0),1),"UNKNOWN SKU")</f>
        <v>Krest Bitter Lemon RGB 300ml</v>
      </c>
      <c r="H163" s="63" t="s">
        <v>538</v>
      </c>
      <c r="I163" s="90">
        <v>3.23050596090035E-3</v>
      </c>
      <c r="J163" s="136"/>
      <c r="K163" s="137"/>
      <c r="L163" s="136"/>
      <c r="M163" s="138"/>
      <c r="N163" s="62">
        <v>46180</v>
      </c>
      <c r="O163" s="139" t="str">
        <f t="shared" ca="1" si="2"/>
        <v>BREACHED</v>
      </c>
    </row>
    <row r="164" spans="1:15" ht="15" customHeight="1" x14ac:dyDescent="0.3">
      <c r="A164" s="70" t="s">
        <v>3521</v>
      </c>
      <c r="B164" s="140" t="s">
        <v>3075</v>
      </c>
      <c r="C164" s="141" t="s">
        <v>3347</v>
      </c>
      <c r="D164" s="73" t="s">
        <v>361</v>
      </c>
      <c r="E164" s="142" t="str">
        <f>IFERROR(INDEX(M_User!$A$12:$J$67,MATCH(D164,M_User!$D$12:$D$67,0),3),"UNMAPPED")</f>
        <v>Masunga Mwala Ramadhani</v>
      </c>
      <c r="F164" s="73" t="s">
        <v>199</v>
      </c>
      <c r="G164" s="142" t="str">
        <f>IFERROR(INDEX(M_SKU!$A$18:$J$57,MATCH(F164,M_SKU!$B$18:$B$57,0),1),"UNKNOWN SKU")</f>
        <v>Krest Club Soda RGB 300ml</v>
      </c>
      <c r="H164" s="73" t="s">
        <v>539</v>
      </c>
      <c r="I164" s="93">
        <v>1.63043137378793E-3</v>
      </c>
      <c r="J164" s="136"/>
      <c r="K164" s="137"/>
      <c r="L164" s="136"/>
      <c r="M164" s="138"/>
      <c r="N164" s="130">
        <v>46180</v>
      </c>
      <c r="O164" s="143" t="str">
        <f t="shared" ca="1" si="2"/>
        <v>BREACHED</v>
      </c>
    </row>
    <row r="165" spans="1:15" ht="23.25" customHeight="1" x14ac:dyDescent="0.3">
      <c r="A165" s="60" t="s">
        <v>3522</v>
      </c>
      <c r="B165" s="126" t="s">
        <v>3076</v>
      </c>
      <c r="C165" s="68" t="s">
        <v>3345</v>
      </c>
      <c r="D165" s="63" t="s">
        <v>361</v>
      </c>
      <c r="E165" s="135" t="str">
        <f>IFERROR(INDEX(M_User!$A$12:$J$67,MATCH(D165,M_User!$D$12:$D$67,0),3),"UNMAPPED")</f>
        <v>Masunga Mwala Ramadhani</v>
      </c>
      <c r="F165" s="63" t="s">
        <v>201</v>
      </c>
      <c r="G165" s="135" t="str">
        <f>IFERROR(INDEX(M_SKU!$A$18:$J$57,MATCH(F165,M_SKU!$B$18:$B$57,0),1),"UNKNOWN SKU")</f>
        <v>Krest Tonic Water RGB 300ml</v>
      </c>
      <c r="H165" s="63" t="s">
        <v>540</v>
      </c>
      <c r="I165" s="90">
        <v>4.0955940046602003E-3</v>
      </c>
      <c r="J165" s="144" t="s">
        <v>3367</v>
      </c>
      <c r="K165" s="145" t="s">
        <v>3420</v>
      </c>
      <c r="L165" s="144" t="s">
        <v>435</v>
      </c>
      <c r="M165" s="146">
        <v>46179</v>
      </c>
      <c r="N165" s="62">
        <v>46180</v>
      </c>
      <c r="O165" s="139" t="str">
        <f t="shared" ca="1" si="2"/>
        <v>Within SLA</v>
      </c>
    </row>
    <row r="166" spans="1:15" ht="15" customHeight="1" x14ac:dyDescent="0.3">
      <c r="A166" s="70" t="s">
        <v>3523</v>
      </c>
      <c r="B166" s="140" t="s">
        <v>3077</v>
      </c>
      <c r="C166" s="147" t="s">
        <v>3345</v>
      </c>
      <c r="D166" s="73" t="s">
        <v>361</v>
      </c>
      <c r="E166" s="142" t="str">
        <f>IFERROR(INDEX(M_User!$A$12:$J$67,MATCH(D166,M_User!$D$12:$D$67,0),3),"UNMAPPED")</f>
        <v>Masunga Mwala Ramadhani</v>
      </c>
      <c r="F166" s="73" t="s">
        <v>203</v>
      </c>
      <c r="G166" s="142" t="str">
        <f>IFERROR(INDEX(M_SKU!$A$18:$J$57,MATCH(F166,M_SKU!$B$18:$B$57,0),1),"UNKNOWN SKU")</f>
        <v>Krest Ginger Ale RGB 300ml</v>
      </c>
      <c r="H166" s="73" t="s">
        <v>541</v>
      </c>
      <c r="I166" s="93">
        <v>3.9484091063097804E-3</v>
      </c>
      <c r="J166" s="144" t="s">
        <v>3384</v>
      </c>
      <c r="K166" s="145" t="s">
        <v>3411</v>
      </c>
      <c r="L166" s="144" t="s">
        <v>428</v>
      </c>
      <c r="M166" s="146">
        <v>46179</v>
      </c>
      <c r="N166" s="130">
        <v>46180</v>
      </c>
      <c r="O166" s="143" t="str">
        <f t="shared" ca="1" si="2"/>
        <v>Within SLA</v>
      </c>
    </row>
    <row r="167" spans="1:15" ht="23.25" customHeight="1" x14ac:dyDescent="0.3">
      <c r="A167" s="60" t="s">
        <v>3524</v>
      </c>
      <c r="B167" s="126" t="s">
        <v>3078</v>
      </c>
      <c r="C167" s="68" t="s">
        <v>3345</v>
      </c>
      <c r="D167" s="63" t="s">
        <v>361</v>
      </c>
      <c r="E167" s="135" t="str">
        <f>IFERROR(INDEX(M_User!$A$12:$J$67,MATCH(D167,M_User!$D$12:$D$67,0),3),"UNMAPPED")</f>
        <v>Masunga Mwala Ramadhani</v>
      </c>
      <c r="F167" s="63" t="s">
        <v>209</v>
      </c>
      <c r="G167" s="135" t="str">
        <f>IFERROR(INDEX(M_SKU!$A$18:$J$57,MATCH(F167,M_SKU!$B$18:$B$57,0),1),"UNKNOWN SKU")</f>
        <v>Sparletta Red Apple RGB 350ml</v>
      </c>
      <c r="H167" s="63" t="s">
        <v>542</v>
      </c>
      <c r="I167" s="90">
        <v>2.30206905133001E-3</v>
      </c>
      <c r="J167" s="144" t="s">
        <v>3367</v>
      </c>
      <c r="K167" s="145" t="s">
        <v>3396</v>
      </c>
      <c r="L167" s="144" t="s">
        <v>434</v>
      </c>
      <c r="M167" s="146">
        <v>46179</v>
      </c>
      <c r="N167" s="62">
        <v>46180</v>
      </c>
      <c r="O167" s="139" t="str">
        <f t="shared" ca="1" si="2"/>
        <v>Within SLA</v>
      </c>
    </row>
    <row r="168" spans="1:15" ht="23.25" customHeight="1" x14ac:dyDescent="0.3">
      <c r="A168" s="70" t="s">
        <v>3525</v>
      </c>
      <c r="B168" s="140" t="s">
        <v>3090</v>
      </c>
      <c r="C168" s="148" t="s">
        <v>3526</v>
      </c>
      <c r="D168" s="73" t="s">
        <v>562</v>
      </c>
      <c r="E168" s="142" t="str">
        <f>IFERROR(INDEX(M_User!$A$12:$J$67,MATCH(D168,M_User!$D$12:$D$67,0),3),"UNMAPPED")</f>
        <v>UNMAPPED</v>
      </c>
      <c r="F168" s="73" t="s">
        <v>170</v>
      </c>
      <c r="G168" s="142" t="str">
        <f>IFERROR(INDEX(M_SKU!$A$18:$J$57,MATCH(F168,M_SKU!$B$18:$B$57,0),1),"UNKNOWN SKU")</f>
        <v>Coke RGB 350ml</v>
      </c>
      <c r="H168" s="73" t="s">
        <v>530</v>
      </c>
      <c r="I168" s="93">
        <v>0</v>
      </c>
      <c r="J168" s="144" t="s">
        <v>3527</v>
      </c>
      <c r="K168" s="145" t="s">
        <v>3528</v>
      </c>
      <c r="L168" s="144" t="s">
        <v>435</v>
      </c>
      <c r="M168" s="146">
        <v>46179</v>
      </c>
      <c r="N168" s="130">
        <v>46180</v>
      </c>
      <c r="O168" s="143" t="str">
        <f t="shared" ca="1" si="2"/>
        <v>Within SLA</v>
      </c>
    </row>
    <row r="169" spans="1:15" ht="15" customHeight="1" x14ac:dyDescent="0.3">
      <c r="A169" s="60" t="s">
        <v>3529</v>
      </c>
      <c r="B169" s="126" t="s">
        <v>3093</v>
      </c>
      <c r="C169" s="149" t="s">
        <v>3526</v>
      </c>
      <c r="D169" s="63" t="s">
        <v>562</v>
      </c>
      <c r="E169" s="135" t="str">
        <f>IFERROR(INDEX(M_User!$A$12:$J$67,MATCH(D169,M_User!$D$12:$D$67,0),3),"UNMAPPED")</f>
        <v>UNMAPPED</v>
      </c>
      <c r="F169" s="63" t="s">
        <v>178</v>
      </c>
      <c r="G169" s="135" t="str">
        <f>IFERROR(INDEX(M_SKU!$A$18:$J$57,MATCH(F169,M_SKU!$B$18:$B$57,0),1),"UNKNOWN SKU")</f>
        <v>Fanta Orange RGB 350ml</v>
      </c>
      <c r="H169" s="63" t="s">
        <v>531</v>
      </c>
      <c r="I169" s="90">
        <v>0</v>
      </c>
      <c r="J169" s="136"/>
      <c r="K169" s="137"/>
      <c r="L169" s="136"/>
      <c r="M169" s="138"/>
      <c r="N169" s="62">
        <v>46180</v>
      </c>
      <c r="O169" s="139" t="str">
        <f t="shared" ca="1" si="2"/>
        <v>BREACHED</v>
      </c>
    </row>
    <row r="170" spans="1:15" ht="15" customHeight="1" x14ac:dyDescent="0.3">
      <c r="A170" s="70" t="s">
        <v>3530</v>
      </c>
      <c r="B170" s="140" t="s">
        <v>3094</v>
      </c>
      <c r="C170" s="148" t="s">
        <v>3526</v>
      </c>
      <c r="D170" s="73" t="s">
        <v>562</v>
      </c>
      <c r="E170" s="142" t="str">
        <f>IFERROR(INDEX(M_User!$A$12:$J$67,MATCH(D170,M_User!$D$12:$D$67,0),3),"UNMAPPED")</f>
        <v>UNMAPPED</v>
      </c>
      <c r="F170" s="73" t="s">
        <v>181</v>
      </c>
      <c r="G170" s="142" t="str">
        <f>IFERROR(INDEX(M_SKU!$A$18:$J$57,MATCH(F170,M_SKU!$B$18:$B$57,0),1),"UNKNOWN SKU")</f>
        <v>Fanta Passion RGB 350ml</v>
      </c>
      <c r="H170" s="73" t="s">
        <v>550</v>
      </c>
      <c r="I170" s="93">
        <v>0</v>
      </c>
      <c r="J170" s="136"/>
      <c r="K170" s="137"/>
      <c r="L170" s="136"/>
      <c r="M170" s="138"/>
      <c r="N170" s="130">
        <v>46180</v>
      </c>
      <c r="O170" s="143" t="str">
        <f t="shared" ca="1" si="2"/>
        <v>BREACHED</v>
      </c>
    </row>
    <row r="171" spans="1:15" ht="15" customHeight="1" x14ac:dyDescent="0.3">
      <c r="A171" s="60" t="s">
        <v>3531</v>
      </c>
      <c r="B171" s="126" t="s">
        <v>3095</v>
      </c>
      <c r="C171" s="149" t="s">
        <v>3526</v>
      </c>
      <c r="D171" s="63" t="s">
        <v>562</v>
      </c>
      <c r="E171" s="135" t="str">
        <f>IFERROR(INDEX(M_User!$A$12:$J$67,MATCH(D171,M_User!$D$12:$D$67,0),3),"UNMAPPED")</f>
        <v>UNMAPPED</v>
      </c>
      <c r="F171" s="63" t="s">
        <v>183</v>
      </c>
      <c r="G171" s="135" t="str">
        <f>IFERROR(INDEX(M_SKU!$A$18:$J$57,MATCH(F171,M_SKU!$B$18:$B$57,0),1),"UNKNOWN SKU")</f>
        <v>Fanta Pineapple RGB 350ml</v>
      </c>
      <c r="H171" s="63" t="s">
        <v>533</v>
      </c>
      <c r="I171" s="90">
        <v>0</v>
      </c>
      <c r="J171" s="136"/>
      <c r="K171" s="137"/>
      <c r="L171" s="136"/>
      <c r="M171" s="138"/>
      <c r="N171" s="62">
        <v>46180</v>
      </c>
      <c r="O171" s="139" t="str">
        <f t="shared" ca="1" si="2"/>
        <v>BREACHED</v>
      </c>
    </row>
    <row r="172" spans="1:15" ht="15" customHeight="1" x14ac:dyDescent="0.3">
      <c r="A172" s="70" t="s">
        <v>3532</v>
      </c>
      <c r="B172" s="140" t="s">
        <v>3096</v>
      </c>
      <c r="C172" s="148" t="s">
        <v>3526</v>
      </c>
      <c r="D172" s="73" t="s">
        <v>562</v>
      </c>
      <c r="E172" s="142" t="str">
        <f>IFERROR(INDEX(M_User!$A$12:$J$67,MATCH(D172,M_User!$D$12:$D$67,0),3),"UNMAPPED")</f>
        <v>UNMAPPED</v>
      </c>
      <c r="F172" s="73" t="s">
        <v>185</v>
      </c>
      <c r="G172" s="142" t="str">
        <f>IFERROR(INDEX(M_SKU!$A$18:$J$57,MATCH(F172,M_SKU!$B$18:$B$57,0),1),"UNKNOWN SKU")</f>
        <v>Fanta Fruit Blast RGB 350 ml</v>
      </c>
      <c r="H172" s="73" t="s">
        <v>534</v>
      </c>
      <c r="I172" s="93">
        <v>0</v>
      </c>
      <c r="J172" s="136"/>
      <c r="K172" s="137"/>
      <c r="L172" s="136"/>
      <c r="M172" s="138"/>
      <c r="N172" s="130">
        <v>46180</v>
      </c>
      <c r="O172" s="143" t="str">
        <f t="shared" ca="1" si="2"/>
        <v>BREACHED</v>
      </c>
    </row>
    <row r="173" spans="1:15" ht="15" customHeight="1" x14ac:dyDescent="0.3">
      <c r="A173" s="60" t="s">
        <v>3533</v>
      </c>
      <c r="B173" s="126" t="s">
        <v>3097</v>
      </c>
      <c r="C173" s="149" t="s">
        <v>3526</v>
      </c>
      <c r="D173" s="63" t="s">
        <v>562</v>
      </c>
      <c r="E173" s="135" t="str">
        <f>IFERROR(INDEX(M_User!$A$12:$J$67,MATCH(D173,M_User!$D$12:$D$67,0),3),"UNMAPPED")</f>
        <v>UNMAPPED</v>
      </c>
      <c r="F173" s="63" t="s">
        <v>187</v>
      </c>
      <c r="G173" s="135" t="str">
        <f>IFERROR(INDEX(M_SKU!$A$18:$J$57,MATCH(F173,M_SKU!$B$18:$B$57,0),1),"UNKNOWN SKU")</f>
        <v>Sprite 350ml</v>
      </c>
      <c r="H173" s="63" t="s">
        <v>535</v>
      </c>
      <c r="I173" s="90">
        <v>0</v>
      </c>
      <c r="J173" s="136"/>
      <c r="K173" s="137"/>
      <c r="L173" s="136"/>
      <c r="M173" s="138"/>
      <c r="N173" s="62">
        <v>46180</v>
      </c>
      <c r="O173" s="139" t="str">
        <f t="shared" ca="1" si="2"/>
        <v>BREACHED</v>
      </c>
    </row>
    <row r="174" spans="1:15" ht="15" customHeight="1" x14ac:dyDescent="0.3">
      <c r="A174" s="70" t="s">
        <v>3534</v>
      </c>
      <c r="B174" s="140" t="s">
        <v>3098</v>
      </c>
      <c r="C174" s="148" t="s">
        <v>3526</v>
      </c>
      <c r="D174" s="73" t="s">
        <v>562</v>
      </c>
      <c r="E174" s="142" t="str">
        <f>IFERROR(INDEX(M_User!$A$12:$J$67,MATCH(D174,M_User!$D$12:$D$67,0),3),"UNMAPPED")</f>
        <v>UNMAPPED</v>
      </c>
      <c r="F174" s="73" t="s">
        <v>190</v>
      </c>
      <c r="G174" s="142" t="str">
        <f>IFERROR(INDEX(M_SKU!$A$18:$J$57,MATCH(F174,M_SKU!$B$18:$B$57,0),1),"UNKNOWN SKU")</f>
        <v>Stoney Tangawizi RGB 350ml</v>
      </c>
      <c r="H174" s="73" t="s">
        <v>536</v>
      </c>
      <c r="I174" s="93">
        <v>0</v>
      </c>
      <c r="J174" s="136"/>
      <c r="K174" s="137"/>
      <c r="L174" s="136"/>
      <c r="M174" s="138"/>
      <c r="N174" s="130">
        <v>46180</v>
      </c>
      <c r="O174" s="143" t="str">
        <f t="shared" ca="1" si="2"/>
        <v>BREACHED</v>
      </c>
    </row>
    <row r="175" spans="1:15" ht="15" customHeight="1" x14ac:dyDescent="0.3">
      <c r="A175" s="60" t="s">
        <v>3535</v>
      </c>
      <c r="B175" s="126" t="s">
        <v>3099</v>
      </c>
      <c r="C175" s="149" t="s">
        <v>3526</v>
      </c>
      <c r="D175" s="63" t="s">
        <v>562</v>
      </c>
      <c r="E175" s="135" t="str">
        <f>IFERROR(INDEX(M_User!$A$12:$J$67,MATCH(D175,M_User!$D$12:$D$67,0),3),"UNMAPPED")</f>
        <v>UNMAPPED</v>
      </c>
      <c r="F175" s="63" t="s">
        <v>193</v>
      </c>
      <c r="G175" s="135" t="str">
        <f>IFERROR(INDEX(M_SKU!$A$18:$J$57,MATCH(F175,M_SKU!$B$18:$B$57,0),1),"UNKNOWN SKU")</f>
        <v>Sparletta Pinenut RGB 350ml</v>
      </c>
      <c r="H175" s="63" t="s">
        <v>537</v>
      </c>
      <c r="I175" s="90">
        <v>0</v>
      </c>
      <c r="J175" s="136"/>
      <c r="K175" s="137"/>
      <c r="L175" s="136"/>
      <c r="M175" s="138"/>
      <c r="N175" s="62">
        <v>46180</v>
      </c>
      <c r="O175" s="139" t="str">
        <f t="shared" ca="1" si="2"/>
        <v>BREACHED</v>
      </c>
    </row>
    <row r="176" spans="1:15" ht="15" customHeight="1" x14ac:dyDescent="0.3">
      <c r="A176" s="70" t="s">
        <v>3536</v>
      </c>
      <c r="B176" s="140" t="s">
        <v>3100</v>
      </c>
      <c r="C176" s="148" t="s">
        <v>3526</v>
      </c>
      <c r="D176" s="73" t="s">
        <v>562</v>
      </c>
      <c r="E176" s="142" t="str">
        <f>IFERROR(INDEX(M_User!$A$12:$J$67,MATCH(D176,M_User!$D$12:$D$67,0),3),"UNMAPPED")</f>
        <v>UNMAPPED</v>
      </c>
      <c r="F176" s="73" t="s">
        <v>196</v>
      </c>
      <c r="G176" s="142" t="str">
        <f>IFERROR(INDEX(M_SKU!$A$18:$J$57,MATCH(F176,M_SKU!$B$18:$B$57,0),1),"UNKNOWN SKU")</f>
        <v>Krest Bitter Lemon RGB 300ml</v>
      </c>
      <c r="H176" s="73" t="s">
        <v>538</v>
      </c>
      <c r="I176" s="93">
        <v>0</v>
      </c>
      <c r="J176" s="136"/>
      <c r="K176" s="137"/>
      <c r="L176" s="136"/>
      <c r="M176" s="138"/>
      <c r="N176" s="130">
        <v>46180</v>
      </c>
      <c r="O176" s="143" t="str">
        <f t="shared" ca="1" si="2"/>
        <v>BREACHED</v>
      </c>
    </row>
    <row r="177" spans="1:15" ht="15" customHeight="1" x14ac:dyDescent="0.3">
      <c r="A177" s="60" t="s">
        <v>3537</v>
      </c>
      <c r="B177" s="126" t="s">
        <v>3101</v>
      </c>
      <c r="C177" s="149" t="s">
        <v>3526</v>
      </c>
      <c r="D177" s="63" t="s">
        <v>562</v>
      </c>
      <c r="E177" s="135" t="str">
        <f>IFERROR(INDEX(M_User!$A$12:$J$67,MATCH(D177,M_User!$D$12:$D$67,0),3),"UNMAPPED")</f>
        <v>UNMAPPED</v>
      </c>
      <c r="F177" s="63" t="s">
        <v>199</v>
      </c>
      <c r="G177" s="135" t="str">
        <f>IFERROR(INDEX(M_SKU!$A$18:$J$57,MATCH(F177,M_SKU!$B$18:$B$57,0),1),"UNKNOWN SKU")</f>
        <v>Krest Club Soda RGB 300ml</v>
      </c>
      <c r="H177" s="63" t="s">
        <v>539</v>
      </c>
      <c r="I177" s="90">
        <v>0</v>
      </c>
      <c r="J177" s="136"/>
      <c r="K177" s="137"/>
      <c r="L177" s="136"/>
      <c r="M177" s="138"/>
      <c r="N177" s="62">
        <v>46180</v>
      </c>
      <c r="O177" s="139" t="str">
        <f t="shared" ca="1" si="2"/>
        <v>BREACHED</v>
      </c>
    </row>
    <row r="178" spans="1:15" ht="23.25" customHeight="1" x14ac:dyDescent="0.3">
      <c r="A178" s="70" t="s">
        <v>3538</v>
      </c>
      <c r="B178" s="140" t="s">
        <v>3102</v>
      </c>
      <c r="C178" s="148" t="s">
        <v>3526</v>
      </c>
      <c r="D178" s="73" t="s">
        <v>562</v>
      </c>
      <c r="E178" s="142" t="str">
        <f>IFERROR(INDEX(M_User!$A$12:$J$67,MATCH(D178,M_User!$D$12:$D$67,0),3),"UNMAPPED")</f>
        <v>UNMAPPED</v>
      </c>
      <c r="F178" s="73" t="s">
        <v>201</v>
      </c>
      <c r="G178" s="142" t="str">
        <f>IFERROR(INDEX(M_SKU!$A$18:$J$57,MATCH(F178,M_SKU!$B$18:$B$57,0),1),"UNKNOWN SKU")</f>
        <v>Krest Tonic Water RGB 300ml</v>
      </c>
      <c r="H178" s="73" t="s">
        <v>540</v>
      </c>
      <c r="I178" s="93">
        <v>0</v>
      </c>
      <c r="J178" s="144" t="s">
        <v>3527</v>
      </c>
      <c r="K178" s="145" t="s">
        <v>3539</v>
      </c>
      <c r="L178" s="144" t="s">
        <v>436</v>
      </c>
      <c r="M178" s="146">
        <v>46179</v>
      </c>
      <c r="N178" s="130">
        <v>46180</v>
      </c>
      <c r="O178" s="143" t="str">
        <f t="shared" ca="1" si="2"/>
        <v>Within SLA</v>
      </c>
    </row>
    <row r="179" spans="1:15" ht="15" customHeight="1" x14ac:dyDescent="0.3">
      <c r="A179" s="60" t="s">
        <v>3540</v>
      </c>
      <c r="B179" s="126" t="s">
        <v>3103</v>
      </c>
      <c r="C179" s="149" t="s">
        <v>3526</v>
      </c>
      <c r="D179" s="63" t="s">
        <v>562</v>
      </c>
      <c r="E179" s="135" t="str">
        <f>IFERROR(INDEX(M_User!$A$12:$J$67,MATCH(D179,M_User!$D$12:$D$67,0),3),"UNMAPPED")</f>
        <v>UNMAPPED</v>
      </c>
      <c r="F179" s="63" t="s">
        <v>203</v>
      </c>
      <c r="G179" s="135" t="str">
        <f>IFERROR(INDEX(M_SKU!$A$18:$J$57,MATCH(F179,M_SKU!$B$18:$B$57,0),1),"UNKNOWN SKU")</f>
        <v>Krest Ginger Ale RGB 300ml</v>
      </c>
      <c r="H179" s="63" t="s">
        <v>541</v>
      </c>
      <c r="I179" s="90">
        <v>0</v>
      </c>
      <c r="J179" s="136"/>
      <c r="K179" s="137"/>
      <c r="L179" s="136"/>
      <c r="M179" s="138"/>
      <c r="N179" s="62">
        <v>46180</v>
      </c>
      <c r="O179" s="139" t="str">
        <f t="shared" ca="1" si="2"/>
        <v>BREACHED</v>
      </c>
    </row>
    <row r="180" spans="1:15" ht="15" customHeight="1" x14ac:dyDescent="0.3">
      <c r="A180" s="70" t="s">
        <v>3541</v>
      </c>
      <c r="B180" s="140" t="s">
        <v>3104</v>
      </c>
      <c r="C180" s="148" t="s">
        <v>3526</v>
      </c>
      <c r="D180" s="73" t="s">
        <v>562</v>
      </c>
      <c r="E180" s="142" t="str">
        <f>IFERROR(INDEX(M_User!$A$12:$J$67,MATCH(D180,M_User!$D$12:$D$67,0),3),"UNMAPPED")</f>
        <v>UNMAPPED</v>
      </c>
      <c r="F180" s="73" t="s">
        <v>209</v>
      </c>
      <c r="G180" s="142" t="str">
        <f>IFERROR(INDEX(M_SKU!$A$18:$J$57,MATCH(F180,M_SKU!$B$18:$B$57,0),1),"UNKNOWN SKU")</f>
        <v>Sparletta Red Apple RGB 350ml</v>
      </c>
      <c r="H180" s="73" t="s">
        <v>542</v>
      </c>
      <c r="I180" s="93">
        <v>0</v>
      </c>
      <c r="J180" s="136"/>
      <c r="K180" s="137"/>
      <c r="L180" s="136"/>
      <c r="M180" s="138"/>
      <c r="N180" s="130">
        <v>46180</v>
      </c>
      <c r="O180" s="143" t="str">
        <f t="shared" ca="1" si="2"/>
        <v>BREACHED</v>
      </c>
    </row>
    <row r="181" spans="1:15" ht="15" customHeight="1" x14ac:dyDescent="0.3">
      <c r="A181" s="60" t="s">
        <v>3542</v>
      </c>
      <c r="B181" s="126" t="s">
        <v>3105</v>
      </c>
      <c r="C181" s="149" t="s">
        <v>3526</v>
      </c>
      <c r="D181" s="63" t="s">
        <v>562</v>
      </c>
      <c r="E181" s="135" t="str">
        <f>IFERROR(INDEX(M_User!$A$12:$J$67,MATCH(D181,M_User!$D$12:$D$67,0),3),"UNMAPPED")</f>
        <v>UNMAPPED</v>
      </c>
      <c r="F181" s="63" t="s">
        <v>211</v>
      </c>
      <c r="G181" s="135" t="str">
        <f>IFERROR(INDEX(M_SKU!$A$18:$J$57,MATCH(F181,M_SKU!$B$18:$B$57,0),1),"UNKNOWN SKU")</f>
        <v>KNMW 500ml</v>
      </c>
      <c r="H181" s="63" t="s">
        <v>543</v>
      </c>
      <c r="I181" s="90">
        <v>0</v>
      </c>
      <c r="J181" s="136"/>
      <c r="K181" s="137"/>
      <c r="L181" s="136"/>
      <c r="M181" s="138"/>
      <c r="N181" s="62">
        <v>46180</v>
      </c>
      <c r="O181" s="139" t="str">
        <f t="shared" ca="1" si="2"/>
        <v>BREACHED</v>
      </c>
    </row>
    <row r="182" spans="1:15" ht="15" customHeight="1" x14ac:dyDescent="0.3">
      <c r="A182" s="70" t="s">
        <v>3543</v>
      </c>
      <c r="B182" s="140" t="s">
        <v>3106</v>
      </c>
      <c r="C182" s="148" t="s">
        <v>3526</v>
      </c>
      <c r="D182" s="73" t="s">
        <v>562</v>
      </c>
      <c r="E182" s="142" t="str">
        <f>IFERROR(INDEX(M_User!$A$12:$J$67,MATCH(D182,M_User!$D$12:$D$67,0),3),"UNMAPPED")</f>
        <v>UNMAPPED</v>
      </c>
      <c r="F182" s="73" t="s">
        <v>217</v>
      </c>
      <c r="G182" s="142" t="str">
        <f>IFERROR(INDEX(M_SKU!$A$18:$J$57,MATCH(F182,M_SKU!$B$18:$B$57,0),1),"UNKNOWN SKU")</f>
        <v>KNMW 1500ml</v>
      </c>
      <c r="H182" s="73" t="s">
        <v>551</v>
      </c>
      <c r="I182" s="93">
        <v>0</v>
      </c>
      <c r="J182" s="136"/>
      <c r="K182" s="137"/>
      <c r="L182" s="136"/>
      <c r="M182" s="138"/>
      <c r="N182" s="130">
        <v>46180</v>
      </c>
      <c r="O182" s="143" t="str">
        <f t="shared" ca="1" si="2"/>
        <v>BREACHED</v>
      </c>
    </row>
    <row r="183" spans="1:15" ht="15" customHeight="1" x14ac:dyDescent="0.3">
      <c r="A183" s="60" t="s">
        <v>3544</v>
      </c>
      <c r="B183" s="126" t="s">
        <v>3107</v>
      </c>
      <c r="C183" s="149" t="s">
        <v>3526</v>
      </c>
      <c r="D183" s="63" t="s">
        <v>562</v>
      </c>
      <c r="E183" s="135" t="str">
        <f>IFERROR(INDEX(M_User!$A$12:$J$67,MATCH(D183,M_User!$D$12:$D$67,0),3),"UNMAPPED")</f>
        <v>UNMAPPED</v>
      </c>
      <c r="F183" s="63" t="s">
        <v>229</v>
      </c>
      <c r="G183" s="135" t="str">
        <f>IFERROR(INDEX(M_SKU!$A$18:$J$57,MATCH(F183,M_SKU!$B$18:$B$57,0),1),"UNKNOWN SKU")</f>
        <v>Coke Pet 500ML ( x12)</v>
      </c>
      <c r="H183" s="63" t="s">
        <v>520</v>
      </c>
      <c r="I183" s="90">
        <v>0</v>
      </c>
      <c r="J183" s="136"/>
      <c r="K183" s="137"/>
      <c r="L183" s="136"/>
      <c r="M183" s="138"/>
      <c r="N183" s="62">
        <v>46180</v>
      </c>
      <c r="O183" s="139" t="str">
        <f t="shared" ca="1" si="2"/>
        <v>BREACHED</v>
      </c>
    </row>
    <row r="184" spans="1:15" ht="15" customHeight="1" x14ac:dyDescent="0.3">
      <c r="A184" s="70" t="s">
        <v>3545</v>
      </c>
      <c r="B184" s="140" t="s">
        <v>3108</v>
      </c>
      <c r="C184" s="148" t="s">
        <v>3526</v>
      </c>
      <c r="D184" s="73" t="s">
        <v>562</v>
      </c>
      <c r="E184" s="142" t="str">
        <f>IFERROR(INDEX(M_User!$A$12:$J$67,MATCH(D184,M_User!$D$12:$D$67,0),3),"UNMAPPED")</f>
        <v>UNMAPPED</v>
      </c>
      <c r="F184" s="73" t="s">
        <v>232</v>
      </c>
      <c r="G184" s="142" t="str">
        <f>IFERROR(INDEX(M_SKU!$A$18:$J$57,MATCH(F184,M_SKU!$B$18:$B$57,0),1),"UNKNOWN SKU")</f>
        <v>Sprite Pet 500ML (x 12)</v>
      </c>
      <c r="H184" s="73" t="s">
        <v>522</v>
      </c>
      <c r="I184" s="93">
        <v>0</v>
      </c>
      <c r="J184" s="136"/>
      <c r="K184" s="137"/>
      <c r="L184" s="136"/>
      <c r="M184" s="138"/>
      <c r="N184" s="130">
        <v>46180</v>
      </c>
      <c r="O184" s="143" t="str">
        <f t="shared" ca="1" si="2"/>
        <v>BREACHED</v>
      </c>
    </row>
    <row r="185" spans="1:15" ht="15" customHeight="1" x14ac:dyDescent="0.3">
      <c r="A185" s="60" t="s">
        <v>3546</v>
      </c>
      <c r="B185" s="126" t="s">
        <v>3109</v>
      </c>
      <c r="C185" s="149" t="s">
        <v>3526</v>
      </c>
      <c r="D185" s="63" t="s">
        <v>562</v>
      </c>
      <c r="E185" s="135" t="str">
        <f>IFERROR(INDEX(M_User!$A$12:$J$67,MATCH(D185,M_User!$D$12:$D$67,0),3),"UNMAPPED")</f>
        <v>UNMAPPED</v>
      </c>
      <c r="F185" s="63" t="s">
        <v>234</v>
      </c>
      <c r="G185" s="135" t="str">
        <f>IFERROR(INDEX(M_SKU!$A$18:$J$57,MATCH(F185,M_SKU!$B$18:$B$57,0),1),"UNKNOWN SKU")</f>
        <v>Fanta Orange Pet 500ML ( x 12)</v>
      </c>
      <c r="H185" s="63" t="s">
        <v>523</v>
      </c>
      <c r="I185" s="90">
        <v>0</v>
      </c>
      <c r="J185" s="136"/>
      <c r="K185" s="137"/>
      <c r="L185" s="136"/>
      <c r="M185" s="138"/>
      <c r="N185" s="62">
        <v>46180</v>
      </c>
      <c r="O185" s="139" t="str">
        <f t="shared" ca="1" si="2"/>
        <v>BREACHED</v>
      </c>
    </row>
    <row r="186" spans="1:15" ht="15" customHeight="1" x14ac:dyDescent="0.3">
      <c r="A186" s="70" t="s">
        <v>3547</v>
      </c>
      <c r="B186" s="140" t="s">
        <v>3110</v>
      </c>
      <c r="C186" s="148" t="s">
        <v>3526</v>
      </c>
      <c r="D186" s="73" t="s">
        <v>562</v>
      </c>
      <c r="E186" s="142" t="str">
        <f>IFERROR(INDEX(M_User!$A$12:$J$67,MATCH(D186,M_User!$D$12:$D$67,0),3),"UNMAPPED")</f>
        <v>UNMAPPED</v>
      </c>
      <c r="F186" s="73" t="s">
        <v>236</v>
      </c>
      <c r="G186" s="142" t="str">
        <f>IFERROR(INDEX(M_SKU!$A$18:$J$57,MATCH(F186,M_SKU!$B$18:$B$57,0),1),"UNKNOWN SKU")</f>
        <v>Fanta Passion Pet 500ML ( x12)</v>
      </c>
      <c r="H186" s="73" t="s">
        <v>524</v>
      </c>
      <c r="I186" s="93">
        <v>0</v>
      </c>
      <c r="J186" s="136"/>
      <c r="K186" s="137"/>
      <c r="L186" s="136"/>
      <c r="M186" s="138"/>
      <c r="N186" s="130">
        <v>46180</v>
      </c>
      <c r="O186" s="143" t="str">
        <f t="shared" ca="1" si="2"/>
        <v>BREACHED</v>
      </c>
    </row>
    <row r="187" spans="1:15" ht="15" customHeight="1" x14ac:dyDescent="0.3">
      <c r="A187" s="60" t="s">
        <v>3548</v>
      </c>
      <c r="B187" s="126" t="s">
        <v>3111</v>
      </c>
      <c r="C187" s="149" t="s">
        <v>3526</v>
      </c>
      <c r="D187" s="63" t="s">
        <v>562</v>
      </c>
      <c r="E187" s="135" t="str">
        <f>IFERROR(INDEX(M_User!$A$12:$J$67,MATCH(D187,M_User!$D$12:$D$67,0),3),"UNMAPPED")</f>
        <v>UNMAPPED</v>
      </c>
      <c r="F187" s="63" t="s">
        <v>242</v>
      </c>
      <c r="G187" s="135" t="str">
        <f>IFERROR(INDEX(M_SKU!$A$18:$J$57,MATCH(F187,M_SKU!$B$18:$B$57,0),1),"UNKNOWN SKU")</f>
        <v>Stoney Tangawizi Pet 500 ml ( x12)</v>
      </c>
      <c r="H187" s="63" t="s">
        <v>525</v>
      </c>
      <c r="I187" s="90">
        <v>0</v>
      </c>
      <c r="J187" s="136"/>
      <c r="K187" s="137"/>
      <c r="L187" s="136"/>
      <c r="M187" s="138"/>
      <c r="N187" s="62">
        <v>46180</v>
      </c>
      <c r="O187" s="139" t="str">
        <f t="shared" ca="1" si="2"/>
        <v>BREACHED</v>
      </c>
    </row>
    <row r="188" spans="1:15" ht="15" customHeight="1" x14ac:dyDescent="0.3">
      <c r="A188" s="70" t="s">
        <v>3549</v>
      </c>
      <c r="B188" s="140" t="s">
        <v>3112</v>
      </c>
      <c r="C188" s="148" t="s">
        <v>3526</v>
      </c>
      <c r="D188" s="73" t="s">
        <v>562</v>
      </c>
      <c r="E188" s="142" t="str">
        <f>IFERROR(INDEX(M_User!$A$12:$J$67,MATCH(D188,M_User!$D$12:$D$67,0),3),"UNMAPPED")</f>
        <v>UNMAPPED</v>
      </c>
      <c r="F188" s="73" t="s">
        <v>244</v>
      </c>
      <c r="G188" s="142" t="str">
        <f>IFERROR(INDEX(M_SKU!$A$18:$J$57,MATCH(F188,M_SKU!$B$18:$B$57,0),1),"UNKNOWN SKU")</f>
        <v>Sparletta Pinenut Pet 500 ml ( x12)</v>
      </c>
      <c r="H188" s="73" t="s">
        <v>526</v>
      </c>
      <c r="I188" s="93">
        <v>0</v>
      </c>
      <c r="J188" s="136"/>
      <c r="K188" s="137"/>
      <c r="L188" s="136"/>
      <c r="M188" s="138"/>
      <c r="N188" s="130">
        <v>46180</v>
      </c>
      <c r="O188" s="143" t="str">
        <f t="shared" ca="1" si="2"/>
        <v>BREACHED</v>
      </c>
    </row>
    <row r="189" spans="1:15" ht="15" customHeight="1" x14ac:dyDescent="0.3">
      <c r="A189" s="60" t="s">
        <v>3550</v>
      </c>
      <c r="B189" s="126" t="s">
        <v>3113</v>
      </c>
      <c r="C189" s="149" t="s">
        <v>3526</v>
      </c>
      <c r="D189" s="63" t="s">
        <v>562</v>
      </c>
      <c r="E189" s="135" t="str">
        <f>IFERROR(INDEX(M_User!$A$12:$J$67,MATCH(D189,M_User!$D$12:$D$67,0),3),"UNMAPPED")</f>
        <v>UNMAPPED</v>
      </c>
      <c r="F189" s="63" t="s">
        <v>252</v>
      </c>
      <c r="G189" s="135" t="str">
        <f>IFERROR(INDEX(M_SKU!$A$18:$J$57,MATCH(F189,M_SKU!$B$18:$B$57,0),1),"UNKNOWN SKU")</f>
        <v>Sprite Zero Pet 300ML (x 12)</v>
      </c>
      <c r="H189" s="63" t="s">
        <v>545</v>
      </c>
      <c r="I189" s="90">
        <v>0</v>
      </c>
      <c r="J189" s="136"/>
      <c r="K189" s="137"/>
      <c r="L189" s="136"/>
      <c r="M189" s="138"/>
      <c r="N189" s="62">
        <v>46180</v>
      </c>
      <c r="O189" s="139" t="str">
        <f t="shared" ca="1" si="2"/>
        <v>BREACHED</v>
      </c>
    </row>
    <row r="190" spans="1:15" ht="15" customHeight="1" x14ac:dyDescent="0.3">
      <c r="A190" s="70" t="s">
        <v>3551</v>
      </c>
      <c r="B190" s="140" t="s">
        <v>3114</v>
      </c>
      <c r="C190" s="148" t="s">
        <v>3526</v>
      </c>
      <c r="D190" s="73" t="s">
        <v>562</v>
      </c>
      <c r="E190" s="142" t="str">
        <f>IFERROR(INDEX(M_User!$A$12:$J$67,MATCH(D190,M_User!$D$12:$D$67,0),3),"UNMAPPED")</f>
        <v>UNMAPPED</v>
      </c>
      <c r="F190" s="73" t="s">
        <v>256</v>
      </c>
      <c r="G190" s="142" t="str">
        <f>IFERROR(INDEX(M_SKU!$A$18:$J$57,MATCH(F190,M_SKU!$B$18:$B$57,0),1),"UNKNOWN SKU")</f>
        <v>Sparletta Red Apple Pet 300ML(x 12)</v>
      </c>
      <c r="H190" s="73" t="s">
        <v>555</v>
      </c>
      <c r="I190" s="93">
        <v>0</v>
      </c>
      <c r="J190" s="136"/>
      <c r="K190" s="137"/>
      <c r="L190" s="136"/>
      <c r="M190" s="138"/>
      <c r="N190" s="130">
        <v>46180</v>
      </c>
      <c r="O190" s="143" t="str">
        <f t="shared" ca="1" si="2"/>
        <v>BREACHED</v>
      </c>
    </row>
    <row r="191" spans="1:15" ht="23.25" customHeight="1" x14ac:dyDescent="0.3">
      <c r="A191" s="60" t="s">
        <v>3552</v>
      </c>
      <c r="B191" s="126" t="s">
        <v>3115</v>
      </c>
      <c r="C191" s="149" t="s">
        <v>3526</v>
      </c>
      <c r="D191" s="63" t="s">
        <v>562</v>
      </c>
      <c r="E191" s="135" t="str">
        <f>IFERROR(INDEX(M_User!$A$12:$J$67,MATCH(D191,M_User!$D$12:$D$67,0),3),"UNMAPPED")</f>
        <v>UNMAPPED</v>
      </c>
      <c r="F191" s="63" t="s">
        <v>261</v>
      </c>
      <c r="G191" s="135" t="str">
        <f>IFERROR(INDEX(M_SKU!$A$18:$J$57,MATCH(F191,M_SKU!$B$18:$B$57,0),1),"UNKNOWN SKU")</f>
        <v>Sparletta Pine Apple Pet 300ML (x 12)</v>
      </c>
      <c r="H191" s="63" t="s">
        <v>547</v>
      </c>
      <c r="I191" s="90">
        <v>0</v>
      </c>
      <c r="J191" s="136"/>
      <c r="K191" s="137"/>
      <c r="L191" s="136"/>
      <c r="M191" s="138"/>
      <c r="N191" s="62">
        <v>46180</v>
      </c>
      <c r="O191" s="139" t="str">
        <f t="shared" ca="1" si="2"/>
        <v>BREACHED</v>
      </c>
    </row>
    <row r="192" spans="1:15" ht="23.25" customHeight="1" x14ac:dyDescent="0.3">
      <c r="A192" s="70" t="s">
        <v>3553</v>
      </c>
      <c r="B192" s="140" t="s">
        <v>3116</v>
      </c>
      <c r="C192" s="147" t="s">
        <v>3345</v>
      </c>
      <c r="D192" s="73" t="s">
        <v>415</v>
      </c>
      <c r="E192" s="142" t="str">
        <f>IFERROR(INDEX(M_User!$A$12:$J$67,MATCH(D192,M_User!$D$12:$D$67,0),3),"UNMAPPED")</f>
        <v>Joyline J Lyimo</v>
      </c>
      <c r="F192" s="73" t="s">
        <v>170</v>
      </c>
      <c r="G192" s="142" t="str">
        <f>IFERROR(INDEX(M_SKU!$A$18:$J$57,MATCH(F192,M_SKU!$B$18:$B$57,0),1),"UNKNOWN SKU")</f>
        <v>Coke RGB 350ml</v>
      </c>
      <c r="H192" s="73" t="s">
        <v>585</v>
      </c>
      <c r="I192" s="93">
        <v>8.5325233888004795E-2</v>
      </c>
      <c r="J192" s="144" t="s">
        <v>3367</v>
      </c>
      <c r="K192" s="145" t="s">
        <v>3402</v>
      </c>
      <c r="L192" s="144" t="s">
        <v>433</v>
      </c>
      <c r="M192" s="146">
        <v>46179</v>
      </c>
      <c r="N192" s="130">
        <v>46180</v>
      </c>
      <c r="O192" s="143" t="str">
        <f t="shared" ca="1" si="2"/>
        <v>Within SLA</v>
      </c>
    </row>
    <row r="193" spans="1:15" ht="15" customHeight="1" x14ac:dyDescent="0.3">
      <c r="A193" s="60" t="s">
        <v>3554</v>
      </c>
      <c r="B193" s="126" t="s">
        <v>3117</v>
      </c>
      <c r="C193" s="68" t="s">
        <v>3345</v>
      </c>
      <c r="D193" s="63" t="s">
        <v>415</v>
      </c>
      <c r="E193" s="135" t="str">
        <f>IFERROR(INDEX(M_User!$A$12:$J$67,MATCH(D193,M_User!$D$12:$D$67,0),3),"UNMAPPED")</f>
        <v>Joyline J Lyimo</v>
      </c>
      <c r="F193" s="63" t="s">
        <v>178</v>
      </c>
      <c r="G193" s="135" t="str">
        <f>IFERROR(INDEX(M_SKU!$A$18:$J$57,MATCH(F193,M_SKU!$B$18:$B$57,0),1),"UNKNOWN SKU")</f>
        <v>Fanta Orange RGB 350ml</v>
      </c>
      <c r="H193" s="63" t="s">
        <v>531</v>
      </c>
      <c r="I193" s="90">
        <v>2.2587490523267002</v>
      </c>
      <c r="J193" s="136"/>
      <c r="K193" s="137"/>
      <c r="L193" s="136"/>
      <c r="M193" s="138"/>
      <c r="N193" s="62">
        <v>46180</v>
      </c>
      <c r="O193" s="139" t="str">
        <f t="shared" ca="1" si="2"/>
        <v>BREACHED</v>
      </c>
    </row>
    <row r="194" spans="1:15" ht="15" customHeight="1" x14ac:dyDescent="0.3">
      <c r="A194" s="70" t="s">
        <v>3555</v>
      </c>
      <c r="B194" s="140" t="s">
        <v>3118</v>
      </c>
      <c r="C194" s="147" t="s">
        <v>3345</v>
      </c>
      <c r="D194" s="73" t="s">
        <v>415</v>
      </c>
      <c r="E194" s="142" t="str">
        <f>IFERROR(INDEX(M_User!$A$12:$J$67,MATCH(D194,M_User!$D$12:$D$67,0),3),"UNMAPPED")</f>
        <v>Joyline J Lyimo</v>
      </c>
      <c r="F194" s="73" t="s">
        <v>181</v>
      </c>
      <c r="G194" s="142" t="str">
        <f>IFERROR(INDEX(M_SKU!$A$18:$J$57,MATCH(F194,M_SKU!$B$18:$B$57,0),1),"UNKNOWN SKU")</f>
        <v>Fanta Passion RGB 350ml</v>
      </c>
      <c r="H194" s="73" t="s">
        <v>550</v>
      </c>
      <c r="I194" s="93">
        <v>0.73863705852662098</v>
      </c>
      <c r="J194" s="136"/>
      <c r="K194" s="137"/>
      <c r="L194" s="136"/>
      <c r="M194" s="138"/>
      <c r="N194" s="130">
        <v>46180</v>
      </c>
      <c r="O194" s="143" t="str">
        <f t="shared" ca="1" si="2"/>
        <v>BREACHED</v>
      </c>
    </row>
    <row r="195" spans="1:15" ht="15" customHeight="1" x14ac:dyDescent="0.3">
      <c r="A195" s="60" t="s">
        <v>3556</v>
      </c>
      <c r="B195" s="126" t="s">
        <v>3119</v>
      </c>
      <c r="C195" s="68" t="s">
        <v>3345</v>
      </c>
      <c r="D195" s="63" t="s">
        <v>415</v>
      </c>
      <c r="E195" s="135" t="str">
        <f>IFERROR(INDEX(M_User!$A$12:$J$67,MATCH(D195,M_User!$D$12:$D$67,0),3),"UNMAPPED")</f>
        <v>Joyline J Lyimo</v>
      </c>
      <c r="F195" s="63" t="s">
        <v>183</v>
      </c>
      <c r="G195" s="135" t="str">
        <f>IFERROR(INDEX(M_SKU!$A$18:$J$57,MATCH(F195,M_SKU!$B$18:$B$57,0),1),"UNKNOWN SKU")</f>
        <v>Fanta Pineapple RGB 350ml</v>
      </c>
      <c r="H195" s="63" t="s">
        <v>533</v>
      </c>
      <c r="I195" s="90">
        <v>2.0402421853070098</v>
      </c>
      <c r="J195" s="144" t="s">
        <v>3384</v>
      </c>
      <c r="K195" s="145" t="s">
        <v>3411</v>
      </c>
      <c r="L195" s="144" t="s">
        <v>432</v>
      </c>
      <c r="M195" s="146">
        <v>46179</v>
      </c>
      <c r="N195" s="62">
        <v>46180</v>
      </c>
      <c r="O195" s="139" t="str">
        <f t="shared" ca="1" si="2"/>
        <v>Within SLA</v>
      </c>
    </row>
    <row r="196" spans="1:15" ht="23.25" customHeight="1" x14ac:dyDescent="0.3">
      <c r="A196" s="70" t="s">
        <v>3557</v>
      </c>
      <c r="B196" s="140" t="s">
        <v>3120</v>
      </c>
      <c r="C196" s="147" t="s">
        <v>3345</v>
      </c>
      <c r="D196" s="73" t="s">
        <v>415</v>
      </c>
      <c r="E196" s="142" t="str">
        <f>IFERROR(INDEX(M_User!$A$12:$J$67,MATCH(D196,M_User!$D$12:$D$67,0),3),"UNMAPPED")</f>
        <v>Joyline J Lyimo</v>
      </c>
      <c r="F196" s="73" t="s">
        <v>185</v>
      </c>
      <c r="G196" s="142" t="str">
        <f>IFERROR(INDEX(M_SKU!$A$18:$J$57,MATCH(F196,M_SKU!$B$18:$B$57,0),1),"UNKNOWN SKU")</f>
        <v>Fanta Fruit Blast RGB 350 ml</v>
      </c>
      <c r="H196" s="73" t="s">
        <v>534</v>
      </c>
      <c r="I196" s="93">
        <v>0.98747399375349998</v>
      </c>
      <c r="J196" s="144" t="s">
        <v>3367</v>
      </c>
      <c r="K196" s="145" t="s">
        <v>3396</v>
      </c>
      <c r="L196" s="144" t="s">
        <v>432</v>
      </c>
      <c r="M196" s="146">
        <v>46180</v>
      </c>
      <c r="N196" s="130">
        <v>46180</v>
      </c>
      <c r="O196" s="143" t="str">
        <f t="shared" ca="1" si="2"/>
        <v>Within SLA</v>
      </c>
    </row>
    <row r="197" spans="1:15" ht="15" customHeight="1" x14ac:dyDescent="0.3">
      <c r="A197" s="60" t="s">
        <v>3558</v>
      </c>
      <c r="B197" s="126" t="s">
        <v>3121</v>
      </c>
      <c r="C197" s="68" t="s">
        <v>3345</v>
      </c>
      <c r="D197" s="63" t="s">
        <v>415</v>
      </c>
      <c r="E197" s="135" t="str">
        <f>IFERROR(INDEX(M_User!$A$12:$J$67,MATCH(D197,M_User!$D$12:$D$67,0),3),"UNMAPPED")</f>
        <v>Joyline J Lyimo</v>
      </c>
      <c r="F197" s="63" t="s">
        <v>187</v>
      </c>
      <c r="G197" s="135" t="str">
        <f>IFERROR(INDEX(M_SKU!$A$18:$J$57,MATCH(F197,M_SKU!$B$18:$B$57,0),1),"UNKNOWN SKU")</f>
        <v>Sprite 350ml</v>
      </c>
      <c r="H197" s="63" t="s">
        <v>535</v>
      </c>
      <c r="I197" s="90">
        <v>1.6436899455812299</v>
      </c>
      <c r="J197" s="136"/>
      <c r="K197" s="137"/>
      <c r="L197" s="136"/>
      <c r="M197" s="138"/>
      <c r="N197" s="62">
        <v>46180</v>
      </c>
      <c r="O197" s="139" t="str">
        <f t="shared" ca="1" si="2"/>
        <v>BREACHED</v>
      </c>
    </row>
    <row r="198" spans="1:15" ht="15" customHeight="1" x14ac:dyDescent="0.3">
      <c r="A198" s="70" t="s">
        <v>3559</v>
      </c>
      <c r="B198" s="140" t="s">
        <v>3122</v>
      </c>
      <c r="C198" s="147" t="s">
        <v>3345</v>
      </c>
      <c r="D198" s="73" t="s">
        <v>415</v>
      </c>
      <c r="E198" s="142" t="str">
        <f>IFERROR(INDEX(M_User!$A$12:$J$67,MATCH(D198,M_User!$D$12:$D$67,0),3),"UNMAPPED")</f>
        <v>Joyline J Lyimo</v>
      </c>
      <c r="F198" s="73" t="s">
        <v>190</v>
      </c>
      <c r="G198" s="142" t="str">
        <f>IFERROR(INDEX(M_SKU!$A$18:$J$57,MATCH(F198,M_SKU!$B$18:$B$57,0),1),"UNKNOWN SKU")</f>
        <v>Stoney Tangawizi RGB 350ml</v>
      </c>
      <c r="H198" s="73" t="s">
        <v>536</v>
      </c>
      <c r="I198" s="93">
        <v>0.93570294116758002</v>
      </c>
      <c r="J198" s="136"/>
      <c r="K198" s="137"/>
      <c r="L198" s="136"/>
      <c r="M198" s="138"/>
      <c r="N198" s="130">
        <v>46180</v>
      </c>
      <c r="O198" s="143" t="str">
        <f t="shared" ca="1" si="2"/>
        <v>BREACHED</v>
      </c>
    </row>
    <row r="199" spans="1:15" ht="23.25" customHeight="1" x14ac:dyDescent="0.3">
      <c r="A199" s="60" t="s">
        <v>3560</v>
      </c>
      <c r="B199" s="126" t="s">
        <v>3123</v>
      </c>
      <c r="C199" s="68" t="s">
        <v>3345</v>
      </c>
      <c r="D199" s="63" t="s">
        <v>415</v>
      </c>
      <c r="E199" s="135" t="str">
        <f>IFERROR(INDEX(M_User!$A$12:$J$67,MATCH(D199,M_User!$D$12:$D$67,0),3),"UNMAPPED")</f>
        <v>Joyline J Lyimo</v>
      </c>
      <c r="F199" s="63" t="s">
        <v>193</v>
      </c>
      <c r="G199" s="135" t="str">
        <f>IFERROR(INDEX(M_SKU!$A$18:$J$57,MATCH(F199,M_SKU!$B$18:$B$57,0),1),"UNKNOWN SKU")</f>
        <v>Sparletta Pinenut RGB 350ml</v>
      </c>
      <c r="H199" s="63" t="s">
        <v>537</v>
      </c>
      <c r="I199" s="90">
        <v>0.92232577951590999</v>
      </c>
      <c r="J199" s="144" t="s">
        <v>3367</v>
      </c>
      <c r="K199" s="145" t="s">
        <v>3368</v>
      </c>
      <c r="L199" s="144" t="s">
        <v>428</v>
      </c>
      <c r="M199" s="146">
        <v>46179</v>
      </c>
      <c r="N199" s="62">
        <v>46180</v>
      </c>
      <c r="O199" s="139" t="str">
        <f t="shared" ca="1" si="2"/>
        <v>Within SLA</v>
      </c>
    </row>
    <row r="200" spans="1:15" ht="15" customHeight="1" x14ac:dyDescent="0.3">
      <c r="A200" s="70" t="s">
        <v>3561</v>
      </c>
      <c r="B200" s="140" t="s">
        <v>3124</v>
      </c>
      <c r="C200" s="147" t="s">
        <v>3345</v>
      </c>
      <c r="D200" s="73" t="s">
        <v>415</v>
      </c>
      <c r="E200" s="142" t="str">
        <f>IFERROR(INDEX(M_User!$A$12:$J$67,MATCH(D200,M_User!$D$12:$D$67,0),3),"UNMAPPED")</f>
        <v>Joyline J Lyimo</v>
      </c>
      <c r="F200" s="73" t="s">
        <v>196</v>
      </c>
      <c r="G200" s="142" t="str">
        <f>IFERROR(INDEX(M_SKU!$A$18:$J$57,MATCH(F200,M_SKU!$B$18:$B$57,0),1),"UNKNOWN SKU")</f>
        <v>Krest Bitter Lemon RGB 300ml</v>
      </c>
      <c r="H200" s="73" t="s">
        <v>538</v>
      </c>
      <c r="I200" s="93">
        <v>0.93448944542117196</v>
      </c>
      <c r="J200" s="136"/>
      <c r="K200" s="137"/>
      <c r="L200" s="136"/>
      <c r="M200" s="138"/>
      <c r="N200" s="130">
        <v>46180</v>
      </c>
      <c r="O200" s="143" t="str">
        <f t="shared" ca="1" si="2"/>
        <v>BREACHED</v>
      </c>
    </row>
    <row r="201" spans="1:15" ht="15" customHeight="1" x14ac:dyDescent="0.3">
      <c r="A201" s="60" t="s">
        <v>3562</v>
      </c>
      <c r="B201" s="126" t="s">
        <v>3125</v>
      </c>
      <c r="C201" s="68" t="s">
        <v>3345</v>
      </c>
      <c r="D201" s="63" t="s">
        <v>415</v>
      </c>
      <c r="E201" s="135" t="str">
        <f>IFERROR(INDEX(M_User!$A$12:$J$67,MATCH(D201,M_User!$D$12:$D$67,0),3),"UNMAPPED")</f>
        <v>Joyline J Lyimo</v>
      </c>
      <c r="F201" s="63" t="s">
        <v>199</v>
      </c>
      <c r="G201" s="135" t="str">
        <f>IFERROR(INDEX(M_SKU!$A$18:$J$57,MATCH(F201,M_SKU!$B$18:$B$57,0),1),"UNKNOWN SKU")</f>
        <v>Krest Club Soda RGB 300ml</v>
      </c>
      <c r="H201" s="63" t="s">
        <v>539</v>
      </c>
      <c r="I201" s="90">
        <v>0.90423609146966</v>
      </c>
      <c r="J201" s="136"/>
      <c r="K201" s="137"/>
      <c r="L201" s="136"/>
      <c r="M201" s="138"/>
      <c r="N201" s="62">
        <v>46180</v>
      </c>
      <c r="O201" s="139" t="str">
        <f t="shared" ref="O201:O240" ca="1" si="3">IF(ISBLANK(M201),IF(TODAY()&gt;N201,"BREACHED","PENDING"),IF(M201&lt;=N201,"Within SLA","BREACHED"))</f>
        <v>BREACHED</v>
      </c>
    </row>
    <row r="202" spans="1:15" ht="15" customHeight="1" x14ac:dyDescent="0.3">
      <c r="A202" s="70" t="s">
        <v>3563</v>
      </c>
      <c r="B202" s="140" t="s">
        <v>3126</v>
      </c>
      <c r="C202" s="147" t="s">
        <v>3345</v>
      </c>
      <c r="D202" s="73" t="s">
        <v>415</v>
      </c>
      <c r="E202" s="142" t="str">
        <f>IFERROR(INDEX(M_User!$A$12:$J$67,MATCH(D202,M_User!$D$12:$D$67,0),3),"UNMAPPED")</f>
        <v>Joyline J Lyimo</v>
      </c>
      <c r="F202" s="73" t="s">
        <v>201</v>
      </c>
      <c r="G202" s="142" t="str">
        <f>IFERROR(INDEX(M_SKU!$A$18:$J$57,MATCH(F202,M_SKU!$B$18:$B$57,0),1),"UNKNOWN SKU")</f>
        <v>Krest Tonic Water RGB 300ml</v>
      </c>
      <c r="H202" s="73" t="s">
        <v>540</v>
      </c>
      <c r="I202" s="93">
        <v>0.966624695920282</v>
      </c>
      <c r="J202" s="136"/>
      <c r="K202" s="137"/>
      <c r="L202" s="136"/>
      <c r="M202" s="138"/>
      <c r="N202" s="130">
        <v>46180</v>
      </c>
      <c r="O202" s="143" t="str">
        <f t="shared" ca="1" si="3"/>
        <v>BREACHED</v>
      </c>
    </row>
    <row r="203" spans="1:15" ht="15" customHeight="1" x14ac:dyDescent="0.3">
      <c r="A203" s="60" t="s">
        <v>3564</v>
      </c>
      <c r="B203" s="126" t="s">
        <v>3127</v>
      </c>
      <c r="C203" s="68" t="s">
        <v>3345</v>
      </c>
      <c r="D203" s="63" t="s">
        <v>415</v>
      </c>
      <c r="E203" s="135" t="str">
        <f>IFERROR(INDEX(M_User!$A$12:$J$67,MATCH(D203,M_User!$D$12:$D$67,0),3),"UNMAPPED")</f>
        <v>Joyline J Lyimo</v>
      </c>
      <c r="F203" s="63" t="s">
        <v>203</v>
      </c>
      <c r="G203" s="135" t="str">
        <f>IFERROR(INDEX(M_SKU!$A$18:$J$57,MATCH(F203,M_SKU!$B$18:$B$57,0),1),"UNKNOWN SKU")</f>
        <v>Krest Ginger Ale RGB 300ml</v>
      </c>
      <c r="H203" s="63" t="s">
        <v>541</v>
      </c>
      <c r="I203" s="90">
        <v>0.96326253996734501</v>
      </c>
      <c r="J203" s="136"/>
      <c r="K203" s="137"/>
      <c r="L203" s="136"/>
      <c r="M203" s="138"/>
      <c r="N203" s="62">
        <v>46180</v>
      </c>
      <c r="O203" s="139" t="str">
        <f t="shared" ca="1" si="3"/>
        <v>BREACHED</v>
      </c>
    </row>
    <row r="204" spans="1:15" ht="23.25" customHeight="1" x14ac:dyDescent="0.3">
      <c r="A204" s="70" t="s">
        <v>3565</v>
      </c>
      <c r="B204" s="140" t="s">
        <v>3128</v>
      </c>
      <c r="C204" s="147" t="s">
        <v>3345</v>
      </c>
      <c r="D204" s="73" t="s">
        <v>415</v>
      </c>
      <c r="E204" s="142" t="str">
        <f>IFERROR(INDEX(M_User!$A$12:$J$67,MATCH(D204,M_User!$D$12:$D$67,0),3),"UNMAPPED")</f>
        <v>Joyline J Lyimo</v>
      </c>
      <c r="F204" s="73" t="s">
        <v>211</v>
      </c>
      <c r="G204" s="142" t="str">
        <f>IFERROR(INDEX(M_SKU!$A$18:$J$57,MATCH(F204,M_SKU!$B$18:$B$57,0),1),"UNKNOWN SKU")</f>
        <v>KNMW 500ml</v>
      </c>
      <c r="H204" s="73" t="s">
        <v>543</v>
      </c>
      <c r="I204" s="93">
        <v>1</v>
      </c>
      <c r="J204" s="144" t="s">
        <v>3367</v>
      </c>
      <c r="K204" s="145" t="s">
        <v>3396</v>
      </c>
      <c r="L204" s="144" t="s">
        <v>430</v>
      </c>
      <c r="M204" s="146">
        <v>46179</v>
      </c>
      <c r="N204" s="130">
        <v>46180</v>
      </c>
      <c r="O204" s="143" t="str">
        <f t="shared" ca="1" si="3"/>
        <v>Within SLA</v>
      </c>
    </row>
    <row r="205" spans="1:15" ht="15" customHeight="1" x14ac:dyDescent="0.3">
      <c r="A205" s="60" t="s">
        <v>3566</v>
      </c>
      <c r="B205" s="126" t="s">
        <v>3129</v>
      </c>
      <c r="C205" s="68" t="s">
        <v>3345</v>
      </c>
      <c r="D205" s="63" t="s">
        <v>415</v>
      </c>
      <c r="E205" s="135" t="str">
        <f>IFERROR(INDEX(M_User!$A$12:$J$67,MATCH(D205,M_User!$D$12:$D$67,0),3),"UNMAPPED")</f>
        <v>Joyline J Lyimo</v>
      </c>
      <c r="F205" s="63" t="s">
        <v>217</v>
      </c>
      <c r="G205" s="135" t="str">
        <f>IFERROR(INDEX(M_SKU!$A$18:$J$57,MATCH(F205,M_SKU!$B$18:$B$57,0),1),"UNKNOWN SKU")</f>
        <v>KNMW 1500ml</v>
      </c>
      <c r="H205" s="63" t="s">
        <v>551</v>
      </c>
      <c r="I205" s="90">
        <v>7</v>
      </c>
      <c r="J205" s="136"/>
      <c r="K205" s="137"/>
      <c r="L205" s="136"/>
      <c r="M205" s="138"/>
      <c r="N205" s="62">
        <v>46180</v>
      </c>
      <c r="O205" s="139" t="str">
        <f t="shared" ca="1" si="3"/>
        <v>BREACHED</v>
      </c>
    </row>
    <row r="206" spans="1:15" ht="23.25" customHeight="1" x14ac:dyDescent="0.3">
      <c r="A206" s="70" t="s">
        <v>3567</v>
      </c>
      <c r="B206" s="140" t="s">
        <v>3130</v>
      </c>
      <c r="C206" s="147" t="s">
        <v>3345</v>
      </c>
      <c r="D206" s="73" t="s">
        <v>415</v>
      </c>
      <c r="E206" s="142" t="str">
        <f>IFERROR(INDEX(M_User!$A$12:$J$67,MATCH(D206,M_User!$D$12:$D$67,0),3),"UNMAPPED")</f>
        <v>Joyline J Lyimo</v>
      </c>
      <c r="F206" s="73" t="s">
        <v>229</v>
      </c>
      <c r="G206" s="142" t="str">
        <f>IFERROR(INDEX(M_SKU!$A$18:$J$57,MATCH(F206,M_SKU!$B$18:$B$57,0),1),"UNKNOWN SKU")</f>
        <v>Coke Pet 500ML ( x12)</v>
      </c>
      <c r="H206" s="73" t="s">
        <v>520</v>
      </c>
      <c r="I206" s="93">
        <v>7</v>
      </c>
      <c r="J206" s="144" t="s">
        <v>3367</v>
      </c>
      <c r="K206" s="145" t="s">
        <v>3420</v>
      </c>
      <c r="L206" s="144" t="s">
        <v>435</v>
      </c>
      <c r="M206" s="146">
        <v>46179</v>
      </c>
      <c r="N206" s="130">
        <v>46180</v>
      </c>
      <c r="O206" s="143" t="str">
        <f t="shared" ca="1" si="3"/>
        <v>Within SLA</v>
      </c>
    </row>
    <row r="207" spans="1:15" ht="15" customHeight="1" x14ac:dyDescent="0.3">
      <c r="A207" s="60" t="s">
        <v>3568</v>
      </c>
      <c r="B207" s="126" t="s">
        <v>3131</v>
      </c>
      <c r="C207" s="68" t="s">
        <v>3345</v>
      </c>
      <c r="D207" s="63" t="s">
        <v>415</v>
      </c>
      <c r="E207" s="135" t="str">
        <f>IFERROR(INDEX(M_User!$A$12:$J$67,MATCH(D207,M_User!$D$12:$D$67,0),3),"UNMAPPED")</f>
        <v>Joyline J Lyimo</v>
      </c>
      <c r="F207" s="63" t="s">
        <v>232</v>
      </c>
      <c r="G207" s="135" t="str">
        <f>IFERROR(INDEX(M_SKU!$A$18:$J$57,MATCH(F207,M_SKU!$B$18:$B$57,0),1),"UNKNOWN SKU")</f>
        <v>Sprite Pet 500ML (x 12)</v>
      </c>
      <c r="H207" s="63" t="s">
        <v>522</v>
      </c>
      <c r="I207" s="90">
        <v>1</v>
      </c>
      <c r="J207" s="136"/>
      <c r="K207" s="137"/>
      <c r="L207" s="136"/>
      <c r="M207" s="138"/>
      <c r="N207" s="62">
        <v>46180</v>
      </c>
      <c r="O207" s="139" t="str">
        <f t="shared" ca="1" si="3"/>
        <v>BREACHED</v>
      </c>
    </row>
    <row r="208" spans="1:15" ht="15" customHeight="1" x14ac:dyDescent="0.3">
      <c r="A208" s="70" t="s">
        <v>3569</v>
      </c>
      <c r="B208" s="140" t="s">
        <v>3132</v>
      </c>
      <c r="C208" s="147" t="s">
        <v>3345</v>
      </c>
      <c r="D208" s="73" t="s">
        <v>415</v>
      </c>
      <c r="E208" s="142" t="str">
        <f>IFERROR(INDEX(M_User!$A$12:$J$67,MATCH(D208,M_User!$D$12:$D$67,0),3),"UNMAPPED")</f>
        <v>Joyline J Lyimo</v>
      </c>
      <c r="F208" s="73" t="s">
        <v>234</v>
      </c>
      <c r="G208" s="142" t="str">
        <f>IFERROR(INDEX(M_SKU!$A$18:$J$57,MATCH(F208,M_SKU!$B$18:$B$57,0),1),"UNKNOWN SKU")</f>
        <v>Fanta Orange Pet 500ML ( x 12)</v>
      </c>
      <c r="H208" s="73" t="s">
        <v>523</v>
      </c>
      <c r="I208" s="93">
        <v>1</v>
      </c>
      <c r="J208" s="136"/>
      <c r="K208" s="137"/>
      <c r="L208" s="136"/>
      <c r="M208" s="138"/>
      <c r="N208" s="130">
        <v>46180</v>
      </c>
      <c r="O208" s="143" t="str">
        <f t="shared" ca="1" si="3"/>
        <v>BREACHED</v>
      </c>
    </row>
    <row r="209" spans="1:15" ht="15" customHeight="1" x14ac:dyDescent="0.3">
      <c r="A209" s="60" t="s">
        <v>3570</v>
      </c>
      <c r="B209" s="126" t="s">
        <v>3133</v>
      </c>
      <c r="C209" s="68" t="s">
        <v>3345</v>
      </c>
      <c r="D209" s="63" t="s">
        <v>415</v>
      </c>
      <c r="E209" s="135" t="str">
        <f>IFERROR(INDEX(M_User!$A$12:$J$67,MATCH(D209,M_User!$D$12:$D$67,0),3),"UNMAPPED")</f>
        <v>Joyline J Lyimo</v>
      </c>
      <c r="F209" s="63" t="s">
        <v>236</v>
      </c>
      <c r="G209" s="135" t="str">
        <f>IFERROR(INDEX(M_SKU!$A$18:$J$57,MATCH(F209,M_SKU!$B$18:$B$57,0),1),"UNKNOWN SKU")</f>
        <v>Fanta Passion Pet 500ML ( x12)</v>
      </c>
      <c r="H209" s="63" t="s">
        <v>524</v>
      </c>
      <c r="I209" s="90">
        <v>1</v>
      </c>
      <c r="J209" s="136"/>
      <c r="K209" s="137"/>
      <c r="L209" s="136"/>
      <c r="M209" s="138"/>
      <c r="N209" s="62">
        <v>46180</v>
      </c>
      <c r="O209" s="139" t="str">
        <f t="shared" ca="1" si="3"/>
        <v>BREACHED</v>
      </c>
    </row>
    <row r="210" spans="1:15" ht="15" customHeight="1" x14ac:dyDescent="0.3">
      <c r="A210" s="70" t="s">
        <v>3571</v>
      </c>
      <c r="B210" s="140" t="s">
        <v>3134</v>
      </c>
      <c r="C210" s="147" t="s">
        <v>3345</v>
      </c>
      <c r="D210" s="73" t="s">
        <v>415</v>
      </c>
      <c r="E210" s="142" t="str">
        <f>IFERROR(INDEX(M_User!$A$12:$J$67,MATCH(D210,M_User!$D$12:$D$67,0),3),"UNMAPPED")</f>
        <v>Joyline J Lyimo</v>
      </c>
      <c r="F210" s="73" t="s">
        <v>242</v>
      </c>
      <c r="G210" s="142" t="str">
        <f>IFERROR(INDEX(M_SKU!$A$18:$J$57,MATCH(F210,M_SKU!$B$18:$B$57,0),1),"UNKNOWN SKU")</f>
        <v>Stoney Tangawizi Pet 500 ml ( x12)</v>
      </c>
      <c r="H210" s="73" t="s">
        <v>525</v>
      </c>
      <c r="I210" s="93">
        <v>1</v>
      </c>
      <c r="J210" s="136"/>
      <c r="K210" s="137"/>
      <c r="L210" s="136"/>
      <c r="M210" s="138"/>
      <c r="N210" s="130">
        <v>46180</v>
      </c>
      <c r="O210" s="143" t="str">
        <f t="shared" ca="1" si="3"/>
        <v>BREACHED</v>
      </c>
    </row>
    <row r="211" spans="1:15" ht="23.25" customHeight="1" x14ac:dyDescent="0.3">
      <c r="A211" s="60" t="s">
        <v>3572</v>
      </c>
      <c r="B211" s="126" t="s">
        <v>3135</v>
      </c>
      <c r="C211" s="68" t="s">
        <v>3345</v>
      </c>
      <c r="D211" s="63" t="s">
        <v>415</v>
      </c>
      <c r="E211" s="135" t="str">
        <f>IFERROR(INDEX(M_User!$A$12:$J$67,MATCH(D211,M_User!$D$12:$D$67,0),3),"UNMAPPED")</f>
        <v>Joyline J Lyimo</v>
      </c>
      <c r="F211" s="63" t="s">
        <v>244</v>
      </c>
      <c r="G211" s="135" t="str">
        <f>IFERROR(INDEX(M_SKU!$A$18:$J$57,MATCH(F211,M_SKU!$B$18:$B$57,0),1),"UNKNOWN SKU")</f>
        <v>Sparletta Pinenut Pet 500 ml ( x12)</v>
      </c>
      <c r="H211" s="63" t="s">
        <v>526</v>
      </c>
      <c r="I211" s="90">
        <v>1</v>
      </c>
      <c r="J211" s="144" t="s">
        <v>3367</v>
      </c>
      <c r="K211" s="145" t="s">
        <v>3420</v>
      </c>
      <c r="L211" s="144" t="s">
        <v>434</v>
      </c>
      <c r="M211" s="146">
        <v>46179</v>
      </c>
      <c r="N211" s="62">
        <v>46180</v>
      </c>
      <c r="O211" s="139" t="str">
        <f t="shared" ca="1" si="3"/>
        <v>Within SLA</v>
      </c>
    </row>
    <row r="212" spans="1:15" ht="15" customHeight="1" x14ac:dyDescent="0.3">
      <c r="A212" s="70" t="s">
        <v>3573</v>
      </c>
      <c r="B212" s="140" t="s">
        <v>3136</v>
      </c>
      <c r="C212" s="147" t="s">
        <v>3345</v>
      </c>
      <c r="D212" s="73" t="s">
        <v>415</v>
      </c>
      <c r="E212" s="142" t="str">
        <f>IFERROR(INDEX(M_User!$A$12:$J$67,MATCH(D212,M_User!$D$12:$D$67,0),3),"UNMAPPED")</f>
        <v>Joyline J Lyimo</v>
      </c>
      <c r="F212" s="73" t="s">
        <v>252</v>
      </c>
      <c r="G212" s="142" t="str">
        <f>IFERROR(INDEX(M_SKU!$A$18:$J$57,MATCH(F212,M_SKU!$B$18:$B$57,0),1),"UNKNOWN SKU")</f>
        <v>Sprite Zero Pet 300ML (x 12)</v>
      </c>
      <c r="H212" s="73" t="s">
        <v>545</v>
      </c>
      <c r="I212" s="93">
        <v>1</v>
      </c>
      <c r="J212" s="136"/>
      <c r="K212" s="137"/>
      <c r="L212" s="136"/>
      <c r="M212" s="138"/>
      <c r="N212" s="130">
        <v>46180</v>
      </c>
      <c r="O212" s="143" t="str">
        <f t="shared" ca="1" si="3"/>
        <v>BREACHED</v>
      </c>
    </row>
    <row r="213" spans="1:15" ht="15" customHeight="1" x14ac:dyDescent="0.3">
      <c r="A213" s="60" t="s">
        <v>3574</v>
      </c>
      <c r="B213" s="126" t="s">
        <v>3137</v>
      </c>
      <c r="C213" s="68" t="s">
        <v>3345</v>
      </c>
      <c r="D213" s="63" t="s">
        <v>415</v>
      </c>
      <c r="E213" s="135" t="str">
        <f>IFERROR(INDEX(M_User!$A$12:$J$67,MATCH(D213,M_User!$D$12:$D$67,0),3),"UNMAPPED")</f>
        <v>Joyline J Lyimo</v>
      </c>
      <c r="F213" s="63" t="s">
        <v>254</v>
      </c>
      <c r="G213" s="135" t="str">
        <f>IFERROR(INDEX(M_SKU!$A$18:$J$57,MATCH(F213,M_SKU!$B$18:$B$57,0),1),"UNKNOWN SKU")</f>
        <v>Fanta Zero Pet 300ML (x 12)</v>
      </c>
      <c r="H213" s="63" t="s">
        <v>546</v>
      </c>
      <c r="I213" s="90">
        <v>1</v>
      </c>
      <c r="J213" s="136"/>
      <c r="K213" s="137"/>
      <c r="L213" s="136"/>
      <c r="M213" s="138"/>
      <c r="N213" s="62">
        <v>46180</v>
      </c>
      <c r="O213" s="139" t="str">
        <f t="shared" ca="1" si="3"/>
        <v>BREACHED</v>
      </c>
    </row>
    <row r="214" spans="1:15" ht="23.25" customHeight="1" x14ac:dyDescent="0.3">
      <c r="A214" s="70" t="s">
        <v>3575</v>
      </c>
      <c r="B214" s="140" t="s">
        <v>3138</v>
      </c>
      <c r="C214" s="147" t="s">
        <v>3345</v>
      </c>
      <c r="D214" s="73" t="s">
        <v>415</v>
      </c>
      <c r="E214" s="142" t="str">
        <f>IFERROR(INDEX(M_User!$A$12:$J$67,MATCH(D214,M_User!$D$12:$D$67,0),3),"UNMAPPED")</f>
        <v>Joyline J Lyimo</v>
      </c>
      <c r="F214" s="73" t="s">
        <v>261</v>
      </c>
      <c r="G214" s="142" t="str">
        <f>IFERROR(INDEX(M_SKU!$A$18:$J$57,MATCH(F214,M_SKU!$B$18:$B$57,0),1),"UNKNOWN SKU")</f>
        <v>Sparletta Pine Apple Pet 300ML (x 12)</v>
      </c>
      <c r="H214" s="73" t="s">
        <v>547</v>
      </c>
      <c r="I214" s="93">
        <v>1</v>
      </c>
      <c r="J214" s="136"/>
      <c r="K214" s="137"/>
      <c r="L214" s="136"/>
      <c r="M214" s="138"/>
      <c r="N214" s="130">
        <v>46180</v>
      </c>
      <c r="O214" s="143" t="str">
        <f t="shared" ca="1" si="3"/>
        <v>BREACHED</v>
      </c>
    </row>
    <row r="215" spans="1:15" ht="23.25" customHeight="1" x14ac:dyDescent="0.3">
      <c r="A215" s="60" t="s">
        <v>3576</v>
      </c>
      <c r="B215" s="126" t="s">
        <v>3140</v>
      </c>
      <c r="C215" s="68" t="s">
        <v>3345</v>
      </c>
      <c r="D215" s="63" t="s">
        <v>401</v>
      </c>
      <c r="E215" s="135" t="str">
        <f>IFERROR(INDEX(M_User!$A$12:$J$67,MATCH(D215,M_User!$D$12:$D$67,0),3),"UNMAPPED")</f>
        <v>Alice Jonathan Mfuru</v>
      </c>
      <c r="F215" s="63" t="s">
        <v>178</v>
      </c>
      <c r="G215" s="135" t="str">
        <f>IFERROR(INDEX(M_SKU!$A$18:$J$57,MATCH(F215,M_SKU!$B$18:$B$57,0),1),"UNKNOWN SKU")</f>
        <v>Fanta Orange RGB 350ml</v>
      </c>
      <c r="H215" s="63" t="s">
        <v>531</v>
      </c>
      <c r="I215" s="90">
        <v>1.33927744457085E-3</v>
      </c>
      <c r="J215" s="144" t="s">
        <v>3367</v>
      </c>
      <c r="K215" s="145" t="s">
        <v>3368</v>
      </c>
      <c r="L215" s="144" t="s">
        <v>432</v>
      </c>
      <c r="M215" s="146">
        <v>46180</v>
      </c>
      <c r="N215" s="62">
        <v>46180</v>
      </c>
      <c r="O215" s="139" t="str">
        <f t="shared" ca="1" si="3"/>
        <v>Within SLA</v>
      </c>
    </row>
    <row r="216" spans="1:15" ht="15" customHeight="1" x14ac:dyDescent="0.3">
      <c r="A216" s="70" t="s">
        <v>3577</v>
      </c>
      <c r="B216" s="140" t="s">
        <v>3141</v>
      </c>
      <c r="C216" s="141" t="s">
        <v>3347</v>
      </c>
      <c r="D216" s="73" t="s">
        <v>401</v>
      </c>
      <c r="E216" s="142" t="str">
        <f>IFERROR(INDEX(M_User!$A$12:$J$67,MATCH(D216,M_User!$D$12:$D$67,0),3),"UNMAPPED")</f>
        <v>Alice Jonathan Mfuru</v>
      </c>
      <c r="F216" s="73" t="s">
        <v>181</v>
      </c>
      <c r="G216" s="142" t="str">
        <f>IFERROR(INDEX(M_SKU!$A$18:$J$57,MATCH(F216,M_SKU!$B$18:$B$57,0),1),"UNKNOWN SKU")</f>
        <v>Fanta Passion RGB 350ml</v>
      </c>
      <c r="H216" s="73" t="s">
        <v>550</v>
      </c>
      <c r="I216" s="93">
        <v>3.01250465823943E-3</v>
      </c>
      <c r="J216" s="136"/>
      <c r="K216" s="137"/>
      <c r="L216" s="136"/>
      <c r="M216" s="138"/>
      <c r="N216" s="130">
        <v>46180</v>
      </c>
      <c r="O216" s="143" t="str">
        <f t="shared" ca="1" si="3"/>
        <v>BREACHED</v>
      </c>
    </row>
    <row r="217" spans="1:15" ht="15" customHeight="1" x14ac:dyDescent="0.3">
      <c r="A217" s="60" t="s">
        <v>3578</v>
      </c>
      <c r="B217" s="126" t="s">
        <v>3142</v>
      </c>
      <c r="C217" s="105" t="s">
        <v>3347</v>
      </c>
      <c r="D217" s="63" t="s">
        <v>401</v>
      </c>
      <c r="E217" s="135" t="str">
        <f>IFERROR(INDEX(M_User!$A$12:$J$67,MATCH(D217,M_User!$D$12:$D$67,0),3),"UNMAPPED")</f>
        <v>Alice Jonathan Mfuru</v>
      </c>
      <c r="F217" s="63" t="s">
        <v>183</v>
      </c>
      <c r="G217" s="135" t="str">
        <f>IFERROR(INDEX(M_SKU!$A$18:$J$57,MATCH(F217,M_SKU!$B$18:$B$57,0),1),"UNKNOWN SKU")</f>
        <v>Fanta Pineapple RGB 350ml</v>
      </c>
      <c r="H217" s="63" t="s">
        <v>533</v>
      </c>
      <c r="I217" s="90">
        <v>3.4311924598302598E-3</v>
      </c>
      <c r="J217" s="144" t="s">
        <v>3384</v>
      </c>
      <c r="K217" s="145" t="s">
        <v>3579</v>
      </c>
      <c r="L217" s="144" t="s">
        <v>431</v>
      </c>
      <c r="M217" s="146">
        <v>46179</v>
      </c>
      <c r="N217" s="62">
        <v>46180</v>
      </c>
      <c r="O217" s="139" t="str">
        <f t="shared" ca="1" si="3"/>
        <v>Within SLA</v>
      </c>
    </row>
    <row r="218" spans="1:15" ht="15" customHeight="1" x14ac:dyDescent="0.3">
      <c r="A218" s="70" t="s">
        <v>3580</v>
      </c>
      <c r="B218" s="140" t="s">
        <v>3143</v>
      </c>
      <c r="C218" s="141" t="s">
        <v>3347</v>
      </c>
      <c r="D218" s="73" t="s">
        <v>401</v>
      </c>
      <c r="E218" s="142" t="str">
        <f>IFERROR(INDEX(M_User!$A$12:$J$67,MATCH(D218,M_User!$D$12:$D$67,0),3),"UNMAPPED")</f>
        <v>Alice Jonathan Mfuru</v>
      </c>
      <c r="F218" s="73" t="s">
        <v>185</v>
      </c>
      <c r="G218" s="142" t="str">
        <f>IFERROR(INDEX(M_SKU!$A$18:$J$57,MATCH(F218,M_SKU!$B$18:$B$57,0),1),"UNKNOWN SKU")</f>
        <v>Fanta Fruit Blast RGB 350 ml</v>
      </c>
      <c r="H218" s="73" t="s">
        <v>534</v>
      </c>
      <c r="I218" s="93">
        <v>2.1107167399608798E-3</v>
      </c>
      <c r="J218" s="136"/>
      <c r="K218" s="137"/>
      <c r="L218" s="136"/>
      <c r="M218" s="138"/>
      <c r="N218" s="130">
        <v>46180</v>
      </c>
      <c r="O218" s="143" t="str">
        <f t="shared" ca="1" si="3"/>
        <v>BREACHED</v>
      </c>
    </row>
    <row r="219" spans="1:15" ht="23.25" customHeight="1" x14ac:dyDescent="0.3">
      <c r="A219" s="60" t="s">
        <v>3581</v>
      </c>
      <c r="B219" s="126" t="s">
        <v>3144</v>
      </c>
      <c r="C219" s="68" t="s">
        <v>3345</v>
      </c>
      <c r="D219" s="63" t="s">
        <v>401</v>
      </c>
      <c r="E219" s="135" t="str">
        <f>IFERROR(INDEX(M_User!$A$12:$J$67,MATCH(D219,M_User!$D$12:$D$67,0),3),"UNMAPPED")</f>
        <v>Alice Jonathan Mfuru</v>
      </c>
      <c r="F219" s="63" t="s">
        <v>187</v>
      </c>
      <c r="G219" s="135" t="str">
        <f>IFERROR(INDEX(M_SKU!$A$18:$J$57,MATCH(F219,M_SKU!$B$18:$B$57,0),1),"UNKNOWN SKU")</f>
        <v>Sprite 350ml</v>
      </c>
      <c r="H219" s="63" t="s">
        <v>535</v>
      </c>
      <c r="I219" s="90">
        <v>7.6884929174947402E-4</v>
      </c>
      <c r="J219" s="144" t="s">
        <v>3367</v>
      </c>
      <c r="K219" s="145" t="s">
        <v>3396</v>
      </c>
      <c r="L219" s="144" t="s">
        <v>433</v>
      </c>
      <c r="M219" s="146">
        <v>46179</v>
      </c>
      <c r="N219" s="62">
        <v>46180</v>
      </c>
      <c r="O219" s="139" t="str">
        <f t="shared" ca="1" si="3"/>
        <v>Within SLA</v>
      </c>
    </row>
    <row r="220" spans="1:15" ht="15" customHeight="1" x14ac:dyDescent="0.3">
      <c r="A220" s="70" t="s">
        <v>3582</v>
      </c>
      <c r="B220" s="140" t="s">
        <v>3145</v>
      </c>
      <c r="C220" s="147" t="s">
        <v>3345</v>
      </c>
      <c r="D220" s="73" t="s">
        <v>401</v>
      </c>
      <c r="E220" s="142" t="str">
        <f>IFERROR(INDEX(M_User!$A$12:$J$67,MATCH(D220,M_User!$D$12:$D$67,0),3),"UNMAPPED")</f>
        <v>Alice Jonathan Mfuru</v>
      </c>
      <c r="F220" s="73" t="s">
        <v>190</v>
      </c>
      <c r="G220" s="142" t="str">
        <f>IFERROR(INDEX(M_SKU!$A$18:$J$57,MATCH(F220,M_SKU!$B$18:$B$57,0),1),"UNKNOWN SKU")</f>
        <v>Stoney Tangawizi RGB 350ml</v>
      </c>
      <c r="H220" s="73" t="s">
        <v>536</v>
      </c>
      <c r="I220" s="93">
        <v>1.01035455979998E-3</v>
      </c>
      <c r="J220" s="136"/>
      <c r="K220" s="137"/>
      <c r="L220" s="136"/>
      <c r="M220" s="138"/>
      <c r="N220" s="130">
        <v>46180</v>
      </c>
      <c r="O220" s="143" t="str">
        <f t="shared" ca="1" si="3"/>
        <v>BREACHED</v>
      </c>
    </row>
    <row r="221" spans="1:15" ht="15" customHeight="1" x14ac:dyDescent="0.3">
      <c r="A221" s="60" t="s">
        <v>3583</v>
      </c>
      <c r="B221" s="126" t="s">
        <v>3146</v>
      </c>
      <c r="C221" s="105" t="s">
        <v>3347</v>
      </c>
      <c r="D221" s="63" t="s">
        <v>401</v>
      </c>
      <c r="E221" s="135" t="str">
        <f>IFERROR(INDEX(M_User!$A$12:$J$67,MATCH(D221,M_User!$D$12:$D$67,0),3),"UNMAPPED")</f>
        <v>Alice Jonathan Mfuru</v>
      </c>
      <c r="F221" s="63" t="s">
        <v>193</v>
      </c>
      <c r="G221" s="135" t="str">
        <f>IFERROR(INDEX(M_SKU!$A$18:$J$57,MATCH(F221,M_SKU!$B$18:$B$57,0),1),"UNKNOWN SKU")</f>
        <v>Sparletta Pinenut RGB 350ml</v>
      </c>
      <c r="H221" s="63" t="s">
        <v>537</v>
      </c>
      <c r="I221" s="90">
        <v>2.62888238287701E-3</v>
      </c>
      <c r="J221" s="136"/>
      <c r="K221" s="137"/>
      <c r="L221" s="136"/>
      <c r="M221" s="138"/>
      <c r="N221" s="62">
        <v>46180</v>
      </c>
      <c r="O221" s="139" t="str">
        <f t="shared" ca="1" si="3"/>
        <v>BREACHED</v>
      </c>
    </row>
    <row r="222" spans="1:15" ht="15" customHeight="1" x14ac:dyDescent="0.3">
      <c r="A222" s="70" t="s">
        <v>3584</v>
      </c>
      <c r="B222" s="140" t="s">
        <v>3147</v>
      </c>
      <c r="C222" s="147" t="s">
        <v>3345</v>
      </c>
      <c r="D222" s="73" t="s">
        <v>401</v>
      </c>
      <c r="E222" s="142" t="str">
        <f>IFERROR(INDEX(M_User!$A$12:$J$67,MATCH(D222,M_User!$D$12:$D$67,0),3),"UNMAPPED")</f>
        <v>Alice Jonathan Mfuru</v>
      </c>
      <c r="F222" s="73" t="s">
        <v>209</v>
      </c>
      <c r="G222" s="142" t="str">
        <f>IFERROR(INDEX(M_SKU!$A$18:$J$57,MATCH(F222,M_SKU!$B$18:$B$57,0),1),"UNKNOWN SKU")</f>
        <v>Sparletta Red Apple RGB 350ml</v>
      </c>
      <c r="H222" s="73" t="s">
        <v>542</v>
      </c>
      <c r="I222" s="93">
        <v>1.74214661948308E-3</v>
      </c>
      <c r="J222" s="144" t="s">
        <v>3384</v>
      </c>
      <c r="K222" s="145" t="s">
        <v>3411</v>
      </c>
      <c r="L222" s="144" t="s">
        <v>430</v>
      </c>
      <c r="M222" s="146">
        <v>46179</v>
      </c>
      <c r="N222" s="130">
        <v>46180</v>
      </c>
      <c r="O222" s="143" t="str">
        <f t="shared" ca="1" si="3"/>
        <v>Within SLA</v>
      </c>
    </row>
    <row r="223" spans="1:15" ht="23.25" customHeight="1" x14ac:dyDescent="0.3">
      <c r="A223" s="60" t="s">
        <v>3585</v>
      </c>
      <c r="B223" s="126" t="s">
        <v>3158</v>
      </c>
      <c r="C223" s="68" t="s">
        <v>3345</v>
      </c>
      <c r="D223" s="63" t="s">
        <v>350</v>
      </c>
      <c r="E223" s="135" t="str">
        <f>IFERROR(INDEX(M_User!$A$12:$J$67,MATCH(D223,M_User!$D$12:$D$67,0),3),"UNMAPPED")</f>
        <v>Samson Felix Ngowi</v>
      </c>
      <c r="F223" s="63" t="s">
        <v>170</v>
      </c>
      <c r="G223" s="135" t="str">
        <f>IFERROR(INDEX(M_SKU!$A$18:$J$57,MATCH(F223,M_SKU!$B$18:$B$57,0),1),"UNKNOWN SKU")</f>
        <v>Coke RGB 350ml</v>
      </c>
      <c r="H223" s="63" t="s">
        <v>530</v>
      </c>
      <c r="I223" s="90">
        <v>9.3024186686818699E-4</v>
      </c>
      <c r="J223" s="144" t="s">
        <v>3367</v>
      </c>
      <c r="K223" s="145" t="s">
        <v>3420</v>
      </c>
      <c r="L223" s="144" t="s">
        <v>436</v>
      </c>
      <c r="M223" s="146">
        <v>46180</v>
      </c>
      <c r="N223" s="62">
        <v>46180</v>
      </c>
      <c r="O223" s="139" t="str">
        <f t="shared" ca="1" si="3"/>
        <v>Within SLA</v>
      </c>
    </row>
    <row r="224" spans="1:15" ht="23.25" customHeight="1" x14ac:dyDescent="0.3">
      <c r="A224" s="70" t="s">
        <v>3586</v>
      </c>
      <c r="B224" s="140" t="s">
        <v>3159</v>
      </c>
      <c r="C224" s="141" t="s">
        <v>3347</v>
      </c>
      <c r="D224" s="73" t="s">
        <v>350</v>
      </c>
      <c r="E224" s="142" t="str">
        <f>IFERROR(INDEX(M_User!$A$12:$J$67,MATCH(D224,M_User!$D$12:$D$67,0),3),"UNMAPPED")</f>
        <v>Samson Felix Ngowi</v>
      </c>
      <c r="F224" s="73" t="s">
        <v>170</v>
      </c>
      <c r="G224" s="142" t="str">
        <f>IFERROR(INDEX(M_SKU!$A$18:$J$57,MATCH(F224,M_SKU!$B$18:$B$57,0),1),"UNKNOWN SKU")</f>
        <v>Coke RGB 350ml</v>
      </c>
      <c r="H224" s="73" t="s">
        <v>585</v>
      </c>
      <c r="I224" s="93">
        <v>1.4057887540492901E-3</v>
      </c>
      <c r="J224" s="144" t="s">
        <v>3390</v>
      </c>
      <c r="K224" s="145" t="s">
        <v>3391</v>
      </c>
      <c r="L224" s="144" t="s">
        <v>431</v>
      </c>
      <c r="M224" s="146">
        <v>46179</v>
      </c>
      <c r="N224" s="130">
        <v>46180</v>
      </c>
      <c r="O224" s="143" t="str">
        <f t="shared" ca="1" si="3"/>
        <v>Within SLA</v>
      </c>
    </row>
    <row r="225" spans="1:15" ht="15" customHeight="1" x14ac:dyDescent="0.3">
      <c r="A225" s="60" t="s">
        <v>3587</v>
      </c>
      <c r="B225" s="126" t="s">
        <v>3160</v>
      </c>
      <c r="C225" s="105" t="s">
        <v>3347</v>
      </c>
      <c r="D225" s="63" t="s">
        <v>350</v>
      </c>
      <c r="E225" s="135" t="str">
        <f>IFERROR(INDEX(M_User!$A$12:$J$67,MATCH(D225,M_User!$D$12:$D$67,0),3),"UNMAPPED")</f>
        <v>Samson Felix Ngowi</v>
      </c>
      <c r="F225" s="63" t="s">
        <v>178</v>
      </c>
      <c r="G225" s="135" t="str">
        <f>IFERROR(INDEX(M_SKU!$A$18:$J$57,MATCH(F225,M_SKU!$B$18:$B$57,0),1),"UNKNOWN SKU")</f>
        <v>Fanta Orange RGB 350ml</v>
      </c>
      <c r="H225" s="63" t="s">
        <v>590</v>
      </c>
      <c r="I225" s="90">
        <v>3.7007451178310302E-3</v>
      </c>
      <c r="J225" s="136"/>
      <c r="K225" s="137"/>
      <c r="L225" s="136"/>
      <c r="M225" s="138"/>
      <c r="N225" s="62">
        <v>46180</v>
      </c>
      <c r="O225" s="139" t="str">
        <f t="shared" ca="1" si="3"/>
        <v>BREACHED</v>
      </c>
    </row>
    <row r="226" spans="1:15" ht="15" customHeight="1" x14ac:dyDescent="0.3">
      <c r="A226" s="70" t="s">
        <v>3588</v>
      </c>
      <c r="B226" s="140" t="s">
        <v>3161</v>
      </c>
      <c r="C226" s="147" t="s">
        <v>3345</v>
      </c>
      <c r="D226" s="73" t="s">
        <v>350</v>
      </c>
      <c r="E226" s="142" t="str">
        <f>IFERROR(INDEX(M_User!$A$12:$J$67,MATCH(D226,M_User!$D$12:$D$67,0),3),"UNMAPPED")</f>
        <v>Samson Felix Ngowi</v>
      </c>
      <c r="F226" s="73" t="s">
        <v>178</v>
      </c>
      <c r="G226" s="142" t="str">
        <f>IFERROR(INDEX(M_SKU!$A$18:$J$57,MATCH(F226,M_SKU!$B$18:$B$57,0),1),"UNKNOWN SKU")</f>
        <v>Fanta Orange RGB 350ml</v>
      </c>
      <c r="H226" s="73" t="s">
        <v>531</v>
      </c>
      <c r="I226" s="93">
        <v>3.86835915483941E-3</v>
      </c>
      <c r="J226" s="136"/>
      <c r="K226" s="137"/>
      <c r="L226" s="136"/>
      <c r="M226" s="138"/>
      <c r="N226" s="130">
        <v>46180</v>
      </c>
      <c r="O226" s="143" t="str">
        <f t="shared" ca="1" si="3"/>
        <v>BREACHED</v>
      </c>
    </row>
    <row r="227" spans="1:15" ht="15" customHeight="1" x14ac:dyDescent="0.3">
      <c r="A227" s="60" t="s">
        <v>3589</v>
      </c>
      <c r="B227" s="126" t="s">
        <v>3162</v>
      </c>
      <c r="C227" s="105" t="s">
        <v>3347</v>
      </c>
      <c r="D227" s="63" t="s">
        <v>350</v>
      </c>
      <c r="E227" s="135" t="str">
        <f>IFERROR(INDEX(M_User!$A$12:$J$67,MATCH(D227,M_User!$D$12:$D$67,0),3),"UNMAPPED")</f>
        <v>Samson Felix Ngowi</v>
      </c>
      <c r="F227" s="63" t="s">
        <v>181</v>
      </c>
      <c r="G227" s="135" t="str">
        <f>IFERROR(INDEX(M_SKU!$A$18:$J$57,MATCH(F227,M_SKU!$B$18:$B$57,0),1),"UNKNOWN SKU")</f>
        <v>Fanta Passion RGB 350ml</v>
      </c>
      <c r="H227" s="63" t="s">
        <v>550</v>
      </c>
      <c r="I227" s="90">
        <v>3.82435518090962E-3</v>
      </c>
      <c r="J227" s="136"/>
      <c r="K227" s="137"/>
      <c r="L227" s="136"/>
      <c r="M227" s="138"/>
      <c r="N227" s="62">
        <v>46180</v>
      </c>
      <c r="O227" s="139" t="str">
        <f t="shared" ca="1" si="3"/>
        <v>BREACHED</v>
      </c>
    </row>
    <row r="228" spans="1:15" ht="15" customHeight="1" x14ac:dyDescent="0.3">
      <c r="A228" s="70" t="s">
        <v>3590</v>
      </c>
      <c r="B228" s="140" t="s">
        <v>3163</v>
      </c>
      <c r="C228" s="147" t="s">
        <v>3345</v>
      </c>
      <c r="D228" s="73" t="s">
        <v>350</v>
      </c>
      <c r="E228" s="142" t="str">
        <f>IFERROR(INDEX(M_User!$A$12:$J$67,MATCH(D228,M_User!$D$12:$D$67,0),3),"UNMAPPED")</f>
        <v>Samson Felix Ngowi</v>
      </c>
      <c r="F228" s="73" t="s">
        <v>181</v>
      </c>
      <c r="G228" s="142" t="str">
        <f>IFERROR(INDEX(M_SKU!$A$18:$J$57,MATCH(F228,M_SKU!$B$18:$B$57,0),1),"UNKNOWN SKU")</f>
        <v>Fanta Passion RGB 350ml</v>
      </c>
      <c r="H228" s="73" t="s">
        <v>532</v>
      </c>
      <c r="I228" s="93">
        <v>2.91951324542503E-3</v>
      </c>
      <c r="J228" s="136"/>
      <c r="K228" s="137"/>
      <c r="L228" s="136"/>
      <c r="M228" s="138"/>
      <c r="N228" s="130">
        <v>46180</v>
      </c>
      <c r="O228" s="143" t="str">
        <f t="shared" ca="1" si="3"/>
        <v>BREACHED</v>
      </c>
    </row>
    <row r="229" spans="1:15" ht="15" customHeight="1" x14ac:dyDescent="0.3">
      <c r="A229" s="60" t="s">
        <v>3591</v>
      </c>
      <c r="B229" s="126" t="s">
        <v>3164</v>
      </c>
      <c r="C229" s="105" t="s">
        <v>3347</v>
      </c>
      <c r="D229" s="63" t="s">
        <v>350</v>
      </c>
      <c r="E229" s="135" t="str">
        <f>IFERROR(INDEX(M_User!$A$12:$J$67,MATCH(D229,M_User!$D$12:$D$67,0),3),"UNMAPPED")</f>
        <v>Samson Felix Ngowi</v>
      </c>
      <c r="F229" s="63" t="s">
        <v>183</v>
      </c>
      <c r="G229" s="135" t="str">
        <f>IFERROR(INDEX(M_SKU!$A$18:$J$57,MATCH(F229,M_SKU!$B$18:$B$57,0),1),"UNKNOWN SKU")</f>
        <v>Fanta Pineapple RGB 350ml</v>
      </c>
      <c r="H229" s="63" t="s">
        <v>533</v>
      </c>
      <c r="I229" s="90">
        <v>3.0468657928324201E-3</v>
      </c>
      <c r="J229" s="136"/>
      <c r="K229" s="137"/>
      <c r="L229" s="136"/>
      <c r="M229" s="138"/>
      <c r="N229" s="62">
        <v>46180</v>
      </c>
      <c r="O229" s="139" t="str">
        <f t="shared" ca="1" si="3"/>
        <v>BREACHED</v>
      </c>
    </row>
    <row r="230" spans="1:15" ht="23.25" customHeight="1" x14ac:dyDescent="0.3">
      <c r="A230" s="70" t="s">
        <v>3592</v>
      </c>
      <c r="B230" s="140" t="s">
        <v>3165</v>
      </c>
      <c r="C230" s="141" t="s">
        <v>3347</v>
      </c>
      <c r="D230" s="73" t="s">
        <v>350</v>
      </c>
      <c r="E230" s="142" t="str">
        <f>IFERROR(INDEX(M_User!$A$12:$J$67,MATCH(D230,M_User!$D$12:$D$67,0),3),"UNMAPPED")</f>
        <v>Samson Felix Ngowi</v>
      </c>
      <c r="F230" s="73" t="s">
        <v>185</v>
      </c>
      <c r="G230" s="142" t="str">
        <f>IFERROR(INDEX(M_SKU!$A$18:$J$57,MATCH(F230,M_SKU!$B$18:$B$57,0),1),"UNKNOWN SKU")</f>
        <v>Fanta Fruit Blast RGB 350 ml</v>
      </c>
      <c r="H230" s="73" t="s">
        <v>534</v>
      </c>
      <c r="I230" s="93">
        <v>3.71397120891698E-3</v>
      </c>
      <c r="J230" s="144" t="s">
        <v>3367</v>
      </c>
      <c r="K230" s="145" t="s">
        <v>3418</v>
      </c>
      <c r="L230" s="144" t="s">
        <v>430</v>
      </c>
      <c r="M230" s="146">
        <v>46180</v>
      </c>
      <c r="N230" s="130">
        <v>46180</v>
      </c>
      <c r="O230" s="143" t="str">
        <f t="shared" ca="1" si="3"/>
        <v>Within SLA</v>
      </c>
    </row>
    <row r="231" spans="1:15" ht="23.25" customHeight="1" x14ac:dyDescent="0.3">
      <c r="A231" s="60" t="s">
        <v>3593</v>
      </c>
      <c r="B231" s="126" t="s">
        <v>3166</v>
      </c>
      <c r="C231" s="105" t="s">
        <v>3347</v>
      </c>
      <c r="D231" s="63" t="s">
        <v>350</v>
      </c>
      <c r="E231" s="135" t="str">
        <f>IFERROR(INDEX(M_User!$A$12:$J$67,MATCH(D231,M_User!$D$12:$D$67,0),3),"UNMAPPED")</f>
        <v>Samson Felix Ngowi</v>
      </c>
      <c r="F231" s="63" t="s">
        <v>187</v>
      </c>
      <c r="G231" s="135" t="str">
        <f>IFERROR(INDEX(M_SKU!$A$18:$J$57,MATCH(F231,M_SKU!$B$18:$B$57,0),1),"UNKNOWN SKU")</f>
        <v>Sprite 350ml</v>
      </c>
      <c r="H231" s="63" t="s">
        <v>535</v>
      </c>
      <c r="I231" s="90">
        <v>1.67735346902131E-3</v>
      </c>
      <c r="J231" s="144" t="s">
        <v>3384</v>
      </c>
      <c r="K231" s="145" t="s">
        <v>3385</v>
      </c>
      <c r="L231" s="144" t="s">
        <v>433</v>
      </c>
      <c r="M231" s="146">
        <v>46179</v>
      </c>
      <c r="N231" s="62">
        <v>46180</v>
      </c>
      <c r="O231" s="139" t="str">
        <f t="shared" ca="1" si="3"/>
        <v>Within SLA</v>
      </c>
    </row>
    <row r="232" spans="1:15" ht="15" customHeight="1" x14ac:dyDescent="0.3">
      <c r="A232" s="70" t="s">
        <v>3594</v>
      </c>
      <c r="B232" s="140" t="s">
        <v>3167</v>
      </c>
      <c r="C232" s="141" t="s">
        <v>3347</v>
      </c>
      <c r="D232" s="73" t="s">
        <v>350</v>
      </c>
      <c r="E232" s="142" t="str">
        <f>IFERROR(INDEX(M_User!$A$12:$J$67,MATCH(D232,M_User!$D$12:$D$67,0),3),"UNMAPPED")</f>
        <v>Samson Felix Ngowi</v>
      </c>
      <c r="F232" s="73" t="s">
        <v>190</v>
      </c>
      <c r="G232" s="142" t="str">
        <f>IFERROR(INDEX(M_SKU!$A$18:$J$57,MATCH(F232,M_SKU!$B$18:$B$57,0),1),"UNKNOWN SKU")</f>
        <v>Stoney Tangawizi RGB 350ml</v>
      </c>
      <c r="H232" s="73" t="s">
        <v>536</v>
      </c>
      <c r="I232" s="93">
        <v>2.40277222094476E-3</v>
      </c>
      <c r="J232" s="136"/>
      <c r="K232" s="137"/>
      <c r="L232" s="136"/>
      <c r="M232" s="138"/>
      <c r="N232" s="130">
        <v>46180</v>
      </c>
      <c r="O232" s="143" t="str">
        <f t="shared" ca="1" si="3"/>
        <v>BREACHED</v>
      </c>
    </row>
    <row r="233" spans="1:15" ht="15" customHeight="1" x14ac:dyDescent="0.3">
      <c r="A233" s="60" t="s">
        <v>3595</v>
      </c>
      <c r="B233" s="126" t="s">
        <v>3168</v>
      </c>
      <c r="C233" s="105" t="s">
        <v>3347</v>
      </c>
      <c r="D233" s="63" t="s">
        <v>350</v>
      </c>
      <c r="E233" s="135" t="str">
        <f>IFERROR(INDEX(M_User!$A$12:$J$67,MATCH(D233,M_User!$D$12:$D$67,0),3),"UNMAPPED")</f>
        <v>Samson Felix Ngowi</v>
      </c>
      <c r="F233" s="63" t="s">
        <v>193</v>
      </c>
      <c r="G233" s="135" t="str">
        <f>IFERROR(INDEX(M_SKU!$A$18:$J$57,MATCH(F233,M_SKU!$B$18:$B$57,0),1),"UNKNOWN SKU")</f>
        <v>Sparletta Pinenut RGB 350ml</v>
      </c>
      <c r="H233" s="63" t="s">
        <v>591</v>
      </c>
      <c r="I233" s="90">
        <v>1.5610017441200499E-4</v>
      </c>
      <c r="J233" s="136"/>
      <c r="K233" s="137"/>
      <c r="L233" s="136"/>
      <c r="M233" s="138"/>
      <c r="N233" s="62">
        <v>46180</v>
      </c>
      <c r="O233" s="139" t="str">
        <f t="shared" ca="1" si="3"/>
        <v>BREACHED</v>
      </c>
    </row>
    <row r="234" spans="1:15" ht="15" customHeight="1" x14ac:dyDescent="0.3">
      <c r="A234" s="70" t="s">
        <v>3596</v>
      </c>
      <c r="B234" s="140" t="s">
        <v>3169</v>
      </c>
      <c r="C234" s="147" t="s">
        <v>3345</v>
      </c>
      <c r="D234" s="73" t="s">
        <v>350</v>
      </c>
      <c r="E234" s="142" t="str">
        <f>IFERROR(INDEX(M_User!$A$12:$J$67,MATCH(D234,M_User!$D$12:$D$67,0),3),"UNMAPPED")</f>
        <v>Samson Felix Ngowi</v>
      </c>
      <c r="F234" s="73" t="s">
        <v>193</v>
      </c>
      <c r="G234" s="142" t="str">
        <f>IFERROR(INDEX(M_SKU!$A$18:$J$57,MATCH(F234,M_SKU!$B$18:$B$57,0),1),"UNKNOWN SKU")</f>
        <v>Sparletta Pinenut RGB 350ml</v>
      </c>
      <c r="H234" s="73" t="s">
        <v>580</v>
      </c>
      <c r="I234" s="93">
        <v>1.81549106113915E-3</v>
      </c>
      <c r="J234" s="144" t="s">
        <v>3384</v>
      </c>
      <c r="K234" s="145" t="s">
        <v>3411</v>
      </c>
      <c r="L234" s="144" t="s">
        <v>431</v>
      </c>
      <c r="M234" s="146">
        <v>46180</v>
      </c>
      <c r="N234" s="130">
        <v>46180</v>
      </c>
      <c r="O234" s="143" t="str">
        <f t="shared" ca="1" si="3"/>
        <v>Within SLA</v>
      </c>
    </row>
    <row r="235" spans="1:15" ht="23.25" customHeight="1" x14ac:dyDescent="0.3">
      <c r="A235" s="60" t="s">
        <v>3597</v>
      </c>
      <c r="B235" s="126" t="s">
        <v>3170</v>
      </c>
      <c r="C235" s="105" t="s">
        <v>3347</v>
      </c>
      <c r="D235" s="63" t="s">
        <v>350</v>
      </c>
      <c r="E235" s="135" t="str">
        <f>IFERROR(INDEX(M_User!$A$12:$J$67,MATCH(D235,M_User!$D$12:$D$67,0),3),"UNMAPPED")</f>
        <v>Samson Felix Ngowi</v>
      </c>
      <c r="F235" s="63" t="s">
        <v>196</v>
      </c>
      <c r="G235" s="135" t="str">
        <f>IFERROR(INDEX(M_SKU!$A$18:$J$57,MATCH(F235,M_SKU!$B$18:$B$57,0),1),"UNKNOWN SKU")</f>
        <v>Krest Bitter Lemon RGB 300ml</v>
      </c>
      <c r="H235" s="63" t="s">
        <v>538</v>
      </c>
      <c r="I235" s="90">
        <v>3.2234513542805899E-4</v>
      </c>
      <c r="J235" s="144" t="s">
        <v>3367</v>
      </c>
      <c r="K235" s="145" t="s">
        <v>3418</v>
      </c>
      <c r="L235" s="144" t="s">
        <v>432</v>
      </c>
      <c r="M235" s="146">
        <v>46179</v>
      </c>
      <c r="N235" s="62">
        <v>46180</v>
      </c>
      <c r="O235" s="139" t="str">
        <f t="shared" ca="1" si="3"/>
        <v>Within SLA</v>
      </c>
    </row>
    <row r="236" spans="1:15" ht="15" customHeight="1" x14ac:dyDescent="0.3">
      <c r="A236" s="70" t="s">
        <v>3598</v>
      </c>
      <c r="B236" s="140" t="s">
        <v>3171</v>
      </c>
      <c r="C236" s="141" t="s">
        <v>3347</v>
      </c>
      <c r="D236" s="73" t="s">
        <v>350</v>
      </c>
      <c r="E236" s="142" t="str">
        <f>IFERROR(INDEX(M_User!$A$12:$J$67,MATCH(D236,M_User!$D$12:$D$67,0),3),"UNMAPPED")</f>
        <v>Samson Felix Ngowi</v>
      </c>
      <c r="F236" s="73" t="s">
        <v>199</v>
      </c>
      <c r="G236" s="142" t="str">
        <f>IFERROR(INDEX(M_SKU!$A$18:$J$57,MATCH(F236,M_SKU!$B$18:$B$57,0),1),"UNKNOWN SKU")</f>
        <v>Krest Club Soda RGB 300ml</v>
      </c>
      <c r="H236" s="73" t="s">
        <v>592</v>
      </c>
      <c r="I236" s="93">
        <v>1.9509847751460201E-3</v>
      </c>
      <c r="J236" s="136"/>
      <c r="K236" s="137"/>
      <c r="L236" s="136"/>
      <c r="M236" s="138"/>
      <c r="N236" s="130">
        <v>46180</v>
      </c>
      <c r="O236" s="143" t="str">
        <f t="shared" ca="1" si="3"/>
        <v>BREACHED</v>
      </c>
    </row>
    <row r="237" spans="1:15" ht="15" customHeight="1" x14ac:dyDescent="0.3">
      <c r="A237" s="60" t="s">
        <v>3599</v>
      </c>
      <c r="B237" s="126" t="s">
        <v>3172</v>
      </c>
      <c r="C237" s="105" t="s">
        <v>3347</v>
      </c>
      <c r="D237" s="63" t="s">
        <v>350</v>
      </c>
      <c r="E237" s="135" t="str">
        <f>IFERROR(INDEX(M_User!$A$12:$J$67,MATCH(D237,M_User!$D$12:$D$67,0),3),"UNMAPPED")</f>
        <v>Samson Felix Ngowi</v>
      </c>
      <c r="F237" s="63" t="s">
        <v>199</v>
      </c>
      <c r="G237" s="135" t="str">
        <f>IFERROR(INDEX(M_SKU!$A$18:$J$57,MATCH(F237,M_SKU!$B$18:$B$57,0),1),"UNKNOWN SKU")</f>
        <v>Krest Club Soda RGB 300ml</v>
      </c>
      <c r="H237" s="63" t="s">
        <v>539</v>
      </c>
      <c r="I237" s="90">
        <v>2.55133302749089E-3</v>
      </c>
      <c r="J237" s="136"/>
      <c r="K237" s="137"/>
      <c r="L237" s="136"/>
      <c r="M237" s="138"/>
      <c r="N237" s="62">
        <v>46180</v>
      </c>
      <c r="O237" s="139" t="str">
        <f t="shared" ca="1" si="3"/>
        <v>BREACHED</v>
      </c>
    </row>
    <row r="238" spans="1:15" ht="15" customHeight="1" x14ac:dyDescent="0.3">
      <c r="A238" s="70" t="s">
        <v>3600</v>
      </c>
      <c r="B238" s="140" t="s">
        <v>3173</v>
      </c>
      <c r="C238" s="147" t="s">
        <v>3345</v>
      </c>
      <c r="D238" s="73" t="s">
        <v>350</v>
      </c>
      <c r="E238" s="142" t="str">
        <f>IFERROR(INDEX(M_User!$A$12:$J$67,MATCH(D238,M_User!$D$12:$D$67,0),3),"UNMAPPED")</f>
        <v>Samson Felix Ngowi</v>
      </c>
      <c r="F238" s="73" t="s">
        <v>201</v>
      </c>
      <c r="G238" s="142" t="str">
        <f>IFERROR(INDEX(M_SKU!$A$18:$J$57,MATCH(F238,M_SKU!$B$18:$B$57,0),1),"UNKNOWN SKU")</f>
        <v>Krest Tonic Water RGB 300ml</v>
      </c>
      <c r="H238" s="73" t="s">
        <v>540</v>
      </c>
      <c r="I238" s="93">
        <v>4.4006806243852004E-3</v>
      </c>
      <c r="J238" s="136"/>
      <c r="K238" s="137"/>
      <c r="L238" s="136"/>
      <c r="M238" s="138"/>
      <c r="N238" s="130">
        <v>46180</v>
      </c>
      <c r="O238" s="143" t="str">
        <f t="shared" ca="1" si="3"/>
        <v>BREACHED</v>
      </c>
    </row>
    <row r="239" spans="1:15" ht="15" customHeight="1" x14ac:dyDescent="0.3">
      <c r="A239" s="60" t="s">
        <v>3601</v>
      </c>
      <c r="B239" s="126" t="s">
        <v>3174</v>
      </c>
      <c r="C239" s="68" t="s">
        <v>3345</v>
      </c>
      <c r="D239" s="63" t="s">
        <v>350</v>
      </c>
      <c r="E239" s="135" t="str">
        <f>IFERROR(INDEX(M_User!$A$12:$J$67,MATCH(D239,M_User!$D$12:$D$67,0),3),"UNMAPPED")</f>
        <v>Samson Felix Ngowi</v>
      </c>
      <c r="F239" s="63" t="s">
        <v>203</v>
      </c>
      <c r="G239" s="135" t="str">
        <f>IFERROR(INDEX(M_SKU!$A$18:$J$57,MATCH(F239,M_SKU!$B$18:$B$57,0),1),"UNKNOWN SKU")</f>
        <v>Krest Ginger Ale RGB 300ml</v>
      </c>
      <c r="H239" s="63" t="s">
        <v>541</v>
      </c>
      <c r="I239" s="90">
        <v>3.75061642293978E-3</v>
      </c>
      <c r="J239" s="136"/>
      <c r="K239" s="137"/>
      <c r="L239" s="136"/>
      <c r="M239" s="138"/>
      <c r="N239" s="62">
        <v>46180</v>
      </c>
      <c r="O239" s="139" t="str">
        <f t="shared" ca="1" si="3"/>
        <v>BREACHED</v>
      </c>
    </row>
    <row r="240" spans="1:15" ht="15" customHeight="1" x14ac:dyDescent="0.3">
      <c r="A240" s="70" t="s">
        <v>3602</v>
      </c>
      <c r="B240" s="140" t="s">
        <v>3175</v>
      </c>
      <c r="C240" s="141" t="s">
        <v>3347</v>
      </c>
      <c r="D240" s="73" t="s">
        <v>350</v>
      </c>
      <c r="E240" s="142" t="str">
        <f>IFERROR(INDEX(M_User!$A$12:$J$67,MATCH(D240,M_User!$D$12:$D$67,0),3),"UNMAPPED")</f>
        <v>Samson Felix Ngowi</v>
      </c>
      <c r="F240" s="73" t="s">
        <v>209</v>
      </c>
      <c r="G240" s="142" t="str">
        <f>IFERROR(INDEX(M_SKU!$A$18:$J$57,MATCH(F240,M_SKU!$B$18:$B$57,0),1),"UNKNOWN SKU")</f>
        <v>Sparletta Red Apple RGB 350ml</v>
      </c>
      <c r="H240" s="73" t="s">
        <v>542</v>
      </c>
      <c r="I240" s="93">
        <v>4.1942809417788702E-4</v>
      </c>
      <c r="J240" s="136"/>
      <c r="K240" s="137"/>
      <c r="L240" s="136"/>
      <c r="M240" s="138"/>
      <c r="N240" s="130">
        <v>46180</v>
      </c>
      <c r="O240" s="143" t="str">
        <f t="shared" ca="1" si="3"/>
        <v>BREACHED</v>
      </c>
    </row>
    <row r="243" spans="1:4" ht="15" customHeight="1" x14ac:dyDescent="0.3">
      <c r="A243" s="83" t="s">
        <v>626</v>
      </c>
    </row>
    <row r="244" spans="1:4" ht="15" customHeight="1" x14ac:dyDescent="0.3">
      <c r="A244" s="14" t="s">
        <v>3603</v>
      </c>
      <c r="D244" s="15">
        <f>COUNTA(A9:A240)</f>
        <v>232</v>
      </c>
    </row>
    <row r="246" spans="1:4" ht="15" customHeight="1" x14ac:dyDescent="0.3">
      <c r="A246" s="15" t="s">
        <v>3604</v>
      </c>
    </row>
    <row r="247" spans="1:4" ht="15" customHeight="1" x14ac:dyDescent="0.3">
      <c r="A247" s="84" t="s">
        <v>3605</v>
      </c>
      <c r="D247" s="44">
        <f>COUNTIF(C9:C240,"Shortage")</f>
        <v>103</v>
      </c>
    </row>
    <row r="248" spans="1:4" ht="15" customHeight="1" x14ac:dyDescent="0.3">
      <c r="A248" s="84" t="s">
        <v>3606</v>
      </c>
      <c r="D248" s="33">
        <f>COUNTIF(C9:C240,"Excess")</f>
        <v>105</v>
      </c>
    </row>
    <row r="249" spans="1:4" ht="15" customHeight="1" x14ac:dyDescent="0.3">
      <c r="A249" s="84" t="s">
        <v>3607</v>
      </c>
      <c r="D249" s="150">
        <f>COUNTIF(C9:C240,"Force-Push")</f>
        <v>24</v>
      </c>
    </row>
    <row r="251" spans="1:4" ht="15" customHeight="1" x14ac:dyDescent="0.3">
      <c r="A251" s="15" t="s">
        <v>3608</v>
      </c>
    </row>
    <row r="252" spans="1:4" ht="15" customHeight="1" x14ac:dyDescent="0.3">
      <c r="A252" s="84" t="s">
        <v>3609</v>
      </c>
      <c r="D252" s="12">
        <f ca="1">COUNTIF(O9:O240,"Within SLA")</f>
        <v>69</v>
      </c>
    </row>
    <row r="253" spans="1:4" ht="15" customHeight="1" x14ac:dyDescent="0.3">
      <c r="A253" s="84" t="s">
        <v>3610</v>
      </c>
      <c r="D253" s="33">
        <f ca="1">COUNTIF(O9:O240,"PENDING")</f>
        <v>0</v>
      </c>
    </row>
    <row r="254" spans="1:4" ht="15" customHeight="1" x14ac:dyDescent="0.3">
      <c r="A254" s="84" t="s">
        <v>3611</v>
      </c>
      <c r="D254" s="44">
        <f ca="1">COUNTIF(O9:O240,"BREACHED")</f>
        <v>163</v>
      </c>
    </row>
    <row r="256" spans="1:4" ht="15" customHeight="1" x14ac:dyDescent="0.3">
      <c r="A256" s="1" t="s">
        <v>3612</v>
      </c>
    </row>
  </sheetData>
  <conditionalFormatting sqref="C9:C240">
    <cfRule type="cellIs" dxfId="26" priority="5" operator="equal">
      <formula>"Shortage"</formula>
    </cfRule>
    <cfRule type="cellIs" dxfId="25" priority="6" operator="equal">
      <formula>"Excess"</formula>
    </cfRule>
    <cfRule type="cellIs" dxfId="24" priority="7" operator="equal">
      <formula>"Force-Push"</formula>
    </cfRule>
  </conditionalFormatting>
  <conditionalFormatting sqref="O9:O240">
    <cfRule type="cellIs" dxfId="23" priority="2" operator="equal">
      <formula>"Within SLA"</formula>
    </cfRule>
    <cfRule type="cellIs" dxfId="22" priority="3" operator="equal">
      <formula>"BREACHED"</formula>
    </cfRule>
    <cfRule type="cellIs" dxfId="21" priority="4" operator="equal">
      <formula>"PENDING"</formula>
    </cfRule>
  </conditionalFormatting>
  <dataValidations count="1">
    <dataValidation type="list" allowBlank="1" errorTitle="Invalid Category" error="Please select a valid reason category." promptTitle="Reason Category" prompt="Select reason category" sqref="J9:J240" xr:uid="{00000000-0002-0000-0B00-000000000000}">
      <formula1>"Damage / Breakage,Counting Error,Theft / Loss,Mobile App Entry Error,Master Data Mismatch,Other"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59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28" customWidth="1"/>
    <col min="3" max="3" width="18.88671875" bestFit="1" customWidth="1"/>
    <col min="4" max="4" width="26" customWidth="1"/>
    <col min="5" max="5" width="30.88671875" bestFit="1" customWidth="1"/>
    <col min="6" max="7" width="16" customWidth="1"/>
    <col min="8" max="8" width="18.21875" bestFit="1" customWidth="1"/>
    <col min="9" max="12" width="14" customWidth="1"/>
  </cols>
  <sheetData>
    <row r="1" spans="1:12" ht="31.5" customHeight="1" x14ac:dyDescent="0.3">
      <c r="A1" s="283" t="s">
        <v>3613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15" customHeight="1" x14ac:dyDescent="0.3">
      <c r="A2" s="284" t="s">
        <v>3614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</row>
    <row r="3" spans="1:12" ht="15" customHeight="1" x14ac:dyDescent="0.3">
      <c r="A3" s="285" t="s">
        <v>3615</v>
      </c>
      <c r="B3" s="151">
        <f ca="1">TODAY()</f>
        <v>46206</v>
      </c>
    </row>
    <row r="5" spans="1:12" ht="21.75" customHeight="1" thickBot="1" x14ac:dyDescent="0.35">
      <c r="A5" s="286" t="s">
        <v>3616</v>
      </c>
      <c r="B5" s="286"/>
      <c r="C5" s="286"/>
      <c r="D5" s="286"/>
      <c r="E5" s="286"/>
      <c r="F5" s="286"/>
    </row>
    <row r="6" spans="1:12" ht="21.75" customHeight="1" thickBot="1" x14ac:dyDescent="0.35">
      <c r="A6" s="311" t="s">
        <v>3617</v>
      </c>
      <c r="B6" s="312"/>
      <c r="C6" s="313" t="s">
        <v>3618</v>
      </c>
      <c r="D6" s="314"/>
      <c r="E6" s="315" t="s">
        <v>3619</v>
      </c>
      <c r="F6" s="316"/>
    </row>
    <row r="7" spans="1:12" ht="49.5" customHeight="1" thickBot="1" x14ac:dyDescent="0.35">
      <c r="A7" s="317">
        <f>COUNTIF(T_Load!$P$9:$P$439,"Pending Confirmation")-COUNTIF(T_Load!$F$9:$F$439,"UNMAPPED")</f>
        <v>407</v>
      </c>
      <c r="B7" s="318"/>
      <c r="C7" s="321">
        <f>COUNTIF(T_Load!$F$9:$F$439,"UNMAPPED")</f>
        <v>24</v>
      </c>
      <c r="D7" s="322"/>
      <c r="E7" s="325">
        <f>COUNTIF(T_ROP!$O$13:$O$436,"Pending Verification")</f>
        <v>400</v>
      </c>
      <c r="F7" s="326"/>
    </row>
    <row r="8" spans="1:12" ht="18" customHeight="1" thickBot="1" x14ac:dyDescent="0.35">
      <c r="A8" s="319" t="s">
        <v>3620</v>
      </c>
      <c r="B8" s="320"/>
      <c r="C8" s="323" t="s">
        <v>3621</v>
      </c>
      <c r="D8" s="324"/>
      <c r="E8" s="327" t="s">
        <v>3622</v>
      </c>
      <c r="F8" s="328"/>
    </row>
    <row r="9" spans="1:12" ht="15" thickBot="1" x14ac:dyDescent="0.35"/>
    <row r="10" spans="1:12" ht="21.75" customHeight="1" thickBot="1" x14ac:dyDescent="0.35">
      <c r="A10" s="329" t="s">
        <v>3623</v>
      </c>
      <c r="B10" s="330"/>
      <c r="C10" s="333" t="s">
        <v>3624</v>
      </c>
      <c r="D10" s="334"/>
      <c r="E10" s="337" t="s">
        <v>3625</v>
      </c>
      <c r="F10" s="338"/>
    </row>
    <row r="11" spans="1:12" ht="49.5" customHeight="1" thickBot="1" x14ac:dyDescent="0.35">
      <c r="A11" s="331">
        <f>COUNTIF(T_DefaultOutletPosting!$P$9:$P$111,"Pending Push")</f>
        <v>103</v>
      </c>
      <c r="B11" s="332"/>
      <c r="C11" s="335">
        <f ca="1">COUNTIF(T_VarianceReasons!$O$9:$O$240,"PENDING")+COUNTIF(T_VarianceReasons!$O$9:$O$240,"BREACHED")</f>
        <v>163</v>
      </c>
      <c r="D11" s="336"/>
      <c r="E11" s="339">
        <f ca="1">COUNTIF(T_VarianceReasons!$O$9:$O$240,"BREACHED")</f>
        <v>163</v>
      </c>
      <c r="F11" s="340"/>
    </row>
    <row r="12" spans="1:12" ht="18" customHeight="1" thickBot="1" x14ac:dyDescent="0.35">
      <c r="A12" s="343" t="s">
        <v>3626</v>
      </c>
      <c r="B12" s="344"/>
      <c r="C12" s="345" t="s">
        <v>3627</v>
      </c>
      <c r="D12" s="346"/>
      <c r="E12" s="347" t="s">
        <v>3628</v>
      </c>
      <c r="F12" s="348"/>
    </row>
    <row r="14" spans="1:12" ht="21.75" customHeight="1" x14ac:dyDescent="0.3">
      <c r="A14" s="288" t="s">
        <v>3629</v>
      </c>
      <c r="B14" s="287"/>
      <c r="C14" s="287"/>
      <c r="D14" s="287"/>
      <c r="E14" s="287"/>
      <c r="F14" s="287"/>
      <c r="G14" s="287"/>
      <c r="H14" s="287"/>
    </row>
    <row r="15" spans="1:12" ht="15" customHeight="1" x14ac:dyDescent="0.3">
      <c r="A15" s="298" t="s">
        <v>3630</v>
      </c>
      <c r="B15" s="289" t="s">
        <v>307</v>
      </c>
      <c r="C15" s="289" t="s">
        <v>504</v>
      </c>
      <c r="D15" s="298" t="s">
        <v>509</v>
      </c>
      <c r="E15" s="289" t="s">
        <v>277</v>
      </c>
      <c r="F15" s="289" t="s">
        <v>3631</v>
      </c>
      <c r="G15" s="298" t="s">
        <v>3632</v>
      </c>
      <c r="H15" s="298" t="s">
        <v>9</v>
      </c>
    </row>
    <row r="16" spans="1:12" x14ac:dyDescent="0.3">
      <c r="A16" s="61">
        <f>T_Load!B116</f>
        <v>166152</v>
      </c>
      <c r="B16" s="290" t="str">
        <f>T_Load!D116</f>
        <v>MOS100801</v>
      </c>
      <c r="C16" s="291" t="str">
        <f>T_Load!E116</f>
        <v>James Tegemea Ndosi</v>
      </c>
      <c r="D16" s="63" t="str">
        <f>T_Load!J116</f>
        <v>FG001</v>
      </c>
      <c r="E16" s="293" t="str">
        <f>T_Load!K116</f>
        <v>Coke RGB 350ml</v>
      </c>
      <c r="F16" s="292" t="str">
        <f>T_Load!L116</f>
        <v>CK3-33409</v>
      </c>
      <c r="G16" s="300">
        <f>T_Load!O116</f>
        <v>40</v>
      </c>
      <c r="H16" s="105" t="str">
        <f>T_Load!P116</f>
        <v>Pending Confirmation</v>
      </c>
    </row>
    <row r="17" spans="1:8" x14ac:dyDescent="0.3">
      <c r="A17" s="299">
        <f>T_Load!B117</f>
        <v>166152</v>
      </c>
      <c r="B17" s="294" t="str">
        <f>T_Load!D117</f>
        <v>MOS100801</v>
      </c>
      <c r="C17" s="295" t="str">
        <f>T_Load!E117</f>
        <v>James Tegemea Ndosi</v>
      </c>
      <c r="D17" s="303" t="str">
        <f>T_Load!J117</f>
        <v>FG002</v>
      </c>
      <c r="E17" s="297" t="str">
        <f>T_Load!K117</f>
        <v>Fanta Orange RGB 350ml</v>
      </c>
      <c r="F17" s="296" t="str">
        <f>T_Load!L117</f>
        <v>CK3-33407</v>
      </c>
      <c r="G17" s="301">
        <f>T_Load!O117</f>
        <v>15</v>
      </c>
      <c r="H17" s="302" t="str">
        <f>T_Load!P117</f>
        <v>Pending Confirmation</v>
      </c>
    </row>
    <row r="18" spans="1:8" x14ac:dyDescent="0.3">
      <c r="A18" s="61">
        <f>T_Load!B118</f>
        <v>166152</v>
      </c>
      <c r="B18" s="290" t="str">
        <f>T_Load!D118</f>
        <v>MOS100801</v>
      </c>
      <c r="C18" s="291" t="str">
        <f>T_Load!E118</f>
        <v>James Tegemea Ndosi</v>
      </c>
      <c r="D18" s="63" t="str">
        <f>T_Load!J118</f>
        <v>FG003</v>
      </c>
      <c r="E18" s="293" t="str">
        <f>T_Load!K118</f>
        <v>Fanta Passion RGB 350ml</v>
      </c>
      <c r="F18" s="292" t="str">
        <f>T_Load!L118</f>
        <v>CK3-33356</v>
      </c>
      <c r="G18" s="300">
        <f>T_Load!O118</f>
        <v>7</v>
      </c>
      <c r="H18" s="105" t="str">
        <f>T_Load!P118</f>
        <v>Pending Confirmation</v>
      </c>
    </row>
    <row r="19" spans="1:8" x14ac:dyDescent="0.3">
      <c r="A19" s="299">
        <f>T_Load!B119</f>
        <v>166152</v>
      </c>
      <c r="B19" s="294" t="str">
        <f>T_Load!D119</f>
        <v>MOS100801</v>
      </c>
      <c r="C19" s="295" t="str">
        <f>T_Load!E119</f>
        <v>James Tegemea Ndosi</v>
      </c>
      <c r="D19" s="303" t="str">
        <f>T_Load!J119</f>
        <v>FG004</v>
      </c>
      <c r="E19" s="297" t="str">
        <f>T_Load!K119</f>
        <v>Fanta Pineapple RGB 350ml</v>
      </c>
      <c r="F19" s="296" t="str">
        <f>T_Load!L119</f>
        <v>CK3-33385</v>
      </c>
      <c r="G19" s="301">
        <f>T_Load!O119</f>
        <v>7</v>
      </c>
      <c r="H19" s="302" t="str">
        <f>T_Load!P119</f>
        <v>Pending Confirmation</v>
      </c>
    </row>
    <row r="20" spans="1:8" x14ac:dyDescent="0.3">
      <c r="A20" s="61">
        <f>T_Load!B120</f>
        <v>166152</v>
      </c>
      <c r="B20" s="290" t="str">
        <f>T_Load!D120</f>
        <v>MOS100801</v>
      </c>
      <c r="C20" s="291" t="str">
        <f>T_Load!E120</f>
        <v>James Tegemea Ndosi</v>
      </c>
      <c r="D20" s="63" t="str">
        <f>T_Load!J120</f>
        <v>FG005</v>
      </c>
      <c r="E20" s="293" t="str">
        <f>T_Load!K120</f>
        <v>Fanta Fruit Blast RGB 350 ml</v>
      </c>
      <c r="F20" s="292" t="str">
        <f>T_Load!L120</f>
        <v>CK3-33402</v>
      </c>
      <c r="G20" s="300">
        <f>T_Load!O120</f>
        <v>5</v>
      </c>
      <c r="H20" s="105" t="str">
        <f>T_Load!P120</f>
        <v>Pending Confirmation</v>
      </c>
    </row>
    <row r="21" spans="1:8" x14ac:dyDescent="0.3">
      <c r="A21" s="299">
        <f>T_Load!B121</f>
        <v>166152</v>
      </c>
      <c r="B21" s="294" t="str">
        <f>T_Load!D121</f>
        <v>MOS100801</v>
      </c>
      <c r="C21" s="295" t="str">
        <f>T_Load!E121</f>
        <v>James Tegemea Ndosi</v>
      </c>
      <c r="D21" s="303" t="str">
        <f>T_Load!J121</f>
        <v>FG006</v>
      </c>
      <c r="E21" s="297" t="str">
        <f>T_Load!K121</f>
        <v>Sprite 350ml</v>
      </c>
      <c r="F21" s="296" t="str">
        <f>T_Load!L121</f>
        <v>CK3-33414</v>
      </c>
      <c r="G21" s="301">
        <f>T_Load!O121</f>
        <v>7</v>
      </c>
      <c r="H21" s="302" t="str">
        <f>T_Load!P121</f>
        <v>Pending Confirmation</v>
      </c>
    </row>
    <row r="22" spans="1:8" x14ac:dyDescent="0.3">
      <c r="A22" s="61">
        <f>T_Load!B122</f>
        <v>166152</v>
      </c>
      <c r="B22" s="290" t="str">
        <f>T_Load!D122</f>
        <v>MOS100801</v>
      </c>
      <c r="C22" s="291" t="str">
        <f>T_Load!E122</f>
        <v>James Tegemea Ndosi</v>
      </c>
      <c r="D22" s="63" t="str">
        <f>T_Load!J122</f>
        <v>FG007</v>
      </c>
      <c r="E22" s="293" t="str">
        <f>T_Load!K122</f>
        <v>Stoney Tangawizi RGB 350ml</v>
      </c>
      <c r="F22" s="292" t="str">
        <f>T_Load!L122</f>
        <v>CK3-33404</v>
      </c>
      <c r="G22" s="300">
        <f>T_Load!O122</f>
        <v>5</v>
      </c>
      <c r="H22" s="105" t="str">
        <f>T_Load!P122</f>
        <v>Pending Confirmation</v>
      </c>
    </row>
    <row r="23" spans="1:8" x14ac:dyDescent="0.3">
      <c r="A23" s="299">
        <f>T_Load!B123</f>
        <v>166152</v>
      </c>
      <c r="B23" s="294" t="str">
        <f>T_Load!D123</f>
        <v>MOS100801</v>
      </c>
      <c r="C23" s="295" t="str">
        <f>T_Load!E123</f>
        <v>James Tegemea Ndosi</v>
      </c>
      <c r="D23" s="303" t="str">
        <f>T_Load!J123</f>
        <v>FG008</v>
      </c>
      <c r="E23" s="297" t="str">
        <f>T_Load!K123</f>
        <v>Sparletta Pinenut RGB 350ml</v>
      </c>
      <c r="F23" s="296" t="str">
        <f>T_Load!L123</f>
        <v>CK3-33365</v>
      </c>
      <c r="G23" s="301">
        <f>T_Load!O123</f>
        <v>5</v>
      </c>
      <c r="H23" s="302" t="str">
        <f>T_Load!P123</f>
        <v>Pending Confirmation</v>
      </c>
    </row>
    <row r="24" spans="1:8" x14ac:dyDescent="0.3">
      <c r="A24" s="61">
        <f>T_Load!B124</f>
        <v>166152</v>
      </c>
      <c r="B24" s="290" t="str">
        <f>T_Load!D124</f>
        <v>MOS100801</v>
      </c>
      <c r="C24" s="291" t="str">
        <f>T_Load!E124</f>
        <v>James Tegemea Ndosi</v>
      </c>
      <c r="D24" s="63" t="str">
        <f>T_Load!J124</f>
        <v>FG009</v>
      </c>
      <c r="E24" s="293" t="str">
        <f>T_Load!K124</f>
        <v>Krest Bitter Lemon RGB 300ml</v>
      </c>
      <c r="F24" s="292" t="str">
        <f>T_Load!L124</f>
        <v>CK3-33348</v>
      </c>
      <c r="G24" s="300">
        <f>T_Load!O124</f>
        <v>3</v>
      </c>
      <c r="H24" s="105" t="str">
        <f>T_Load!P124</f>
        <v>Pending Confirmation</v>
      </c>
    </row>
    <row r="25" spans="1:8" x14ac:dyDescent="0.3">
      <c r="A25" s="299">
        <f>T_Load!B125</f>
        <v>166152</v>
      </c>
      <c r="B25" s="294" t="str">
        <f>T_Load!D125</f>
        <v>MOS100801</v>
      </c>
      <c r="C25" s="295" t="str">
        <f>T_Load!E125</f>
        <v>James Tegemea Ndosi</v>
      </c>
      <c r="D25" s="303" t="str">
        <f>T_Load!J125</f>
        <v>FG010</v>
      </c>
      <c r="E25" s="297" t="str">
        <f>T_Load!K125</f>
        <v>Krest Club Soda RGB 300ml</v>
      </c>
      <c r="F25" s="296" t="str">
        <f>T_Load!L125</f>
        <v>CK3-33301</v>
      </c>
      <c r="G25" s="301">
        <f>T_Load!O125</f>
        <v>3</v>
      </c>
      <c r="H25" s="302" t="str">
        <f>T_Load!P125</f>
        <v>Pending Confirmation</v>
      </c>
    </row>
    <row r="26" spans="1:8" x14ac:dyDescent="0.3">
      <c r="A26" s="61">
        <f>T_Load!B126</f>
        <v>166152</v>
      </c>
      <c r="B26" s="290" t="str">
        <f>T_Load!D126</f>
        <v>MOS100801</v>
      </c>
      <c r="C26" s="291" t="str">
        <f>T_Load!E126</f>
        <v>James Tegemea Ndosi</v>
      </c>
      <c r="D26" s="63" t="str">
        <f>T_Load!J126</f>
        <v>FG011</v>
      </c>
      <c r="E26" s="293" t="str">
        <f>T_Load!K126</f>
        <v>Krest Tonic Water RGB 300ml</v>
      </c>
      <c r="F26" s="292" t="str">
        <f>T_Load!L126</f>
        <v>CK3-33347</v>
      </c>
      <c r="G26" s="300">
        <f>T_Load!O126</f>
        <v>3</v>
      </c>
      <c r="H26" s="105" t="str">
        <f>T_Load!P126</f>
        <v>Pending Confirmation</v>
      </c>
    </row>
    <row r="27" spans="1:8" x14ac:dyDescent="0.3">
      <c r="A27" s="299">
        <f>T_Load!B127</f>
        <v>166152</v>
      </c>
      <c r="B27" s="294" t="str">
        <f>T_Load!D127</f>
        <v>MOS100801</v>
      </c>
      <c r="C27" s="295" t="str">
        <f>T_Load!E127</f>
        <v>James Tegemea Ndosi</v>
      </c>
      <c r="D27" s="303" t="str">
        <f>T_Load!J127</f>
        <v>FG012</v>
      </c>
      <c r="E27" s="297" t="str">
        <f>T_Load!K127</f>
        <v>Krest Ginger Ale RGB 300ml</v>
      </c>
      <c r="F27" s="296" t="str">
        <f>T_Load!L127</f>
        <v>CK3-33126</v>
      </c>
      <c r="G27" s="301">
        <f>T_Load!O127</f>
        <v>3</v>
      </c>
      <c r="H27" s="302" t="str">
        <f>T_Load!P127</f>
        <v>Pending Confirmation</v>
      </c>
    </row>
    <row r="28" spans="1:8" x14ac:dyDescent="0.3">
      <c r="A28" s="61">
        <f>T_Load!B128</f>
        <v>166152</v>
      </c>
      <c r="B28" s="290" t="str">
        <f>T_Load!D128</f>
        <v>MOS100801</v>
      </c>
      <c r="C28" s="291" t="str">
        <f>T_Load!E128</f>
        <v>James Tegemea Ndosi</v>
      </c>
      <c r="D28" s="63" t="str">
        <f>T_Load!J128</f>
        <v>FG024</v>
      </c>
      <c r="E28" s="293" t="str">
        <f>T_Load!K128</f>
        <v>Sparletta Red Apple RGB 350ml</v>
      </c>
      <c r="F28" s="292" t="str">
        <f>T_Load!L128</f>
        <v>CK3-32758</v>
      </c>
      <c r="G28" s="300">
        <f>T_Load!O128</f>
        <v>2</v>
      </c>
      <c r="H28" s="105" t="str">
        <f>T_Load!P128</f>
        <v>Pending Confirmation</v>
      </c>
    </row>
    <row r="29" spans="1:8" x14ac:dyDescent="0.3">
      <c r="A29" s="299">
        <f>T_Load!B129</f>
        <v>166152</v>
      </c>
      <c r="B29" s="294" t="str">
        <f>T_Load!D129</f>
        <v>MOS100801</v>
      </c>
      <c r="C29" s="295" t="str">
        <f>T_Load!E129</f>
        <v>James Tegemea Ndosi</v>
      </c>
      <c r="D29" s="303" t="str">
        <f>T_Load!J129</f>
        <v>KD001</v>
      </c>
      <c r="E29" s="297" t="str">
        <f>T_Load!K129</f>
        <v>KNMW 500ml</v>
      </c>
      <c r="F29" s="296" t="str">
        <f>T_Load!L129</f>
        <v>CK6-986</v>
      </c>
      <c r="G29" s="301">
        <f>T_Load!O129</f>
        <v>50</v>
      </c>
      <c r="H29" s="302" t="str">
        <f>T_Load!P129</f>
        <v>Pending Confirmation</v>
      </c>
    </row>
    <row r="30" spans="1:8" x14ac:dyDescent="0.3">
      <c r="A30" s="61">
        <f>T_Load!B130</f>
        <v>166152</v>
      </c>
      <c r="B30" s="290" t="str">
        <f>T_Load!D130</f>
        <v>MOS100801</v>
      </c>
      <c r="C30" s="291" t="str">
        <f>T_Load!E130</f>
        <v>James Tegemea Ndosi</v>
      </c>
      <c r="D30" s="63" t="str">
        <f>T_Load!J130</f>
        <v>KD003</v>
      </c>
      <c r="E30" s="293" t="str">
        <f>T_Load!K130</f>
        <v>KNMW 1500ml</v>
      </c>
      <c r="F30" s="292" t="str">
        <f>T_Load!L130</f>
        <v>CK4-842</v>
      </c>
      <c r="G30" s="300">
        <f>T_Load!O130</f>
        <v>90</v>
      </c>
      <c r="H30" s="105" t="str">
        <f>T_Load!P130</f>
        <v>Pending Confirmation</v>
      </c>
    </row>
    <row r="31" spans="1:8" x14ac:dyDescent="0.3">
      <c r="A31" s="299">
        <f>T_Load!B131</f>
        <v>166152</v>
      </c>
      <c r="B31" s="294" t="str">
        <f>T_Load!D131</f>
        <v>MOS100801</v>
      </c>
      <c r="C31" s="295" t="str">
        <f>T_Load!E131</f>
        <v>James Tegemea Ndosi</v>
      </c>
      <c r="D31" s="303" t="str">
        <f>T_Load!J131</f>
        <v>PH001</v>
      </c>
      <c r="E31" s="297" t="str">
        <f>T_Load!K131</f>
        <v>Coke Pet 500ML ( x12)</v>
      </c>
      <c r="F31" s="296" t="str">
        <f>T_Load!L131</f>
        <v>CK6-33411</v>
      </c>
      <c r="G31" s="301">
        <f>T_Load!O131</f>
        <v>20</v>
      </c>
      <c r="H31" s="302" t="str">
        <f>T_Load!P131</f>
        <v>Pending Confirmation</v>
      </c>
    </row>
    <row r="32" spans="1:8" x14ac:dyDescent="0.3">
      <c r="A32" s="61">
        <f>T_Load!B132</f>
        <v>166152</v>
      </c>
      <c r="B32" s="290" t="str">
        <f>T_Load!D132</f>
        <v>MOS100801</v>
      </c>
      <c r="C32" s="291" t="str">
        <f>T_Load!E132</f>
        <v>James Tegemea Ndosi</v>
      </c>
      <c r="D32" s="63" t="str">
        <f>T_Load!J132</f>
        <v>PH002</v>
      </c>
      <c r="E32" s="293" t="str">
        <f>T_Load!K132</f>
        <v>Sprite Pet 500ML (x 12)</v>
      </c>
      <c r="F32" s="292" t="str">
        <f>T_Load!L132</f>
        <v>CK6-33362</v>
      </c>
      <c r="G32" s="300">
        <f>T_Load!O132</f>
        <v>10</v>
      </c>
      <c r="H32" s="105" t="str">
        <f>T_Load!P132</f>
        <v>Pending Confirmation</v>
      </c>
    </row>
    <row r="33" spans="1:8" x14ac:dyDescent="0.3">
      <c r="A33" s="299">
        <f>T_Load!B133</f>
        <v>166152</v>
      </c>
      <c r="B33" s="294" t="str">
        <f>T_Load!D133</f>
        <v>MOS100801</v>
      </c>
      <c r="C33" s="295" t="str">
        <f>T_Load!E133</f>
        <v>James Tegemea Ndosi</v>
      </c>
      <c r="D33" s="303" t="str">
        <f>T_Load!J133</f>
        <v>PH003</v>
      </c>
      <c r="E33" s="297" t="str">
        <f>T_Load!K133</f>
        <v>Fanta Orange Pet 500ML ( x 12)</v>
      </c>
      <c r="F33" s="296" t="str">
        <f>T_Load!L133</f>
        <v>CK6-33405</v>
      </c>
      <c r="G33" s="301">
        <f>T_Load!O133</f>
        <v>10</v>
      </c>
      <c r="H33" s="302" t="str">
        <f>T_Load!P133</f>
        <v>Pending Confirmation</v>
      </c>
    </row>
    <row r="34" spans="1:8" x14ac:dyDescent="0.3">
      <c r="A34" s="61">
        <f>T_Load!B134</f>
        <v>166152</v>
      </c>
      <c r="B34" s="290" t="str">
        <f>T_Load!D134</f>
        <v>MOS100801</v>
      </c>
      <c r="C34" s="291" t="str">
        <f>T_Load!E134</f>
        <v>James Tegemea Ndosi</v>
      </c>
      <c r="D34" s="63" t="str">
        <f>T_Load!J134</f>
        <v>PH004</v>
      </c>
      <c r="E34" s="293" t="str">
        <f>T_Load!K134</f>
        <v>Fanta Passion Pet 500ML ( x12)</v>
      </c>
      <c r="F34" s="292" t="str">
        <f>T_Load!L134</f>
        <v>CK5-33334</v>
      </c>
      <c r="G34" s="300">
        <f>T_Load!O134</f>
        <v>10</v>
      </c>
      <c r="H34" s="105" t="str">
        <f>T_Load!P134</f>
        <v>Pending Confirmation</v>
      </c>
    </row>
    <row r="35" spans="1:8" x14ac:dyDescent="0.3">
      <c r="A35" s="299">
        <f>T_Load!B135</f>
        <v>166152</v>
      </c>
      <c r="B35" s="294" t="str">
        <f>T_Load!D135</f>
        <v>MOS100801</v>
      </c>
      <c r="C35" s="295" t="str">
        <f>T_Load!E135</f>
        <v>James Tegemea Ndosi</v>
      </c>
      <c r="D35" s="303" t="str">
        <f>T_Load!J135</f>
        <v>PH007</v>
      </c>
      <c r="E35" s="297" t="str">
        <f>T_Load!K135</f>
        <v>Stoney Tangawizi Pet 500 ml ( x12)</v>
      </c>
      <c r="F35" s="296" t="str">
        <f>T_Load!L135</f>
        <v>CK6-33375</v>
      </c>
      <c r="G35" s="301">
        <f>T_Load!O135</f>
        <v>5</v>
      </c>
      <c r="H35" s="302" t="str">
        <f>T_Load!P135</f>
        <v>Pending Confirmation</v>
      </c>
    </row>
    <row r="36" spans="1:8" x14ac:dyDescent="0.3">
      <c r="A36" s="61">
        <f>T_Load!B136</f>
        <v>166152</v>
      </c>
      <c r="B36" s="290" t="str">
        <f>T_Load!D136</f>
        <v>MOS100801</v>
      </c>
      <c r="C36" s="291" t="str">
        <f>T_Load!E136</f>
        <v>James Tegemea Ndosi</v>
      </c>
      <c r="D36" s="63" t="str">
        <f>T_Load!J136</f>
        <v>PH008</v>
      </c>
      <c r="E36" s="293" t="str">
        <f>T_Load!K136</f>
        <v>Sparletta Pinenut Pet 500 ml ( x12)</v>
      </c>
      <c r="F36" s="292" t="str">
        <f>T_Load!L136</f>
        <v>CK5-33370</v>
      </c>
      <c r="G36" s="300">
        <f>T_Load!O136</f>
        <v>5</v>
      </c>
      <c r="H36" s="105" t="str">
        <f>T_Load!P136</f>
        <v>Pending Confirmation</v>
      </c>
    </row>
    <row r="37" spans="1:8" x14ac:dyDescent="0.3">
      <c r="A37" s="299">
        <f>T_Load!B137</f>
        <v>166152</v>
      </c>
      <c r="B37" s="294" t="str">
        <f>T_Load!D137</f>
        <v>MOS100801</v>
      </c>
      <c r="C37" s="295" t="str">
        <f>T_Load!E137</f>
        <v>James Tegemea Ndosi</v>
      </c>
      <c r="D37" s="303" t="str">
        <f>T_Load!J137</f>
        <v>PO010</v>
      </c>
      <c r="E37" s="297" t="str">
        <f>T_Load!K137</f>
        <v>Sprite Zero Pet 300ML (x 12)</v>
      </c>
      <c r="F37" s="296" t="str">
        <f>T_Load!L137</f>
        <v>CK5-33360</v>
      </c>
      <c r="G37" s="301">
        <f>T_Load!O137</f>
        <v>5</v>
      </c>
      <c r="H37" s="302" t="str">
        <f>T_Load!P137</f>
        <v>Pending Confirmation</v>
      </c>
    </row>
    <row r="38" spans="1:8" x14ac:dyDescent="0.3">
      <c r="A38" s="61">
        <f>T_Load!B138</f>
        <v>166152</v>
      </c>
      <c r="B38" s="290" t="str">
        <f>T_Load!D138</f>
        <v>MOS100801</v>
      </c>
      <c r="C38" s="291" t="str">
        <f>T_Load!E138</f>
        <v>James Tegemea Ndosi</v>
      </c>
      <c r="D38" s="63" t="str">
        <f>T_Load!J138</f>
        <v>PO013</v>
      </c>
      <c r="E38" s="293" t="str">
        <f>T_Load!K138</f>
        <v>Sparletta Red Apple Pet 300ML(x 12)</v>
      </c>
      <c r="F38" s="292" t="str">
        <f>T_Load!L138</f>
        <v>CK5-33368</v>
      </c>
      <c r="G38" s="300">
        <f>T_Load!O138</f>
        <v>5</v>
      </c>
      <c r="H38" s="105" t="str">
        <f>T_Load!P138</f>
        <v>Pending Confirmation</v>
      </c>
    </row>
    <row r="39" spans="1:8" ht="14.4" customHeight="1" x14ac:dyDescent="0.3">
      <c r="A39" s="299">
        <f>T_Load!B139</f>
        <v>166152</v>
      </c>
      <c r="B39" s="294" t="str">
        <f>T_Load!D139</f>
        <v>MOS100801</v>
      </c>
      <c r="C39" s="295" t="str">
        <f>T_Load!E139</f>
        <v>James Tegemea Ndosi</v>
      </c>
      <c r="D39" s="303" t="str">
        <f>T_Load!J139</f>
        <v>PO015</v>
      </c>
      <c r="E39" s="297" t="str">
        <f>T_Load!K139</f>
        <v>Sparletta Pine Apple Pet 300ML (x 12)</v>
      </c>
      <c r="F39" s="296" t="str">
        <f>T_Load!L139</f>
        <v>CK5-33366</v>
      </c>
      <c r="G39" s="301">
        <f>T_Load!O139</f>
        <v>5</v>
      </c>
      <c r="H39" s="302" t="str">
        <f>T_Load!P139</f>
        <v>Pending Confirmation</v>
      </c>
    </row>
    <row r="41" spans="1:8" ht="15" customHeight="1" x14ac:dyDescent="0.3">
      <c r="A41" s="342" t="s">
        <v>3633</v>
      </c>
      <c r="B41" s="342"/>
      <c r="C41" s="342"/>
      <c r="D41" s="342"/>
      <c r="E41" s="342"/>
      <c r="F41" s="342"/>
      <c r="G41" s="342"/>
      <c r="H41" s="342"/>
    </row>
    <row r="44" spans="1:8" ht="21.75" customHeight="1" x14ac:dyDescent="0.3">
      <c r="A44" s="279" t="s">
        <v>3634</v>
      </c>
      <c r="B44" s="279"/>
      <c r="C44" s="279"/>
      <c r="D44" s="279"/>
    </row>
    <row r="45" spans="1:8" ht="15" customHeight="1" x14ac:dyDescent="0.3">
      <c r="A45" s="157" t="s">
        <v>3635</v>
      </c>
      <c r="B45" s="157" t="s">
        <v>3636</v>
      </c>
      <c r="C45" s="157" t="s">
        <v>3637</v>
      </c>
      <c r="D45" s="157" t="s">
        <v>3638</v>
      </c>
    </row>
    <row r="46" spans="1:8" ht="15" customHeight="1" x14ac:dyDescent="0.3">
      <c r="A46" s="158" t="s">
        <v>3639</v>
      </c>
      <c r="B46" s="159">
        <f ca="1">SUMPRODUCT((T_Load!$P$9:$P$439="Pending Confirmation")*((TODAY()-T_Load!$C$9:$C$439)=0))</f>
        <v>0</v>
      </c>
      <c r="C46" s="160">
        <f ca="1">SUMPRODUCT((T_Load!$P$9:$P$439="Pending Confirmation")*((TODAY()-T_Load!$C$9:$C$439)=0)*T_Load!$O$9:$O$439)</f>
        <v>0</v>
      </c>
      <c r="D46" s="161">
        <f ca="1">IFERROR(B46/SUM(B46:B49),0)</f>
        <v>0</v>
      </c>
    </row>
    <row r="47" spans="1:8" ht="15" customHeight="1" x14ac:dyDescent="0.3">
      <c r="A47" s="158" t="s">
        <v>3640</v>
      </c>
      <c r="B47" s="159">
        <f ca="1">SUMPRODUCT((T_Load!$P$9:$P$439="Pending Confirmation")*((TODAY()-T_Load!$C$9:$C$439)&gt;=1)*((TODAY()-T_Load!$C$9:$C$439)&lt;=2))</f>
        <v>0</v>
      </c>
      <c r="C47" s="160">
        <f ca="1">SUMPRODUCT((T_Load!$P$9:$P$439="Pending Confirmation")*((TODAY()-T_Load!$C$9:$C$439)&gt;=1)*((TODAY()-T_Load!$C$9:$C$439)&lt;=2)*T_Load!$O$9:$O$439)</f>
        <v>0</v>
      </c>
      <c r="D47" s="161">
        <f ca="1">IFERROR(B47/SUM(B46:B49),0)</f>
        <v>0</v>
      </c>
    </row>
    <row r="48" spans="1:8" ht="15" customHeight="1" x14ac:dyDescent="0.3">
      <c r="A48" s="158" t="s">
        <v>3641</v>
      </c>
      <c r="B48" s="159">
        <f ca="1">SUMPRODUCT((T_Load!$P$9:$P$439="Pending Confirmation")*((TODAY()-T_Load!$C$9:$C$439)&gt;=3)*((TODAY()-T_Load!$C$9:$C$439)&lt;=6))</f>
        <v>0</v>
      </c>
      <c r="C48" s="160">
        <f ca="1">SUMPRODUCT((T_Load!$P$9:$P$439="Pending Confirmation")*((TODAY()-T_Load!$C$9:$C$439)&gt;=3)*((TODAY()-T_Load!$C$9:$C$439)&lt;=6)*T_Load!$O$9:$O$439)</f>
        <v>0</v>
      </c>
      <c r="D48" s="161">
        <f ca="1">IFERROR(B48/SUM(B46:B49),0)</f>
        <v>0</v>
      </c>
    </row>
    <row r="49" spans="1:12" ht="15" customHeight="1" x14ac:dyDescent="0.3">
      <c r="A49" s="162" t="s">
        <v>3642</v>
      </c>
      <c r="B49" s="163">
        <f ca="1">SUMPRODUCT((T_Load!$P$9:$P$439="Pending Confirmation")*((TODAY()-T_Load!$C$9:$C$439)&gt;=7))</f>
        <v>431</v>
      </c>
      <c r="C49" s="164">
        <f ca="1">SUMPRODUCT((T_Load!$P$9:$P$439="Pending Confirmation")*((TODAY()-T_Load!$C$9:$C$439)&gt;=7)*T_Load!$O$9:$O$439)</f>
        <v>8286</v>
      </c>
      <c r="D49" s="165">
        <f ca="1">IFERROR(B49/SUM(B46:B49),0)</f>
        <v>1</v>
      </c>
    </row>
    <row r="52" spans="1:12" ht="21.75" customHeight="1" x14ac:dyDescent="0.3">
      <c r="A52" s="280" t="s">
        <v>3643</v>
      </c>
      <c r="B52" s="280"/>
      <c r="C52" s="280"/>
    </row>
    <row r="53" spans="1:12" ht="15" customHeight="1" x14ac:dyDescent="0.3">
      <c r="A53" s="166" t="s">
        <v>3343</v>
      </c>
      <c r="B53" s="166" t="s">
        <v>3644</v>
      </c>
      <c r="C53" s="166" t="s">
        <v>298</v>
      </c>
    </row>
    <row r="54" spans="1:12" ht="23.25" customHeight="1" x14ac:dyDescent="0.3">
      <c r="A54" s="167" t="s">
        <v>3645</v>
      </c>
      <c r="B54" s="168">
        <f ca="1">COUNTIF(T_VarianceReasons!$O$9:$O$240,"Within SLA")</f>
        <v>69</v>
      </c>
      <c r="C54" s="45" t="s">
        <v>3646</v>
      </c>
    </row>
    <row r="55" spans="1:12" ht="34.5" customHeight="1" x14ac:dyDescent="0.3">
      <c r="A55" s="169" t="s">
        <v>3647</v>
      </c>
      <c r="B55" s="170">
        <f ca="1">COUNTIF(T_VarianceReasons!$O$9:$O$240,"PENDING")</f>
        <v>0</v>
      </c>
      <c r="C55" s="45" t="s">
        <v>3648</v>
      </c>
    </row>
    <row r="56" spans="1:12" ht="34.5" customHeight="1" x14ac:dyDescent="0.3">
      <c r="A56" s="171" t="s">
        <v>3649</v>
      </c>
      <c r="B56" s="172">
        <f ca="1">COUNTIF(T_VarianceReasons!$O$9:$O$240,"BREACHED")</f>
        <v>163</v>
      </c>
      <c r="C56" s="45" t="s">
        <v>3650</v>
      </c>
    </row>
    <row r="59" spans="1:12" ht="15" customHeight="1" x14ac:dyDescent="0.3">
      <c r="A59" s="341" t="s">
        <v>3651</v>
      </c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</row>
  </sheetData>
  <mergeCells count="20">
    <mergeCell ref="A59:L59"/>
    <mergeCell ref="A41:H41"/>
    <mergeCell ref="A12:B12"/>
    <mergeCell ref="C12:D12"/>
    <mergeCell ref="E12:F12"/>
    <mergeCell ref="A10:B10"/>
    <mergeCell ref="A11:B11"/>
    <mergeCell ref="C10:D10"/>
    <mergeCell ref="C11:D11"/>
    <mergeCell ref="E10:F10"/>
    <mergeCell ref="E11:F11"/>
    <mergeCell ref="A6:B6"/>
    <mergeCell ref="C6:D6"/>
    <mergeCell ref="E6:F6"/>
    <mergeCell ref="A7:B7"/>
    <mergeCell ref="A8:B8"/>
    <mergeCell ref="C7:D7"/>
    <mergeCell ref="C8:D8"/>
    <mergeCell ref="E7:F7"/>
    <mergeCell ref="E8:F8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425"/>
  <sheetViews>
    <sheetView showGridLines="0" tabSelected="1" topLeftCell="A41" zoomScale="72" zoomScaleNormal="100" workbookViewId="0">
      <selection activeCell="J5" sqref="J5"/>
    </sheetView>
  </sheetViews>
  <sheetFormatPr defaultColWidth="8.6640625" defaultRowHeight="14.4" x14ac:dyDescent="0.3"/>
  <cols>
    <col min="1" max="1" width="17" bestFit="1" customWidth="1"/>
    <col min="2" max="2" width="30.88671875" bestFit="1" customWidth="1"/>
    <col min="3" max="3" width="28.33203125" bestFit="1" customWidth="1"/>
    <col min="4" max="4" width="9.5546875" bestFit="1" customWidth="1"/>
    <col min="5" max="5" width="8.21875" bestFit="1" customWidth="1"/>
    <col min="6" max="6" width="17.33203125" bestFit="1" customWidth="1"/>
    <col min="7" max="7" width="7.77734375" bestFit="1" customWidth="1"/>
    <col min="8" max="8" width="18.88671875" bestFit="1" customWidth="1"/>
    <col min="9" max="9" width="13.77734375" bestFit="1" customWidth="1"/>
    <col min="10" max="10" width="55.33203125" bestFit="1" customWidth="1"/>
    <col min="14" max="14" width="35.44140625" bestFit="1" customWidth="1"/>
    <col min="15" max="15" width="13.44140625" bestFit="1" customWidth="1"/>
    <col min="27" max="27" width="14.6640625" bestFit="1" customWidth="1"/>
  </cols>
  <sheetData>
    <row r="1" spans="1:27" ht="31.5" customHeight="1" x14ac:dyDescent="0.3">
      <c r="A1" s="349" t="s">
        <v>3652</v>
      </c>
      <c r="B1" s="349"/>
      <c r="C1" s="349"/>
      <c r="D1" s="349"/>
      <c r="E1" s="349"/>
      <c r="F1" s="349"/>
      <c r="G1" s="349"/>
      <c r="H1" s="349"/>
      <c r="I1" s="349"/>
      <c r="J1" s="349"/>
      <c r="N1" s="173" t="s">
        <v>3653</v>
      </c>
      <c r="O1" s="173" t="s">
        <v>3654</v>
      </c>
      <c r="AA1" s="173" t="s">
        <v>3655</v>
      </c>
    </row>
    <row r="2" spans="1:27" ht="15" customHeight="1" x14ac:dyDescent="0.3">
      <c r="A2" s="350" t="s">
        <v>3656</v>
      </c>
      <c r="B2" s="350"/>
      <c r="C2" s="350"/>
      <c r="D2" s="350"/>
      <c r="E2" s="350"/>
      <c r="F2" s="350"/>
      <c r="G2" s="350"/>
      <c r="H2" s="350"/>
      <c r="I2" s="350"/>
      <c r="J2" s="350"/>
      <c r="N2" s="174" t="s">
        <v>3657</v>
      </c>
      <c r="O2" s="174" t="s">
        <v>401</v>
      </c>
      <c r="AA2" s="175" t="str">
        <f>IF(AND(T_ROP!$C$13=$I$4,T_ROP!$L$13&lt;&gt;"CLEAN",T_ROP!$L$13&lt;&gt;""),COUNTIFS(T_ROP!$C$13:$C$13,$I$4,T_ROP!$L$13:$L$13,"&lt;&gt;CLEAN",T_ROP!$L$13:$L$13,"&lt;&gt;"),"")</f>
        <v/>
      </c>
    </row>
    <row r="3" spans="1:27" ht="15" customHeight="1" x14ac:dyDescent="0.3">
      <c r="N3" s="174" t="s">
        <v>3658</v>
      </c>
      <c r="O3" s="174" t="s">
        <v>421</v>
      </c>
      <c r="AA3" s="175" t="str">
        <f>IF(AND(T_ROP!$C$14=$I$4,T_ROP!$L$14&lt;&gt;"CLEAN",T_ROP!$L$14&lt;&gt;""),COUNTIFS(T_ROP!$C$13:$C$14,$I$4,T_ROP!$L$13:$L$14,"&lt;&gt;CLEAN",T_ROP!$L$13:$L$14,"&lt;&gt;"),"")</f>
        <v/>
      </c>
    </row>
    <row r="4" spans="1:27" ht="27.75" customHeight="1" x14ac:dyDescent="0.3">
      <c r="A4" s="307" t="s">
        <v>3659</v>
      </c>
      <c r="B4" s="351" t="s">
        <v>3663</v>
      </c>
      <c r="C4" s="351"/>
      <c r="D4" s="351"/>
      <c r="E4" s="351"/>
      <c r="H4" s="176" t="s">
        <v>3661</v>
      </c>
      <c r="I4" s="177" t="str">
        <f>INDEX($O$2:$O$19,MATCH($B$4,$N$2:$N$19,0))</f>
        <v>MOS100209</v>
      </c>
      <c r="N4" s="174" t="s">
        <v>3662</v>
      </c>
      <c r="O4" s="174" t="s">
        <v>320</v>
      </c>
      <c r="AA4" s="175" t="str">
        <f>IF(AND(T_ROP!$C$15=$I$4,T_ROP!$L$15&lt;&gt;"CLEAN",T_ROP!$L$15&lt;&gt;""),COUNTIFS(T_ROP!$C$13:$C$15,$I$4,T_ROP!$L$13:$L$15,"&lt;&gt;CLEAN",T_ROP!$L$13:$L$15,"&lt;&gt;"),"")</f>
        <v/>
      </c>
    </row>
    <row r="5" spans="1:27" ht="15" customHeight="1" x14ac:dyDescent="0.3">
      <c r="N5" s="174" t="s">
        <v>3663</v>
      </c>
      <c r="O5" s="174" t="s">
        <v>339</v>
      </c>
      <c r="AA5" s="175" t="str">
        <f>IF(AND(T_ROP!$C$16=$I$4,T_ROP!$L$16&lt;&gt;"CLEAN",T_ROP!$L$16&lt;&gt;""),COUNTIFS(T_ROP!$C$13:$C$16,$I$4,T_ROP!$L$13:$L$16,"&lt;&gt;CLEAN",T_ROP!$L$13:$L$16,"&lt;&gt;"),"")</f>
        <v/>
      </c>
    </row>
    <row r="6" spans="1:27" ht="15" customHeight="1" x14ac:dyDescent="0.3">
      <c r="A6" s="178" t="s">
        <v>3664</v>
      </c>
      <c r="B6" s="352" t="str">
        <f>IFERROR(INDEX(M_User!$A$12:$J$67,MATCH($I$4,M_User!$D$12:$D$67,0),3),"NOT FOUND")</f>
        <v>Erick K. Mkama</v>
      </c>
      <c r="C6" s="352"/>
      <c r="D6" s="352"/>
      <c r="E6" s="352"/>
      <c r="F6" s="178" t="s">
        <v>292</v>
      </c>
      <c r="G6" s="352" t="str">
        <f>IFERROR(INDEX(M_User!$A$12:$J$67,MATCH($I$4,M_User!$D$12:$D$67,0),5),"N/A")</f>
        <v>MOS</v>
      </c>
      <c r="H6" s="352"/>
      <c r="N6" s="174" t="s">
        <v>3665</v>
      </c>
      <c r="O6" s="174" t="s">
        <v>384</v>
      </c>
      <c r="AA6" s="175" t="str">
        <f>IF(AND(T_ROP!$C$17=$I$4,T_ROP!$L$17&lt;&gt;"CLEAN",T_ROP!$L$17&lt;&gt;""),COUNTIFS(T_ROP!$C$13:$C$17,$I$4,T_ROP!$L$13:$L$17,"&lt;&gt;CLEAN",T_ROP!$L$13:$L$17,"&lt;&gt;"),"")</f>
        <v/>
      </c>
    </row>
    <row r="7" spans="1:27" ht="15" customHeight="1" x14ac:dyDescent="0.3">
      <c r="A7" s="178" t="s">
        <v>3666</v>
      </c>
      <c r="B7" s="352" t="str">
        <f>$I$4</f>
        <v>MOS100209</v>
      </c>
      <c r="C7" s="352"/>
      <c r="D7" s="352"/>
      <c r="E7" s="352"/>
      <c r="F7" s="178" t="s">
        <v>3667</v>
      </c>
      <c r="G7" s="353" t="str">
        <f>IFERROR(INDEX(M_User!$A$12:$J$67,MATCH($I$4,M_User!$D$12:$D$67,0),7),"N/A")</f>
        <v>Rachel Emanuel Kissota</v>
      </c>
      <c r="H7" s="353"/>
      <c r="N7" s="174" t="s">
        <v>3668</v>
      </c>
      <c r="O7" s="174" t="s">
        <v>336</v>
      </c>
      <c r="AA7" s="175" t="str">
        <f>IF(AND(T_ROP!$C$18=$I$4,T_ROP!$L$18&lt;&gt;"CLEAN",T_ROP!$L$18&lt;&gt;""),COUNTIFS(T_ROP!$C$13:$C$18,$I$4,T_ROP!$L$13:$L$18,"&lt;&gt;CLEAN",T_ROP!$L$13:$L$18,"&lt;&gt;"),"")</f>
        <v/>
      </c>
    </row>
    <row r="8" spans="1:27" ht="15" customHeight="1" x14ac:dyDescent="0.3">
      <c r="A8" s="178" t="s">
        <v>3669</v>
      </c>
      <c r="B8" s="354">
        <f>IF($I$4="DSM300140",DATE(2026,6,11),DATE(2026,6,6))</f>
        <v>46179</v>
      </c>
      <c r="C8" s="354"/>
      <c r="D8" s="354"/>
      <c r="E8" s="354"/>
      <c r="F8" s="178" t="s">
        <v>3670</v>
      </c>
      <c r="G8" s="355">
        <f ca="1">TODAY()</f>
        <v>46206</v>
      </c>
      <c r="H8" s="355"/>
      <c r="N8" s="174" t="s">
        <v>3671</v>
      </c>
      <c r="O8" s="174" t="s">
        <v>562</v>
      </c>
      <c r="AA8" s="175" t="str">
        <f>IF(AND(T_ROP!$C$19=$I$4,T_ROP!$L$19&lt;&gt;"CLEAN",T_ROP!$L$19&lt;&gt;""),COUNTIFS(T_ROP!$C$13:$C$19,$I$4,T_ROP!$L$13:$L$19,"&lt;&gt;CLEAN",T_ROP!$L$13:$L$19,"&lt;&gt;"),"")</f>
        <v/>
      </c>
    </row>
    <row r="9" spans="1:27" ht="15" customHeight="1" x14ac:dyDescent="0.3">
      <c r="N9" s="174" t="s">
        <v>3672</v>
      </c>
      <c r="O9" s="174" t="s">
        <v>412</v>
      </c>
      <c r="AA9" s="175" t="str">
        <f>IF(AND(T_ROP!$C$20=$I$4,T_ROP!$L$20&lt;&gt;"CLEAN",T_ROP!$L$20&lt;&gt;""),COUNTIFS(T_ROP!$C$13:$C$20,$I$4,T_ROP!$L$13:$L$20,"&lt;&gt;CLEAN",T_ROP!$L$13:$L$20,"&lt;&gt;"),"")</f>
        <v/>
      </c>
    </row>
    <row r="10" spans="1:27" ht="15" customHeight="1" x14ac:dyDescent="0.3">
      <c r="N10" s="174" t="s">
        <v>3673</v>
      </c>
      <c r="O10" s="174" t="s">
        <v>415</v>
      </c>
      <c r="AA10" s="175" t="str">
        <f>IF(AND(T_ROP!$C$21=$I$4,T_ROP!$L$21&lt;&gt;"CLEAN",T_ROP!$L$21&lt;&gt;""),COUNTIFS(T_ROP!$C$13:$C$21,$I$4,T_ROP!$L$13:$L$21,"&lt;&gt;CLEAN",T_ROP!$L$13:$L$21,"&lt;&gt;"),"")</f>
        <v/>
      </c>
    </row>
    <row r="11" spans="1:27" ht="21.75" customHeight="1" x14ac:dyDescent="0.3">
      <c r="A11" s="356" t="s">
        <v>3674</v>
      </c>
      <c r="B11" s="356"/>
      <c r="C11" s="356"/>
      <c r="D11" s="356"/>
      <c r="E11" s="356"/>
      <c r="F11" s="356"/>
      <c r="G11" s="356"/>
      <c r="H11" s="356"/>
      <c r="I11" s="356"/>
      <c r="J11" s="356"/>
      <c r="N11" s="174" t="s">
        <v>3675</v>
      </c>
      <c r="O11" s="174" t="s">
        <v>361</v>
      </c>
      <c r="AA11" s="175" t="str">
        <f>IF(AND(T_ROP!$C$22=$I$4,T_ROP!$L$22&lt;&gt;"CLEAN",T_ROP!$L$22&lt;&gt;""),COUNTIFS(T_ROP!$C$13:$C$22,$I$4,T_ROP!$L$13:$L$22,"&lt;&gt;CLEAN",T_ROP!$L$13:$L$22,"&lt;&gt;"),"")</f>
        <v/>
      </c>
    </row>
    <row r="12" spans="1:27" ht="31.5" customHeight="1" x14ac:dyDescent="0.3">
      <c r="A12" s="179" t="s">
        <v>509</v>
      </c>
      <c r="B12" s="179" t="s">
        <v>277</v>
      </c>
      <c r="C12" s="179" t="s">
        <v>3676</v>
      </c>
      <c r="D12" s="179" t="s">
        <v>3677</v>
      </c>
      <c r="E12" s="179" t="s">
        <v>1878</v>
      </c>
      <c r="F12" s="179" t="s">
        <v>3678</v>
      </c>
      <c r="G12" s="179" t="s">
        <v>2754</v>
      </c>
      <c r="H12" s="179" t="s">
        <v>652</v>
      </c>
      <c r="I12" s="179" t="s">
        <v>653</v>
      </c>
      <c r="J12" s="179" t="s">
        <v>3679</v>
      </c>
      <c r="N12" s="174" t="s">
        <v>3680</v>
      </c>
      <c r="O12" s="174" t="s">
        <v>395</v>
      </c>
      <c r="AA12" s="175" t="str">
        <f>IF(AND(T_ROP!$C$23=$I$4,T_ROP!$L$23&lt;&gt;"CLEAN",T_ROP!$L$23&lt;&gt;""),COUNTIFS(T_ROP!$C$13:$C$23,$I$4,T_ROP!$L$13:$L$23,"&lt;&gt;CLEAN",T_ROP!$L$13:$L$23,"&lt;&gt;"),"")</f>
        <v/>
      </c>
    </row>
    <row r="13" spans="1:27" ht="18" customHeight="1" x14ac:dyDescent="0.3">
      <c r="A13" s="304" t="s">
        <v>3681</v>
      </c>
      <c r="B13" s="305"/>
      <c r="C13" s="305"/>
      <c r="D13" s="305"/>
      <c r="E13" s="305"/>
      <c r="F13" s="305"/>
      <c r="G13" s="305"/>
      <c r="H13" s="305"/>
      <c r="I13" s="305"/>
      <c r="J13" s="306"/>
      <c r="N13" s="174" t="s">
        <v>3682</v>
      </c>
      <c r="O13" s="174" t="s">
        <v>314</v>
      </c>
      <c r="AA13" s="175" t="str">
        <f>IF(AND(T_ROP!$C$24=$I$4,T_ROP!$L$24&lt;&gt;"CLEAN",T_ROP!$L$24&lt;&gt;""),COUNTIFS(T_ROP!$C$13:$C$24,$I$4,T_ROP!$L$13:$L$24,"&lt;&gt;CLEAN",T_ROP!$L$13:$L$24,"&lt;&gt;"),"")</f>
        <v/>
      </c>
    </row>
    <row r="14" spans="1:27" ht="23.25" customHeight="1" x14ac:dyDescent="0.3">
      <c r="A14" s="180" t="s">
        <v>170</v>
      </c>
      <c r="B14" s="181" t="s">
        <v>169</v>
      </c>
      <c r="C14" s="98">
        <f>SUMIFS(T_Load!$O$9:$O$439,T_Load!$D$9:$D$439,$I$4,T_Load!$J$9:$J$439,"FG001")</f>
        <v>34</v>
      </c>
      <c r="D14" s="98">
        <f>SUMIFS(T_Sales!$L$9:$L$1164,T_Sales!$D$9:$D$1164,$I$4,T_Sales!$I$9:$I$1164,"FG001")</f>
        <v>30.760148033819199</v>
      </c>
      <c r="E14" s="98">
        <f t="shared" ref="E14:E28" si="0">C14-D14</f>
        <v>3.239851966180801</v>
      </c>
      <c r="F14" s="98">
        <f>SUMIFS(T_ROP!$J$13:$J$436,T_ROP!$C$13:$C$436,$I$4,T_ROP!$F$13:$F$436,"FG001")</f>
        <v>3.24</v>
      </c>
      <c r="G14" s="99">
        <f t="shared" ref="G14:G28" si="1">E14-F14</f>
        <v>-1.4803381919925584E-4</v>
      </c>
      <c r="H14" s="182" cm="1">
        <f t="array" ref="H14">IFERROR(INDEX(M_DepotPrice!$C$10:$C$52,MATCH(1,(M_DepotPrice!$A$10:$A$52=A14)*(M_DepotPrice!$H$10:$H$52=IFERROR(INDEX(M_Depot!$A$7:$A$24,MATCH($G$6,M_Depot!$B$7:$B$24,0)),""))*(M_DepotPrice!$G$10:$G$52="Special"),0)),INDEX(M_DepotPrice!$C$10:$C$52,MATCH(1,(M_DepotPrice!$A$10:$A$52=A14)*(M_DepotPrice!$G$10:$G$52="Default"),0)))*1.18</f>
        <v>13900.4</v>
      </c>
      <c r="I14" s="183">
        <f>SUMIFS(T_Sales!$N$9:$N$1164,T_Sales!$D$9:$D$1164,$I$4,T_Sales!$I$9:$I$1164,"FG001")</f>
        <v>427578.36172930046</v>
      </c>
      <c r="J14" s="184" t="str">
        <f t="shared" ref="J14:J28" si="2">IF(C14=0,"-",IF(ABS(G14)&lt;0.0001,"CLEAN",IF(G14&gt;0,"Default Outlet Posting","Unload Adjustment")))</f>
        <v>Unload Adjustment</v>
      </c>
      <c r="N14" s="174" t="s">
        <v>3683</v>
      </c>
      <c r="O14" s="174" t="s">
        <v>427</v>
      </c>
      <c r="AA14" s="175" t="str">
        <f>IF(AND(T_ROP!$C$25=$I$4,T_ROP!$L$25&lt;&gt;"CLEAN",T_ROP!$L$25&lt;&gt;""),COUNTIFS(T_ROP!$C$13:$C$25,$I$4,T_ROP!$L$13:$L$25,"&lt;&gt;CLEAN",T_ROP!$L$13:$L$25,"&lt;&gt;"),"")</f>
        <v/>
      </c>
    </row>
    <row r="15" spans="1:27" ht="23.25" customHeight="1" x14ac:dyDescent="0.3">
      <c r="A15" s="185" t="s">
        <v>178</v>
      </c>
      <c r="B15" s="186" t="s">
        <v>177</v>
      </c>
      <c r="C15" s="187">
        <f>SUMIFS(T_Load!$O$9:$O$439,T_Load!$D$9:$D$439,$I$4,T_Load!$J$9:$J$439,"FG002")</f>
        <v>15</v>
      </c>
      <c r="D15" s="187">
        <f>SUMIFS(T_Sales!$L$9:$L$1164,T_Sales!$D$9:$D$1164,$I$4,T_Sales!$I$9:$I$1164,"FG002")</f>
        <v>11.39897867146945</v>
      </c>
      <c r="E15" s="187">
        <f t="shared" si="0"/>
        <v>3.6010213285305497</v>
      </c>
      <c r="F15" s="187">
        <f>SUMIFS(T_ROP!$J$13:$J$436,T_ROP!$C$13:$C$436,$I$4,T_ROP!$F$13:$F$436,"FG002")</f>
        <v>3.6</v>
      </c>
      <c r="G15" s="188">
        <f t="shared" si="1"/>
        <v>1.0213285305495923E-3</v>
      </c>
      <c r="H15" s="189" cm="1">
        <f t="array" ref="H15">IFERROR(INDEX(M_DepotPrice!$C$10:$C$52,MATCH(1,(M_DepotPrice!$A$10:$A$52=A15)*(M_DepotPrice!$H$10:$H$52=IFERROR(INDEX(M_Depot!$A$7:$A$24,MATCH($G$6,M_Depot!$B$7:$B$24,0)),""))*(M_DepotPrice!$G$10:$G$52="Special"),0)),INDEX(M_DepotPrice!$C$10:$C$52,MATCH(1,(M_DepotPrice!$A$10:$A$52=A15)*(M_DepotPrice!$G$10:$G$52="Default"),0)))*1.18</f>
        <v>13900.4</v>
      </c>
      <c r="I15" s="190">
        <f>SUMIFS(T_Sales!$N$9:$N$1164,T_Sales!$D$9:$D$1164,$I$4,T_Sales!$I$9:$I$1164,"FG002")</f>
        <v>158450.36312489392</v>
      </c>
      <c r="J15" s="191" t="str">
        <f t="shared" si="2"/>
        <v>Default Outlet Posting</v>
      </c>
      <c r="N15" s="174" t="s">
        <v>3684</v>
      </c>
      <c r="O15" s="174" t="s">
        <v>424</v>
      </c>
      <c r="AA15" s="175" t="str">
        <f>IF(AND(T_ROP!$C$26=$I$4,T_ROP!$L$26&lt;&gt;"CLEAN",T_ROP!$L$26&lt;&gt;""),COUNTIFS(T_ROP!$C$13:$C$26,$I$4,T_ROP!$L$13:$L$26,"&lt;&gt;CLEAN",T_ROP!$L$13:$L$26,"&lt;&gt;"),"")</f>
        <v/>
      </c>
    </row>
    <row r="16" spans="1:27" ht="23.25" customHeight="1" x14ac:dyDescent="0.3">
      <c r="A16" s="180" t="s">
        <v>181</v>
      </c>
      <c r="B16" s="181" t="s">
        <v>180</v>
      </c>
      <c r="C16" s="98">
        <f>SUMIFS(T_Load!$O$9:$O$439,T_Load!$D$9:$D$439,$I$4,T_Load!$J$9:$J$439,"FG003")</f>
        <v>8</v>
      </c>
      <c r="D16" s="98">
        <f>SUMIFS(T_Sales!$L$9:$L$1164,T_Sales!$D$9:$D$1164,$I$4,T_Sales!$I$9:$I$1164,"FG003")</f>
        <v>6.8298060848519402</v>
      </c>
      <c r="E16" s="98">
        <f t="shared" si="0"/>
        <v>1.1701939151480598</v>
      </c>
      <c r="F16" s="98">
        <f>SUMIFS(T_ROP!$J$13:$J$436,T_ROP!$C$13:$C$436,$I$4,T_ROP!$F$13:$F$436,"FG003")</f>
        <v>1.17</v>
      </c>
      <c r="G16" s="99">
        <f t="shared" si="1"/>
        <v>1.9391514805988663E-4</v>
      </c>
      <c r="H16" s="182" cm="1">
        <f t="array" ref="H16">IFERROR(INDEX(M_DepotPrice!$C$10:$C$52,MATCH(1,(M_DepotPrice!$A$10:$A$52=A16)*(M_DepotPrice!$H$10:$H$52=IFERROR(INDEX(M_Depot!$A$7:$A$24,MATCH($G$6,M_Depot!$B$7:$B$24,0)),""))*(M_DepotPrice!$G$10:$G$52="Special"),0)),INDEX(M_DepotPrice!$C$10:$C$52,MATCH(1,(M_DepotPrice!$A$10:$A$52=A16)*(M_DepotPrice!$G$10:$G$52="Default"),0)))*1.18</f>
        <v>13900.4</v>
      </c>
      <c r="I16" s="183">
        <f>SUMIFS(T_Sales!$N$9:$N$1164,T_Sales!$D$9:$D$1164,$I$4,T_Sales!$I$9:$I$1164,"FG003")</f>
        <v>94937.036501875889</v>
      </c>
      <c r="J16" s="184" t="str">
        <f t="shared" si="2"/>
        <v>Default Outlet Posting</v>
      </c>
      <c r="N16" s="174" t="s">
        <v>3660</v>
      </c>
      <c r="O16" s="174" t="s">
        <v>404</v>
      </c>
      <c r="AA16" s="175" t="str">
        <f>IF(AND(T_ROP!$C$27=$I$4,T_ROP!$L$27&lt;&gt;"CLEAN",T_ROP!$L$27&lt;&gt;""),COUNTIFS(T_ROP!$C$13:$C$27,$I$4,T_ROP!$L$13:$L$27,"&lt;&gt;CLEAN",T_ROP!$L$13:$L$27,"&lt;&gt;"),"")</f>
        <v/>
      </c>
    </row>
    <row r="17" spans="1:27" ht="23.25" customHeight="1" x14ac:dyDescent="0.3">
      <c r="A17" s="185" t="s">
        <v>183</v>
      </c>
      <c r="B17" s="186" t="s">
        <v>182</v>
      </c>
      <c r="C17" s="187">
        <f>SUMIFS(T_Load!$O$9:$O$439,T_Load!$D$9:$D$439,$I$4,T_Load!$J$9:$J$439,"FG004")</f>
        <v>8</v>
      </c>
      <c r="D17" s="187">
        <f>SUMIFS(T_Sales!$L$9:$L$1164,T_Sales!$D$9:$D$1164,$I$4,T_Sales!$I$9:$I$1164,"FG004")</f>
        <v>6.4732745248960901</v>
      </c>
      <c r="E17" s="187">
        <f t="shared" si="0"/>
        <v>1.5267254751039099</v>
      </c>
      <c r="F17" s="187">
        <f>SUMIFS(T_ROP!$J$13:$J$436,T_ROP!$C$13:$C$436,$I$4,T_ROP!$F$13:$F$436,"FG004")</f>
        <v>1.53</v>
      </c>
      <c r="G17" s="188">
        <f t="shared" si="1"/>
        <v>-3.2745248960901474E-3</v>
      </c>
      <c r="H17" s="189" cm="1">
        <f t="array" ref="H17">IFERROR(INDEX(M_DepotPrice!$C$10:$C$52,MATCH(1,(M_DepotPrice!$A$10:$A$52=A17)*(M_DepotPrice!$H$10:$H$52=IFERROR(INDEX(M_Depot!$A$7:$A$24,MATCH($G$6,M_Depot!$B$7:$B$24,0)),""))*(M_DepotPrice!$G$10:$G$52="Special"),0)),INDEX(M_DepotPrice!$C$10:$C$52,MATCH(1,(M_DepotPrice!$A$10:$A$52=A17)*(M_DepotPrice!$G$10:$G$52="Default"),0)))*1.18</f>
        <v>13900.4</v>
      </c>
      <c r="I17" s="190">
        <f>SUMIFS(T_Sales!$N$9:$N$1164,T_Sales!$D$9:$D$1164,$I$4,T_Sales!$I$9:$I$1164,"FG004")</f>
        <v>89981.105205865621</v>
      </c>
      <c r="J17" s="191" t="str">
        <f t="shared" si="2"/>
        <v>Unload Adjustment</v>
      </c>
      <c r="N17" s="174" t="s">
        <v>3685</v>
      </c>
      <c r="O17" s="174" t="s">
        <v>350</v>
      </c>
      <c r="AA17" s="175" t="str">
        <f>IF(AND(T_ROP!$C$28=$I$4,T_ROP!$L$28&lt;&gt;"CLEAN",T_ROP!$L$28&lt;&gt;""),COUNTIFS(T_ROP!$C$13:$C$28,$I$4,T_ROP!$L$13:$L$28,"&lt;&gt;CLEAN",T_ROP!$L$13:$L$28,"&lt;&gt;"),"")</f>
        <v/>
      </c>
    </row>
    <row r="18" spans="1:27" ht="23.25" customHeight="1" x14ac:dyDescent="0.3">
      <c r="A18" s="180" t="s">
        <v>185</v>
      </c>
      <c r="B18" s="181" t="s">
        <v>184</v>
      </c>
      <c r="C18" s="98">
        <f>SUMIFS(T_Load!$O$9:$O$439,T_Load!$D$9:$D$439,$I$4,T_Load!$J$9:$J$439,"FG005")</f>
        <v>5</v>
      </c>
      <c r="D18" s="98">
        <f>SUMIFS(T_Sales!$L$9:$L$1164,T_Sales!$D$9:$D$1164,$I$4,T_Sales!$I$9:$I$1164,"FG005")</f>
        <v>4.2709284322196703</v>
      </c>
      <c r="E18" s="98">
        <f t="shared" si="0"/>
        <v>0.72907156778032967</v>
      </c>
      <c r="F18" s="98">
        <f>SUMIFS(T_ROP!$J$13:$J$436,T_ROP!$C$13:$C$436,$I$4,T_ROP!$F$13:$F$436,"FG005")</f>
        <v>0.73</v>
      </c>
      <c r="G18" s="99">
        <f t="shared" si="1"/>
        <v>-9.2843221967031653E-4</v>
      </c>
      <c r="H18" s="182" cm="1">
        <f t="array" ref="H18">IFERROR(INDEX(M_DepotPrice!$C$10:$C$52,MATCH(1,(M_DepotPrice!$A$10:$A$52=A18)*(M_DepotPrice!$H$10:$H$52=IFERROR(INDEX(M_Depot!$A$7:$A$24,MATCH($G$6,M_Depot!$B$7:$B$24,0)),""))*(M_DepotPrice!$G$10:$G$52="Special"),0)),INDEX(M_DepotPrice!$C$10:$C$52,MATCH(1,(M_DepotPrice!$A$10:$A$52=A18)*(M_DepotPrice!$G$10:$G$52="Default"),0)))*1.18</f>
        <v>13900.4</v>
      </c>
      <c r="I18" s="183">
        <f>SUMIFS(T_Sales!$N$9:$N$1164,T_Sales!$D$9:$D$1164,$I$4,T_Sales!$I$9:$I$1164,"FG005")</f>
        <v>59367.613579226301</v>
      </c>
      <c r="J18" s="184" t="str">
        <f t="shared" si="2"/>
        <v>Unload Adjustment</v>
      </c>
      <c r="N18" s="174" t="s">
        <v>3686</v>
      </c>
      <c r="O18" s="174" t="s">
        <v>370</v>
      </c>
      <c r="AA18" s="175" t="str">
        <f>IF(AND(T_ROP!$C$29=$I$4,T_ROP!$L$29&lt;&gt;"CLEAN",T_ROP!$L$29&lt;&gt;""),COUNTIFS(T_ROP!$C$13:$C$29,$I$4,T_ROP!$L$13:$L$29,"&lt;&gt;CLEAN",T_ROP!$L$13:$L$29,"&lt;&gt;"),"")</f>
        <v/>
      </c>
    </row>
    <row r="19" spans="1:27" ht="23.25" customHeight="1" x14ac:dyDescent="0.3">
      <c r="A19" s="185" t="s">
        <v>187</v>
      </c>
      <c r="B19" s="186" t="s">
        <v>186</v>
      </c>
      <c r="C19" s="187">
        <f>SUMIFS(T_Load!$O$9:$O$439,T_Load!$D$9:$D$439,$I$4,T_Load!$J$9:$J$439,"FG006")</f>
        <v>10</v>
      </c>
      <c r="D19" s="187">
        <f>SUMIFS(T_Sales!$L$9:$L$1164,T_Sales!$D$9:$D$1164,$I$4,T_Sales!$I$9:$I$1164,"FG006")</f>
        <v>8.4082906670698101</v>
      </c>
      <c r="E19" s="187">
        <f t="shared" si="0"/>
        <v>1.5917093329301899</v>
      </c>
      <c r="F19" s="187">
        <f>SUMIFS(T_ROP!$J$13:$J$436,T_ROP!$C$13:$C$436,$I$4,T_ROP!$F$13:$F$436,"FG006")</f>
        <v>1.59</v>
      </c>
      <c r="G19" s="188">
        <f t="shared" si="1"/>
        <v>1.7093329301898219E-3</v>
      </c>
      <c r="H19" s="189" cm="1">
        <f t="array" ref="H19">IFERROR(INDEX(M_DepotPrice!$C$10:$C$52,MATCH(1,(M_DepotPrice!$A$10:$A$52=A19)*(M_DepotPrice!$H$10:$H$52=IFERROR(INDEX(M_Depot!$A$7:$A$24,MATCH($G$6,M_Depot!$B$7:$B$24,0)),""))*(M_DepotPrice!$G$10:$G$52="Special"),0)),INDEX(M_DepotPrice!$C$10:$C$52,MATCH(1,(M_DepotPrice!$A$10:$A$52=A19)*(M_DepotPrice!$G$10:$G$52="Default"),0)))*1.18</f>
        <v>13900.4</v>
      </c>
      <c r="I19" s="190">
        <f>SUMIFS(T_Sales!$N$9:$N$1164,T_Sales!$D$9:$D$1164,$I$4,T_Sales!$I$9:$I$1164,"FG006")</f>
        <v>116878.60358853717</v>
      </c>
      <c r="J19" s="191" t="str">
        <f>IF(C19=0,"-",IF(ABS(G19)&lt;0.0001,"CLEAN",IF(G19&gt;0,"Default Outlet Posting","Unload Adjustment")))</f>
        <v>Default Outlet Posting</v>
      </c>
      <c r="N19" s="174" t="s">
        <v>3687</v>
      </c>
      <c r="O19" s="174" t="s">
        <v>376</v>
      </c>
      <c r="AA19" s="175" t="str">
        <f>IF(AND(T_ROP!$C$30=$I$4,T_ROP!$L$30&lt;&gt;"CLEAN",T_ROP!$L$30&lt;&gt;""),COUNTIFS(T_ROP!$C$13:$C$30,$I$4,T_ROP!$L$13:$L$30,"&lt;&gt;CLEAN",T_ROP!$L$13:$L$30,"&lt;&gt;"),"")</f>
        <v/>
      </c>
    </row>
    <row r="20" spans="1:27" ht="23.25" customHeight="1" x14ac:dyDescent="0.3">
      <c r="A20" s="180" t="s">
        <v>190</v>
      </c>
      <c r="B20" s="181" t="s">
        <v>189</v>
      </c>
      <c r="C20" s="98">
        <f>SUMIFS(T_Load!$O$9:$O$439,T_Load!$D$9:$D$439,$I$4,T_Load!$J$9:$J$439,"FG007")</f>
        <v>3</v>
      </c>
      <c r="D20" s="98">
        <f>SUMIFS(T_Sales!$L$9:$L$1164,T_Sales!$D$9:$D$1164,$I$4,T_Sales!$I$9:$I$1164,"FG007")</f>
        <v>2.2923825643082978</v>
      </c>
      <c r="E20" s="98">
        <f t="shared" si="0"/>
        <v>0.70761743569170221</v>
      </c>
      <c r="F20" s="98">
        <f>SUMIFS(T_ROP!$J$13:$J$436,T_ROP!$C$13:$C$436,$I$4,T_ROP!$F$13:$F$436,"FG007")</f>
        <v>0.71</v>
      </c>
      <c r="G20" s="99">
        <f t="shared" si="1"/>
        <v>-2.3825643082977521E-3</v>
      </c>
      <c r="H20" s="182" cm="1">
        <f t="array" ref="H20">IFERROR(INDEX(M_DepotPrice!$C$10:$C$52,MATCH(1,(M_DepotPrice!$A$10:$A$52=A20)*(M_DepotPrice!$H$10:$H$52=IFERROR(INDEX(M_Depot!$A$7:$A$24,MATCH($G$6,M_Depot!$B$7:$B$24,0)),""))*(M_DepotPrice!$G$10:$G$52="Special"),0)),INDEX(M_DepotPrice!$C$10:$C$52,MATCH(1,(M_DepotPrice!$A$10:$A$52=A20)*(M_DepotPrice!$G$10:$G$52="Default"),0)))*1.18</f>
        <v>13900.4</v>
      </c>
      <c r="I20" s="183">
        <f>SUMIFS(T_Sales!$N$9:$N$1164,T_Sales!$D$9:$D$1164,$I$4,T_Sales!$I$9:$I$1164,"FG007")</f>
        <v>31865.034596911064</v>
      </c>
      <c r="J20" s="184" t="str">
        <f t="shared" si="2"/>
        <v>Unload Adjustment</v>
      </c>
      <c r="AA20" s="175" t="str">
        <f>IF(AND(T_ROP!$C$31=$I$4,T_ROP!$L$31&lt;&gt;"CLEAN",T_ROP!$L$31&lt;&gt;""),COUNTIFS(T_ROP!$C$13:$C$31,$I$4,T_ROP!$L$13:$L$31,"&lt;&gt;CLEAN",T_ROP!$L$13:$L$31,"&lt;&gt;"),"")</f>
        <v/>
      </c>
    </row>
    <row r="21" spans="1:27" ht="23.25" customHeight="1" x14ac:dyDescent="0.3">
      <c r="A21" s="185" t="s">
        <v>193</v>
      </c>
      <c r="B21" s="186" t="s">
        <v>192</v>
      </c>
      <c r="C21" s="187">
        <f>SUMIFS(T_Load!$O$9:$O$439,T_Load!$D$9:$D$439,$I$4,T_Load!$J$9:$J$439,"FG008")</f>
        <v>3</v>
      </c>
      <c r="D21" s="187">
        <f>SUMIFS(T_Sales!$L$9:$L$1164,T_Sales!$D$9:$D$1164,$I$4,T_Sales!$I$9:$I$1164,"FG008")</f>
        <v>2.272478841587994</v>
      </c>
      <c r="E21" s="187">
        <f t="shared" si="0"/>
        <v>0.72752115841200604</v>
      </c>
      <c r="F21" s="187">
        <f>SUMIFS(T_ROP!$J$13:$J$436,T_ROP!$C$13:$C$436,$I$4,T_ROP!$F$13:$F$436,"FG008")</f>
        <v>0.73</v>
      </c>
      <c r="G21" s="188">
        <f t="shared" si="1"/>
        <v>-2.4788415879939407E-3</v>
      </c>
      <c r="H21" s="189" cm="1">
        <f t="array" ref="H21">IFERROR(INDEX(M_DepotPrice!$C$10:$C$52,MATCH(1,(M_DepotPrice!$A$10:$A$52=A21)*(M_DepotPrice!$H$10:$H$52=IFERROR(INDEX(M_Depot!$A$7:$A$24,MATCH($G$6,M_Depot!$B$7:$B$24,0)),""))*(M_DepotPrice!$G$10:$G$52="Special"),0)),INDEX(M_DepotPrice!$C$10:$C$52,MATCH(1,(M_DepotPrice!$A$10:$A$52=A21)*(M_DepotPrice!$G$10:$G$52="Default"),0)))*1.18</f>
        <v>13900.4</v>
      </c>
      <c r="I21" s="190">
        <f>SUMIFS(T_Sales!$N$9:$N$1164,T_Sales!$D$9:$D$1164,$I$4,T_Sales!$I$9:$I$1164,"FG008")</f>
        <v>31588.364889609751</v>
      </c>
      <c r="J21" s="191" t="str">
        <f t="shared" si="2"/>
        <v>Unload Adjustment</v>
      </c>
      <c r="AA21" s="175" t="str">
        <f>IF(AND(T_ROP!$C$32=$I$4,T_ROP!$L$32&lt;&gt;"CLEAN",T_ROP!$L$32&lt;&gt;""),COUNTIFS(T_ROP!$C$13:$C$32,$I$4,T_ROP!$L$13:$L$32,"&lt;&gt;CLEAN",T_ROP!$L$13:$L$32,"&lt;&gt;"),"")</f>
        <v/>
      </c>
    </row>
    <row r="22" spans="1:27" ht="23.25" customHeight="1" x14ac:dyDescent="0.3">
      <c r="A22" s="180" t="s">
        <v>196</v>
      </c>
      <c r="B22" s="181" t="s">
        <v>195</v>
      </c>
      <c r="C22" s="98">
        <f>SUMIFS(T_Load!$O$9:$O$439,T_Load!$D$9:$D$439,$I$4,T_Load!$J$9:$J$439,"FG009")</f>
        <v>3</v>
      </c>
      <c r="D22" s="98">
        <f>SUMIFS(T_Sales!$L$9:$L$1164,T_Sales!$D$9:$D$1164,$I$4,T_Sales!$I$9:$I$1164,"FG009")</f>
        <v>2.3873835787911868</v>
      </c>
      <c r="E22" s="98">
        <f t="shared" si="0"/>
        <v>0.61261642120881321</v>
      </c>
      <c r="F22" s="98">
        <f>SUMIFS(T_ROP!$J$13:$J$436,T_ROP!$C$13:$C$436,$I$4,T_ROP!$F$13:$F$436,"FG009")</f>
        <v>0.61</v>
      </c>
      <c r="G22" s="99">
        <f t="shared" si="1"/>
        <v>2.6164212088132244E-3</v>
      </c>
      <c r="H22" s="182" cm="1">
        <f t="array" ref="H22">IFERROR(INDEX(M_DepotPrice!$C$10:$C$52,MATCH(1,(M_DepotPrice!$A$10:$A$52=A22)*(M_DepotPrice!$H$10:$H$52=IFERROR(INDEX(M_Depot!$A$7:$A$24,MATCH($G$6,M_Depot!$B$7:$B$24,0)),""))*(M_DepotPrice!$G$10:$G$52="Special"),0)),INDEX(M_DepotPrice!$C$10:$C$52,MATCH(1,(M_DepotPrice!$A$10:$A$52=A22)*(M_DepotPrice!$G$10:$G$52="Default"),0)))*1.18</f>
        <v>13900.4</v>
      </c>
      <c r="I22" s="183">
        <f>SUMIFS(T_Sales!$N$9:$N$1164,T_Sales!$D$9:$D$1164,$I$4,T_Sales!$I$9:$I$1164,"FG009")</f>
        <v>33185.58669862902</v>
      </c>
      <c r="J22" s="184" t="str">
        <f t="shared" si="2"/>
        <v>Default Outlet Posting</v>
      </c>
      <c r="AA22" s="175" t="str">
        <f>IF(AND(T_ROP!$C$33=$I$4,T_ROP!$L$33&lt;&gt;"CLEAN",T_ROP!$L$33&lt;&gt;""),COUNTIFS(T_ROP!$C$13:$C$33,$I$4,T_ROP!$L$13:$L$33,"&lt;&gt;CLEAN",T_ROP!$L$13:$L$33,"&lt;&gt;"),"")</f>
        <v/>
      </c>
    </row>
    <row r="23" spans="1:27" ht="23.25" customHeight="1" x14ac:dyDescent="0.3">
      <c r="A23" s="185" t="s">
        <v>199</v>
      </c>
      <c r="B23" s="186" t="s">
        <v>198</v>
      </c>
      <c r="C23" s="187">
        <f>SUMIFS(T_Load!$O$9:$O$439,T_Load!$D$9:$D$439,$I$4,T_Load!$J$9:$J$439,"FG010")</f>
        <v>2</v>
      </c>
      <c r="D23" s="187">
        <f>SUMIFS(T_Sales!$L$9:$L$1164,T_Sales!$D$9:$D$1164,$I$4,T_Sales!$I$9:$I$1164,"FG010")</f>
        <v>1.7067307396138971</v>
      </c>
      <c r="E23" s="187">
        <f t="shared" si="0"/>
        <v>0.2932692603861029</v>
      </c>
      <c r="F23" s="187">
        <f>SUMIFS(T_ROP!$J$13:$J$436,T_ROP!$C$13:$C$436,$I$4,T_ROP!$F$13:$F$436,"FG010")</f>
        <v>0.28999999999999998</v>
      </c>
      <c r="G23" s="188">
        <f t="shared" si="1"/>
        <v>3.2692603861029235E-3</v>
      </c>
      <c r="H23" s="189" cm="1">
        <f t="array" ref="H23">IFERROR(INDEX(M_DepotPrice!$C$10:$C$52,MATCH(1,(M_DepotPrice!$A$10:$A$52=A23)*(M_DepotPrice!$H$10:$H$52=IFERROR(INDEX(M_Depot!$A$7:$A$24,MATCH($G$6,M_Depot!$B$7:$B$24,0)),""))*(M_DepotPrice!$G$10:$G$52="Special"),0)),INDEX(M_DepotPrice!$C$10:$C$52,MATCH(1,(M_DepotPrice!$A$10:$A$52=A23)*(M_DepotPrice!$G$10:$G$52="Default"),0)))*1.18</f>
        <v>13900.4</v>
      </c>
      <c r="I23" s="190">
        <f>SUMIFS(T_Sales!$N$9:$N$1164,T_Sales!$D$9:$D$1164,$I$4,T_Sales!$I$9:$I$1164,"FG010")</f>
        <v>23724.239972929015</v>
      </c>
      <c r="J23" s="191" t="str">
        <f t="shared" si="2"/>
        <v>Default Outlet Posting</v>
      </c>
      <c r="AA23" s="175" t="str">
        <f>IF(AND(T_ROP!$C$34=$I$4,T_ROP!$L$34&lt;&gt;"CLEAN",T_ROP!$L$34&lt;&gt;""),COUNTIFS(T_ROP!$C$13:$C$34,$I$4,T_ROP!$L$13:$L$34,"&lt;&gt;CLEAN",T_ROP!$L$13:$L$34,"&lt;&gt;"),"")</f>
        <v/>
      </c>
    </row>
    <row r="24" spans="1:27" ht="23.25" customHeight="1" x14ac:dyDescent="0.3">
      <c r="A24" s="180" t="s">
        <v>201</v>
      </c>
      <c r="B24" s="181" t="s">
        <v>200</v>
      </c>
      <c r="C24" s="98">
        <f>SUMIFS(T_Load!$O$9:$O$439,T_Load!$D$9:$D$439,$I$4,T_Load!$J$9:$J$439,"FG011")</f>
        <v>3</v>
      </c>
      <c r="D24" s="98">
        <f>SUMIFS(T_Sales!$L$9:$L$1164,T_Sales!$D$9:$D$1164,$I$4,T_Sales!$I$9:$I$1164,"FG011")</f>
        <v>2.3986208369971571</v>
      </c>
      <c r="E24" s="98">
        <f t="shared" si="0"/>
        <v>0.60137916300284289</v>
      </c>
      <c r="F24" s="98">
        <f>SUMIFS(T_ROP!$J$13:$J$436,T_ROP!$C$13:$C$436,$I$4,T_ROP!$F$13:$F$436,"FG011")</f>
        <v>0.6</v>
      </c>
      <c r="G24" s="99">
        <f t="shared" si="1"/>
        <v>1.3791630028429092E-3</v>
      </c>
      <c r="H24" s="182" cm="1">
        <f t="array" ref="H24">IFERROR(INDEX(M_DepotPrice!$C$10:$C$52,MATCH(1,(M_DepotPrice!$A$10:$A$52=A24)*(M_DepotPrice!$H$10:$H$52=IFERROR(INDEX(M_Depot!$A$7:$A$24,MATCH($G$6,M_Depot!$B$7:$B$24,0)),""))*(M_DepotPrice!$G$10:$G$52="Special"),0)),INDEX(M_DepotPrice!$C$10:$C$52,MATCH(1,(M_DepotPrice!$A$10:$A$52=A24)*(M_DepotPrice!$G$10:$G$52="Default"),0)))*1.18</f>
        <v>13900.4</v>
      </c>
      <c r="I24" s="183">
        <f>SUMIFS(T_Sales!$N$9:$N$1164,T_Sales!$D$9:$D$1164,$I$4,T_Sales!$I$9:$I$1164,"FG011")</f>
        <v>33341.789082595278</v>
      </c>
      <c r="J24" s="184" t="str">
        <f t="shared" si="2"/>
        <v>Default Outlet Posting</v>
      </c>
      <c r="AA24" s="175" t="str">
        <f>IF(AND(T_ROP!$C$35=$I$4,T_ROP!$L$35&lt;&gt;"CLEAN",T_ROP!$L$35&lt;&gt;""),COUNTIFS(T_ROP!$C$13:$C$35,$I$4,T_ROP!$L$13:$L$35,"&lt;&gt;CLEAN",T_ROP!$L$13:$L$35,"&lt;&gt;"),"")</f>
        <v/>
      </c>
    </row>
    <row r="25" spans="1:27" ht="23.25" customHeight="1" x14ac:dyDescent="0.3">
      <c r="A25" s="185" t="s">
        <v>203</v>
      </c>
      <c r="B25" s="186" t="s">
        <v>202</v>
      </c>
      <c r="C25" s="187">
        <f>SUMIFS(T_Load!$O$9:$O$439,T_Load!$D$9:$D$439,$I$4,T_Load!$J$9:$J$439,"FG012")</f>
        <v>2</v>
      </c>
      <c r="D25" s="187">
        <f>SUMIFS(T_Sales!$L$9:$L$1164,T_Sales!$D$9:$D$1164,$I$4,T_Sales!$I$9:$I$1164,"FG012")</f>
        <v>1.7311238367653601</v>
      </c>
      <c r="E25" s="187">
        <f t="shared" si="0"/>
        <v>0.26887616323463992</v>
      </c>
      <c r="F25" s="187">
        <f>SUMIFS(T_ROP!$J$13:$J$436,T_ROP!$C$13:$C$436,$I$4,T_ROP!$F$13:$F$436,"FG012")</f>
        <v>0.27</v>
      </c>
      <c r="G25" s="188">
        <f t="shared" si="1"/>
        <v>-1.1238367653600978E-3</v>
      </c>
      <c r="H25" s="189" cm="1">
        <f t="array" ref="H25">IFERROR(INDEX(M_DepotPrice!$C$10:$C$52,MATCH(1,(M_DepotPrice!$A$10:$A$52=A25)*(M_DepotPrice!$H$10:$H$52=IFERROR(INDEX(M_Depot!$A$7:$A$24,MATCH($G$6,M_Depot!$B$7:$B$24,0)),""))*(M_DepotPrice!$G$10:$G$52="Special"),0)),INDEX(M_DepotPrice!$C$10:$C$52,MATCH(1,(M_DepotPrice!$A$10:$A$52=A25)*(M_DepotPrice!$G$10:$G$52="Default"),0)))*1.18</f>
        <v>13900.4</v>
      </c>
      <c r="I25" s="190">
        <f>SUMIFS(T_Sales!$N$9:$N$1164,T_Sales!$D$9:$D$1164,$I$4,T_Sales!$I$9:$I$1164,"FG012")</f>
        <v>24063.313780573211</v>
      </c>
      <c r="J25" s="191" t="str">
        <f t="shared" si="2"/>
        <v>Unload Adjustment</v>
      </c>
      <c r="AA25" s="175" t="str">
        <f>IF(AND(T_ROP!$C$36=$I$4,T_ROP!$L$36&lt;&gt;"CLEAN",T_ROP!$L$36&lt;&gt;""),COUNTIFS(T_ROP!$C$13:$C$36,$I$4,T_ROP!$L$13:$L$36,"&lt;&gt;CLEAN",T_ROP!$L$13:$L$36,"&lt;&gt;"),"")</f>
        <v/>
      </c>
    </row>
    <row r="26" spans="1:27" ht="15" customHeight="1" x14ac:dyDescent="0.3">
      <c r="A26" s="180" t="s">
        <v>205</v>
      </c>
      <c r="B26" s="181" t="s">
        <v>204</v>
      </c>
      <c r="C26" s="98">
        <f>SUMIFS(T_Load!$O$9:$O$439,T_Load!$D$9:$D$439,$I$4,T_Load!$J$9:$J$439,"FG013")</f>
        <v>0</v>
      </c>
      <c r="D26" s="98">
        <f>SUMIFS(T_Sales!$L$9:$L$1164,T_Sales!$D$9:$D$1164,$I$4,T_Sales!$I$9:$I$1164,"FG013")</f>
        <v>0</v>
      </c>
      <c r="E26" s="98">
        <f t="shared" si="0"/>
        <v>0</v>
      </c>
      <c r="F26" s="98">
        <f>SUMIFS(T_ROP!$J$13:$J$436,T_ROP!$C$13:$C$436,$I$4,T_ROP!$F$13:$F$436,"FG013")</f>
        <v>0</v>
      </c>
      <c r="G26" s="99">
        <f t="shared" si="1"/>
        <v>0</v>
      </c>
      <c r="H26" s="182" cm="1">
        <f t="array" ref="H26">IFERROR(INDEX(M_DepotPrice!$C$10:$C$52,MATCH(1,(M_DepotPrice!$A$10:$A$52=A26)*(M_DepotPrice!$H$10:$H$52=IFERROR(INDEX(M_Depot!$A$7:$A$24,MATCH($G$6,M_Depot!$B$7:$B$24,0)),""))*(M_DepotPrice!$G$10:$G$52="Special"),0)),INDEX(M_DepotPrice!$C$10:$C$52,MATCH(1,(M_DepotPrice!$A$10:$A$52=A26)*(M_DepotPrice!$G$10:$G$52="Default"),0)))*1.18</f>
        <v>10000.5</v>
      </c>
      <c r="I26" s="183">
        <f>SUMIFS(T_Sales!$N$9:$N$1164,T_Sales!$D$9:$D$1164,$I$4,T_Sales!$I$9:$I$1164,"FG013")</f>
        <v>0</v>
      </c>
      <c r="J26" s="184" t="str">
        <f t="shared" si="2"/>
        <v>-</v>
      </c>
      <c r="AA26" s="175" t="str">
        <f>IF(AND(T_ROP!$C$37=$I$4,T_ROP!$L$37&lt;&gt;"CLEAN",T_ROP!$L$37&lt;&gt;""),COUNTIFS(T_ROP!$C$13:$C$37,$I$4,T_ROP!$L$13:$L$37,"&lt;&gt;CLEAN",T_ROP!$L$13:$L$37,"&lt;&gt;"),"")</f>
        <v/>
      </c>
    </row>
    <row r="27" spans="1:27" ht="15" customHeight="1" x14ac:dyDescent="0.3">
      <c r="A27" s="185" t="s">
        <v>207</v>
      </c>
      <c r="B27" s="186" t="s">
        <v>206</v>
      </c>
      <c r="C27" s="187">
        <f>SUMIFS(T_Load!$O$9:$O$439,T_Load!$D$9:$D$439,$I$4,T_Load!$J$9:$J$439,"FG014")</f>
        <v>0</v>
      </c>
      <c r="D27" s="187">
        <f>SUMIFS(T_Sales!$L$9:$L$1164,T_Sales!$D$9:$D$1164,$I$4,T_Sales!$I$9:$I$1164,"FG014")</f>
        <v>0</v>
      </c>
      <c r="E27" s="187">
        <f t="shared" si="0"/>
        <v>0</v>
      </c>
      <c r="F27" s="187">
        <f>SUMIFS(T_ROP!$J$13:$J$436,T_ROP!$C$13:$C$436,$I$4,T_ROP!$F$13:$F$436,"FG014")</f>
        <v>0</v>
      </c>
      <c r="G27" s="188">
        <f t="shared" si="1"/>
        <v>0</v>
      </c>
      <c r="H27" s="189" cm="1">
        <f t="array" ref="H27">IFERROR(INDEX(M_DepotPrice!$C$10:$C$52,MATCH(1,(M_DepotPrice!$A$10:$A$52=A27)*(M_DepotPrice!$H$10:$H$52=IFERROR(INDEX(M_Depot!$A$7:$A$24,MATCH($G$6,M_Depot!$B$7:$B$24,0)),""))*(M_DepotPrice!$G$10:$G$52="Special"),0)),INDEX(M_DepotPrice!$C$10:$C$52,MATCH(1,(M_DepotPrice!$A$10:$A$52=A27)*(M_DepotPrice!$G$10:$G$52="Default"),0)))*1.18</f>
        <v>10000.5</v>
      </c>
      <c r="I27" s="190">
        <f>SUMIFS(T_Sales!$N$9:$N$1164,T_Sales!$D$9:$D$1164,$I$4,T_Sales!$I$9:$I$1164,"FG014")</f>
        <v>0</v>
      </c>
      <c r="J27" s="191" t="str">
        <f t="shared" si="2"/>
        <v>-</v>
      </c>
      <c r="AA27" s="175" t="str">
        <f>IF(AND(T_ROP!$C$38=$I$4,T_ROP!$L$38&lt;&gt;"CLEAN",T_ROP!$L$38&lt;&gt;""),COUNTIFS(T_ROP!$C$13:$C$38,$I$4,T_ROP!$L$13:$L$38,"&lt;&gt;CLEAN",T_ROP!$L$13:$L$38,"&lt;&gt;"),"")</f>
        <v/>
      </c>
    </row>
    <row r="28" spans="1:27" ht="23.25" customHeight="1" x14ac:dyDescent="0.3">
      <c r="A28" s="180" t="s">
        <v>209</v>
      </c>
      <c r="B28" s="181" t="s">
        <v>208</v>
      </c>
      <c r="C28" s="98">
        <f>SUMIFS(T_Load!$O$9:$O$439,T_Load!$D$9:$D$439,$I$4,T_Load!$J$9:$J$439,"FG024")</f>
        <v>2</v>
      </c>
      <c r="D28" s="98">
        <f>SUMIFS(T_Sales!$L$9:$L$1164,T_Sales!$D$9:$D$1164,$I$4,T_Sales!$I$9:$I$1164,"FG024")</f>
        <v>1.7718840494674959</v>
      </c>
      <c r="E28" s="98">
        <f t="shared" si="0"/>
        <v>0.22811595053250411</v>
      </c>
      <c r="F28" s="98">
        <f>SUMIFS(T_ROP!$J$13:$J$436,T_ROP!$C$13:$C$436,$I$4,T_ROP!$F$13:$F$436,"FG024")</f>
        <v>0.23</v>
      </c>
      <c r="G28" s="99">
        <f t="shared" si="1"/>
        <v>-1.8840494674959019E-3</v>
      </c>
      <c r="H28" s="182" cm="1">
        <f t="array" ref="H28">IFERROR(INDEX(M_DepotPrice!$C$10:$C$52,MATCH(1,(M_DepotPrice!$A$10:$A$52=A28)*(M_DepotPrice!$H$10:$H$52=IFERROR(INDEX(M_Depot!$A$7:$A$24,MATCH($G$6,M_Depot!$B$7:$B$24,0)),""))*(M_DepotPrice!$G$10:$G$52="Special"),0)),INDEX(M_DepotPrice!$C$10:$C$52,MATCH(1,(M_DepotPrice!$A$10:$A$52=A28)*(M_DepotPrice!$G$10:$G$52="Default"),0)))*1.18</f>
        <v>13900.4</v>
      </c>
      <c r="I28" s="183">
        <f>SUMIFS(T_Sales!$N$9:$N$1164,T_Sales!$D$9:$D$1164,$I$4,T_Sales!$I$9:$I$1164,"FG024")</f>
        <v>24629.897041217977</v>
      </c>
      <c r="J28" s="184" t="str">
        <f t="shared" si="2"/>
        <v>Unload Adjustment</v>
      </c>
      <c r="AA28" s="175" t="str">
        <f>IF(AND(T_ROP!$C$39=$I$4,T_ROP!$L$39&lt;&gt;"CLEAN",T_ROP!$L$39&lt;&gt;""),COUNTIFS(T_ROP!$C$13:$C$39,$I$4,T_ROP!$L$13:$L$39,"&lt;&gt;CLEAN",T_ROP!$L$13:$L$39,"&lt;&gt;"),"")</f>
        <v/>
      </c>
    </row>
    <row r="29" spans="1:27" ht="18" customHeight="1" x14ac:dyDescent="0.3">
      <c r="A29" s="304" t="s">
        <v>3688</v>
      </c>
      <c r="B29" s="305"/>
      <c r="C29" s="305"/>
      <c r="D29" s="305"/>
      <c r="E29" s="305"/>
      <c r="F29" s="305"/>
      <c r="G29" s="305"/>
      <c r="H29" s="305"/>
      <c r="I29" s="305"/>
      <c r="J29" s="306"/>
      <c r="AA29" s="175" t="str">
        <f>IF(AND(T_ROP!$C$40=$I$4,T_ROP!$L$40&lt;&gt;"CLEAN",T_ROP!$L$40&lt;&gt;""),COUNTIFS(T_ROP!$C$13:$C$40,$I$4,T_ROP!$L$13:$L$40,"&lt;&gt;CLEAN",T_ROP!$L$13:$L$40,"&lt;&gt;"),"")</f>
        <v/>
      </c>
    </row>
    <row r="30" spans="1:27" ht="23.25" customHeight="1" x14ac:dyDescent="0.3">
      <c r="A30" s="185" t="s">
        <v>229</v>
      </c>
      <c r="B30" s="186" t="s">
        <v>228</v>
      </c>
      <c r="C30" s="187">
        <f>SUMIFS(T_Load!$O$9:$O$439,T_Load!$D$9:$D$439,$I$4,T_Load!$J$9:$J$439,"PH001")</f>
        <v>50</v>
      </c>
      <c r="D30" s="187">
        <f>SUMIFS(T_Sales!$L$9:$L$1164,T_Sales!$D$9:$D$1164,$I$4,T_Sales!$I$9:$I$1164,"PH001")</f>
        <v>45</v>
      </c>
      <c r="E30" s="187">
        <f t="shared" ref="E30:E38" si="3">C30-D30</f>
        <v>5</v>
      </c>
      <c r="F30" s="187">
        <f>SUMIFS(T_ROP!$J$13:$J$436,T_ROP!$C$13:$C$436,$I$4,T_ROP!$F$13:$F$436,"PH001")</f>
        <v>5</v>
      </c>
      <c r="G30" s="188">
        <f t="shared" ref="G30:G38" si="4">E30-F30</f>
        <v>0</v>
      </c>
      <c r="H30" s="189" cm="1">
        <f t="array" ref="H30">IFERROR(INDEX(M_DepotPrice!$C$10:$C$52,MATCH(1,(M_DepotPrice!$A$10:$A$52=A30)*(M_DepotPrice!$H$10:$H$52=IFERROR(INDEX(M_Depot!$A$7:$A$24,MATCH($G$6,M_Depot!$B$7:$B$24,0)),""))*(M_DepotPrice!$G$10:$G$52="Special"),0)),INDEX(M_DepotPrice!$C$10:$C$52,MATCH(1,(M_DepotPrice!$A$10:$A$52=A30)*(M_DepotPrice!$G$10:$G$52="Default"),0)))*1.18</f>
        <v>10499.64</v>
      </c>
      <c r="I30" s="190">
        <f>SUMIFS(T_Sales!$N$9:$N$1164,T_Sales!$D$9:$D$1164,$I$4,T_Sales!$I$9:$I$1164,"PH001")</f>
        <v>472483.8</v>
      </c>
      <c r="J30" s="191" t="str">
        <f t="shared" ref="J30:J38" si="5">IF(C30=0,"-",IF(ABS(G30)&lt;0.0001,"CLEAN",IF(G30&gt;0,"Default Outlet Posting","Unload Adjustment")))</f>
        <v>CLEAN</v>
      </c>
      <c r="AA30" s="175" t="str">
        <f>IF(AND(T_ROP!$C$41=$I$4,T_ROP!$L$41&lt;&gt;"CLEAN",T_ROP!$L$41&lt;&gt;""),COUNTIFS(T_ROP!$C$13:$C$41,$I$4,T_ROP!$L$13:$L$41,"&lt;&gt;CLEAN",T_ROP!$L$13:$L$41,"&lt;&gt;"),"")</f>
        <v/>
      </c>
    </row>
    <row r="31" spans="1:27" ht="23.25" customHeight="1" x14ac:dyDescent="0.3">
      <c r="A31" s="180" t="s">
        <v>232</v>
      </c>
      <c r="B31" s="181" t="s">
        <v>231</v>
      </c>
      <c r="C31" s="98">
        <f>SUMIFS(T_Load!$O$9:$O$439,T_Load!$D$9:$D$439,$I$4,T_Load!$J$9:$J$439,"PH002")</f>
        <v>10</v>
      </c>
      <c r="D31" s="98">
        <f>SUMIFS(T_Sales!$L$9:$L$1164,T_Sales!$D$9:$D$1164,$I$4,T_Sales!$I$9:$I$1164,"PH002")</f>
        <v>8</v>
      </c>
      <c r="E31" s="98">
        <f t="shared" si="3"/>
        <v>2</v>
      </c>
      <c r="F31" s="98">
        <f>SUMIFS(T_ROP!$J$13:$J$436,T_ROP!$C$13:$C$436,$I$4,T_ROP!$F$13:$F$436,"PH002")</f>
        <v>2</v>
      </c>
      <c r="G31" s="99">
        <f t="shared" si="4"/>
        <v>0</v>
      </c>
      <c r="H31" s="182" cm="1">
        <f t="array" ref="H31">IFERROR(INDEX(M_DepotPrice!$C$10:$C$52,MATCH(1,(M_DepotPrice!$A$10:$A$52=A31)*(M_DepotPrice!$H$10:$H$52=IFERROR(INDEX(M_Depot!$A$7:$A$24,MATCH($G$6,M_Depot!$B$7:$B$24,0)),""))*(M_DepotPrice!$G$10:$G$52="Special"),0)),INDEX(M_DepotPrice!$C$10:$C$52,MATCH(1,(M_DepotPrice!$A$10:$A$52=A31)*(M_DepotPrice!$G$10:$G$52="Default"),0)))*1.18</f>
        <v>10499.64</v>
      </c>
      <c r="I31" s="183">
        <f>SUMIFS(T_Sales!$N$9:$N$1164,T_Sales!$D$9:$D$1164,$I$4,T_Sales!$I$9:$I$1164,"PH002")</f>
        <v>83997.119999999995</v>
      </c>
      <c r="J31" s="184" t="str">
        <f t="shared" si="5"/>
        <v>CLEAN</v>
      </c>
      <c r="AA31" s="175" t="str">
        <f>IF(AND(T_ROP!$C$42=$I$4,T_ROP!$L$42&lt;&gt;"CLEAN",T_ROP!$L$42&lt;&gt;""),COUNTIFS(T_ROP!$C$13:$C$42,$I$4,T_ROP!$L$13:$L$42,"&lt;&gt;CLEAN",T_ROP!$L$13:$L$42,"&lt;&gt;"),"")</f>
        <v/>
      </c>
    </row>
    <row r="32" spans="1:27" ht="23.25" customHeight="1" x14ac:dyDescent="0.3">
      <c r="A32" s="185" t="s">
        <v>234</v>
      </c>
      <c r="B32" s="186" t="s">
        <v>233</v>
      </c>
      <c r="C32" s="187">
        <f>SUMIFS(T_Load!$O$9:$O$439,T_Load!$D$9:$D$439,$I$4,T_Load!$J$9:$J$439,"PH003")</f>
        <v>30</v>
      </c>
      <c r="D32" s="187">
        <f>SUMIFS(T_Sales!$L$9:$L$1164,T_Sales!$D$9:$D$1164,$I$4,T_Sales!$I$9:$I$1164,"PH003")</f>
        <v>24</v>
      </c>
      <c r="E32" s="187">
        <f t="shared" si="3"/>
        <v>6</v>
      </c>
      <c r="F32" s="187">
        <f>SUMIFS(T_ROP!$J$13:$J$436,T_ROP!$C$13:$C$436,$I$4,T_ROP!$F$13:$F$436,"PH003")</f>
        <v>6</v>
      </c>
      <c r="G32" s="188">
        <f t="shared" si="4"/>
        <v>0</v>
      </c>
      <c r="H32" s="189" cm="1">
        <f t="array" ref="H32">IFERROR(INDEX(M_DepotPrice!$C$10:$C$52,MATCH(1,(M_DepotPrice!$A$10:$A$52=A32)*(M_DepotPrice!$H$10:$H$52=IFERROR(INDEX(M_Depot!$A$7:$A$24,MATCH($G$6,M_Depot!$B$7:$B$24,0)),""))*(M_DepotPrice!$G$10:$G$52="Special"),0)),INDEX(M_DepotPrice!$C$10:$C$52,MATCH(1,(M_DepotPrice!$A$10:$A$52=A32)*(M_DepotPrice!$G$10:$G$52="Default"),0)))*1.18</f>
        <v>10499.64</v>
      </c>
      <c r="I32" s="190">
        <f>SUMIFS(T_Sales!$N$9:$N$1164,T_Sales!$D$9:$D$1164,$I$4,T_Sales!$I$9:$I$1164,"PH003")</f>
        <v>251991.36</v>
      </c>
      <c r="J32" s="191" t="str">
        <f t="shared" si="5"/>
        <v>CLEAN</v>
      </c>
      <c r="AA32" s="175" t="str">
        <f>IF(AND(T_ROP!$C$43=$I$4,T_ROP!$L$43&lt;&gt;"CLEAN",T_ROP!$L$43&lt;&gt;""),COUNTIFS(T_ROP!$C$13:$C$43,$I$4,T_ROP!$L$13:$L$43,"&lt;&gt;CLEAN",T_ROP!$L$13:$L$43,"&lt;&gt;"),"")</f>
        <v/>
      </c>
    </row>
    <row r="33" spans="1:27" ht="23.25" customHeight="1" x14ac:dyDescent="0.3">
      <c r="A33" s="180" t="s">
        <v>236</v>
      </c>
      <c r="B33" s="181" t="s">
        <v>235</v>
      </c>
      <c r="C33" s="98">
        <f>SUMIFS(T_Load!$O$9:$O$439,T_Load!$D$9:$D$439,$I$4,T_Load!$J$9:$J$439,"PH004")</f>
        <v>8</v>
      </c>
      <c r="D33" s="98">
        <f>SUMIFS(T_Sales!$L$9:$L$1164,T_Sales!$D$9:$D$1164,$I$4,T_Sales!$I$9:$I$1164,"PH004")</f>
        <v>7</v>
      </c>
      <c r="E33" s="98">
        <f t="shared" si="3"/>
        <v>1</v>
      </c>
      <c r="F33" s="98">
        <f>SUMIFS(T_ROP!$J$13:$J$436,T_ROP!$C$13:$C$436,$I$4,T_ROP!$F$13:$F$436,"PH004")</f>
        <v>1</v>
      </c>
      <c r="G33" s="99">
        <f t="shared" si="4"/>
        <v>0</v>
      </c>
      <c r="H33" s="182" cm="1">
        <f t="array" ref="H33">IFERROR(INDEX(M_DepotPrice!$C$10:$C$52,MATCH(1,(M_DepotPrice!$A$10:$A$52=A33)*(M_DepotPrice!$H$10:$H$52=IFERROR(INDEX(M_Depot!$A$7:$A$24,MATCH($G$6,M_Depot!$B$7:$B$24,0)),""))*(M_DepotPrice!$G$10:$G$52="Special"),0)),INDEX(M_DepotPrice!$C$10:$C$52,MATCH(1,(M_DepotPrice!$A$10:$A$52=A33)*(M_DepotPrice!$G$10:$G$52="Default"),0)))*1.18</f>
        <v>10499.64</v>
      </c>
      <c r="I33" s="183">
        <f>SUMIFS(T_Sales!$N$9:$N$1164,T_Sales!$D$9:$D$1164,$I$4,T_Sales!$I$9:$I$1164,"PH004")</f>
        <v>73497.48</v>
      </c>
      <c r="J33" s="184" t="str">
        <f t="shared" si="5"/>
        <v>CLEAN</v>
      </c>
      <c r="AA33" s="175" t="str">
        <f>IF(AND(T_ROP!$C$44=$I$4,T_ROP!$L$44&lt;&gt;"CLEAN",T_ROP!$L$44&lt;&gt;""),COUNTIFS(T_ROP!$C$13:$C$44,$I$4,T_ROP!$L$13:$L$44,"&lt;&gt;CLEAN",T_ROP!$L$13:$L$44,"&lt;&gt;"),"")</f>
        <v/>
      </c>
    </row>
    <row r="34" spans="1:27" ht="15" customHeight="1" x14ac:dyDescent="0.3">
      <c r="A34" s="185" t="s">
        <v>238</v>
      </c>
      <c r="B34" s="186" t="s">
        <v>237</v>
      </c>
      <c r="C34" s="187">
        <f>SUMIFS(T_Load!$O$9:$O$439,T_Load!$D$9:$D$439,$I$4,T_Load!$J$9:$J$439,"PH005")</f>
        <v>0</v>
      </c>
      <c r="D34" s="187">
        <f>SUMIFS(T_Sales!$L$9:$L$1164,T_Sales!$D$9:$D$1164,$I$4,T_Sales!$I$9:$I$1164,"PH005")</f>
        <v>0</v>
      </c>
      <c r="E34" s="187">
        <f t="shared" si="3"/>
        <v>0</v>
      </c>
      <c r="F34" s="187">
        <f>SUMIFS(T_ROP!$J$13:$J$436,T_ROP!$C$13:$C$436,$I$4,T_ROP!$F$13:$F$436,"PH005")</f>
        <v>0</v>
      </c>
      <c r="G34" s="188">
        <f t="shared" si="4"/>
        <v>0</v>
      </c>
      <c r="H34" s="189" cm="1">
        <f t="array" ref="H34">IFERROR(INDEX(M_DepotPrice!$C$10:$C$52,MATCH(1,(M_DepotPrice!$A$10:$A$52=A34)*(M_DepotPrice!$H$10:$H$52=IFERROR(INDEX(M_Depot!$A$7:$A$24,MATCH($G$6,M_Depot!$B$7:$B$24,0)),""))*(M_DepotPrice!$G$10:$G$52="Special"),0)),INDEX(M_DepotPrice!$C$10:$C$52,MATCH(1,(M_DepotPrice!$A$10:$A$52=A34)*(M_DepotPrice!$G$10:$G$52="Default"),0)))*1.18</f>
        <v>10499.64</v>
      </c>
      <c r="I34" s="190">
        <f>SUMIFS(T_Sales!$N$9:$N$1164,T_Sales!$D$9:$D$1164,$I$4,T_Sales!$I$9:$I$1164,"PH005")</f>
        <v>0</v>
      </c>
      <c r="J34" s="191" t="str">
        <f t="shared" si="5"/>
        <v>-</v>
      </c>
      <c r="AA34" s="175" t="str">
        <f>IF(AND(T_ROP!$C$45=$I$4,T_ROP!$L$45&lt;&gt;"CLEAN",T_ROP!$L$45&lt;&gt;""),COUNTIFS(T_ROP!$C$13:$C$45,$I$4,T_ROP!$L$13:$L$45,"&lt;&gt;CLEAN",T_ROP!$L$13:$L$45,"&lt;&gt;"),"")</f>
        <v/>
      </c>
    </row>
    <row r="35" spans="1:27" ht="15" customHeight="1" x14ac:dyDescent="0.3">
      <c r="A35" s="180" t="s">
        <v>240</v>
      </c>
      <c r="B35" s="181" t="s">
        <v>239</v>
      </c>
      <c r="C35" s="98">
        <f>SUMIFS(T_Load!$O$9:$O$439,T_Load!$D$9:$D$439,$I$4,T_Load!$J$9:$J$439,"PH006")</f>
        <v>5</v>
      </c>
      <c r="D35" s="98">
        <f>SUMIFS(T_Sales!$L$9:$L$1164,T_Sales!$D$9:$D$1164,$I$4,T_Sales!$I$9:$I$1164,"PH006")</f>
        <v>4</v>
      </c>
      <c r="E35" s="98">
        <f t="shared" si="3"/>
        <v>1</v>
      </c>
      <c r="F35" s="98">
        <f>SUMIFS(T_ROP!$J$13:$J$436,T_ROP!$C$13:$C$436,$I$4,T_ROP!$F$13:$F$436,"PH006")</f>
        <v>1</v>
      </c>
      <c r="G35" s="99">
        <f t="shared" si="4"/>
        <v>0</v>
      </c>
      <c r="H35" s="182" cm="1">
        <f t="array" ref="H35">IFERROR(INDEX(M_DepotPrice!$C$10:$C$52,MATCH(1,(M_DepotPrice!$A$10:$A$52=A35)*(M_DepotPrice!$H$10:$H$52=IFERROR(INDEX(M_Depot!$A$7:$A$24,MATCH($G$6,M_Depot!$B$7:$B$24,0)),""))*(M_DepotPrice!$G$10:$G$52="Special"),0)),INDEX(M_DepotPrice!$C$10:$C$52,MATCH(1,(M_DepotPrice!$A$10:$A$52=A35)*(M_DepotPrice!$G$10:$G$52="Default"),0)))*1.18</f>
        <v>10499.64</v>
      </c>
      <c r="I35" s="183">
        <f>SUMIFS(T_Sales!$N$9:$N$1164,T_Sales!$D$9:$D$1164,$I$4,T_Sales!$I$9:$I$1164,"PH006")</f>
        <v>41998.559999999998</v>
      </c>
      <c r="J35" s="184" t="str">
        <f t="shared" si="5"/>
        <v>CLEAN</v>
      </c>
      <c r="AA35" s="175" t="str">
        <f>IF(AND(T_ROP!$C$46=$I$4,T_ROP!$L$46&lt;&gt;"CLEAN",T_ROP!$L$46&lt;&gt;""),COUNTIFS(T_ROP!$C$13:$C$46,$I$4,T_ROP!$L$13:$L$46,"&lt;&gt;CLEAN",T_ROP!$L$13:$L$46,"&lt;&gt;"),"")</f>
        <v/>
      </c>
    </row>
    <row r="36" spans="1:27" ht="23.25" customHeight="1" x14ac:dyDescent="0.3">
      <c r="A36" s="185" t="s">
        <v>242</v>
      </c>
      <c r="B36" s="186" t="s">
        <v>241</v>
      </c>
      <c r="C36" s="187">
        <f>SUMIFS(T_Load!$O$9:$O$439,T_Load!$D$9:$D$439,$I$4,T_Load!$J$9:$J$439,"PH007")</f>
        <v>3</v>
      </c>
      <c r="D36" s="187">
        <f>SUMIFS(T_Sales!$L$9:$L$1164,T_Sales!$D$9:$D$1164,$I$4,T_Sales!$I$9:$I$1164,"PH007")</f>
        <v>2</v>
      </c>
      <c r="E36" s="187">
        <f t="shared" si="3"/>
        <v>1</v>
      </c>
      <c r="F36" s="187">
        <f>SUMIFS(T_ROP!$J$13:$J$436,T_ROP!$C$13:$C$436,$I$4,T_ROP!$F$13:$F$436,"PH007")</f>
        <v>1</v>
      </c>
      <c r="G36" s="188">
        <f t="shared" si="4"/>
        <v>0</v>
      </c>
      <c r="H36" s="189" cm="1">
        <f t="array" ref="H36">IFERROR(INDEX(M_DepotPrice!$C$10:$C$52,MATCH(1,(M_DepotPrice!$A$10:$A$52=A36)*(M_DepotPrice!$H$10:$H$52=IFERROR(INDEX(M_Depot!$A$7:$A$24,MATCH($G$6,M_Depot!$B$7:$B$24,0)),""))*(M_DepotPrice!$G$10:$G$52="Special"),0)),INDEX(M_DepotPrice!$C$10:$C$52,MATCH(1,(M_DepotPrice!$A$10:$A$52=A36)*(M_DepotPrice!$G$10:$G$52="Default"),0)))*1.18</f>
        <v>10499.64</v>
      </c>
      <c r="I36" s="190">
        <f>SUMIFS(T_Sales!$N$9:$N$1164,T_Sales!$D$9:$D$1164,$I$4,T_Sales!$I$9:$I$1164,"PH007")</f>
        <v>20999.279999999999</v>
      </c>
      <c r="J36" s="191" t="str">
        <f t="shared" si="5"/>
        <v>CLEAN</v>
      </c>
      <c r="AA36" s="175" t="str">
        <f>IF(AND(T_ROP!$C$47=$I$4,T_ROP!$L$47&lt;&gt;"CLEAN",T_ROP!$L$47&lt;&gt;""),COUNTIFS(T_ROP!$C$13:$C$47,$I$4,T_ROP!$L$13:$L$47,"&lt;&gt;CLEAN",T_ROP!$L$13:$L$47,"&lt;&gt;"),"")</f>
        <v/>
      </c>
    </row>
    <row r="37" spans="1:27" ht="15" customHeight="1" x14ac:dyDescent="0.3">
      <c r="A37" s="180" t="s">
        <v>244</v>
      </c>
      <c r="B37" s="181" t="s">
        <v>243</v>
      </c>
      <c r="C37" s="98">
        <f>SUMIFS(T_Load!$O$9:$O$439,T_Load!$D$9:$D$439,$I$4,T_Load!$J$9:$J$439,"PH008")</f>
        <v>3</v>
      </c>
      <c r="D37" s="98">
        <f>SUMIFS(T_Sales!$L$9:$L$1164,T_Sales!$D$9:$D$1164,$I$4,T_Sales!$I$9:$I$1164,"PH008")</f>
        <v>3</v>
      </c>
      <c r="E37" s="98">
        <f t="shared" si="3"/>
        <v>0</v>
      </c>
      <c r="F37" s="98">
        <f>SUMIFS(T_ROP!$J$13:$J$436,T_ROP!$C$13:$C$436,$I$4,T_ROP!$F$13:$F$436,"PH008")</f>
        <v>0</v>
      </c>
      <c r="G37" s="99">
        <f t="shared" si="4"/>
        <v>0</v>
      </c>
      <c r="H37" s="182" cm="1">
        <f t="array" ref="H37">IFERROR(INDEX(M_DepotPrice!$C$10:$C$52,MATCH(1,(M_DepotPrice!$A$10:$A$52=A37)*(M_DepotPrice!$H$10:$H$52=IFERROR(INDEX(M_Depot!$A$7:$A$24,MATCH($G$6,M_Depot!$B$7:$B$24,0)),""))*(M_DepotPrice!$G$10:$G$52="Special"),0)),INDEX(M_DepotPrice!$C$10:$C$52,MATCH(1,(M_DepotPrice!$A$10:$A$52=A37)*(M_DepotPrice!$G$10:$G$52="Default"),0)))*1.18</f>
        <v>10499.64</v>
      </c>
      <c r="I37" s="183">
        <f>SUMIFS(T_Sales!$N$9:$N$1164,T_Sales!$D$9:$D$1164,$I$4,T_Sales!$I$9:$I$1164,"PH008")</f>
        <v>31498.92</v>
      </c>
      <c r="J37" s="184" t="str">
        <f t="shared" si="5"/>
        <v>CLEAN</v>
      </c>
      <c r="AA37" s="175" t="str">
        <f>IF(AND(T_ROP!$C$48=$I$4,T_ROP!$L$48&lt;&gt;"CLEAN",T_ROP!$L$48&lt;&gt;""),COUNTIFS(T_ROP!$C$13:$C$48,$I$4,T_ROP!$L$13:$L$48,"&lt;&gt;CLEAN",T_ROP!$L$13:$L$48,"&lt;&gt;"),"")</f>
        <v/>
      </c>
    </row>
    <row r="38" spans="1:27" ht="15" customHeight="1" x14ac:dyDescent="0.3">
      <c r="A38" s="185" t="s">
        <v>246</v>
      </c>
      <c r="B38" s="186" t="s">
        <v>245</v>
      </c>
      <c r="C38" s="187">
        <f>SUMIFS(T_Load!$O$9:$O$439,T_Load!$D$9:$D$439,$I$4,T_Load!$J$9:$J$439,"PH009")</f>
        <v>5</v>
      </c>
      <c r="D38" s="187">
        <f>SUMIFS(T_Sales!$L$9:$L$1164,T_Sales!$D$9:$D$1164,$I$4,T_Sales!$I$9:$I$1164,"PH009")</f>
        <v>4</v>
      </c>
      <c r="E38" s="187">
        <f t="shared" si="3"/>
        <v>1</v>
      </c>
      <c r="F38" s="187">
        <f>SUMIFS(T_ROP!$J$13:$J$436,T_ROP!$C$13:$C$436,$I$4,T_ROP!$F$13:$F$436,"PH009")</f>
        <v>1</v>
      </c>
      <c r="G38" s="188">
        <f t="shared" si="4"/>
        <v>0</v>
      </c>
      <c r="H38" s="189" cm="1">
        <f t="array" ref="H38">IFERROR(INDEX(M_DepotPrice!$C$10:$C$52,MATCH(1,(M_DepotPrice!$A$10:$A$52=A38)*(M_DepotPrice!$H$10:$H$52=IFERROR(INDEX(M_Depot!$A$7:$A$24,MATCH($G$6,M_Depot!$B$7:$B$24,0)),""))*(M_DepotPrice!$G$10:$G$52="Special"),0)),INDEX(M_DepotPrice!$C$10:$C$52,MATCH(1,(M_DepotPrice!$A$10:$A$52=A38)*(M_DepotPrice!$G$10:$G$52="Default"),0)))*1.18</f>
        <v>10499.64</v>
      </c>
      <c r="I38" s="190">
        <f>SUMIFS(T_Sales!$N$9:$N$1164,T_Sales!$D$9:$D$1164,$I$4,T_Sales!$I$9:$I$1164,"PH009")</f>
        <v>41998.559999999998</v>
      </c>
      <c r="J38" s="191" t="str">
        <f t="shared" si="5"/>
        <v>CLEAN</v>
      </c>
      <c r="AA38" s="175" t="str">
        <f>IF(AND(T_ROP!$C$49=$I$4,T_ROP!$L$49&lt;&gt;"CLEAN",T_ROP!$L$49&lt;&gt;""),COUNTIFS(T_ROP!$C$13:$C$49,$I$4,T_ROP!$L$13:$L$49,"&lt;&gt;CLEAN",T_ROP!$L$13:$L$49,"&lt;&gt;"),"")</f>
        <v/>
      </c>
    </row>
    <row r="39" spans="1:27" ht="18" customHeight="1" x14ac:dyDescent="0.3">
      <c r="A39" s="304" t="s">
        <v>3689</v>
      </c>
      <c r="B39" s="305"/>
      <c r="C39" s="305"/>
      <c r="D39" s="305"/>
      <c r="E39" s="305"/>
      <c r="F39" s="305"/>
      <c r="G39" s="305"/>
      <c r="H39" s="305"/>
      <c r="I39" s="305"/>
      <c r="J39" s="306"/>
      <c r="AA39" s="175" t="str">
        <f>IF(AND(T_ROP!$C$50=$I$4,T_ROP!$L$50&lt;&gt;"CLEAN",T_ROP!$L$50&lt;&gt;""),COUNTIFS(T_ROP!$C$13:$C$50,$I$4,T_ROP!$L$13:$L$50,"&lt;&gt;CLEAN",T_ROP!$L$13:$L$50,"&lt;&gt;"),"")</f>
        <v/>
      </c>
    </row>
    <row r="40" spans="1:27" ht="15" customHeight="1" x14ac:dyDescent="0.3">
      <c r="A40" s="180" t="s">
        <v>248</v>
      </c>
      <c r="B40" s="181" t="s">
        <v>247</v>
      </c>
      <c r="C40" s="98">
        <f>SUMIFS(T_Load!$O$9:$O$439,T_Load!$D$9:$D$439,$I$4,T_Load!$J$9:$J$439,"PO008")</f>
        <v>0</v>
      </c>
      <c r="D40" s="98">
        <f>SUMIFS(T_Sales!$L$9:$L$1164,T_Sales!$D$9:$D$1164,$I$4,T_Sales!$I$9:$I$1164,"PO008")</f>
        <v>0</v>
      </c>
      <c r="E40" s="98">
        <f t="shared" ref="E40:E46" si="6">C40-D40</f>
        <v>0</v>
      </c>
      <c r="F40" s="98">
        <f>SUMIFS(T_ROP!$J$13:$J$436,T_ROP!$C$13:$C$436,$I$4,T_ROP!$F$13:$F$436,"PO008")</f>
        <v>0</v>
      </c>
      <c r="G40" s="99">
        <f t="shared" ref="G40:G46" si="7">E40-F40</f>
        <v>0</v>
      </c>
      <c r="H40" s="182" cm="1">
        <f t="array" ref="H40">IFERROR(INDEX(M_DepotPrice!$C$10:$C$52,MATCH(1,(M_DepotPrice!$A$10:$A$52=A40)*(M_DepotPrice!$H$10:$H$52=IFERROR(INDEX(M_Depot!$A$7:$A$24,MATCH($G$6,M_Depot!$B$7:$B$24,0)),""))*(M_DepotPrice!$G$10:$G$52="Special"),0)),INDEX(M_DepotPrice!$C$10:$C$52,MATCH(1,(M_DepotPrice!$A$10:$A$52=A40)*(M_DepotPrice!$G$10:$G$52="Default"),0)))*1.18</f>
        <v>6000.2999999999993</v>
      </c>
      <c r="I40" s="183">
        <f>SUMIFS(T_Sales!$N$9:$N$1164,T_Sales!$D$9:$D$1164,$I$4,T_Sales!$I$9:$I$1164,"PO008")</f>
        <v>0</v>
      </c>
      <c r="J40" s="184" t="str">
        <f t="shared" ref="J40:J46" si="8">IF(C40=0,"-",IF(ABS(G40)&lt;0.0001,"CLEAN",IF(G40&gt;0,"Default Outlet Posting","Unload Adjustment")))</f>
        <v>-</v>
      </c>
      <c r="AA40" s="175" t="str">
        <f>IF(AND(T_ROP!$C$51=$I$4,T_ROP!$L$51&lt;&gt;"CLEAN",T_ROP!$L$51&lt;&gt;""),COUNTIFS(T_ROP!$C$13:$C$51,$I$4,T_ROP!$L$13:$L$51,"&lt;&gt;CLEAN",T_ROP!$L$13:$L$51,"&lt;&gt;"),"")</f>
        <v/>
      </c>
    </row>
    <row r="41" spans="1:27" ht="15" customHeight="1" x14ac:dyDescent="0.3">
      <c r="A41" s="185" t="s">
        <v>250</v>
      </c>
      <c r="B41" s="186" t="s">
        <v>249</v>
      </c>
      <c r="C41" s="187">
        <f>SUMIFS(T_Load!$O$9:$O$439,T_Load!$D$9:$D$439,$I$4,T_Load!$J$9:$J$439,"PO009")</f>
        <v>0</v>
      </c>
      <c r="D41" s="187">
        <f>SUMIFS(T_Sales!$L$9:$L$1164,T_Sales!$D$9:$D$1164,$I$4,T_Sales!$I$9:$I$1164,"PO009")</f>
        <v>0</v>
      </c>
      <c r="E41" s="187">
        <f t="shared" si="6"/>
        <v>0</v>
      </c>
      <c r="F41" s="187">
        <f>SUMIFS(T_ROP!$J$13:$J$436,T_ROP!$C$13:$C$436,$I$4,T_ROP!$F$13:$F$436,"PO009")</f>
        <v>0</v>
      </c>
      <c r="G41" s="188">
        <f t="shared" si="7"/>
        <v>0</v>
      </c>
      <c r="H41" s="189" cm="1">
        <f t="array" ref="H41">IFERROR(INDEX(M_DepotPrice!$C$10:$C$52,MATCH(1,(M_DepotPrice!$A$10:$A$52=A41)*(M_DepotPrice!$H$10:$H$52=IFERROR(INDEX(M_Depot!$A$7:$A$24,MATCH($G$6,M_Depot!$B$7:$B$24,0)),""))*(M_DepotPrice!$G$10:$G$52="Special"),0)),INDEX(M_DepotPrice!$C$10:$C$52,MATCH(1,(M_DepotPrice!$A$10:$A$52=A41)*(M_DepotPrice!$G$10:$G$52="Default"),0)))*1.18</f>
        <v>6000.2999999999993</v>
      </c>
      <c r="I41" s="190">
        <f>SUMIFS(T_Sales!$N$9:$N$1164,T_Sales!$D$9:$D$1164,$I$4,T_Sales!$I$9:$I$1164,"PO009")</f>
        <v>0</v>
      </c>
      <c r="J41" s="191" t="str">
        <f t="shared" si="8"/>
        <v>-</v>
      </c>
      <c r="AA41" s="175" t="str">
        <f>IF(AND(T_ROP!$C$52=$I$4,T_ROP!$L$52&lt;&gt;"CLEAN",T_ROP!$L$52&lt;&gt;""),COUNTIFS(T_ROP!$C$13:$C$52,$I$4,T_ROP!$L$13:$L$52,"&lt;&gt;CLEAN",T_ROP!$L$13:$L$52,"&lt;&gt;"),"")</f>
        <v/>
      </c>
    </row>
    <row r="42" spans="1:27" ht="23.25" customHeight="1" x14ac:dyDescent="0.3">
      <c r="A42" s="180" t="s">
        <v>252</v>
      </c>
      <c r="B42" s="181" t="s">
        <v>251</v>
      </c>
      <c r="C42" s="98">
        <f>SUMIFS(T_Load!$O$9:$O$439,T_Load!$D$9:$D$439,$I$4,T_Load!$J$9:$J$439,"PO010")</f>
        <v>10</v>
      </c>
      <c r="D42" s="98">
        <f>SUMIFS(T_Sales!$L$9:$L$1164,T_Sales!$D$9:$D$1164,$I$4,T_Sales!$I$9:$I$1164,"PO010")</f>
        <v>8</v>
      </c>
      <c r="E42" s="98">
        <f t="shared" si="6"/>
        <v>2</v>
      </c>
      <c r="F42" s="98">
        <f>SUMIFS(T_ROP!$J$13:$J$436,T_ROP!$C$13:$C$436,$I$4,T_ROP!$F$13:$F$436,"PO010")</f>
        <v>2</v>
      </c>
      <c r="G42" s="99">
        <f t="shared" si="7"/>
        <v>0</v>
      </c>
      <c r="H42" s="182" cm="1">
        <f t="array" ref="H42">IFERROR(INDEX(M_DepotPrice!$C$10:$C$52,MATCH(1,(M_DepotPrice!$A$10:$A$52=A42)*(M_DepotPrice!$H$10:$H$52=IFERROR(INDEX(M_Depot!$A$7:$A$24,MATCH($G$6,M_Depot!$B$7:$B$24,0)),""))*(M_DepotPrice!$G$10:$G$52="Special"),0)),INDEX(M_DepotPrice!$C$10:$C$52,MATCH(1,(M_DepotPrice!$A$10:$A$52=A42)*(M_DepotPrice!$G$10:$G$52="Default"),0)))*1.18</f>
        <v>6000.2999999999993</v>
      </c>
      <c r="I42" s="183">
        <f>SUMIFS(T_Sales!$N$9:$N$1164,T_Sales!$D$9:$D$1164,$I$4,T_Sales!$I$9:$I$1164,"PO010")</f>
        <v>48002.399999999994</v>
      </c>
      <c r="J42" s="184" t="str">
        <f t="shared" si="8"/>
        <v>CLEAN</v>
      </c>
      <c r="AA42" s="175" t="str">
        <f>IF(AND(T_ROP!$C$53=$I$4,T_ROP!$L$53&lt;&gt;"CLEAN",T_ROP!$L$53&lt;&gt;""),COUNTIFS(T_ROP!$C$13:$C$53,$I$4,T_ROP!$L$13:$L$53,"&lt;&gt;CLEAN",T_ROP!$L$13:$L$53,"&lt;&gt;"),"")</f>
        <v/>
      </c>
    </row>
    <row r="43" spans="1:27" ht="15" customHeight="1" x14ac:dyDescent="0.3">
      <c r="A43" s="185" t="s">
        <v>254</v>
      </c>
      <c r="B43" s="186" t="s">
        <v>253</v>
      </c>
      <c r="C43" s="187">
        <f>SUMIFS(T_Load!$O$9:$O$439,T_Load!$D$9:$D$439,$I$4,T_Load!$J$9:$J$439,"PO012")</f>
        <v>10</v>
      </c>
      <c r="D43" s="187">
        <f>SUMIFS(T_Sales!$L$9:$L$1164,T_Sales!$D$9:$D$1164,$I$4,T_Sales!$I$9:$I$1164,"PO012")</f>
        <v>8</v>
      </c>
      <c r="E43" s="187">
        <f t="shared" si="6"/>
        <v>2</v>
      </c>
      <c r="F43" s="187">
        <f>SUMIFS(T_ROP!$J$13:$J$436,T_ROP!$C$13:$C$436,$I$4,T_ROP!$F$13:$F$436,"PO012")</f>
        <v>2</v>
      </c>
      <c r="G43" s="188">
        <f t="shared" si="7"/>
        <v>0</v>
      </c>
      <c r="H43" s="189" cm="1">
        <f t="array" ref="H43">IFERROR(INDEX(M_DepotPrice!$C$10:$C$52,MATCH(1,(M_DepotPrice!$A$10:$A$52=A43)*(M_DepotPrice!$H$10:$H$52=IFERROR(INDEX(M_Depot!$A$7:$A$24,MATCH($G$6,M_Depot!$B$7:$B$24,0)),""))*(M_DepotPrice!$G$10:$G$52="Special"),0)),INDEX(M_DepotPrice!$C$10:$C$52,MATCH(1,(M_DepotPrice!$A$10:$A$52=A43)*(M_DepotPrice!$G$10:$G$52="Default"),0)))*1.18</f>
        <v>6000.2999999999993</v>
      </c>
      <c r="I43" s="190">
        <f>SUMIFS(T_Sales!$N$9:$N$1164,T_Sales!$D$9:$D$1164,$I$4,T_Sales!$I$9:$I$1164,"PO012")</f>
        <v>48002.399999999994</v>
      </c>
      <c r="J43" s="191" t="str">
        <f t="shared" si="8"/>
        <v>CLEAN</v>
      </c>
      <c r="AA43" s="175" t="str">
        <f>IF(AND(T_ROP!$C$54=$I$4,T_ROP!$L$54&lt;&gt;"CLEAN",T_ROP!$L$54&lt;&gt;""),COUNTIFS(T_ROP!$C$13:$C$54,$I$4,T_ROP!$L$13:$L$54,"&lt;&gt;CLEAN",T_ROP!$L$13:$L$54,"&lt;&gt;"),"")</f>
        <v/>
      </c>
    </row>
    <row r="44" spans="1:27" ht="15" customHeight="1" x14ac:dyDescent="0.3">
      <c r="A44" s="180" t="s">
        <v>256</v>
      </c>
      <c r="B44" s="181" t="s">
        <v>255</v>
      </c>
      <c r="C44" s="98">
        <f>SUMIFS(T_Load!$O$9:$O$439,T_Load!$D$9:$D$439,$I$4,T_Load!$J$9:$J$439,"PO013")</f>
        <v>0</v>
      </c>
      <c r="D44" s="98">
        <f>SUMIFS(T_Sales!$L$9:$L$1164,T_Sales!$D$9:$D$1164,$I$4,T_Sales!$I$9:$I$1164,"PO013")</f>
        <v>0</v>
      </c>
      <c r="E44" s="98">
        <f t="shared" si="6"/>
        <v>0</v>
      </c>
      <c r="F44" s="98">
        <f>SUMIFS(T_ROP!$J$13:$J$436,T_ROP!$C$13:$C$436,$I$4,T_ROP!$F$13:$F$436,"PO013")</f>
        <v>0</v>
      </c>
      <c r="G44" s="99">
        <f t="shared" si="7"/>
        <v>0</v>
      </c>
      <c r="H44" s="182" cm="1">
        <f t="array" ref="H44">IFERROR(INDEX(M_DepotPrice!$C$10:$C$52,MATCH(1,(M_DepotPrice!$A$10:$A$52=A44)*(M_DepotPrice!$H$10:$H$52=IFERROR(INDEX(M_Depot!$A$7:$A$24,MATCH($G$6,M_Depot!$B$7:$B$24,0)),""))*(M_DepotPrice!$G$10:$G$52="Special"),0)),INDEX(M_DepotPrice!$C$10:$C$52,MATCH(1,(M_DepotPrice!$A$10:$A$52=A44)*(M_DepotPrice!$G$10:$G$52="Default"),0)))*1.18</f>
        <v>6000.2999999999993</v>
      </c>
      <c r="I44" s="183">
        <f>SUMIFS(T_Sales!$N$9:$N$1164,T_Sales!$D$9:$D$1164,$I$4,T_Sales!$I$9:$I$1164,"PO013")</f>
        <v>0</v>
      </c>
      <c r="J44" s="184" t="str">
        <f t="shared" si="8"/>
        <v>-</v>
      </c>
      <c r="AA44" s="175" t="str">
        <f>IF(AND(T_ROP!$C$55=$I$4,T_ROP!$L$55&lt;&gt;"CLEAN",T_ROP!$L$55&lt;&gt;""),COUNTIFS(T_ROP!$C$13:$C$55,$I$4,T_ROP!$L$13:$L$55,"&lt;&gt;CLEAN",T_ROP!$L$13:$L$55,"&lt;&gt;"),"")</f>
        <v/>
      </c>
    </row>
    <row r="45" spans="1:27" ht="15" customHeight="1" x14ac:dyDescent="0.3">
      <c r="A45" s="185" t="s">
        <v>258</v>
      </c>
      <c r="B45" s="186" t="s">
        <v>257</v>
      </c>
      <c r="C45" s="187">
        <f>SUMIFS(T_Load!$O$9:$O$439,T_Load!$D$9:$D$439,$I$4,T_Load!$J$9:$J$439,"PO014")</f>
        <v>0</v>
      </c>
      <c r="D45" s="187">
        <f>SUMIFS(T_Sales!$L$9:$L$1164,T_Sales!$D$9:$D$1164,$I$4,T_Sales!$I$9:$I$1164,"PO014")</f>
        <v>0</v>
      </c>
      <c r="E45" s="187">
        <f t="shared" si="6"/>
        <v>0</v>
      </c>
      <c r="F45" s="187">
        <f>SUMIFS(T_ROP!$J$13:$J$436,T_ROP!$C$13:$C$436,$I$4,T_ROP!$F$13:$F$436,"PO014")</f>
        <v>0</v>
      </c>
      <c r="G45" s="188">
        <f t="shared" si="7"/>
        <v>0</v>
      </c>
      <c r="H45" s="189" cm="1">
        <f t="array" ref="H45">IFERROR(INDEX(M_DepotPrice!$C$10:$C$52,MATCH(1,(M_DepotPrice!$A$10:$A$52=A45)*(M_DepotPrice!$H$10:$H$52=IFERROR(INDEX(M_Depot!$A$7:$A$24,MATCH($G$6,M_Depot!$B$7:$B$24,0)),""))*(M_DepotPrice!$G$10:$G$52="Special"),0)),INDEX(M_DepotPrice!$C$10:$C$52,MATCH(1,(M_DepotPrice!$A$10:$A$52=A45)*(M_DepotPrice!$G$10:$G$52="Default"),0)))*1.18</f>
        <v>6000.2999999999993</v>
      </c>
      <c r="I45" s="190">
        <f>SUMIFS(T_Sales!$N$9:$N$1164,T_Sales!$D$9:$D$1164,$I$4,T_Sales!$I$9:$I$1164,"PO014")</f>
        <v>0</v>
      </c>
      <c r="J45" s="191" t="str">
        <f t="shared" si="8"/>
        <v>-</v>
      </c>
      <c r="AA45" s="175" t="str">
        <f>IF(AND(T_ROP!$C$56=$I$4,T_ROP!$L$56&lt;&gt;"CLEAN",T_ROP!$L$56&lt;&gt;""),COUNTIFS(T_ROP!$C$13:$C$56,$I$4,T_ROP!$L$13:$L$56,"&lt;&gt;CLEAN",T_ROP!$L$13:$L$56,"&lt;&gt;"),"")</f>
        <v/>
      </c>
    </row>
    <row r="46" spans="1:27" ht="23.25" customHeight="1" x14ac:dyDescent="0.3">
      <c r="A46" s="180" t="s">
        <v>261</v>
      </c>
      <c r="B46" s="181" t="s">
        <v>260</v>
      </c>
      <c r="C46" s="98">
        <f>SUMIFS(T_Load!$O$9:$O$439,T_Load!$D$9:$D$439,$I$4,T_Load!$J$9:$J$439,"PO015")</f>
        <v>15</v>
      </c>
      <c r="D46" s="98">
        <f>SUMIFS(T_Sales!$L$9:$L$1164,T_Sales!$D$9:$D$1164,$I$4,T_Sales!$I$9:$I$1164,"PO015")</f>
        <v>11</v>
      </c>
      <c r="E46" s="98">
        <f t="shared" si="6"/>
        <v>4</v>
      </c>
      <c r="F46" s="98">
        <f>SUMIFS(T_ROP!$J$13:$J$436,T_ROP!$C$13:$C$436,$I$4,T_ROP!$F$13:$F$436,"PO015")</f>
        <v>4</v>
      </c>
      <c r="G46" s="99">
        <f t="shared" si="7"/>
        <v>0</v>
      </c>
      <c r="H46" s="182" cm="1">
        <f t="array" ref="H46">IFERROR(INDEX(M_DepotPrice!$C$10:$C$52,MATCH(1,(M_DepotPrice!$A$10:$A$52=A46)*(M_DepotPrice!$H$10:$H$52=IFERROR(INDEX(M_Depot!$A$7:$A$24,MATCH($G$6,M_Depot!$B$7:$B$24,0)),""))*(M_DepotPrice!$G$10:$G$52="Special"),0)),INDEX(M_DepotPrice!$C$10:$C$52,MATCH(1,(M_DepotPrice!$A$10:$A$52=A46)*(M_DepotPrice!$G$10:$G$52="Default"),0)))*1.18</f>
        <v>6000.2999999999993</v>
      </c>
      <c r="I46" s="183">
        <f>SUMIFS(T_Sales!$N$9:$N$1164,T_Sales!$D$9:$D$1164,$I$4,T_Sales!$I$9:$I$1164,"PO015")</f>
        <v>66003.299999999988</v>
      </c>
      <c r="J46" s="184" t="str">
        <f t="shared" si="8"/>
        <v>CLEAN</v>
      </c>
      <c r="AA46" s="175" t="str">
        <f>IF(AND(T_ROP!$C$57=$I$4,T_ROP!$L$57&lt;&gt;"CLEAN",T_ROP!$L$57&lt;&gt;""),COUNTIFS(T_ROP!$C$13:$C$57,$I$4,T_ROP!$L$13:$L$57,"&lt;&gt;CLEAN",T_ROP!$L$13:$L$57,"&lt;&gt;"),"")</f>
        <v/>
      </c>
    </row>
    <row r="47" spans="1:27" ht="18" customHeight="1" x14ac:dyDescent="0.3">
      <c r="A47" s="304" t="s">
        <v>3690</v>
      </c>
      <c r="B47" s="305"/>
      <c r="C47" s="305"/>
      <c r="D47" s="305"/>
      <c r="E47" s="305"/>
      <c r="F47" s="305"/>
      <c r="G47" s="305"/>
      <c r="H47" s="305"/>
      <c r="I47" s="305"/>
      <c r="J47" s="306"/>
      <c r="AA47" s="175" t="str">
        <f>IF(AND(T_ROP!$C$58=$I$4,T_ROP!$L$58&lt;&gt;"CLEAN",T_ROP!$L$58&lt;&gt;""),COUNTIFS(T_ROP!$C$13:$C$58,$I$4,T_ROP!$L$13:$L$58,"&lt;&gt;CLEAN",T_ROP!$L$13:$L$58,"&lt;&gt;"),"")</f>
        <v/>
      </c>
    </row>
    <row r="48" spans="1:27" ht="15" customHeight="1" x14ac:dyDescent="0.3">
      <c r="A48" s="185" t="s">
        <v>263</v>
      </c>
      <c r="B48" s="186" t="s">
        <v>262</v>
      </c>
      <c r="C48" s="187">
        <f>SUMIFS(T_Load!$O$9:$O$439,T_Load!$D$9:$D$439,$I$4,T_Load!$J$9:$J$439,"PT005")</f>
        <v>0</v>
      </c>
      <c r="D48" s="187">
        <f>SUMIFS(T_Sales!$L$9:$L$1164,T_Sales!$D$9:$D$1164,$I$4,T_Sales!$I$9:$I$1164,"PT005")</f>
        <v>0</v>
      </c>
      <c r="E48" s="187">
        <f>C48-D48</f>
        <v>0</v>
      </c>
      <c r="F48" s="187">
        <f>SUMIFS(T_ROP!$J$13:$J$436,T_ROP!$C$13:$C$436,$I$4,T_ROP!$F$13:$F$436,"PT005")</f>
        <v>0</v>
      </c>
      <c r="G48" s="188">
        <f>E48-F48</f>
        <v>0</v>
      </c>
      <c r="H48" s="189" cm="1">
        <f t="array" ref="H48">IFERROR(INDEX(M_DepotPrice!$C$10:$C$52,MATCH(1,(M_DepotPrice!$A$10:$A$52=A48)*(M_DepotPrice!$H$10:$H$52=IFERROR(INDEX(M_Depot!$A$7:$A$24,MATCH($G$6,M_Depot!$B$7:$B$24,0)),""))*(M_DepotPrice!$G$10:$G$52="Special"),0)),INDEX(M_DepotPrice!$C$10:$C$52,MATCH(1,(M_DepotPrice!$A$10:$A$52=A48)*(M_DepotPrice!$G$10:$G$52="Default"),0)))*1.18</f>
        <v>9799.9</v>
      </c>
      <c r="I48" s="190">
        <f>SUMIFS(T_Sales!$N$9:$N$1164,T_Sales!$D$9:$D$1164,$I$4,T_Sales!$I$9:$I$1164,"PT005")</f>
        <v>0</v>
      </c>
      <c r="J48" s="191" t="str">
        <f>IF(C48=0,"-",IF(ABS(G48)&lt;0.0001,"CLEAN",IF(G48&gt;0,"Default Outlet Posting","Unload Adjustment")))</f>
        <v>-</v>
      </c>
      <c r="AA48" s="175" t="str">
        <f>IF(AND(T_ROP!$C$59=$I$4,T_ROP!$L$59&lt;&gt;"CLEAN",T_ROP!$L$59&lt;&gt;""),COUNTIFS(T_ROP!$C$13:$C$59,$I$4,T_ROP!$L$13:$L$59,"&lt;&gt;CLEAN",T_ROP!$L$13:$L$59,"&lt;&gt;"),"")</f>
        <v/>
      </c>
    </row>
    <row r="49" spans="1:27" ht="15" customHeight="1" x14ac:dyDescent="0.3">
      <c r="A49" s="180" t="s">
        <v>265</v>
      </c>
      <c r="B49" s="181" t="s">
        <v>264</v>
      </c>
      <c r="C49" s="98">
        <f>SUMIFS(T_Load!$O$9:$O$439,T_Load!$D$9:$D$439,$I$4,T_Load!$J$9:$J$439,"PT006")</f>
        <v>0</v>
      </c>
      <c r="D49" s="98">
        <f>SUMIFS(T_Sales!$L$9:$L$1164,T_Sales!$D$9:$D$1164,$I$4,T_Sales!$I$9:$I$1164,"PT006")</f>
        <v>0</v>
      </c>
      <c r="E49" s="98">
        <f>C49-D49</f>
        <v>0</v>
      </c>
      <c r="F49" s="98">
        <f>SUMIFS(T_ROP!$J$13:$J$436,T_ROP!$C$13:$C$436,$I$4,T_ROP!$F$13:$F$436,"PT006")</f>
        <v>0</v>
      </c>
      <c r="G49" s="99">
        <f>E49-F49</f>
        <v>0</v>
      </c>
      <c r="H49" s="182" cm="1">
        <f t="array" ref="H49">IFERROR(INDEX(M_DepotPrice!$C$10:$C$52,MATCH(1,(M_DepotPrice!$A$10:$A$52=A49)*(M_DepotPrice!$H$10:$H$52=IFERROR(INDEX(M_Depot!$A$7:$A$24,MATCH($G$6,M_Depot!$B$7:$B$24,0)),""))*(M_DepotPrice!$G$10:$G$52="Special"),0)),INDEX(M_DepotPrice!$C$10:$C$52,MATCH(1,(M_DepotPrice!$A$10:$A$52=A49)*(M_DepotPrice!$G$10:$G$52="Default"),0)))*1.18</f>
        <v>9799.9</v>
      </c>
      <c r="I49" s="183">
        <f>SUMIFS(T_Sales!$N$9:$N$1164,T_Sales!$D$9:$D$1164,$I$4,T_Sales!$I$9:$I$1164,"PT006")</f>
        <v>0</v>
      </c>
      <c r="J49" s="184" t="str">
        <f>IF(C49=0,"-",IF(ABS(G49)&lt;0.0001,"CLEAN",IF(G49&gt;0,"Default Outlet Posting","Unload Adjustment")))</f>
        <v>-</v>
      </c>
      <c r="AA49" s="175" t="str">
        <f>IF(AND(T_ROP!$C$60=$I$4,T_ROP!$L$60&lt;&gt;"CLEAN",T_ROP!$L$60&lt;&gt;""),COUNTIFS(T_ROP!$C$13:$C$60,$I$4,T_ROP!$L$13:$L$60,"&lt;&gt;CLEAN",T_ROP!$L$13:$L$60,"&lt;&gt;"),"")</f>
        <v/>
      </c>
    </row>
    <row r="50" spans="1:27" ht="15" customHeight="1" x14ac:dyDescent="0.3">
      <c r="A50" s="185" t="s">
        <v>267</v>
      </c>
      <c r="B50" s="186" t="s">
        <v>266</v>
      </c>
      <c r="C50" s="187">
        <f>SUMIFS(T_Load!$O$9:$O$439,T_Load!$D$9:$D$439,$I$4,T_Load!$J$9:$J$439,"PT007")</f>
        <v>0</v>
      </c>
      <c r="D50" s="187">
        <f>SUMIFS(T_Sales!$L$9:$L$1164,T_Sales!$D$9:$D$1164,$I$4,T_Sales!$I$9:$I$1164,"PT007")</f>
        <v>0</v>
      </c>
      <c r="E50" s="187">
        <f>C50-D50</f>
        <v>0</v>
      </c>
      <c r="F50" s="187">
        <f>SUMIFS(T_ROP!$J$13:$J$436,T_ROP!$C$13:$C$436,$I$4,T_ROP!$F$13:$F$436,"PT007")</f>
        <v>0</v>
      </c>
      <c r="G50" s="188">
        <f>E50-F50</f>
        <v>0</v>
      </c>
      <c r="H50" s="189" cm="1">
        <f t="array" ref="H50">IFERROR(INDEX(M_DepotPrice!$C$10:$C$52,MATCH(1,(M_DepotPrice!$A$10:$A$52=A50)*(M_DepotPrice!$H$10:$H$52=IFERROR(INDEX(M_Depot!$A$7:$A$24,MATCH($G$6,M_Depot!$B$7:$B$24,0)),""))*(M_DepotPrice!$G$10:$G$52="Special"),0)),INDEX(M_DepotPrice!$C$10:$C$52,MATCH(1,(M_DepotPrice!$A$10:$A$52=A50)*(M_DepotPrice!$G$10:$G$52="Default"),0)))*1.18</f>
        <v>9799.9</v>
      </c>
      <c r="I50" s="190">
        <f>SUMIFS(T_Sales!$N$9:$N$1164,T_Sales!$D$9:$D$1164,$I$4,T_Sales!$I$9:$I$1164,"PT007")</f>
        <v>0</v>
      </c>
      <c r="J50" s="191" t="str">
        <f>IF(C50=0,"-",IF(ABS(G50)&lt;0.0001,"CLEAN",IF(G50&gt;0,"Default Outlet Posting","Unload Adjustment")))</f>
        <v>-</v>
      </c>
      <c r="AA50" s="175" t="str">
        <f>IF(AND(T_ROP!$C$61=$I$4,T_ROP!$L$61&lt;&gt;"CLEAN",T_ROP!$L$61&lt;&gt;""),COUNTIFS(T_ROP!$C$13:$C$61,$I$4,T_ROP!$L$13:$L$61,"&lt;&gt;CLEAN",T_ROP!$L$13:$L$61,"&lt;&gt;"),"")</f>
        <v/>
      </c>
    </row>
    <row r="51" spans="1:27" ht="18" customHeight="1" x14ac:dyDescent="0.3">
      <c r="A51" s="304" t="s">
        <v>3691</v>
      </c>
      <c r="B51" s="305"/>
      <c r="C51" s="305"/>
      <c r="D51" s="305"/>
      <c r="E51" s="305"/>
      <c r="F51" s="305"/>
      <c r="G51" s="305"/>
      <c r="H51" s="305"/>
      <c r="I51" s="305"/>
      <c r="J51" s="306"/>
      <c r="AA51" s="175" t="str">
        <f>IF(AND(T_ROP!$C$62=$I$4,T_ROP!$L$62&lt;&gt;"CLEAN",T_ROP!$L$62&lt;&gt;""),COUNTIFS(T_ROP!$C$13:$C$62,$I$4,T_ROP!$L$13:$L$62,"&lt;&gt;CLEAN",T_ROP!$L$13:$L$62,"&lt;&gt;"),"")</f>
        <v/>
      </c>
    </row>
    <row r="52" spans="1:27" ht="23.25" customHeight="1" x14ac:dyDescent="0.3">
      <c r="A52" s="180" t="s">
        <v>211</v>
      </c>
      <c r="B52" s="181" t="s">
        <v>210</v>
      </c>
      <c r="C52" s="98">
        <f>SUMIFS(T_Load!$O$9:$O$439,T_Load!$D$9:$D$439,$I$4,T_Load!$J$9:$J$439,"KD001")</f>
        <v>50</v>
      </c>
      <c r="D52" s="98">
        <f>SUMIFS(T_Sales!$L$9:$L$1164,T_Sales!$D$9:$D$1164,$I$4,T_Sales!$I$9:$I$1164,"KD001")</f>
        <v>39</v>
      </c>
      <c r="E52" s="98">
        <f t="shared" ref="E52:E57" si="9">C52-D52</f>
        <v>11</v>
      </c>
      <c r="F52" s="98">
        <f>SUMIFS(T_ROP!$J$13:$J$436,T_ROP!$C$13:$C$436,$I$4,T_ROP!$F$13:$F$436,"KD001")</f>
        <v>11</v>
      </c>
      <c r="G52" s="99">
        <f t="shared" ref="G52:G57" si="10">E52-F52</f>
        <v>0</v>
      </c>
      <c r="H52" s="182" cm="1">
        <f t="array" ref="H52">IFERROR(INDEX(M_DepotPrice!$C$10:$C$52,MATCH(1,(M_DepotPrice!$A$10:$A$52=A52)*(M_DepotPrice!$H$10:$H$52=IFERROR(INDEX(M_Depot!$A$7:$A$24,MATCH($G$6,M_Depot!$B$7:$B$24,0)),""))*(M_DepotPrice!$G$10:$G$52="Special"),0)),INDEX(M_DepotPrice!$C$10:$C$52,MATCH(1,(M_DepotPrice!$A$10:$A$52=A52)*(M_DepotPrice!$G$10:$G$52="Default"),0)))*1.18</f>
        <v>4199.62</v>
      </c>
      <c r="I52" s="183">
        <f>SUMIFS(T_Sales!$N$9:$N$1164,T_Sales!$D$9:$D$1164,$I$4,T_Sales!$I$9:$I$1164,"KD001")</f>
        <v>163785.18</v>
      </c>
      <c r="J52" s="184" t="str">
        <f t="shared" ref="J52:J57" si="11">IF(C52=0,"-",IF(ABS(G52)&lt;0.0001,"CLEAN",IF(G52&gt;0,"Default Outlet Posting","Unload Adjustment")))</f>
        <v>CLEAN</v>
      </c>
      <c r="AA52" s="175" t="str">
        <f>IF(AND(T_ROP!$C$63=$I$4,T_ROP!$L$63&lt;&gt;"CLEAN",T_ROP!$L$63&lt;&gt;""),COUNTIFS(T_ROP!$C$13:$C$63,$I$4,T_ROP!$L$13:$L$63,"&lt;&gt;CLEAN",T_ROP!$L$13:$L$63,"&lt;&gt;"),"")</f>
        <v/>
      </c>
    </row>
    <row r="53" spans="1:27" ht="23.25" customHeight="1" x14ac:dyDescent="0.3">
      <c r="A53" s="185" t="s">
        <v>217</v>
      </c>
      <c r="B53" s="186" t="s">
        <v>216</v>
      </c>
      <c r="C53" s="187">
        <f>SUMIFS(T_Load!$O$9:$O$439,T_Load!$D$9:$D$439,$I$4,T_Load!$J$9:$J$439,"KD003")</f>
        <v>90</v>
      </c>
      <c r="D53" s="187">
        <f>SUMIFS(T_Sales!$L$9:$L$1164,T_Sales!$D$9:$D$1164,$I$4,T_Sales!$I$9:$I$1164,"KD003")</f>
        <v>81</v>
      </c>
      <c r="E53" s="187">
        <f t="shared" si="9"/>
        <v>9</v>
      </c>
      <c r="F53" s="187">
        <f>SUMIFS(T_ROP!$J$13:$J$436,T_ROP!$C$13:$C$436,$I$4,T_ROP!$F$13:$F$436,"KD003")</f>
        <v>9</v>
      </c>
      <c r="G53" s="188">
        <f t="shared" si="10"/>
        <v>0</v>
      </c>
      <c r="H53" s="189" cm="1">
        <f t="array" ref="H53">IFERROR(INDEX(M_DepotPrice!$C$10:$C$52,MATCH(1,(M_DepotPrice!$A$10:$A$52=A53)*(M_DepotPrice!$H$10:$H$52=IFERROR(INDEX(M_Depot!$A$7:$A$24,MATCH($G$6,M_Depot!$B$7:$B$24,0)),""))*(M_DepotPrice!$G$10:$G$52="Special"),0)),INDEX(M_DepotPrice!$C$10:$C$52,MATCH(1,(M_DepotPrice!$A$10:$A$52=A53)*(M_DepotPrice!$G$10:$G$52="Default"),0)))*1.18</f>
        <v>4699.9399999999996</v>
      </c>
      <c r="I53" s="190">
        <f>SUMIFS(T_Sales!$N$9:$N$1164,T_Sales!$D$9:$D$1164,$I$4,T_Sales!$I$9:$I$1164,"KD003")</f>
        <v>380695.14</v>
      </c>
      <c r="J53" s="191" t="str">
        <f t="shared" si="11"/>
        <v>CLEAN</v>
      </c>
      <c r="AA53" s="175" t="str">
        <f>IF(AND(T_ROP!$C$64=$I$4,T_ROP!$L$64&lt;&gt;"CLEAN",T_ROP!$L$64&lt;&gt;""),COUNTIFS(T_ROP!$C$13:$C$64,$I$4,T_ROP!$L$13:$L$64,"&lt;&gt;CLEAN",T_ROP!$L$13:$L$64,"&lt;&gt;"),"")</f>
        <v/>
      </c>
    </row>
    <row r="54" spans="1:27" ht="15" customHeight="1" x14ac:dyDescent="0.3">
      <c r="A54" s="180" t="s">
        <v>219</v>
      </c>
      <c r="B54" s="181" t="s">
        <v>218</v>
      </c>
      <c r="C54" s="98">
        <f>SUMIFS(T_Load!$O$9:$O$439,T_Load!$D$9:$D$439,$I$4,T_Load!$J$9:$J$439,"KD004")</f>
        <v>0</v>
      </c>
      <c r="D54" s="98">
        <f>SUMIFS(T_Sales!$L$9:$L$1164,T_Sales!$D$9:$D$1164,$I$4,T_Sales!$I$9:$I$1164,"KD004")</f>
        <v>0</v>
      </c>
      <c r="E54" s="98">
        <f t="shared" si="9"/>
        <v>0</v>
      </c>
      <c r="F54" s="98">
        <f>SUMIFS(T_ROP!$J$13:$J$436,T_ROP!$C$13:$C$436,$I$4,T_ROP!$F$13:$F$436,"KD004")</f>
        <v>0</v>
      </c>
      <c r="G54" s="99">
        <f t="shared" si="10"/>
        <v>0</v>
      </c>
      <c r="H54" s="182" cm="1">
        <f t="array" ref="H54">IFERROR(INDEX(M_DepotPrice!$C$10:$C$52,MATCH(1,(M_DepotPrice!$A$10:$A$52=A54)*(M_DepotPrice!$H$10:$H$52=IFERROR(INDEX(M_Depot!$A$7:$A$24,MATCH($G$6,M_Depot!$B$7:$B$24,0)),""))*(M_DepotPrice!$G$10:$G$52="Special"),0)),INDEX(M_DepotPrice!$C$10:$C$52,MATCH(1,(M_DepotPrice!$A$10:$A$52=A54)*(M_DepotPrice!$G$10:$G$52="Default"),0)))*1.18</f>
        <v>2500.42</v>
      </c>
      <c r="I54" s="183">
        <f>SUMIFS(T_Sales!$N$9:$N$1164,T_Sales!$D$9:$D$1164,$I$4,T_Sales!$I$9:$I$1164,"KD004")</f>
        <v>0</v>
      </c>
      <c r="J54" s="184" t="str">
        <f t="shared" si="11"/>
        <v>-</v>
      </c>
      <c r="AA54" s="175" t="str">
        <f>IF(AND(T_ROP!$C$65=$I$4,T_ROP!$L$65&lt;&gt;"CLEAN",T_ROP!$L$65&lt;&gt;""),COUNTIFS(T_ROP!$C$13:$C$65,$I$4,T_ROP!$L$13:$L$65,"&lt;&gt;CLEAN",T_ROP!$L$13:$L$65,"&lt;&gt;"),"")</f>
        <v/>
      </c>
    </row>
    <row r="55" spans="1:27" ht="15" customHeight="1" x14ac:dyDescent="0.3">
      <c r="A55" s="185" t="s">
        <v>222</v>
      </c>
      <c r="B55" s="186" t="s">
        <v>221</v>
      </c>
      <c r="C55" s="187">
        <f>SUMIFS(T_Load!$O$9:$O$439,T_Load!$D$9:$D$439,$I$4,T_Load!$J$9:$J$439,"KD005")</f>
        <v>0</v>
      </c>
      <c r="D55" s="187">
        <f>SUMIFS(T_Sales!$L$9:$L$1164,T_Sales!$D$9:$D$1164,$I$4,T_Sales!$I$9:$I$1164,"KD005")</f>
        <v>0</v>
      </c>
      <c r="E55" s="187">
        <f t="shared" si="9"/>
        <v>0</v>
      </c>
      <c r="F55" s="187">
        <f>SUMIFS(T_ROP!$J$13:$J$436,T_ROP!$C$13:$C$436,$I$4,T_ROP!$F$13:$F$436,"KD005")</f>
        <v>0</v>
      </c>
      <c r="G55" s="188">
        <f t="shared" si="10"/>
        <v>0</v>
      </c>
      <c r="H55" s="189" cm="1">
        <f t="array" ref="H55">IFERROR(INDEX(M_DepotPrice!$C$10:$C$52,MATCH(1,(M_DepotPrice!$A$10:$A$52=A55)*(M_DepotPrice!$H$10:$H$52=IFERROR(INDEX(M_Depot!$A$7:$A$24,MATCH($G$6,M_Depot!$B$7:$B$24,0)),""))*(M_DepotPrice!$G$10:$G$52="Special"),0)),INDEX(M_DepotPrice!$C$10:$C$52,MATCH(1,(M_DepotPrice!$A$10:$A$52=A55)*(M_DepotPrice!$G$10:$G$52="Default"),0)))*1.18</f>
        <v>4199.62</v>
      </c>
      <c r="I55" s="190">
        <f>SUMIFS(T_Sales!$N$9:$N$1164,T_Sales!$D$9:$D$1164,$I$4,T_Sales!$I$9:$I$1164,"KD005")</f>
        <v>0</v>
      </c>
      <c r="J55" s="191" t="str">
        <f t="shared" si="11"/>
        <v>-</v>
      </c>
      <c r="AA55" s="175" t="str">
        <f>IF(AND(T_ROP!$C$66=$I$4,T_ROP!$L$66&lt;&gt;"CLEAN",T_ROP!$L$66&lt;&gt;""),COUNTIFS(T_ROP!$C$13:$C$66,$I$4,T_ROP!$L$13:$L$66,"&lt;&gt;CLEAN",T_ROP!$L$13:$L$66,"&lt;&gt;"),"")</f>
        <v/>
      </c>
    </row>
    <row r="56" spans="1:27" ht="15" customHeight="1" x14ac:dyDescent="0.3">
      <c r="A56" s="180" t="s">
        <v>225</v>
      </c>
      <c r="B56" s="181" t="s">
        <v>224</v>
      </c>
      <c r="C56" s="98">
        <f>SUMIFS(T_Load!$O$9:$O$439,T_Load!$D$9:$D$439,$I$4,T_Load!$J$9:$J$439,"KD006")</f>
        <v>0</v>
      </c>
      <c r="D56" s="98">
        <f>SUMIFS(T_Sales!$L$9:$L$1164,T_Sales!$D$9:$D$1164,$I$4,T_Sales!$I$9:$I$1164,"KD006")</f>
        <v>0</v>
      </c>
      <c r="E56" s="98">
        <f t="shared" si="9"/>
        <v>0</v>
      </c>
      <c r="F56" s="98">
        <f>SUMIFS(T_ROP!$J$13:$J$436,T_ROP!$C$13:$C$436,$I$4,T_ROP!$F$13:$F$436,"KD006")</f>
        <v>0</v>
      </c>
      <c r="G56" s="99">
        <f t="shared" si="10"/>
        <v>0</v>
      </c>
      <c r="H56" s="182" cm="1">
        <f t="array" ref="H56">IFERROR(INDEX(M_DepotPrice!$C$10:$C$52,MATCH(1,(M_DepotPrice!$A$10:$A$52=A56)*(M_DepotPrice!$H$10:$H$52=IFERROR(INDEX(M_Depot!$A$7:$A$24,MATCH($G$6,M_Depot!$B$7:$B$24,0)),""))*(M_DepotPrice!$G$10:$G$52="Special"),0)),INDEX(M_DepotPrice!$C$10:$C$52,MATCH(1,(M_DepotPrice!$A$10:$A$52=A56)*(M_DepotPrice!$G$10:$G$52="Default"),0)))*1.18</f>
        <v>6999.7599999999993</v>
      </c>
      <c r="I56" s="183">
        <f>SUMIFS(T_Sales!$N$9:$N$1164,T_Sales!$D$9:$D$1164,$I$4,T_Sales!$I$9:$I$1164,"KD006")</f>
        <v>0</v>
      </c>
      <c r="J56" s="184" t="str">
        <f t="shared" si="11"/>
        <v>-</v>
      </c>
      <c r="AA56" s="175" t="str">
        <f>IF(AND(T_ROP!$C$67=$I$4,T_ROP!$L$67&lt;&gt;"CLEAN",T_ROP!$L$67&lt;&gt;""),COUNTIFS(T_ROP!$C$13:$C$67,$I$4,T_ROP!$L$13:$L$67,"&lt;&gt;CLEAN",T_ROP!$L$13:$L$67,"&lt;&gt;"),"")</f>
        <v/>
      </c>
    </row>
    <row r="57" spans="1:27" ht="15" customHeight="1" x14ac:dyDescent="0.3">
      <c r="A57" s="185" t="s">
        <v>227</v>
      </c>
      <c r="B57" s="186" t="s">
        <v>226</v>
      </c>
      <c r="C57" s="187">
        <f>SUMIFS(T_Load!$O$9:$O$439,T_Load!$D$9:$D$439,$I$4,T_Load!$J$9:$J$439,"KD007")</f>
        <v>0</v>
      </c>
      <c r="D57" s="187">
        <f>SUMIFS(T_Sales!$L$9:$L$1164,T_Sales!$D$9:$D$1164,$I$4,T_Sales!$I$9:$I$1164,"KD007")</f>
        <v>0</v>
      </c>
      <c r="E57" s="187">
        <f t="shared" si="9"/>
        <v>0</v>
      </c>
      <c r="F57" s="187">
        <f>SUMIFS(T_ROP!$J$13:$J$436,T_ROP!$C$13:$C$436,$I$4,T_ROP!$F$13:$F$436,"KD007")</f>
        <v>0</v>
      </c>
      <c r="G57" s="188">
        <f t="shared" si="10"/>
        <v>0</v>
      </c>
      <c r="H57" s="189" cm="1">
        <f t="array" ref="H57">IFERROR(INDEX(M_DepotPrice!$C$10:$C$52,MATCH(1,(M_DepotPrice!$A$10:$A$52=A57)*(M_DepotPrice!$H$10:$H$52=IFERROR(INDEX(M_Depot!$A$7:$A$24,MATCH($G$6,M_Depot!$B$7:$B$24,0)),""))*(M_DepotPrice!$G$10:$G$52="Special"),0)),INDEX(M_DepotPrice!$C$10:$C$52,MATCH(1,(M_DepotPrice!$A$10:$A$52=A57)*(M_DepotPrice!$G$10:$G$52="Default"),0)))*1.18</f>
        <v>3750.04</v>
      </c>
      <c r="I57" s="190">
        <f>SUMIFS(T_Sales!$N$9:$N$1164,T_Sales!$D$9:$D$1164,$I$4,T_Sales!$I$9:$I$1164,"KD007")</f>
        <v>0</v>
      </c>
      <c r="J57" s="191" t="str">
        <f t="shared" si="11"/>
        <v>-</v>
      </c>
      <c r="AA57" s="175" t="str">
        <f>IF(AND(T_ROP!$C$68=$I$4,T_ROP!$L$68&lt;&gt;"CLEAN",T_ROP!$L$68&lt;&gt;""),COUNTIFS(T_ROP!$C$13:$C$68,$I$4,T_ROP!$L$13:$L$68,"&lt;&gt;CLEAN",T_ROP!$L$13:$L$68,"&lt;&gt;"),"")</f>
        <v/>
      </c>
    </row>
    <row r="58" spans="1:27" ht="15" customHeight="1" x14ac:dyDescent="0.3">
      <c r="AA58" s="175" t="str">
        <f>IF(AND(T_ROP!$C$69=$I$4,T_ROP!$L$69&lt;&gt;"CLEAN",T_ROP!$L$69&lt;&gt;""),COUNTIFS(T_ROP!$C$13:$C$69,$I$4,T_ROP!$L$13:$L$69,"&lt;&gt;CLEAN",T_ROP!$L$13:$L$69,"&lt;&gt;"),"")</f>
        <v/>
      </c>
    </row>
    <row r="59" spans="1:27" ht="15" customHeight="1" x14ac:dyDescent="0.3">
      <c r="AA59" s="175" t="str">
        <f>IF(AND(T_ROP!$C$70=$I$4,T_ROP!$L$70&lt;&gt;"CLEAN",T_ROP!$L$70&lt;&gt;""),COUNTIFS(T_ROP!$C$13:$C$70,$I$4,T_ROP!$L$13:$L$70,"&lt;&gt;CLEAN",T_ROP!$L$13:$L$70,"&lt;&gt;"),"")</f>
        <v/>
      </c>
    </row>
    <row r="60" spans="1:27" ht="19.5" customHeight="1" x14ac:dyDescent="0.3">
      <c r="A60" s="356" t="s">
        <v>3692</v>
      </c>
      <c r="B60" s="356"/>
      <c r="C60" s="356"/>
      <c r="D60" s="356"/>
      <c r="E60" s="356"/>
      <c r="F60" s="356"/>
      <c r="G60" s="356"/>
      <c r="H60" s="356"/>
      <c r="I60" s="356"/>
      <c r="J60" s="356"/>
      <c r="AA60" s="175" t="str">
        <f>IF(AND(T_ROP!$C$71=$I$4,T_ROP!$L$71&lt;&gt;"CLEAN",T_ROP!$L$71&lt;&gt;""),COUNTIFS(T_ROP!$C$13:$C$71,$I$4,T_ROP!$L$13:$L$71,"&lt;&gt;CLEAN",T_ROP!$L$13:$L$71,"&lt;&gt;"),"")</f>
        <v/>
      </c>
    </row>
    <row r="61" spans="1:27" ht="27.75" customHeight="1" x14ac:dyDescent="0.3">
      <c r="A61" s="192" t="s">
        <v>161</v>
      </c>
      <c r="B61" s="192" t="s">
        <v>3693</v>
      </c>
      <c r="C61" s="192" t="s">
        <v>3694</v>
      </c>
      <c r="D61" s="192" t="s">
        <v>3695</v>
      </c>
      <c r="E61" s="192" t="s">
        <v>1878</v>
      </c>
      <c r="F61" s="192" t="s">
        <v>3678</v>
      </c>
      <c r="G61" s="192" t="s">
        <v>2754</v>
      </c>
      <c r="H61" s="192"/>
      <c r="I61" s="192" t="s">
        <v>3696</v>
      </c>
      <c r="J61" s="192"/>
      <c r="AA61" s="175" t="str">
        <f>IF(AND(T_ROP!$C$72=$I$4,T_ROP!$L$72&lt;&gt;"CLEAN",T_ROP!$L$72&lt;&gt;""),COUNTIFS(T_ROP!$C$13:$C$72,$I$4,T_ROP!$L$13:$L$72,"&lt;&gt;CLEAN",T_ROP!$L$13:$L$72,"&lt;&gt;"),"")</f>
        <v/>
      </c>
    </row>
    <row r="62" spans="1:27" ht="15" customHeight="1" x14ac:dyDescent="0.3">
      <c r="A62" s="193" t="s">
        <v>3697</v>
      </c>
      <c r="B62" s="159">
        <f>SUMPRODUCT((C14:C28&gt;0)*1)</f>
        <v>13</v>
      </c>
      <c r="C62" s="160">
        <f>SUM(C14:C28)</f>
        <v>98</v>
      </c>
      <c r="D62" s="160">
        <f>SUM(D14:D28)</f>
        <v>82.702030861857565</v>
      </c>
      <c r="E62" s="160">
        <f>SUM(E14:E28)</f>
        <v>15.297969138142452</v>
      </c>
      <c r="F62" s="160">
        <f>SUM(F14:F28)</f>
        <v>15.299999999999999</v>
      </c>
      <c r="G62" s="308">
        <f>SUM(G14:G28)</f>
        <v>-2.0308618575490545E-3</v>
      </c>
      <c r="H62" s="194"/>
      <c r="I62" s="195">
        <f>SUM(I14:I28)</f>
        <v>1149591.3097921645</v>
      </c>
      <c r="J62" s="194"/>
      <c r="AA62" s="175" t="str">
        <f>IF(AND(T_ROP!$C$73=$I$4,T_ROP!$L$73&lt;&gt;"CLEAN",T_ROP!$L$73&lt;&gt;""),COUNTIFS(T_ROP!$C$13:$C$73,$I$4,T_ROP!$L$13:$L$73,"&lt;&gt;CLEAN",T_ROP!$L$13:$L$73,"&lt;&gt;"),"")</f>
        <v/>
      </c>
    </row>
    <row r="63" spans="1:27" ht="15" customHeight="1" x14ac:dyDescent="0.3">
      <c r="A63" s="193" t="s">
        <v>3698</v>
      </c>
      <c r="B63" s="159">
        <f>SUMPRODUCT((C30:C38&gt;0)*1)</f>
        <v>8</v>
      </c>
      <c r="C63" s="160">
        <f>SUM(C30:C38)</f>
        <v>114</v>
      </c>
      <c r="D63" s="160">
        <f>SUM(D30:D38)</f>
        <v>97</v>
      </c>
      <c r="E63" s="160">
        <f>SUM(E30:E38)</f>
        <v>17</v>
      </c>
      <c r="F63" s="160">
        <f>SUM(F30:F38)</f>
        <v>17</v>
      </c>
      <c r="G63" s="308">
        <f>SUM(G30:G38)</f>
        <v>0</v>
      </c>
      <c r="H63" s="194"/>
      <c r="I63" s="195">
        <f>SUM(I30:I38)</f>
        <v>1018465.0799999998</v>
      </c>
      <c r="J63" s="194"/>
      <c r="AA63" s="175" t="str">
        <f>IF(AND(T_ROP!$C$74=$I$4,T_ROP!$L$74&lt;&gt;"CLEAN",T_ROP!$L$74&lt;&gt;""),COUNTIFS(T_ROP!$C$13:$C$74,$I$4,T_ROP!$L$13:$L$74,"&lt;&gt;CLEAN",T_ROP!$L$13:$L$74,"&lt;&gt;"),"")</f>
        <v/>
      </c>
    </row>
    <row r="64" spans="1:27" ht="15" customHeight="1" x14ac:dyDescent="0.3">
      <c r="A64" s="193" t="s">
        <v>3699</v>
      </c>
      <c r="B64" s="159">
        <f>SUMPRODUCT((C40:C46&gt;0)*1)</f>
        <v>3</v>
      </c>
      <c r="C64" s="160">
        <f>SUM(C40:C46)</f>
        <v>35</v>
      </c>
      <c r="D64" s="160">
        <f>SUM(D40:D46)</f>
        <v>27</v>
      </c>
      <c r="E64" s="160">
        <f>SUM(E40:E46)</f>
        <v>8</v>
      </c>
      <c r="F64" s="160">
        <f>SUM(F40:F46)</f>
        <v>8</v>
      </c>
      <c r="G64" s="308">
        <f>SUM(G40:G46)</f>
        <v>0</v>
      </c>
      <c r="H64" s="194"/>
      <c r="I64" s="195">
        <f>SUM(I40:I46)</f>
        <v>162008.09999999998</v>
      </c>
      <c r="J64" s="194"/>
      <c r="AA64" s="175" t="str">
        <f>IF(AND(T_ROP!$C$75=$I$4,T_ROP!$L$75&lt;&gt;"CLEAN",T_ROP!$L$75&lt;&gt;""),COUNTIFS(T_ROP!$C$13:$C$75,$I$4,T_ROP!$L$13:$L$75,"&lt;&gt;CLEAN",T_ROP!$L$13:$L$75,"&lt;&gt;"),"")</f>
        <v/>
      </c>
    </row>
    <row r="65" spans="1:27" ht="15" customHeight="1" x14ac:dyDescent="0.3">
      <c r="A65" s="193" t="s">
        <v>3700</v>
      </c>
      <c r="B65" s="159">
        <f>SUMPRODUCT((C48:C50&gt;0)*1)</f>
        <v>0</v>
      </c>
      <c r="C65" s="160">
        <f>SUM(C48:C50)</f>
        <v>0</v>
      </c>
      <c r="D65" s="160">
        <f>SUM(D48:D50)</f>
        <v>0</v>
      </c>
      <c r="E65" s="160">
        <f>SUM(E48:E50)</f>
        <v>0</v>
      </c>
      <c r="F65" s="160">
        <f>SUM(F48:F50)</f>
        <v>0</v>
      </c>
      <c r="G65" s="308">
        <f>SUM(G48:G50)</f>
        <v>0</v>
      </c>
      <c r="H65" s="194"/>
      <c r="I65" s="195">
        <f>SUM(I48:I50)</f>
        <v>0</v>
      </c>
      <c r="J65" s="194"/>
      <c r="AA65" s="175" t="str">
        <f>IF(AND(T_ROP!$C$76=$I$4,T_ROP!$L$76&lt;&gt;"CLEAN",T_ROP!$L$76&lt;&gt;""),COUNTIFS(T_ROP!$C$13:$C$76,$I$4,T_ROP!$L$13:$L$76,"&lt;&gt;CLEAN",T_ROP!$L$13:$L$76,"&lt;&gt;"),"")</f>
        <v/>
      </c>
    </row>
    <row r="66" spans="1:27" ht="15" customHeight="1" x14ac:dyDescent="0.3">
      <c r="A66" s="193" t="s">
        <v>214</v>
      </c>
      <c r="B66" s="159">
        <f>SUMPRODUCT((C52:C57&gt;0)*1)</f>
        <v>2</v>
      </c>
      <c r="C66" s="160">
        <f>SUM(C52:C57)</f>
        <v>140</v>
      </c>
      <c r="D66" s="160">
        <f>SUM(D52:D57)</f>
        <v>120</v>
      </c>
      <c r="E66" s="160">
        <f>SUM(E52:E57)</f>
        <v>20</v>
      </c>
      <c r="F66" s="160">
        <f>SUM(F52:F57)</f>
        <v>20</v>
      </c>
      <c r="G66" s="308">
        <f>SUM(G52:G57)</f>
        <v>0</v>
      </c>
      <c r="H66" s="194"/>
      <c r="I66" s="195">
        <f>SUM(I52:I57)</f>
        <v>544480.32000000007</v>
      </c>
      <c r="J66" s="194"/>
      <c r="AA66" s="175" t="str">
        <f>IF(AND(T_ROP!$C$77=$I$4,T_ROP!$L$77&lt;&gt;"CLEAN",T_ROP!$L$77&lt;&gt;""),COUNTIFS(T_ROP!$C$13:$C$77,$I$4,T_ROP!$L$13:$L$77,"&lt;&gt;CLEAN",T_ROP!$L$13:$L$77,"&lt;&gt;"),"")</f>
        <v/>
      </c>
    </row>
    <row r="67" spans="1:27" ht="29.25" customHeight="1" x14ac:dyDescent="0.3">
      <c r="A67" s="196" t="s">
        <v>3701</v>
      </c>
      <c r="B67" s="197">
        <f t="shared" ref="B67:G67" si="12">SUM(B62:B66)</f>
        <v>26</v>
      </c>
      <c r="C67" s="198">
        <f t="shared" si="12"/>
        <v>387</v>
      </c>
      <c r="D67" s="198">
        <f t="shared" si="12"/>
        <v>326.70203086185757</v>
      </c>
      <c r="E67" s="198">
        <f t="shared" si="12"/>
        <v>60.297969138142449</v>
      </c>
      <c r="F67" s="198">
        <f t="shared" si="12"/>
        <v>60.3</v>
      </c>
      <c r="G67" s="309">
        <f t="shared" si="12"/>
        <v>-2.0308618575490545E-3</v>
      </c>
      <c r="H67" s="199"/>
      <c r="I67" s="197">
        <f>SUM(I62:I66)</f>
        <v>2874544.8097921647</v>
      </c>
      <c r="J67" s="199"/>
      <c r="AA67" s="175" t="str">
        <f>IF(AND(T_ROP!$C$78=$I$4,T_ROP!$L$78&lt;&gt;"CLEAN",T_ROP!$L$78&lt;&gt;""),COUNTIFS(T_ROP!$C$13:$C$78,$I$4,T_ROP!$L$13:$L$78,"&lt;&gt;CLEAN",T_ROP!$L$13:$L$78,"&lt;&gt;"),"")</f>
        <v/>
      </c>
    </row>
    <row r="68" spans="1:27" ht="15" customHeight="1" x14ac:dyDescent="0.3">
      <c r="AA68" s="175" t="str">
        <f>IF(AND(T_ROP!$C$79=$I$4,T_ROP!$L$79&lt;&gt;"CLEAN",T_ROP!$L$79&lt;&gt;""),COUNTIFS(T_ROP!$C$13:$C$79,$I$4,T_ROP!$L$13:$L$79,"&lt;&gt;CLEAN",T_ROP!$L$13:$L$79,"&lt;&gt;"),"")</f>
        <v/>
      </c>
    </row>
    <row r="69" spans="1:27" ht="15" customHeight="1" x14ac:dyDescent="0.3">
      <c r="AA69" s="175" t="str">
        <f>IF(AND(T_ROP!$C$80=$I$4,T_ROP!$L$80&lt;&gt;"CLEAN",T_ROP!$L$80&lt;&gt;""),COUNTIFS(T_ROP!$C$13:$C$80,$I$4,T_ROP!$L$13:$L$80,"&lt;&gt;CLEAN",T_ROP!$L$13:$L$80,"&lt;&gt;"),"")</f>
        <v/>
      </c>
    </row>
    <row r="70" spans="1:27" ht="21.75" customHeight="1" x14ac:dyDescent="0.3">
      <c r="A70" s="357" t="s">
        <v>3702</v>
      </c>
      <c r="B70" s="357"/>
      <c r="C70" s="357"/>
      <c r="D70" s="357"/>
      <c r="E70" s="357"/>
      <c r="F70" s="357"/>
      <c r="G70" s="357"/>
      <c r="H70" s="357"/>
      <c r="I70" s="357"/>
      <c r="J70" s="357"/>
      <c r="AA70" s="175" t="str">
        <f>IF(AND(T_ROP!$C$81=$I$4,T_ROP!$L$81&lt;&gt;"CLEAN",T_ROP!$L$81&lt;&gt;""),COUNTIFS(T_ROP!$C$13:$C$81,$I$4,T_ROP!$L$13:$L$81,"&lt;&gt;CLEAN",T_ROP!$L$13:$L$81,"&lt;&gt;"),"")</f>
        <v/>
      </c>
    </row>
    <row r="71" spans="1:27" ht="15" customHeight="1" x14ac:dyDescent="0.3">
      <c r="B71" s="200">
        <f>I67</f>
        <v>2874544.8097921647</v>
      </c>
      <c r="C71" s="358" t="s">
        <v>3703</v>
      </c>
      <c r="D71" s="358"/>
      <c r="E71" s="358"/>
      <c r="F71" s="358"/>
      <c r="G71" s="358"/>
      <c r="H71" s="358"/>
      <c r="I71" s="359">
        <f>I67</f>
        <v>2874544.8097921647</v>
      </c>
      <c r="J71" s="359"/>
      <c r="AA71" s="175" t="str">
        <f>IF(AND(T_ROP!$C$82=$I$4,T_ROP!$L$82&lt;&gt;"CLEAN",T_ROP!$L$82&lt;&gt;""),COUNTIFS(T_ROP!$C$13:$C$82,$I$4,T_ROP!$L$13:$L$82,"&lt;&gt;CLEAN",T_ROP!$L$13:$L$82,"&lt;&gt;"),"")</f>
        <v/>
      </c>
    </row>
    <row r="72" spans="1:27" ht="15" customHeight="1" x14ac:dyDescent="0.3">
      <c r="B72" s="200">
        <f>SUMIF(T_DefaultOutletPosting!$D$9:$D$111,$I$4,T_DefaultOutletPosting!$N$9:$N$111)</f>
        <v>141.63703053964366</v>
      </c>
      <c r="C72" s="360" t="s">
        <v>3704</v>
      </c>
      <c r="D72" s="360"/>
      <c r="E72" s="360"/>
      <c r="F72" s="360"/>
      <c r="G72" s="360"/>
      <c r="H72" s="360"/>
      <c r="I72" s="361">
        <f>SUMIF(T_DefaultOutletPosting!$D$9:$D$111,$I$4,T_DefaultOutletPosting!$N$9:$N$111)</f>
        <v>141.63703053964366</v>
      </c>
      <c r="J72" s="361"/>
      <c r="AA72" s="175" t="str">
        <f>IF(AND(T_ROP!$C$83=$I$4,T_ROP!$L$83&lt;&gt;"CLEAN",T_ROP!$L$83&lt;&gt;""),COUNTIFS(T_ROP!$C$13:$C$83,$I$4,T_ROP!$L$13:$L$83,"&lt;&gt;CLEAN",T_ROP!$L$13:$L$83,"&lt;&gt;"),"")</f>
        <v/>
      </c>
    </row>
    <row r="73" spans="1:27" ht="17.25" customHeight="1" x14ac:dyDescent="0.3">
      <c r="B73" s="200">
        <f>B71+B72</f>
        <v>2874686.4468227043</v>
      </c>
      <c r="C73" s="364" t="s">
        <v>3705</v>
      </c>
      <c r="D73" s="364"/>
      <c r="E73" s="364"/>
      <c r="F73" s="364"/>
      <c r="G73" s="364"/>
      <c r="H73" s="364"/>
      <c r="I73" s="365">
        <f>B71+B72</f>
        <v>2874686.4468227043</v>
      </c>
      <c r="J73" s="365"/>
      <c r="AA73" s="175" t="str">
        <f>IF(AND(T_ROP!$C$84=$I$4,T_ROP!$L$84&lt;&gt;"CLEAN",T_ROP!$L$84&lt;&gt;""),COUNTIFS(T_ROP!$C$13:$C$84,$I$4,T_ROP!$L$13:$L$84,"&lt;&gt;CLEAN",T_ROP!$L$13:$L$84,"&lt;&gt;"),"")</f>
        <v/>
      </c>
    </row>
    <row r="74" spans="1:27" ht="15" customHeight="1" x14ac:dyDescent="0.3">
      <c r="AA74" s="175" t="str">
        <f>IF(AND(T_ROP!$C$85=$I$4,T_ROP!$L$85&lt;&gt;"CLEAN",T_ROP!$L$85&lt;&gt;""),COUNTIFS(T_ROP!$C$13:$C$85,$I$4,T_ROP!$L$13:$L$85,"&lt;&gt;CLEAN",T_ROP!$L$13:$L$85,"&lt;&gt;"),"")</f>
        <v/>
      </c>
    </row>
    <row r="75" spans="1:27" ht="15" customHeight="1" x14ac:dyDescent="0.3">
      <c r="AA75" s="175" t="str">
        <f>IF(AND(T_ROP!$C$86=$I$4,T_ROP!$L$86&lt;&gt;"CLEAN",T_ROP!$L$86&lt;&gt;""),COUNTIFS(T_ROP!$C$13:$C$86,$I$4,T_ROP!$L$13:$L$86,"&lt;&gt;CLEAN",T_ROP!$L$13:$L$86,"&lt;&gt;"),"")</f>
        <v/>
      </c>
    </row>
    <row r="76" spans="1:27" ht="21.75" customHeight="1" x14ac:dyDescent="0.3">
      <c r="A76" s="356" t="s">
        <v>3706</v>
      </c>
      <c r="B76" s="356"/>
      <c r="C76" s="356"/>
      <c r="D76" s="356"/>
      <c r="E76" s="356"/>
      <c r="F76" s="356"/>
      <c r="G76" s="356"/>
      <c r="H76" s="356"/>
      <c r="I76" s="356"/>
      <c r="J76" s="356"/>
      <c r="AA76" s="175" t="str">
        <f>IF(AND(T_ROP!$C$87=$I$4,T_ROP!$L$87&lt;&gt;"CLEAN",T_ROP!$L$87&lt;&gt;""),COUNTIFS(T_ROP!$C$13:$C$87,$I$4,T_ROP!$L$13:$L$87,"&lt;&gt;CLEAN",T_ROP!$L$13:$L$87,"&lt;&gt;"),"")</f>
        <v/>
      </c>
    </row>
    <row r="77" spans="1:27" ht="15" customHeight="1" x14ac:dyDescent="0.3">
      <c r="AA77" s="175" t="str">
        <f>IF(AND(T_ROP!$C$88=$I$4,T_ROP!$L$88&lt;&gt;"CLEAN",T_ROP!$L$88&lt;&gt;""),COUNTIFS(T_ROP!$C$13:$C$88,$I$4,T_ROP!$L$13:$L$88,"&lt;&gt;CLEAN",T_ROP!$L$13:$L$88,"&lt;&gt;"),"")</f>
        <v/>
      </c>
    </row>
    <row r="78" spans="1:27" ht="15" customHeight="1" x14ac:dyDescent="0.3">
      <c r="A78" s="178" t="s">
        <v>3707</v>
      </c>
      <c r="B78" s="366" t="s">
        <v>3708</v>
      </c>
      <c r="C78" s="366"/>
      <c r="D78" s="366"/>
      <c r="E78" s="366"/>
      <c r="F78" s="178" t="s">
        <v>3709</v>
      </c>
      <c r="G78" s="366" t="s">
        <v>3708</v>
      </c>
      <c r="H78" s="366"/>
      <c r="I78" s="366"/>
      <c r="J78" s="366"/>
      <c r="AA78" s="175" t="str">
        <f>IF(AND(T_ROP!$C$89=$I$4,T_ROP!$L$89&lt;&gt;"CLEAN",T_ROP!$L$89&lt;&gt;""),COUNTIFS(T_ROP!$C$13:$C$89,$I$4,T_ROP!$L$13:$L$89,"&lt;&gt;CLEAN",T_ROP!$L$13:$L$89,"&lt;&gt;"),"")</f>
        <v/>
      </c>
    </row>
    <row r="79" spans="1:27" ht="15" customHeight="1" x14ac:dyDescent="0.3">
      <c r="AA79" s="175" t="str">
        <f>IF(AND(T_ROP!$C$90=$I$4,T_ROP!$L$90&lt;&gt;"CLEAN",T_ROP!$L$90&lt;&gt;""),COUNTIFS(T_ROP!$C$13:$C$90,$I$4,T_ROP!$L$13:$L$90,"&lt;&gt;CLEAN",T_ROP!$L$13:$L$90,"&lt;&gt;"),"")</f>
        <v/>
      </c>
    </row>
    <row r="80" spans="1:27" ht="15" customHeight="1" x14ac:dyDescent="0.3">
      <c r="A80" s="178" t="s">
        <v>3710</v>
      </c>
      <c r="B80" s="362" t="s">
        <v>3708</v>
      </c>
      <c r="C80" s="362"/>
      <c r="D80" s="362"/>
      <c r="E80" s="362"/>
      <c r="F80" s="178" t="s">
        <v>3711</v>
      </c>
      <c r="G80" s="362" t="s">
        <v>3708</v>
      </c>
      <c r="H80" s="362"/>
      <c r="I80" s="362"/>
      <c r="J80" s="362"/>
      <c r="AA80" s="175" t="str">
        <f>IF(AND(T_ROP!$C$91=$I$4,T_ROP!$L$91&lt;&gt;"CLEAN",T_ROP!$L$91&lt;&gt;""),COUNTIFS(T_ROP!$C$13:$C$91,$I$4,T_ROP!$L$13:$L$91,"&lt;&gt;CLEAN",T_ROP!$L$13:$L$91,"&lt;&gt;"),"")</f>
        <v/>
      </c>
    </row>
    <row r="81" spans="1:27" ht="15" customHeight="1" x14ac:dyDescent="0.3">
      <c r="AA81" s="175" t="str">
        <f>IF(AND(T_ROP!$C$92=$I$4,T_ROP!$L$92&lt;&gt;"CLEAN",T_ROP!$L$92&lt;&gt;""),COUNTIFS(T_ROP!$C$13:$C$92,$I$4,T_ROP!$L$13:$L$92,"&lt;&gt;CLEAN",T_ROP!$L$13:$L$92,"&lt;&gt;"),"")</f>
        <v/>
      </c>
    </row>
    <row r="82" spans="1:27" ht="15" customHeight="1" x14ac:dyDescent="0.3">
      <c r="AA82" s="175" t="str">
        <f>IF(AND(T_ROP!$C$93=$I$4,T_ROP!$L$93&lt;&gt;"CLEAN",T_ROP!$L$93&lt;&gt;""),COUNTIFS(T_ROP!$C$13:$C$93,$I$4,T_ROP!$L$13:$L$93,"&lt;&gt;CLEAN",T_ROP!$L$13:$L$93,"&lt;&gt;"),"")</f>
        <v/>
      </c>
    </row>
    <row r="83" spans="1:27" ht="21.75" customHeight="1" x14ac:dyDescent="0.3">
      <c r="A83" s="363" t="s">
        <v>3712</v>
      </c>
      <c r="B83" s="363"/>
      <c r="C83" s="363"/>
      <c r="D83" s="363"/>
      <c r="E83" s="363"/>
      <c r="F83" s="363"/>
      <c r="G83" s="363"/>
      <c r="H83" s="363"/>
      <c r="I83" s="363"/>
      <c r="J83" s="363"/>
      <c r="AA83" s="175" t="str">
        <f>IF(AND(T_ROP!$C$94=$I$4,T_ROP!$L$94&lt;&gt;"CLEAN",T_ROP!$L$94&lt;&gt;""),COUNTIFS(T_ROP!$C$13:$C$94,$I$4,T_ROP!$L$13:$L$94,"&lt;&gt;CLEAN",T_ROP!$L$13:$L$94,"&lt;&gt;"),"")</f>
        <v/>
      </c>
    </row>
    <row r="84" spans="1:27" ht="15" customHeight="1" x14ac:dyDescent="0.3">
      <c r="A84" s="350" t="s">
        <v>3713</v>
      </c>
      <c r="B84" s="350"/>
      <c r="C84" s="350"/>
      <c r="D84" s="350"/>
      <c r="E84" s="350"/>
      <c r="F84" s="350"/>
      <c r="G84" s="350"/>
      <c r="H84" s="350"/>
      <c r="I84" s="350"/>
      <c r="J84" s="350"/>
      <c r="AA84" s="175" t="str">
        <f>IF(AND(T_ROP!$C$95=$I$4,T_ROP!$L$95&lt;&gt;"CLEAN",T_ROP!$L$95&lt;&gt;""),COUNTIFS(T_ROP!$C$13:$C$95,$I$4,T_ROP!$L$13:$L$95,"&lt;&gt;CLEAN",T_ROP!$L$13:$L$95,"&lt;&gt;"),"")</f>
        <v/>
      </c>
    </row>
    <row r="85" spans="1:27" ht="15" customHeight="1" x14ac:dyDescent="0.3">
      <c r="AA85" s="175" t="str">
        <f>IF(AND(T_ROP!$C$96=$I$4,T_ROP!$L$96&lt;&gt;"CLEAN",T_ROP!$L$96&lt;&gt;""),COUNTIFS(T_ROP!$C$13:$C$96,$I$4,T_ROP!$L$13:$L$96,"&lt;&gt;CLEAN",T_ROP!$L$13:$L$96,"&lt;&gt;"),"")</f>
        <v/>
      </c>
    </row>
    <row r="86" spans="1:27" ht="31.5" customHeight="1" x14ac:dyDescent="0.3">
      <c r="A86" s="153" t="s">
        <v>3714</v>
      </c>
      <c r="B86" s="153" t="s">
        <v>509</v>
      </c>
      <c r="C86" s="153" t="s">
        <v>277</v>
      </c>
      <c r="D86" s="153" t="s">
        <v>3631</v>
      </c>
      <c r="E86" s="153" t="s">
        <v>1878</v>
      </c>
      <c r="F86" s="153" t="s">
        <v>3678</v>
      </c>
      <c r="G86" s="153" t="s">
        <v>2754</v>
      </c>
      <c r="H86" s="153" t="s">
        <v>3679</v>
      </c>
      <c r="I86" s="153" t="s">
        <v>3715</v>
      </c>
      <c r="J86" s="153" t="s">
        <v>3716</v>
      </c>
      <c r="AA86" s="175" t="str">
        <f>IF(AND(T_ROP!$C$97=$I$4,T_ROP!$L$97&lt;&gt;"CLEAN",T_ROP!$L$97&lt;&gt;""),COUNTIFS(T_ROP!$C$13:$C$97,$I$4,T_ROP!$L$13:$L$97,"&lt;&gt;CLEAN",T_ROP!$L$13:$L$97,"&lt;&gt;"),"")</f>
        <v/>
      </c>
    </row>
    <row r="87" spans="1:27" ht="53.25" customHeight="1" x14ac:dyDescent="0.3">
      <c r="A87" s="201">
        <v>1</v>
      </c>
      <c r="B87" s="202" t="str">
        <f>IFERROR(INDEX(T_ROP!$F$13:$F$436,IFERROR(MATCH(1,$AA$2:$AA$425,0),0)),"")</f>
        <v>FG001</v>
      </c>
      <c r="C87" s="203" t="str">
        <f>IF(B87="","",IFERROR(INDEX(M_SKU!$A$18:$J$57,MATCH(B87,M_SKU!$B$18:$B$57,0),1),"?"))</f>
        <v>Coke RGB 350ml</v>
      </c>
      <c r="D87" s="101" t="str">
        <f>IFERROR(INDEX(T_ROP!$H$13:$H$436,IFERROR(MATCH(1,$AA$2:$AA$425,0),0)),"")</f>
        <v>CK3-33409</v>
      </c>
      <c r="E87" s="204">
        <f>IFERROR(INDEX(T_ROP!$I$13:$I$436,IFERROR(MATCH(1,$AA$2:$AA$425,0),0)),"")</f>
        <v>3.239851966180801</v>
      </c>
      <c r="F87" s="204">
        <f>IFERROR(INDEX(T_ROP!$J$13:$J$436,IFERROR(MATCH(1,$AA$2:$AA$425,0),0)),"")</f>
        <v>3.24</v>
      </c>
      <c r="G87" s="205">
        <f>IFERROR(INDEX(T_ROP!$K$13:$K$436,IFERROR(MATCH(1,$AA$2:$AA$425,0),0)),"")</f>
        <v>-1.4803381919925584E-4</v>
      </c>
      <c r="H87" s="256" t="str">
        <f>IFERROR(INDEX(T_ROP!$L$13:$L$436,IFERROR(MATCH(1,$AA$2:$AA$425,0),0)),"")</f>
        <v>Adjust Unload Upward</v>
      </c>
      <c r="I87" s="202" t="str">
        <f>IF(IFERROR(INDEX(T_ROP!$A$13:$A$436,IFERROR(MATCH(1,$AA$2:$AA$425,0),0)),"")="","",IF(IFERROR(INDEX(T_VarianceReasons!$J$9:$J$240,MATCH(IFERROR(INDEX(T_ROP!$A$13:$A$436,IFERROR(MATCH(1,$AA$2:$AA$425,0),0)),""),T_VarianceReasons!$B$9:$B$240,0)),"")="","NO","YES"))</f>
        <v>NO</v>
      </c>
      <c r="J87" s="207" t="str">
        <f>IF(IFERROR(INDEX(T_ROP!$A$13:$A$436,IFERROR(MATCH(1,$AA$2:$AA$425,0),0)),"")="","",IFERROR(INDEX(T_VarianceReasons!$J$9:$J$240,MATCH(IFERROR(INDEX(T_ROP!$A$13:$A$436,IFERROR(MATCH(1,$AA$2:$AA$425,0),0)),""),T_VarianceReasons!$B$9:$B$240,0))&amp;": "&amp;INDEX(T_VarianceReasons!$K$9:$K$240,MATCH(IFERROR(INDEX(T_ROP!$A$13:$A$436,IFERROR(MATCH(1,$AA$2:$AA$425,0),0)),""),T_VarianceReasons!$B$9:$B$240,0)),""))</f>
        <v xml:space="preserve">: </v>
      </c>
      <c r="AA87" s="175" t="str">
        <f>IF(AND(T_ROP!$C$98=$I$4,T_ROP!$L$98&lt;&gt;"CLEAN",T_ROP!$L$98&lt;&gt;""),COUNTIFS(T_ROP!$C$13:$C$98,$I$4,T_ROP!$L$13:$L$98,"&lt;&gt;CLEAN",T_ROP!$L$13:$L$98,"&lt;&gt;"),"")</f>
        <v/>
      </c>
    </row>
    <row r="88" spans="1:27" ht="23.25" customHeight="1" x14ac:dyDescent="0.3">
      <c r="A88" s="208">
        <v>2</v>
      </c>
      <c r="B88" s="209" t="str">
        <f>IFERROR(INDEX(T_ROP!$F$13:$F$436,IFERROR(MATCH(2,$AA$2:$AA$425,0),0)),"")</f>
        <v>FG002</v>
      </c>
      <c r="C88" s="135" t="str">
        <f>IF(B88="","",IFERROR(INDEX(M_SKU!$A$18:$J$57,MATCH(B88,M_SKU!$B$18:$B$57,0),1),"?"))</f>
        <v>Fanta Orange RGB 350ml</v>
      </c>
      <c r="D88" s="63" t="str">
        <f>IFERROR(INDEX(T_ROP!$H$13:$H$436,IFERROR(MATCH(2,$AA$2:$AA$425,0),0)),"")</f>
        <v>CK3-33407</v>
      </c>
      <c r="E88" s="90">
        <f>IFERROR(INDEX(T_ROP!$I$13:$I$436,IFERROR(MATCH(2,$AA$2:$AA$425,0),0)),"")</f>
        <v>3.6010213285305497</v>
      </c>
      <c r="F88" s="90">
        <f>IFERROR(INDEX(T_ROP!$J$13:$J$436,IFERROR(MATCH(2,$AA$2:$AA$425,0),0)),"")</f>
        <v>3.6</v>
      </c>
      <c r="G88" s="127">
        <f>IFERROR(INDEX(T_ROP!$K$13:$K$436,IFERROR(MATCH(2,$AA$2:$AA$425,0),0)),"")</f>
        <v>1.0213285305495923E-3</v>
      </c>
      <c r="H88" s="155" t="str">
        <f>IFERROR(INDEX(T_ROP!$L$13:$L$436,IFERROR(MATCH(2,$AA$2:$AA$425,0),0)),"")</f>
        <v>Post to Default Outlet</v>
      </c>
      <c r="I88" s="209" t="str">
        <f>IF(IFERROR(INDEX(T_ROP!$A$13:$A$436,IFERROR(MATCH(2,$AA$2:$AA$425,0),0)),"")="","",IF(IFERROR(INDEX(T_VarianceReasons!$J$9:$J$240,MATCH(IFERROR(INDEX(T_ROP!$A$13:$A$436,IFERROR(MATCH(2,$AA$2:$AA$425,0),0)),""),T_VarianceReasons!$B$9:$B$240,0)),"")="","NO","YES"))</f>
        <v>NO</v>
      </c>
      <c r="J88" s="210" t="str">
        <f>IF(IFERROR(INDEX(T_ROP!$A$13:$A$436,IFERROR(MATCH(2,$AA$2:$AA$425,0),0)),"")="","",IFERROR(INDEX(T_VarianceReasons!$J$9:$J$240,MATCH(IFERROR(INDEX(T_ROP!$A$13:$A$436,IFERROR(MATCH(2,$AA$2:$AA$425,0),0)),""),T_VarianceReasons!$B$9:$B$240,0))&amp;": "&amp;INDEX(T_VarianceReasons!$K$9:$K$240,MATCH(IFERROR(INDEX(T_ROP!$A$13:$A$436,IFERROR(MATCH(2,$AA$2:$AA$425,0),0)),""),T_VarianceReasons!$B$9:$B$240,0)),""))</f>
        <v xml:space="preserve">: </v>
      </c>
      <c r="AA88" s="175" t="str">
        <f>IF(AND(T_ROP!$C$99=$I$4,T_ROP!$L$99&lt;&gt;"CLEAN",T_ROP!$L$99&lt;&gt;""),COUNTIFS(T_ROP!$C$13:$C$99,$I$4,T_ROP!$L$13:$L$99,"&lt;&gt;CLEAN",T_ROP!$L$13:$L$99,"&lt;&gt;"),"")</f>
        <v/>
      </c>
    </row>
    <row r="89" spans="1:27" ht="53.25" customHeight="1" x14ac:dyDescent="0.3">
      <c r="A89" s="201">
        <v>3</v>
      </c>
      <c r="B89" s="202" t="str">
        <f>IFERROR(INDEX(T_ROP!$F$13:$F$436,IFERROR(MATCH(3,$AA$2:$AA$425,0),0)),"")</f>
        <v>FG003</v>
      </c>
      <c r="C89" s="203" t="str">
        <f>IF(B89="","",IFERROR(INDEX(M_SKU!$A$18:$J$57,MATCH(B89,M_SKU!$B$18:$B$57,0),1),"?"))</f>
        <v>Fanta Passion RGB 350ml</v>
      </c>
      <c r="D89" s="101" t="str">
        <f>IFERROR(INDEX(T_ROP!$H$13:$H$436,IFERROR(MATCH(3,$AA$2:$AA$425,0),0)),"")</f>
        <v>CK3-33356</v>
      </c>
      <c r="E89" s="204">
        <f>IFERROR(INDEX(T_ROP!$I$13:$I$436,IFERROR(MATCH(3,$AA$2:$AA$425,0),0)),"")</f>
        <v>1.1701939151480598</v>
      </c>
      <c r="F89" s="204">
        <f>IFERROR(INDEX(T_ROP!$J$13:$J$436,IFERROR(MATCH(3,$AA$2:$AA$425,0),0)),"")</f>
        <v>1.17</v>
      </c>
      <c r="G89" s="205">
        <f>IFERROR(INDEX(T_ROP!$K$13:$K$436,IFERROR(MATCH(3,$AA$2:$AA$425,0),0)),"")</f>
        <v>1.9391514805988663E-4</v>
      </c>
      <c r="H89" s="256" t="str">
        <f>IFERROR(INDEX(T_ROP!$L$13:$L$436,IFERROR(MATCH(3,$AA$2:$AA$425,0),0)),"")</f>
        <v>Post to Default Outlet</v>
      </c>
      <c r="I89" s="202" t="str">
        <f>IF(IFERROR(INDEX(T_ROP!$A$13:$A$436,IFERROR(MATCH(3,$AA$2:$AA$425,0),0)),"")="","",IF(IFERROR(INDEX(T_VarianceReasons!$J$9:$J$240,MATCH(IFERROR(INDEX(T_ROP!$A$13:$A$436,IFERROR(MATCH(3,$AA$2:$AA$425,0),0)),""),T_VarianceReasons!$B$9:$B$240,0)),"")="","NO","YES"))</f>
        <v>NO</v>
      </c>
      <c r="J89" s="207" t="str">
        <f>IF(IFERROR(INDEX(T_ROP!$A$13:$A$436,IFERROR(MATCH(3,$AA$2:$AA$425,0),0)),"")="","",IFERROR(INDEX(T_VarianceReasons!$J$9:$J$240,MATCH(IFERROR(INDEX(T_ROP!$A$13:$A$436,IFERROR(MATCH(3,$AA$2:$AA$425,0),0)),""),T_VarianceReasons!$B$9:$B$240,0))&amp;": "&amp;INDEX(T_VarianceReasons!$K$9:$K$240,MATCH(IFERROR(INDEX(T_ROP!$A$13:$A$436,IFERROR(MATCH(3,$AA$2:$AA$425,0),0)),""),T_VarianceReasons!$B$9:$B$240,0)),""))</f>
        <v xml:space="preserve">: </v>
      </c>
      <c r="AA89" s="175" t="str">
        <f>IF(AND(T_ROP!$C$100=$I$4,T_ROP!$L$100&lt;&gt;"CLEAN",T_ROP!$L$100&lt;&gt;""),COUNTIFS(T_ROP!$C$13:$C$100,$I$4,T_ROP!$L$13:$L$100,"&lt;&gt;CLEAN",T_ROP!$L$13:$L$100,"&lt;&gt;"),"")</f>
        <v/>
      </c>
    </row>
    <row r="90" spans="1:27" ht="23.25" customHeight="1" x14ac:dyDescent="0.3">
      <c r="A90" s="208">
        <v>4</v>
      </c>
      <c r="B90" s="209" t="str">
        <f>IFERROR(INDEX(T_ROP!$F$13:$F$436,IFERROR(MATCH(4,$AA$2:$AA$425,0),0)),"")</f>
        <v>FG004</v>
      </c>
      <c r="C90" s="135" t="str">
        <f>IF(B90="","",IFERROR(INDEX(M_SKU!$A$18:$J$57,MATCH(B90,M_SKU!$B$18:$B$57,0),1),"?"))</f>
        <v>Fanta Pineapple RGB 350ml</v>
      </c>
      <c r="D90" s="63" t="str">
        <f>IFERROR(INDEX(T_ROP!$H$13:$H$436,IFERROR(MATCH(4,$AA$2:$AA$425,0),0)),"")</f>
        <v>CK3-33385</v>
      </c>
      <c r="E90" s="90">
        <f>IFERROR(INDEX(T_ROP!$I$13:$I$436,IFERROR(MATCH(4,$AA$2:$AA$425,0),0)),"")</f>
        <v>1.5267254751039099</v>
      </c>
      <c r="F90" s="90">
        <f>IFERROR(INDEX(T_ROP!$J$13:$J$436,IFERROR(MATCH(4,$AA$2:$AA$425,0),0)),"")</f>
        <v>1.53</v>
      </c>
      <c r="G90" s="127">
        <f>IFERROR(INDEX(T_ROP!$K$13:$K$436,IFERROR(MATCH(4,$AA$2:$AA$425,0),0)),"")</f>
        <v>-3.2745248960901474E-3</v>
      </c>
      <c r="H90" s="155" t="str">
        <f>IFERROR(INDEX(T_ROP!$L$13:$L$436,IFERROR(MATCH(4,$AA$2:$AA$425,0),0)),"")</f>
        <v>Adjust Unload Upward</v>
      </c>
      <c r="I90" s="209" t="str">
        <f>IF(IFERROR(INDEX(T_ROP!$A$13:$A$436,IFERROR(MATCH(4,$AA$2:$AA$425,0),0)),"")="","",IF(IFERROR(INDEX(T_VarianceReasons!$J$9:$J$240,MATCH(IFERROR(INDEX(T_ROP!$A$13:$A$436,IFERROR(MATCH(4,$AA$2:$AA$425,0),0)),""),T_VarianceReasons!$B$9:$B$240,0)),"")="","NO","YES"))</f>
        <v>NO</v>
      </c>
      <c r="J90" s="210" t="str">
        <f>IF(IFERROR(INDEX(T_ROP!$A$13:$A$436,IFERROR(MATCH(4,$AA$2:$AA$425,0),0)),"")="","",IFERROR(INDEX(T_VarianceReasons!$J$9:$J$240,MATCH(IFERROR(INDEX(T_ROP!$A$13:$A$436,IFERROR(MATCH(4,$AA$2:$AA$425,0),0)),""),T_VarianceReasons!$B$9:$B$240,0))&amp;": "&amp;INDEX(T_VarianceReasons!$K$9:$K$240,MATCH(IFERROR(INDEX(T_ROP!$A$13:$A$436,IFERROR(MATCH(4,$AA$2:$AA$425,0),0)),""),T_VarianceReasons!$B$9:$B$240,0)),""))</f>
        <v xml:space="preserve">: </v>
      </c>
      <c r="AA90" s="175" t="str">
        <f>IF(AND(T_ROP!$C$101=$I$4,T_ROP!$L$101&lt;&gt;"CLEAN",T_ROP!$L$101&lt;&gt;""),COUNTIFS(T_ROP!$C$13:$C$101,$I$4,T_ROP!$L$13:$L$101,"&lt;&gt;CLEAN",T_ROP!$L$13:$L$101,"&lt;&gt;"),"")</f>
        <v/>
      </c>
    </row>
    <row r="91" spans="1:27" ht="34.5" customHeight="1" x14ac:dyDescent="0.3">
      <c r="A91" s="201">
        <v>5</v>
      </c>
      <c r="B91" s="202" t="str">
        <f>IFERROR(INDEX(T_ROP!$F$13:$F$436,IFERROR(MATCH(5,$AA$2:$AA$425,0),0)),"")</f>
        <v>FG005</v>
      </c>
      <c r="C91" s="203" t="str">
        <f>IF(B91="","",IFERROR(INDEX(M_SKU!$A$18:$J$57,MATCH(B91,M_SKU!$B$18:$B$57,0),1),"?"))</f>
        <v>Fanta Fruit Blast RGB 350 ml</v>
      </c>
      <c r="D91" s="101" t="str">
        <f>IFERROR(INDEX(T_ROP!$H$13:$H$436,IFERROR(MATCH(5,$AA$2:$AA$425,0),0)),"")</f>
        <v>CK3-33402</v>
      </c>
      <c r="E91" s="204">
        <f>IFERROR(INDEX(T_ROP!$I$13:$I$436,IFERROR(MATCH(5,$AA$2:$AA$425,0),0)),"")</f>
        <v>0.72907156778032967</v>
      </c>
      <c r="F91" s="204">
        <f>IFERROR(INDEX(T_ROP!$J$13:$J$436,IFERROR(MATCH(5,$AA$2:$AA$425,0),0)),"")</f>
        <v>0.73</v>
      </c>
      <c r="G91" s="205">
        <f>IFERROR(INDEX(T_ROP!$K$13:$K$436,IFERROR(MATCH(5,$AA$2:$AA$425,0),0)),"")</f>
        <v>-9.2843221967031653E-4</v>
      </c>
      <c r="H91" s="256" t="str">
        <f>IFERROR(INDEX(T_ROP!$L$13:$L$436,IFERROR(MATCH(5,$AA$2:$AA$425,0),0)),"")</f>
        <v>Adjust Unload Upward</v>
      </c>
      <c r="I91" s="202" t="str">
        <f>IF(IFERROR(INDEX(T_ROP!$A$13:$A$436,IFERROR(MATCH(5,$AA$2:$AA$425,0),0)),"")="","",IF(IFERROR(INDEX(T_VarianceReasons!$J$9:$J$240,MATCH(IFERROR(INDEX(T_ROP!$A$13:$A$436,IFERROR(MATCH(5,$AA$2:$AA$425,0),0)),""),T_VarianceReasons!$B$9:$B$240,0)),"")="","NO","YES"))</f>
        <v>YES</v>
      </c>
      <c r="J91" s="207" t="str">
        <f>IF(IFERROR(INDEX(T_ROP!$A$13:$A$436,IFERROR(MATCH(5,$AA$2:$AA$425,0),0)),"")="","",IFERROR(INDEX(T_VarianceReasons!$J$9:$J$240,MATCH(IFERROR(INDEX(T_ROP!$A$13:$A$436,IFERROR(MATCH(5,$AA$2:$AA$425,0),0)),""),T_VarianceReasons!$B$9:$B$240,0))&amp;": "&amp;INDEX(T_VarianceReasons!$K$9:$K$240,MATCH(IFERROR(INDEX(T_ROP!$A$13:$A$436,IFERROR(MATCH(5,$AA$2:$AA$425,0),0)),""),T_VarianceReasons!$B$9:$B$240,0)),""))</f>
        <v>Counting Error: Salesman included anticipated return as a sale</v>
      </c>
      <c r="AA91" s="175" t="str">
        <f>IF(AND(T_ROP!$C$102=$I$4,T_ROP!$L$102&lt;&gt;"CLEAN",T_ROP!$L$102&lt;&gt;""),COUNTIFS(T_ROP!$C$13:$C$102,$I$4,T_ROP!$L$13:$L$102,"&lt;&gt;CLEAN",T_ROP!$L$13:$L$102,"&lt;&gt;"),"")</f>
        <v/>
      </c>
    </row>
    <row r="92" spans="1:27" ht="34.5" customHeight="1" x14ac:dyDescent="0.3">
      <c r="A92" s="208">
        <v>6</v>
      </c>
      <c r="B92" s="209" t="str">
        <f>IFERROR(INDEX(T_ROP!$F$13:$F$436,IFERROR(MATCH(6,$AA$2:$AA$425,0),0)),"")</f>
        <v>FG006</v>
      </c>
      <c r="C92" s="135" t="str">
        <f>IF(B92="","",IFERROR(INDEX(M_SKU!$A$18:$J$57,MATCH(B92,M_SKU!$B$18:$B$57,0),1),"?"))</f>
        <v>Sprite 350ml</v>
      </c>
      <c r="D92" s="63" t="str">
        <f>IFERROR(INDEX(T_ROP!$H$13:$H$436,IFERROR(MATCH(6,$AA$2:$AA$425,0),0)),"")</f>
        <v>CK3-33414</v>
      </c>
      <c r="E92" s="90">
        <f>IFERROR(INDEX(T_ROP!$I$13:$I$436,IFERROR(MATCH(6,$AA$2:$AA$425,0),0)),"")</f>
        <v>1.5917093329301899</v>
      </c>
      <c r="F92" s="90">
        <f>IFERROR(INDEX(T_ROP!$J$13:$J$436,IFERROR(MATCH(6,$AA$2:$AA$425,0),0)),"")</f>
        <v>1.59</v>
      </c>
      <c r="G92" s="127">
        <f>IFERROR(INDEX(T_ROP!$K$13:$K$436,IFERROR(MATCH(6,$AA$2:$AA$425,0),0)),"")</f>
        <v>1.7093329301898219E-3</v>
      </c>
      <c r="H92" s="155" t="str">
        <f>IFERROR(INDEX(T_ROP!$L$13:$L$436,IFERROR(MATCH(6,$AA$2:$AA$425,0),0)),"")</f>
        <v>Post to Default Outlet</v>
      </c>
      <c r="I92" s="209" t="str">
        <f>IF(IFERROR(INDEX(T_ROP!$A$13:$A$436,IFERROR(MATCH(6,$AA$2:$AA$425,0),0)),"")="","",IF(IFERROR(INDEX(T_VarianceReasons!$J$9:$J$240,MATCH(IFERROR(INDEX(T_ROP!$A$13:$A$436,IFERROR(MATCH(6,$AA$2:$AA$425,0),0)),""),T_VarianceReasons!$B$9:$B$240,0)),"")="","NO","YES"))</f>
        <v>NO</v>
      </c>
      <c r="J92" s="210" t="str">
        <f>IF(IFERROR(INDEX(T_ROP!$A$13:$A$436,IFERROR(MATCH(6,$AA$2:$AA$425,0),0)),"")="","",IFERROR(INDEX(T_VarianceReasons!$J$9:$J$240,MATCH(IFERROR(INDEX(T_ROP!$A$13:$A$436,IFERROR(MATCH(6,$AA$2:$AA$425,0),0)),""),T_VarianceReasons!$B$9:$B$240,0))&amp;": "&amp;INDEX(T_VarianceReasons!$K$9:$K$240,MATCH(IFERROR(INDEX(T_ROP!$A$13:$A$436,IFERROR(MATCH(6,$AA$2:$AA$425,0),0)),""),T_VarianceReasons!$B$9:$B$240,0)),""))</f>
        <v xml:space="preserve">: </v>
      </c>
      <c r="AA92" s="175" t="str">
        <f>IF(AND(T_ROP!$C$103=$I$4,T_ROP!$L$103&lt;&gt;"CLEAN",T_ROP!$L$103&lt;&gt;""),COUNTIFS(T_ROP!$C$13:$C$103,$I$4,T_ROP!$L$13:$L$103,"&lt;&gt;CLEAN",T_ROP!$L$13:$L$103,"&lt;&gt;"),"")</f>
        <v/>
      </c>
    </row>
    <row r="93" spans="1:27" ht="42.75" customHeight="1" x14ac:dyDescent="0.3">
      <c r="A93" s="201">
        <v>7</v>
      </c>
      <c r="B93" s="202" t="str">
        <f>IFERROR(INDEX(T_ROP!$F$13:$F$436,IFERROR(MATCH(7,$AA$2:$AA$425,0),0)),"")</f>
        <v>FG007</v>
      </c>
      <c r="C93" s="203" t="str">
        <f>IF(B93="","",IFERROR(INDEX(M_SKU!$A$18:$J$57,MATCH(B93,M_SKU!$B$18:$B$57,0),1),"?"))</f>
        <v>Stoney Tangawizi RGB 350ml</v>
      </c>
      <c r="D93" s="101" t="str">
        <f>IFERROR(INDEX(T_ROP!$H$13:$H$436,IFERROR(MATCH(7,$AA$2:$AA$425,0),0)),"")</f>
        <v>CK3-33404</v>
      </c>
      <c r="E93" s="204">
        <f>IFERROR(INDEX(T_ROP!$I$13:$I$436,IFERROR(MATCH(7,$AA$2:$AA$425,0),0)),"")</f>
        <v>0.70761743569170221</v>
      </c>
      <c r="F93" s="204">
        <f>IFERROR(INDEX(T_ROP!$J$13:$J$436,IFERROR(MATCH(7,$AA$2:$AA$425,0),0)),"")</f>
        <v>0.71</v>
      </c>
      <c r="G93" s="205">
        <f>IFERROR(INDEX(T_ROP!$K$13:$K$436,IFERROR(MATCH(7,$AA$2:$AA$425,0),0)),"")</f>
        <v>-2.3825643082977521E-3</v>
      </c>
      <c r="H93" s="256" t="str">
        <f>IFERROR(INDEX(T_ROP!$L$13:$L$436,IFERROR(MATCH(7,$AA$2:$AA$425,0),0)),"")</f>
        <v>Adjust Unload Upward</v>
      </c>
      <c r="I93" s="202" t="str">
        <f>IF(IFERROR(INDEX(T_ROP!$A$13:$A$436,IFERROR(MATCH(7,$AA$2:$AA$425,0),0)),"")="","",IF(IFERROR(INDEX(T_VarianceReasons!$J$9:$J$240,MATCH(IFERROR(INDEX(T_ROP!$A$13:$A$436,IFERROR(MATCH(7,$AA$2:$AA$425,0),0)),""),T_VarianceReasons!$B$9:$B$240,0)),"")="","NO","YES"))</f>
        <v>YES</v>
      </c>
      <c r="J93" s="207" t="str">
        <f>IF(IFERROR(INDEX(T_ROP!$A$13:$A$436,IFERROR(MATCH(7,$AA$2:$AA$425,0),0)),"")="","",IFERROR(INDEX(T_VarianceReasons!$J$9:$J$240,MATCH(IFERROR(INDEX(T_ROP!$A$13:$A$436,IFERROR(MATCH(7,$AA$2:$AA$425,0),0)),""),T_VarianceReasons!$B$9:$B$240,0))&amp;": "&amp;INDEX(T_VarianceReasons!$K$9:$K$240,MATCH(IFERROR(INDEX(T_ROP!$A$13:$A$436,IFERROR(MATCH(7,$AA$2:$AA$425,0),0)),""),T_VarianceReasons!$B$9:$B$240,0)),""))</f>
        <v>Mobile App Entry Error: Outlet code mistake led to over-recording on mobile</v>
      </c>
      <c r="AA93" s="175" t="str">
        <f>IF(AND(T_ROP!$C$104=$I$4,T_ROP!$L$104&lt;&gt;"CLEAN",T_ROP!$L$104&lt;&gt;""),COUNTIFS(T_ROP!$C$13:$C$104,$I$4,T_ROP!$L$13:$L$104,"&lt;&gt;CLEAN",T_ROP!$L$13:$L$104,"&lt;&gt;"),"")</f>
        <v/>
      </c>
    </row>
    <row r="94" spans="1:27" ht="42.75" customHeight="1" x14ac:dyDescent="0.3">
      <c r="A94" s="208">
        <v>8</v>
      </c>
      <c r="B94" s="209" t="str">
        <f>IFERROR(INDEX(T_ROP!$F$13:$F$436,IFERROR(MATCH(8,$AA$2:$AA$425,0),0)),"")</f>
        <v>FG008</v>
      </c>
      <c r="C94" s="135" t="str">
        <f>IF(B94="","",IFERROR(INDEX(M_SKU!$A$18:$J$57,MATCH(B94,M_SKU!$B$18:$B$57,0),1),"?"))</f>
        <v>Sparletta Pinenut RGB 350ml</v>
      </c>
      <c r="D94" s="63" t="str">
        <f>IFERROR(INDEX(T_ROP!$H$13:$H$436,IFERROR(MATCH(8,$AA$2:$AA$425,0),0)),"")</f>
        <v>CK3-33367</v>
      </c>
      <c r="E94" s="90">
        <f>IFERROR(INDEX(T_ROP!$I$13:$I$436,IFERROR(MATCH(8,$AA$2:$AA$425,0),0)),"")</f>
        <v>0.72752115841200604</v>
      </c>
      <c r="F94" s="90">
        <f>IFERROR(INDEX(T_ROP!$J$13:$J$436,IFERROR(MATCH(8,$AA$2:$AA$425,0),0)),"")</f>
        <v>0.73</v>
      </c>
      <c r="G94" s="127">
        <f>IFERROR(INDEX(T_ROP!$K$13:$K$436,IFERROR(MATCH(8,$AA$2:$AA$425,0),0)),"")</f>
        <v>-2.4788415879939407E-3</v>
      </c>
      <c r="H94" s="155" t="str">
        <f>IFERROR(INDEX(T_ROP!$L$13:$L$436,IFERROR(MATCH(8,$AA$2:$AA$425,0),0)),"")</f>
        <v>Adjust Unload Upward</v>
      </c>
      <c r="I94" s="209" t="str">
        <f>IF(IFERROR(INDEX(T_ROP!$A$13:$A$436,IFERROR(MATCH(8,$AA$2:$AA$425,0),0)),"")="","",IF(IFERROR(INDEX(T_VarianceReasons!$J$9:$J$240,MATCH(IFERROR(INDEX(T_ROP!$A$13:$A$436,IFERROR(MATCH(8,$AA$2:$AA$425,0),0)),""),T_VarianceReasons!$B$9:$B$240,0)),"")="","NO","YES"))</f>
        <v>NO</v>
      </c>
      <c r="J94" s="210" t="str">
        <f>IF(IFERROR(INDEX(T_ROP!$A$13:$A$436,IFERROR(MATCH(8,$AA$2:$AA$425,0),0)),"")="","",IFERROR(INDEX(T_VarianceReasons!$J$9:$J$240,MATCH(IFERROR(INDEX(T_ROP!$A$13:$A$436,IFERROR(MATCH(8,$AA$2:$AA$425,0),0)),""),T_VarianceReasons!$B$9:$B$240,0))&amp;": "&amp;INDEX(T_VarianceReasons!$K$9:$K$240,MATCH(IFERROR(INDEX(T_ROP!$A$13:$A$436,IFERROR(MATCH(8,$AA$2:$AA$425,0),0)),""),T_VarianceReasons!$B$9:$B$240,0)),""))</f>
        <v xml:space="preserve">: </v>
      </c>
      <c r="AA94" s="175" t="str">
        <f>IF(AND(T_ROP!$C$105=$I$4,T_ROP!$L$105&lt;&gt;"CLEAN",T_ROP!$L$105&lt;&gt;""),COUNTIFS(T_ROP!$C$13:$C$105,$I$4,T_ROP!$L$13:$L$105,"&lt;&gt;CLEAN",T_ROP!$L$13:$L$105,"&lt;&gt;"),"")</f>
        <v/>
      </c>
    </row>
    <row r="95" spans="1:27" ht="34.5" customHeight="1" x14ac:dyDescent="0.3">
      <c r="A95" s="201">
        <v>9</v>
      </c>
      <c r="B95" s="202" t="str">
        <f>IFERROR(INDEX(T_ROP!$F$13:$F$436,IFERROR(MATCH(9,$AA$2:$AA$425,0),0)),"")</f>
        <v>FG009</v>
      </c>
      <c r="C95" s="203" t="str">
        <f>IF(B95="","",IFERROR(INDEX(M_SKU!$A$18:$J$57,MATCH(B95,M_SKU!$B$18:$B$57,0),1),"?"))</f>
        <v>Krest Bitter Lemon RGB 300ml</v>
      </c>
      <c r="D95" s="101" t="str">
        <f>IFERROR(INDEX(T_ROP!$H$13:$H$436,IFERROR(MATCH(9,$AA$2:$AA$425,0),0)),"")</f>
        <v>CK3-33348</v>
      </c>
      <c r="E95" s="204">
        <f>IFERROR(INDEX(T_ROP!$I$13:$I$436,IFERROR(MATCH(9,$AA$2:$AA$425,0),0)),"")</f>
        <v>0.61261642120881321</v>
      </c>
      <c r="F95" s="204">
        <f>IFERROR(INDEX(T_ROP!$J$13:$J$436,IFERROR(MATCH(9,$AA$2:$AA$425,0),0)),"")</f>
        <v>0.61</v>
      </c>
      <c r="G95" s="205">
        <f>IFERROR(INDEX(T_ROP!$K$13:$K$436,IFERROR(MATCH(9,$AA$2:$AA$425,0),0)),"")</f>
        <v>2.6164212088132244E-3</v>
      </c>
      <c r="H95" s="256" t="str">
        <f>IFERROR(INDEX(T_ROP!$L$13:$L$436,IFERROR(MATCH(9,$AA$2:$AA$425,0),0)),"")</f>
        <v>Post to Default Outlet</v>
      </c>
      <c r="I95" s="202" t="str">
        <f>IF(IFERROR(INDEX(T_ROP!$A$13:$A$436,IFERROR(MATCH(9,$AA$2:$AA$425,0),0)),"")="","",IF(IFERROR(INDEX(T_VarianceReasons!$J$9:$J$240,MATCH(IFERROR(INDEX(T_ROP!$A$13:$A$436,IFERROR(MATCH(9,$AA$2:$AA$425,0),0)),""),T_VarianceReasons!$B$9:$B$240,0)),"")="","NO","YES"))</f>
        <v>NO</v>
      </c>
      <c r="J95" s="207" t="str">
        <f>IF(IFERROR(INDEX(T_ROP!$A$13:$A$436,IFERROR(MATCH(9,$AA$2:$AA$425,0),0)),"")="","",IFERROR(INDEX(T_VarianceReasons!$J$9:$J$240,MATCH(IFERROR(INDEX(T_ROP!$A$13:$A$436,IFERROR(MATCH(9,$AA$2:$AA$425,0),0)),""),T_VarianceReasons!$B$9:$B$240,0))&amp;": "&amp;INDEX(T_VarianceReasons!$K$9:$K$240,MATCH(IFERROR(INDEX(T_ROP!$A$13:$A$436,IFERROR(MATCH(9,$AA$2:$AA$425,0),0)),""),T_VarianceReasons!$B$9:$B$240,0)),""))</f>
        <v xml:space="preserve">: </v>
      </c>
      <c r="AA95" s="175" t="str">
        <f>IF(AND(T_ROP!$C$106=$I$4,T_ROP!$L$106&lt;&gt;"CLEAN",T_ROP!$L$106&lt;&gt;""),COUNTIFS(T_ROP!$C$13:$C$106,$I$4,T_ROP!$L$13:$L$106,"&lt;&gt;CLEAN",T_ROP!$L$13:$L$106,"&lt;&gt;"),"")</f>
        <v/>
      </c>
    </row>
    <row r="96" spans="1:27" ht="34.5" customHeight="1" x14ac:dyDescent="0.3">
      <c r="A96" s="208">
        <v>10</v>
      </c>
      <c r="B96" s="209" t="str">
        <f>IFERROR(INDEX(T_ROP!$F$13:$F$436,IFERROR(MATCH(10,$AA$2:$AA$425,0),0)),"")</f>
        <v>FG010</v>
      </c>
      <c r="C96" s="135" t="str">
        <f>IF(B96="","",IFERROR(INDEX(M_SKU!$A$18:$J$57,MATCH(B96,M_SKU!$B$18:$B$57,0),1),"?"))</f>
        <v>Krest Club Soda RGB 300ml</v>
      </c>
      <c r="D96" s="63" t="str">
        <f>IFERROR(INDEX(T_ROP!$H$13:$H$436,IFERROR(MATCH(10,$AA$2:$AA$425,0),0)),"")</f>
        <v>CK3-33301</v>
      </c>
      <c r="E96" s="90">
        <f>IFERROR(INDEX(T_ROP!$I$13:$I$436,IFERROR(MATCH(10,$AA$2:$AA$425,0),0)),"")</f>
        <v>0.2932692603861029</v>
      </c>
      <c r="F96" s="90">
        <f>IFERROR(INDEX(T_ROP!$J$13:$J$436,IFERROR(MATCH(10,$AA$2:$AA$425,0),0)),"")</f>
        <v>0.28999999999999998</v>
      </c>
      <c r="G96" s="127">
        <f>IFERROR(INDEX(T_ROP!$K$13:$K$436,IFERROR(MATCH(10,$AA$2:$AA$425,0),0)),"")</f>
        <v>3.2692603861029235E-3</v>
      </c>
      <c r="H96" s="155" t="str">
        <f>IFERROR(INDEX(T_ROP!$L$13:$L$436,IFERROR(MATCH(10,$AA$2:$AA$425,0),0)),"")</f>
        <v>Post to Default Outlet</v>
      </c>
      <c r="I96" s="209" t="str">
        <f>IF(IFERROR(INDEX(T_ROP!$A$13:$A$436,IFERROR(MATCH(10,$AA$2:$AA$425,0),0)),"")="","",IF(IFERROR(INDEX(T_VarianceReasons!$J$9:$J$240,MATCH(IFERROR(INDEX(T_ROP!$A$13:$A$436,IFERROR(MATCH(10,$AA$2:$AA$425,0),0)),""),T_VarianceReasons!$B$9:$B$240,0)),"")="","NO","YES"))</f>
        <v>NO</v>
      </c>
      <c r="J96" s="210" t="str">
        <f>IF(IFERROR(INDEX(T_ROP!$A$13:$A$436,IFERROR(MATCH(10,$AA$2:$AA$425,0),0)),"")="","",IFERROR(INDEX(T_VarianceReasons!$J$9:$J$240,MATCH(IFERROR(INDEX(T_ROP!$A$13:$A$436,IFERROR(MATCH(10,$AA$2:$AA$425,0),0)),""),T_VarianceReasons!$B$9:$B$240,0))&amp;": "&amp;INDEX(T_VarianceReasons!$K$9:$K$240,MATCH(IFERROR(INDEX(T_ROP!$A$13:$A$436,IFERROR(MATCH(10,$AA$2:$AA$425,0),0)),""),T_VarianceReasons!$B$9:$B$240,0)),""))</f>
        <v xml:space="preserve">: </v>
      </c>
      <c r="AA96" s="175" t="str">
        <f>IF(AND(T_ROP!$C$107=$I$4,T_ROP!$L$107&lt;&gt;"CLEAN",T_ROP!$L$107&lt;&gt;""),COUNTIFS(T_ROP!$C$13:$C$107,$I$4,T_ROP!$L$13:$L$107,"&lt;&gt;CLEAN",T_ROP!$L$13:$L$107,"&lt;&gt;"),"")</f>
        <v/>
      </c>
    </row>
    <row r="97" spans="1:27" ht="53.25" customHeight="1" x14ac:dyDescent="0.3">
      <c r="A97" s="201">
        <v>11</v>
      </c>
      <c r="B97" s="202" t="str">
        <f>IFERROR(INDEX(T_ROP!$F$13:$F$436,IFERROR(MATCH(11,$AA$2:$AA$425,0),0)),"")</f>
        <v>FG011</v>
      </c>
      <c r="C97" s="203" t="str">
        <f>IF(B97="","",IFERROR(INDEX(M_SKU!$A$18:$J$57,MATCH(B97,M_SKU!$B$18:$B$57,0),1),"?"))</f>
        <v>Krest Tonic Water RGB 300ml</v>
      </c>
      <c r="D97" s="101" t="str">
        <f>IFERROR(INDEX(T_ROP!$H$13:$H$436,IFERROR(MATCH(11,$AA$2:$AA$425,0),0)),"")</f>
        <v>CK3-33347</v>
      </c>
      <c r="E97" s="204">
        <f>IFERROR(INDEX(T_ROP!$I$13:$I$436,IFERROR(MATCH(11,$AA$2:$AA$425,0),0)),"")</f>
        <v>0.60137916300284289</v>
      </c>
      <c r="F97" s="204">
        <f>IFERROR(INDEX(T_ROP!$J$13:$J$436,IFERROR(MATCH(11,$AA$2:$AA$425,0),0)),"")</f>
        <v>0.6</v>
      </c>
      <c r="G97" s="205">
        <f>IFERROR(INDEX(T_ROP!$K$13:$K$436,IFERROR(MATCH(11,$AA$2:$AA$425,0),0)),"")</f>
        <v>1.3791630028429092E-3</v>
      </c>
      <c r="H97" s="256" t="str">
        <f>IFERROR(INDEX(T_ROP!$L$13:$L$436,IFERROR(MATCH(11,$AA$2:$AA$425,0),0)),"")</f>
        <v>Post to Default Outlet</v>
      </c>
      <c r="I97" s="202" t="str">
        <f>IF(IFERROR(INDEX(T_ROP!$A$13:$A$436,IFERROR(MATCH(11,$AA$2:$AA$425,0),0)),"")="","",IF(IFERROR(INDEX(T_VarianceReasons!$J$9:$J$240,MATCH(IFERROR(INDEX(T_ROP!$A$13:$A$436,IFERROR(MATCH(11,$AA$2:$AA$425,0),0)),""),T_VarianceReasons!$B$9:$B$240,0)),"")="","NO","YES"))</f>
        <v>YES</v>
      </c>
      <c r="J97" s="207" t="str">
        <f>IF(IFERROR(INDEX(T_ROP!$A$13:$A$436,IFERROR(MATCH(11,$AA$2:$AA$425,0),0)),"")="","",IFERROR(INDEX(T_VarianceReasons!$J$9:$J$240,MATCH(IFERROR(INDEX(T_ROP!$A$13:$A$436,IFERROR(MATCH(11,$AA$2:$AA$425,0),0)),""),T_VarianceReasons!$B$9:$B$240,0))&amp;": "&amp;INDEX(T_VarianceReasons!$K$9:$K$240,MATCH(IFERROR(INDEX(T_ROP!$A$13:$A$436,IFERROR(MATCH(11,$AA$2:$AA$425,0),0)),""),T_VarianceReasons!$B$9:$B$240,0)),""))</f>
        <v>Mobile App Entry Error: Salesman entered sales but missed an outlet visit on mobile</v>
      </c>
      <c r="AA97" s="175" t="str">
        <f>IF(AND(T_ROP!$C$108=$I$4,T_ROP!$L$108&lt;&gt;"CLEAN",T_ROP!$L$108&lt;&gt;""),COUNTIFS(T_ROP!$C$13:$C$108,$I$4,T_ROP!$L$13:$L$108,"&lt;&gt;CLEAN",T_ROP!$L$13:$L$108,"&lt;&gt;"),"")</f>
        <v/>
      </c>
    </row>
    <row r="98" spans="1:27" ht="34.5" customHeight="1" x14ac:dyDescent="0.3">
      <c r="A98" s="208">
        <v>12</v>
      </c>
      <c r="B98" s="209" t="str">
        <f>IFERROR(INDEX(T_ROP!$F$13:$F$436,IFERROR(MATCH(12,$AA$2:$AA$425,0),0)),"")</f>
        <v>FG012</v>
      </c>
      <c r="C98" s="135" t="str">
        <f>IF(B98="","",IFERROR(INDEX(M_SKU!$A$18:$J$57,MATCH(B98,M_SKU!$B$18:$B$57,0),1),"?"))</f>
        <v>Krest Ginger Ale RGB 300ml</v>
      </c>
      <c r="D98" s="63" t="str">
        <f>IFERROR(INDEX(T_ROP!$H$13:$H$436,IFERROR(MATCH(12,$AA$2:$AA$425,0),0)),"")</f>
        <v>CK3-33126</v>
      </c>
      <c r="E98" s="90">
        <f>IFERROR(INDEX(T_ROP!$I$13:$I$436,IFERROR(MATCH(12,$AA$2:$AA$425,0),0)),"")</f>
        <v>0.26887616323463992</v>
      </c>
      <c r="F98" s="90">
        <f>IFERROR(INDEX(T_ROP!$J$13:$J$436,IFERROR(MATCH(12,$AA$2:$AA$425,0),0)),"")</f>
        <v>0.27</v>
      </c>
      <c r="G98" s="127">
        <f>IFERROR(INDEX(T_ROP!$K$13:$K$436,IFERROR(MATCH(12,$AA$2:$AA$425,0),0)),"")</f>
        <v>-1.1238367653600978E-3</v>
      </c>
      <c r="H98" s="155" t="str">
        <f>IFERROR(INDEX(T_ROP!$L$13:$L$436,IFERROR(MATCH(12,$AA$2:$AA$425,0),0)),"")</f>
        <v>Adjust Unload Upward</v>
      </c>
      <c r="I98" s="209" t="str">
        <f>IF(IFERROR(INDEX(T_ROP!$A$13:$A$436,IFERROR(MATCH(12,$AA$2:$AA$425,0),0)),"")="","",IF(IFERROR(INDEX(T_VarianceReasons!$J$9:$J$240,MATCH(IFERROR(INDEX(T_ROP!$A$13:$A$436,IFERROR(MATCH(12,$AA$2:$AA$425,0),0)),""),T_VarianceReasons!$B$9:$B$240,0)),"")="","NO","YES"))</f>
        <v>YES</v>
      </c>
      <c r="J98" s="210" t="str">
        <f>IF(IFERROR(INDEX(T_ROP!$A$13:$A$436,IFERROR(MATCH(12,$AA$2:$AA$425,0),0)),"")="","",IFERROR(INDEX(T_VarianceReasons!$J$9:$J$240,MATCH(IFERROR(INDEX(T_ROP!$A$13:$A$436,IFERROR(MATCH(12,$AA$2:$AA$425,0),0)),""),T_VarianceReasons!$B$9:$B$240,0))&amp;": "&amp;INDEX(T_VarianceReasons!$K$9:$K$240,MATCH(IFERROR(INDEX(T_ROP!$A$13:$A$436,IFERROR(MATCH(12,$AA$2:$AA$425,0),0)),""),T_VarianceReasons!$B$9:$B$240,0)),""))</f>
        <v>Mobile App Entry Error: Wrong quantity multiplier applied (e.g. selected dozen instead of singles)</v>
      </c>
      <c r="AA98" s="175" t="str">
        <f>IF(AND(T_ROP!$C$109=$I$4,T_ROP!$L$109&lt;&gt;"CLEAN",T_ROP!$L$109&lt;&gt;""),COUNTIFS(T_ROP!$C$13:$C$109,$I$4,T_ROP!$L$13:$L$109,"&lt;&gt;CLEAN",T_ROP!$L$13:$L$109,"&lt;&gt;"),"")</f>
        <v/>
      </c>
    </row>
    <row r="99" spans="1:27" ht="53.25" customHeight="1" x14ac:dyDescent="0.3">
      <c r="A99" s="201">
        <v>13</v>
      </c>
      <c r="B99" s="202" t="str">
        <f>IFERROR(INDEX(T_ROP!$F$13:$F$436,IFERROR(MATCH(13,$AA$2:$AA$425,0),0)),"")</f>
        <v>FG024</v>
      </c>
      <c r="C99" s="203" t="str">
        <f>IF(B99="","",IFERROR(INDEX(M_SKU!$A$18:$J$57,MATCH(B99,M_SKU!$B$18:$B$57,0),1),"?"))</f>
        <v>Sparletta Red Apple RGB 350ml</v>
      </c>
      <c r="D99" s="101" t="str">
        <f>IFERROR(INDEX(T_ROP!$H$13:$H$436,IFERROR(MATCH(13,$AA$2:$AA$425,0),0)),"")</f>
        <v>CK3-32758</v>
      </c>
      <c r="E99" s="204">
        <f>IFERROR(INDEX(T_ROP!$I$13:$I$436,IFERROR(MATCH(13,$AA$2:$AA$425,0),0)),"")</f>
        <v>0.22811595053250411</v>
      </c>
      <c r="F99" s="204">
        <f>IFERROR(INDEX(T_ROP!$J$13:$J$436,IFERROR(MATCH(13,$AA$2:$AA$425,0),0)),"")</f>
        <v>0.23</v>
      </c>
      <c r="G99" s="205">
        <f>IFERROR(INDEX(T_ROP!$K$13:$K$436,IFERROR(MATCH(13,$AA$2:$AA$425,0),0)),"")</f>
        <v>-1.8840494674959019E-3</v>
      </c>
      <c r="H99" s="256" t="str">
        <f>IFERROR(INDEX(T_ROP!$L$13:$L$436,IFERROR(MATCH(13,$AA$2:$AA$425,0),0)),"")</f>
        <v>Adjust Unload Upward</v>
      </c>
      <c r="I99" s="202" t="str">
        <f>IF(IFERROR(INDEX(T_ROP!$A$13:$A$436,IFERROR(MATCH(13,$AA$2:$AA$425,0),0)),"")="","",IF(IFERROR(INDEX(T_VarianceReasons!$J$9:$J$240,MATCH(IFERROR(INDEX(T_ROP!$A$13:$A$436,IFERROR(MATCH(13,$AA$2:$AA$425,0),0)),""),T_VarianceReasons!$B$9:$B$240,0)),"")="","NO","YES"))</f>
        <v>NO</v>
      </c>
      <c r="J99" s="207" t="str">
        <f>IF(IFERROR(INDEX(T_ROP!$A$13:$A$436,IFERROR(MATCH(13,$AA$2:$AA$425,0),0)),"")="","",IFERROR(INDEX(T_VarianceReasons!$J$9:$J$240,MATCH(IFERROR(INDEX(T_ROP!$A$13:$A$436,IFERROR(MATCH(13,$AA$2:$AA$425,0),0)),""),T_VarianceReasons!$B$9:$B$240,0))&amp;": "&amp;INDEX(T_VarianceReasons!$K$9:$K$240,MATCH(IFERROR(INDEX(T_ROP!$A$13:$A$436,IFERROR(MATCH(13,$AA$2:$AA$425,0),0)),""),T_VarianceReasons!$B$9:$B$240,0)),""))</f>
        <v xml:space="preserve">: </v>
      </c>
      <c r="AA99" s="175" t="str">
        <f>IF(AND(T_ROP!$C$110=$I$4,T_ROP!$L$110&lt;&gt;"CLEAN",T_ROP!$L$110&lt;&gt;""),COUNTIFS(T_ROP!$C$13:$C$110,$I$4,T_ROP!$L$13:$L$110,"&lt;&gt;CLEAN",T_ROP!$L$13:$L$110,"&lt;&gt;"),"")</f>
        <v/>
      </c>
    </row>
    <row r="100" spans="1:27" ht="34.5" customHeight="1" x14ac:dyDescent="0.3">
      <c r="A100" s="208">
        <v>14</v>
      </c>
      <c r="B100" s="209" t="str">
        <f>IFERROR(INDEX(T_ROP!$F$13:$F$436,IFERROR(MATCH(14,$AA$2:$AA$425,0),0)),"")</f>
        <v>FG009</v>
      </c>
      <c r="C100" s="135" t="str">
        <f>IF(B100="","",IFERROR(INDEX(M_SKU!$A$18:$J$57,MATCH(B100,M_SKU!$B$18:$B$57,0),1),"?"))</f>
        <v>Krest Bitter Lemon RGB 300ml</v>
      </c>
      <c r="D100" s="63" t="str">
        <f>IFERROR(INDEX(T_ROP!$H$13:$H$436,IFERROR(MATCH(14,$AA$2:$AA$425,0),0)),"")</f>
        <v>CK3-33348</v>
      </c>
      <c r="E100" s="90">
        <f>IFERROR(INDEX(T_ROP!$I$13:$I$436,IFERROR(MATCH(14,$AA$2:$AA$425,0),0)),"")</f>
        <v>0.98745196877274033</v>
      </c>
      <c r="F100" s="90">
        <f>IFERROR(INDEX(T_ROP!$J$13:$J$436,IFERROR(MATCH(14,$AA$2:$AA$425,0),0)),"")</f>
        <v>0.99</v>
      </c>
      <c r="G100" s="127">
        <f>IFERROR(INDEX(T_ROP!$K$13:$K$436,IFERROR(MATCH(14,$AA$2:$AA$425,0),0)),"")</f>
        <v>-2.5480312272596617E-3</v>
      </c>
      <c r="H100" s="155" t="str">
        <f>IFERROR(INDEX(T_ROP!$L$13:$L$436,IFERROR(MATCH(14,$AA$2:$AA$425,0),0)),"")</f>
        <v>Adjust Unload Upward</v>
      </c>
      <c r="I100" s="209" t="str">
        <f>IF(IFERROR(INDEX(T_ROP!$A$13:$A$436,IFERROR(MATCH(14,$AA$2:$AA$425,0),0)),"")="","",IF(IFERROR(INDEX(T_VarianceReasons!$J$9:$J$240,MATCH(IFERROR(INDEX(T_ROP!$A$13:$A$436,IFERROR(MATCH(14,$AA$2:$AA$425,0),0)),""),T_VarianceReasons!$B$9:$B$240,0)),"")="","NO","YES"))</f>
        <v>NO</v>
      </c>
      <c r="J100" s="210" t="str">
        <f>IF(IFERROR(INDEX(T_ROP!$A$13:$A$436,IFERROR(MATCH(14,$AA$2:$AA$425,0),0)),"")="","",IFERROR(INDEX(T_VarianceReasons!$J$9:$J$240,MATCH(IFERROR(INDEX(T_ROP!$A$13:$A$436,IFERROR(MATCH(14,$AA$2:$AA$425,0),0)),""),T_VarianceReasons!$B$9:$B$240,0))&amp;": "&amp;INDEX(T_VarianceReasons!$K$9:$K$240,MATCH(IFERROR(INDEX(T_ROP!$A$13:$A$436,IFERROR(MATCH(14,$AA$2:$AA$425,0),0)),""),T_VarianceReasons!$B$9:$B$240,0)),""))</f>
        <v xml:space="preserve">: </v>
      </c>
      <c r="AA100" s="175" t="str">
        <f>IF(AND(T_ROP!$C$111=$I$4,T_ROP!$L$111&lt;&gt;"CLEAN",T_ROP!$L$111&lt;&gt;""),COUNTIFS(T_ROP!$C$13:$C$111,$I$4,T_ROP!$L$13:$L$111,"&lt;&gt;CLEAN",T_ROP!$L$13:$L$111,"&lt;&gt;"),"")</f>
        <v/>
      </c>
    </row>
    <row r="101" spans="1:27" ht="15" customHeight="1" x14ac:dyDescent="0.3">
      <c r="A101" s="201">
        <v>15</v>
      </c>
      <c r="B101" s="202" t="str">
        <f>IFERROR(INDEX(T_ROP!$F$13:$F$436,IFERROR(MATCH(15,$AA$2:$AA$425,0),0)),"")</f>
        <v>FG010</v>
      </c>
      <c r="C101" s="203" t="str">
        <f>IF(B101="","",IFERROR(INDEX(M_SKU!$A$18:$J$57,MATCH(B101,M_SKU!$B$18:$B$57,0),1),"?"))</f>
        <v>Krest Club Soda RGB 300ml</v>
      </c>
      <c r="D101" s="101" t="str">
        <f>IFERROR(INDEX(T_ROP!$H$13:$H$436,IFERROR(MATCH(15,$AA$2:$AA$425,0),0)),"")</f>
        <v>CK3-33301</v>
      </c>
      <c r="E101" s="204">
        <f>IFERROR(INDEX(T_ROP!$I$13:$I$436,IFERROR(MATCH(15,$AA$2:$AA$425,0),0)),"")</f>
        <v>0.53130117424927281</v>
      </c>
      <c r="F101" s="204">
        <f>IFERROR(INDEX(T_ROP!$J$13:$J$436,IFERROR(MATCH(15,$AA$2:$AA$425,0),0)),"")</f>
        <v>0.53</v>
      </c>
      <c r="G101" s="205">
        <f>IFERROR(INDEX(T_ROP!$K$13:$K$436,IFERROR(MATCH(15,$AA$2:$AA$425,0),0)),"")</f>
        <v>1.3011742492727851E-3</v>
      </c>
      <c r="H101" s="256" t="str">
        <f>IFERROR(INDEX(T_ROP!$L$13:$L$436,IFERROR(MATCH(15,$AA$2:$AA$425,0),0)),"")</f>
        <v>Post to Default Outlet</v>
      </c>
      <c r="I101" s="202" t="str">
        <f>IF(IFERROR(INDEX(T_ROP!$A$13:$A$436,IFERROR(MATCH(15,$AA$2:$AA$425,0),0)),"")="","",IF(IFERROR(INDEX(T_VarianceReasons!$J$9:$J$240,MATCH(IFERROR(INDEX(T_ROP!$A$13:$A$436,IFERROR(MATCH(15,$AA$2:$AA$425,0),0)),""),T_VarianceReasons!$B$9:$B$240,0)),"")="","NO","YES"))</f>
        <v>YES</v>
      </c>
      <c r="J101" s="207" t="str">
        <f>IF(IFERROR(INDEX(T_ROP!$A$13:$A$436,IFERROR(MATCH(15,$AA$2:$AA$425,0),0)),"")="","",IFERROR(INDEX(T_VarianceReasons!$J$9:$J$240,MATCH(IFERROR(INDEX(T_ROP!$A$13:$A$436,IFERROR(MATCH(15,$AA$2:$AA$425,0),0)),""),T_VarianceReasons!$B$9:$B$240,0))&amp;": "&amp;INDEX(T_VarianceReasons!$K$9:$K$240,MATCH(IFERROR(INDEX(T_ROP!$A$13:$A$436,IFERROR(MATCH(15,$AA$2:$AA$425,0),0)),""),T_VarianceReasons!$B$9:$B$240,0)),""))</f>
        <v>Mobile App Entry Error: Mobile app crashed mid-entry; sales not fully captured</v>
      </c>
      <c r="AA101" s="175" t="str">
        <f>IF(AND(T_ROP!$C$112=$I$4,T_ROP!$L$112&lt;&gt;"CLEAN",T_ROP!$L$112&lt;&gt;""),COUNTIFS(T_ROP!$C$13:$C$112,$I$4,T_ROP!$L$13:$L$112,"&lt;&gt;CLEAN",T_ROP!$L$13:$L$112,"&lt;&gt;"),"")</f>
        <v/>
      </c>
    </row>
    <row r="102" spans="1:27" ht="23.25" customHeight="1" x14ac:dyDescent="0.3">
      <c r="A102" s="208">
        <v>16</v>
      </c>
      <c r="B102" s="209" t="str">
        <f>IFERROR(INDEX(T_ROP!$F$13:$F$436,IFERROR(MATCH(16,$AA$2:$AA$425,0),0)),"")</f>
        <v>FG011</v>
      </c>
      <c r="C102" s="135" t="str">
        <f>IF(B102="","",IFERROR(INDEX(M_SKU!$A$18:$J$57,MATCH(B102,M_SKU!$B$18:$B$57,0),1),"?"))</f>
        <v>Krest Tonic Water RGB 300ml</v>
      </c>
      <c r="D102" s="63" t="str">
        <f>IFERROR(INDEX(T_ROP!$H$13:$H$436,IFERROR(MATCH(16,$AA$2:$AA$425,0),0)),"")</f>
        <v>CK3-33347</v>
      </c>
      <c r="E102" s="90">
        <f>IFERROR(INDEX(T_ROP!$I$13:$I$436,IFERROR(MATCH(16,$AA$2:$AA$425,0),0)),"")</f>
        <v>0.77082252986423949</v>
      </c>
      <c r="F102" s="90">
        <f>IFERROR(INDEX(T_ROP!$J$13:$J$436,IFERROR(MATCH(16,$AA$2:$AA$425,0),0)),"")</f>
        <v>0.77</v>
      </c>
      <c r="G102" s="127">
        <f>IFERROR(INDEX(T_ROP!$K$13:$K$436,IFERROR(MATCH(16,$AA$2:$AA$425,0),0)),"")</f>
        <v>8.2252986423947405E-4</v>
      </c>
      <c r="H102" s="155" t="str">
        <f>IFERROR(INDEX(T_ROP!$L$13:$L$436,IFERROR(MATCH(16,$AA$2:$AA$425,0),0)),"")</f>
        <v>Post to Default Outlet</v>
      </c>
      <c r="I102" s="209" t="str">
        <f>IF(IFERROR(INDEX(T_ROP!$A$13:$A$436,IFERROR(MATCH(16,$AA$2:$AA$425,0),0)),"")="","",IF(IFERROR(INDEX(T_VarianceReasons!$J$9:$J$240,MATCH(IFERROR(INDEX(T_ROP!$A$13:$A$436,IFERROR(MATCH(16,$AA$2:$AA$425,0),0)),""),T_VarianceReasons!$B$9:$B$240,0)),"")="","NO","YES"))</f>
        <v>NO</v>
      </c>
      <c r="J102" s="210" t="str">
        <f>IF(IFERROR(INDEX(T_ROP!$A$13:$A$436,IFERROR(MATCH(16,$AA$2:$AA$425,0),0)),"")="","",IFERROR(INDEX(T_VarianceReasons!$J$9:$J$240,MATCH(IFERROR(INDEX(T_ROP!$A$13:$A$436,IFERROR(MATCH(16,$AA$2:$AA$425,0),0)),""),T_VarianceReasons!$B$9:$B$240,0))&amp;": "&amp;INDEX(T_VarianceReasons!$K$9:$K$240,MATCH(IFERROR(INDEX(T_ROP!$A$13:$A$436,IFERROR(MATCH(16,$AA$2:$AA$425,0),0)),""),T_VarianceReasons!$B$9:$B$240,0)),""))</f>
        <v xml:space="preserve">: </v>
      </c>
      <c r="AA102" s="175" t="str">
        <f>IF(AND(T_ROP!$C$113=$I$4,T_ROP!$L$113&lt;&gt;"CLEAN",T_ROP!$L$113&lt;&gt;""),COUNTIFS(T_ROP!$C$13:$C$113,$I$4,T_ROP!$L$13:$L$113,"&lt;&gt;CLEAN",T_ROP!$L$13:$L$113,"&lt;&gt;"),"")</f>
        <v/>
      </c>
    </row>
    <row r="103" spans="1:27" ht="53.25" customHeight="1" x14ac:dyDescent="0.3">
      <c r="A103" s="201">
        <v>17</v>
      </c>
      <c r="B103" s="202" t="str">
        <f>IFERROR(INDEX(T_ROP!$F$13:$F$436,IFERROR(MATCH(17,$AA$2:$AA$425,0),0)),"")</f>
        <v>FG012</v>
      </c>
      <c r="C103" s="203" t="str">
        <f>IF(B103="","",IFERROR(INDEX(M_SKU!$A$18:$J$57,MATCH(B103,M_SKU!$B$18:$B$57,0),1),"?"))</f>
        <v>Krest Ginger Ale RGB 300ml</v>
      </c>
      <c r="D103" s="101" t="str">
        <f>IFERROR(INDEX(T_ROP!$H$13:$H$436,IFERROR(MATCH(17,$AA$2:$AA$425,0),0)),"")</f>
        <v>CK3-33126</v>
      </c>
      <c r="E103" s="204">
        <f>IFERROR(INDEX(T_ROP!$I$13:$I$436,IFERROR(MATCH(17,$AA$2:$AA$425,0),0)),"")</f>
        <v>0.54115339755356606</v>
      </c>
      <c r="F103" s="204">
        <f>IFERROR(INDEX(T_ROP!$J$13:$J$436,IFERROR(MATCH(17,$AA$2:$AA$425,0),0)),"")</f>
        <v>0.54</v>
      </c>
      <c r="G103" s="205">
        <f>IFERROR(INDEX(T_ROP!$K$13:$K$436,IFERROR(MATCH(17,$AA$2:$AA$425,0),0)),"")</f>
        <v>1.1533975535660268E-3</v>
      </c>
      <c r="H103" s="256" t="str">
        <f>IFERROR(INDEX(T_ROP!$L$13:$L$436,IFERROR(MATCH(17,$AA$2:$AA$425,0),0)),"")</f>
        <v>Post to Default Outlet</v>
      </c>
      <c r="I103" s="202" t="str">
        <f>IF(IFERROR(INDEX(T_ROP!$A$13:$A$436,IFERROR(MATCH(17,$AA$2:$AA$425,0),0)),"")="","",IF(IFERROR(INDEX(T_VarianceReasons!$J$9:$J$240,MATCH(IFERROR(INDEX(T_ROP!$A$13:$A$436,IFERROR(MATCH(17,$AA$2:$AA$425,0),0)),""),T_VarianceReasons!$B$9:$B$240,0)),"")="","NO","YES"))</f>
        <v>YES</v>
      </c>
      <c r="J103" s="207" t="str">
        <f>IF(IFERROR(INDEX(T_ROP!$A$13:$A$436,IFERROR(MATCH(17,$AA$2:$AA$425,0),0)),"")="","",IFERROR(INDEX(T_VarianceReasons!$J$9:$J$240,MATCH(IFERROR(INDEX(T_ROP!$A$13:$A$436,IFERROR(MATCH(17,$AA$2:$AA$425,0),0)),""),T_VarianceReasons!$B$9:$B$240,0))&amp;": "&amp;INDEX(T_VarianceReasons!$K$9:$K$240,MATCH(IFERROR(INDEX(T_ROP!$A$13:$A$436,IFERROR(MATCH(17,$AA$2:$AA$425,0),0)),""),T_VarianceReasons!$B$9:$B$240,0)),""))</f>
        <v>Counting Error: Initial van loading count mismatched warehouse issue</v>
      </c>
      <c r="AA103" s="175" t="str">
        <f>IF(AND(T_ROP!$C$114=$I$4,T_ROP!$L$114&lt;&gt;"CLEAN",T_ROP!$L$114&lt;&gt;""),COUNTIFS(T_ROP!$C$13:$C$114,$I$4,T_ROP!$L$13:$L$114,"&lt;&gt;CLEAN",T_ROP!$L$13:$L$114,"&lt;&gt;"),"")</f>
        <v/>
      </c>
    </row>
    <row r="104" spans="1:27" ht="23.25" customHeight="1" x14ac:dyDescent="0.3">
      <c r="A104" s="208">
        <v>18</v>
      </c>
      <c r="B104" s="209" t="str">
        <f>IFERROR(INDEX(T_ROP!$F$13:$F$436,IFERROR(MATCH(18,$AA$2:$AA$425,0),0)),"")</f>
        <v>FG024</v>
      </c>
      <c r="C104" s="135" t="str">
        <f>IF(B104="","",IFERROR(INDEX(M_SKU!$A$18:$J$57,MATCH(B104,M_SKU!$B$18:$B$57,0),1),"?"))</f>
        <v>Sparletta Red Apple RGB 350ml</v>
      </c>
      <c r="D104" s="63" t="str">
        <f>IFERROR(INDEX(T_ROP!$H$13:$H$436,IFERROR(MATCH(18,$AA$2:$AA$425,0),0)),"")</f>
        <v>CK3-32758</v>
      </c>
      <c r="E104" s="90">
        <f>IFERROR(INDEX(T_ROP!$I$13:$I$436,IFERROR(MATCH(18,$AA$2:$AA$425,0),0)),"")</f>
        <v>0.44276400835720797</v>
      </c>
      <c r="F104" s="90">
        <f>IFERROR(INDEX(T_ROP!$J$13:$J$436,IFERROR(MATCH(18,$AA$2:$AA$425,0),0)),"")</f>
        <v>0.44</v>
      </c>
      <c r="G104" s="127">
        <f>IFERROR(INDEX(T_ROP!$K$13:$K$436,IFERROR(MATCH(18,$AA$2:$AA$425,0),0)),"")</f>
        <v>2.7640083572079699E-3</v>
      </c>
      <c r="H104" s="155" t="str">
        <f>IFERROR(INDEX(T_ROP!$L$13:$L$436,IFERROR(MATCH(18,$AA$2:$AA$425,0),0)),"")</f>
        <v>Post to Default Outlet</v>
      </c>
      <c r="I104" s="209" t="str">
        <f>IF(IFERROR(INDEX(T_ROP!$A$13:$A$436,IFERROR(MATCH(18,$AA$2:$AA$425,0),0)),"")="","",IF(IFERROR(INDEX(T_VarianceReasons!$J$9:$J$240,MATCH(IFERROR(INDEX(T_ROP!$A$13:$A$436,IFERROR(MATCH(18,$AA$2:$AA$425,0),0)),""),T_VarianceReasons!$B$9:$B$240,0)),"")="","NO","YES"))</f>
        <v>YES</v>
      </c>
      <c r="J104" s="210" t="str">
        <f>IF(IFERROR(INDEX(T_ROP!$A$13:$A$436,IFERROR(MATCH(18,$AA$2:$AA$425,0),0)),"")="","",IFERROR(INDEX(T_VarianceReasons!$J$9:$J$240,MATCH(IFERROR(INDEX(T_ROP!$A$13:$A$436,IFERROR(MATCH(18,$AA$2:$AA$425,0),0)),""),T_VarianceReasons!$B$9:$B$240,0))&amp;": "&amp;INDEX(T_VarianceReasons!$K$9:$K$240,MATCH(IFERROR(INDEX(T_ROP!$A$13:$A$436,IFERROR(MATCH(18,$AA$2:$AA$425,0),0)),""),T_VarianceReasons!$B$9:$B$240,0)),""))</f>
        <v>Mobile App Entry Error: Mobile app crashed mid-entry; sales not fully captured</v>
      </c>
      <c r="AA104" s="175" t="str">
        <f>IF(AND(T_ROP!$C$115=$I$4,T_ROP!$L$115&lt;&gt;"CLEAN",T_ROP!$L$115&lt;&gt;""),COUNTIFS(T_ROP!$C$13:$C$115,$I$4,T_ROP!$L$13:$L$115,"&lt;&gt;CLEAN",T_ROP!$L$13:$L$115,"&lt;&gt;"),"")</f>
        <v/>
      </c>
    </row>
    <row r="105" spans="1:27" ht="34.5" customHeight="1" x14ac:dyDescent="0.3">
      <c r="A105" s="201">
        <v>19</v>
      </c>
      <c r="B105" s="202" t="str">
        <f>IFERROR(INDEX(T_ROP!$F$13:$F$436,IFERROR(MATCH(19,$AA$2:$AA$425,0),0)),"")</f>
        <v>KD001</v>
      </c>
      <c r="C105" s="203" t="str">
        <f>IF(B105="","",IFERROR(INDEX(M_SKU!$A$18:$J$57,MATCH(B105,M_SKU!$B$18:$B$57,0),1),"?"))</f>
        <v>KNMW 500ml</v>
      </c>
      <c r="D105" s="101" t="str">
        <f>IFERROR(INDEX(T_ROP!$H$13:$H$436,IFERROR(MATCH(19,$AA$2:$AA$425,0),0)),"")</f>
        <v>CK6-986</v>
      </c>
      <c r="E105" s="204">
        <f>IFERROR(INDEX(T_ROP!$I$13:$I$436,IFERROR(MATCH(19,$AA$2:$AA$425,0),0)),"")</f>
        <v>14</v>
      </c>
      <c r="F105" s="204">
        <f>IFERROR(INDEX(T_ROP!$J$13:$J$436,IFERROR(MATCH(19,$AA$2:$AA$425,0),0)),"")</f>
        <v>14</v>
      </c>
      <c r="G105" s="205">
        <f>IFERROR(INDEX(T_ROP!$K$13:$K$436,IFERROR(MATCH(19,$AA$2:$AA$425,0),0)),"")</f>
        <v>0</v>
      </c>
      <c r="H105" s="256" t="str">
        <f>IFERROR(INDEX(T_ROP!$L$13:$L$436,IFERROR(MATCH(19,$AA$2:$AA$425,0),0)),"")</f>
        <v>CLEAN</v>
      </c>
      <c r="I105" s="202" t="str">
        <f>IF(IFERROR(INDEX(T_ROP!$A$13:$A$436,IFERROR(MATCH(19,$AA$2:$AA$425,0),0)),"")="","",IF(IFERROR(INDEX(T_VarianceReasons!$J$9:$J$240,MATCH(IFERROR(INDEX(T_ROP!$A$13:$A$436,IFERROR(MATCH(19,$AA$2:$AA$425,0),0)),""),T_VarianceReasons!$B$9:$B$240,0)),"")="","NO","YES"))</f>
        <v>NO</v>
      </c>
      <c r="J105" s="207" t="str">
        <f>IF(IFERROR(INDEX(T_ROP!$A$13:$A$436,IFERROR(MATCH(19,$AA$2:$AA$425,0),0)),"")="","",IFERROR(INDEX(T_VarianceReasons!$J$9:$J$240,MATCH(IFERROR(INDEX(T_ROP!$A$13:$A$436,IFERROR(MATCH(19,$AA$2:$AA$425,0),0)),""),T_VarianceReasons!$B$9:$B$240,0))&amp;": "&amp;INDEX(T_VarianceReasons!$K$9:$K$240,MATCH(IFERROR(INDEX(T_ROP!$A$13:$A$436,IFERROR(MATCH(19,$AA$2:$AA$425,0),0)),""),T_VarianceReasons!$B$9:$B$240,0)),""))</f>
        <v/>
      </c>
      <c r="AA105" s="175" t="str">
        <f>IF(AND(T_ROP!$C$116=$I$4,T_ROP!$L$116&lt;&gt;"CLEAN",T_ROP!$L$116&lt;&gt;""),COUNTIFS(T_ROP!$C$13:$C$116,$I$4,T_ROP!$L$13:$L$116,"&lt;&gt;CLEAN",T_ROP!$L$13:$L$116,"&lt;&gt;"),"")</f>
        <v/>
      </c>
    </row>
    <row r="106" spans="1:27" ht="34.5" customHeight="1" x14ac:dyDescent="0.3">
      <c r="A106" s="208">
        <v>20</v>
      </c>
      <c r="B106" s="209" t="str">
        <f>IFERROR(INDEX(T_ROP!$F$13:$F$436,IFERROR(MATCH(20,$AA$2:$AA$425,0),0)),"")</f>
        <v>KD003</v>
      </c>
      <c r="C106" s="135" t="str">
        <f>IF(B106="","",IFERROR(INDEX(M_SKU!$A$18:$J$57,MATCH(B106,M_SKU!$B$18:$B$57,0),1),"?"))</f>
        <v>KNMW 1500ml</v>
      </c>
      <c r="D106" s="63" t="str">
        <f>IFERROR(INDEX(T_ROP!$H$13:$H$436,IFERROR(MATCH(20,$AA$2:$AA$425,0),0)),"")</f>
        <v>CK4-842</v>
      </c>
      <c r="E106" s="90">
        <f>IFERROR(INDEX(T_ROP!$I$13:$I$436,IFERROR(MATCH(20,$AA$2:$AA$425,0),0)),"")</f>
        <v>21</v>
      </c>
      <c r="F106" s="90">
        <f>IFERROR(INDEX(T_ROP!$J$13:$J$436,IFERROR(MATCH(20,$AA$2:$AA$425,0),0)),"")</f>
        <v>21</v>
      </c>
      <c r="G106" s="127">
        <f>IFERROR(INDEX(T_ROP!$K$13:$K$436,IFERROR(MATCH(20,$AA$2:$AA$425,0),0)),"")</f>
        <v>0</v>
      </c>
      <c r="H106" s="155" t="str">
        <f>IFERROR(INDEX(T_ROP!$L$13:$L$436,IFERROR(MATCH(20,$AA$2:$AA$425,0),0)),"")</f>
        <v>CLEAN</v>
      </c>
      <c r="I106" s="209" t="str">
        <f>IF(IFERROR(INDEX(T_ROP!$A$13:$A$436,IFERROR(MATCH(20,$AA$2:$AA$425,0),0)),"")="","",IF(IFERROR(INDEX(T_VarianceReasons!$J$9:$J$240,MATCH(IFERROR(INDEX(T_ROP!$A$13:$A$436,IFERROR(MATCH(20,$AA$2:$AA$425,0),0)),""),T_VarianceReasons!$B$9:$B$240,0)),"")="","NO","YES"))</f>
        <v>NO</v>
      </c>
      <c r="J106" s="210" t="str">
        <f>IF(IFERROR(INDEX(T_ROP!$A$13:$A$436,IFERROR(MATCH(20,$AA$2:$AA$425,0),0)),"")="","",IFERROR(INDEX(T_VarianceReasons!$J$9:$J$240,MATCH(IFERROR(INDEX(T_ROP!$A$13:$A$436,IFERROR(MATCH(20,$AA$2:$AA$425,0),0)),""),T_VarianceReasons!$B$9:$B$240,0))&amp;": "&amp;INDEX(T_VarianceReasons!$K$9:$K$240,MATCH(IFERROR(INDEX(T_ROP!$A$13:$A$436,IFERROR(MATCH(20,$AA$2:$AA$425,0),0)),""),T_VarianceReasons!$B$9:$B$240,0)),""))</f>
        <v/>
      </c>
      <c r="AA106" s="175" t="str">
        <f>IF(AND(T_ROP!$C$117=$I$4,T_ROP!$L$117&lt;&gt;"CLEAN",T_ROP!$L$117&lt;&gt;""),COUNTIFS(T_ROP!$C$13:$C$117,$I$4,T_ROP!$L$13:$L$117,"&lt;&gt;CLEAN",T_ROP!$L$13:$L$117,"&lt;&gt;"),"")</f>
        <v/>
      </c>
    </row>
    <row r="107" spans="1:27" ht="34.5" customHeight="1" x14ac:dyDescent="0.3">
      <c r="A107" s="201">
        <v>21</v>
      </c>
      <c r="B107" s="202" t="str">
        <f>IFERROR(INDEX(T_ROP!$F$13:$F$436,IFERROR(MATCH(21,$AA$2:$AA$425,0),0)),"")</f>
        <v>PH001</v>
      </c>
      <c r="C107" s="203" t="str">
        <f>IF(B107="","",IFERROR(INDEX(M_SKU!$A$18:$J$57,MATCH(B107,M_SKU!$B$18:$B$57,0),1),"?"))</f>
        <v>Coke Pet 500ML ( x12)</v>
      </c>
      <c r="D107" s="101" t="str">
        <f>IFERROR(INDEX(T_ROP!$H$13:$H$436,IFERROR(MATCH(21,$AA$2:$AA$425,0),0)),"")</f>
        <v>CK6-33411</v>
      </c>
      <c r="E107" s="204">
        <f>IFERROR(INDEX(T_ROP!$I$13:$I$436,IFERROR(MATCH(21,$AA$2:$AA$425,0),0)),"")</f>
        <v>9</v>
      </c>
      <c r="F107" s="204">
        <f>IFERROR(INDEX(T_ROP!$J$13:$J$436,IFERROR(MATCH(21,$AA$2:$AA$425,0),0)),"")</f>
        <v>9</v>
      </c>
      <c r="G107" s="205">
        <f>IFERROR(INDEX(T_ROP!$K$13:$K$436,IFERROR(MATCH(21,$AA$2:$AA$425,0),0)),"")</f>
        <v>0</v>
      </c>
      <c r="H107" s="256" t="str">
        <f>IFERROR(INDEX(T_ROP!$L$13:$L$436,IFERROR(MATCH(21,$AA$2:$AA$425,0),0)),"")</f>
        <v>CLEAN</v>
      </c>
      <c r="I107" s="202" t="str">
        <f>IF(IFERROR(INDEX(T_ROP!$A$13:$A$436,IFERROR(MATCH(21,$AA$2:$AA$425,0),0)),"")="","",IF(IFERROR(INDEX(T_VarianceReasons!$J$9:$J$240,MATCH(IFERROR(INDEX(T_ROP!$A$13:$A$436,IFERROR(MATCH(21,$AA$2:$AA$425,0),0)),""),T_VarianceReasons!$B$9:$B$240,0)),"")="","NO","YES"))</f>
        <v>NO</v>
      </c>
      <c r="J107" s="207" t="str">
        <f>IF(IFERROR(INDEX(T_ROP!$A$13:$A$436,IFERROR(MATCH(21,$AA$2:$AA$425,0),0)),"")="","",IFERROR(INDEX(T_VarianceReasons!$J$9:$J$240,MATCH(IFERROR(INDEX(T_ROP!$A$13:$A$436,IFERROR(MATCH(21,$AA$2:$AA$425,0),0)),""),T_VarianceReasons!$B$9:$B$240,0))&amp;": "&amp;INDEX(T_VarianceReasons!$K$9:$K$240,MATCH(IFERROR(INDEX(T_ROP!$A$13:$A$436,IFERROR(MATCH(21,$AA$2:$AA$425,0),0)),""),T_VarianceReasons!$B$9:$B$240,0)),""))</f>
        <v/>
      </c>
      <c r="AA107" s="175" t="str">
        <f>IF(AND(T_ROP!$C$118=$I$4,T_ROP!$L$118&lt;&gt;"CLEAN",T_ROP!$L$118&lt;&gt;""),COUNTIFS(T_ROP!$C$13:$C$118,$I$4,T_ROP!$L$13:$L$118,"&lt;&gt;CLEAN",T_ROP!$L$13:$L$118,"&lt;&gt;"),"")</f>
        <v/>
      </c>
    </row>
    <row r="108" spans="1:27" ht="53.25" customHeight="1" x14ac:dyDescent="0.3">
      <c r="A108" s="208">
        <v>22</v>
      </c>
      <c r="B108" s="209" t="str">
        <f>IFERROR(INDEX(T_ROP!$F$13:$F$436,IFERROR(MATCH(22,$AA$2:$AA$425,0),0)),"")</f>
        <v>PH002</v>
      </c>
      <c r="C108" s="135" t="str">
        <f>IF(B108="","",IFERROR(INDEX(M_SKU!$A$18:$J$57,MATCH(B108,M_SKU!$B$18:$B$57,0),1),"?"))</f>
        <v>Sprite Pet 500ML (x 12)</v>
      </c>
      <c r="D108" s="63" t="str">
        <f>IFERROR(INDEX(T_ROP!$H$13:$H$436,IFERROR(MATCH(22,$AA$2:$AA$425,0),0)),"")</f>
        <v>CK6-33362</v>
      </c>
      <c r="E108" s="90">
        <f>IFERROR(INDEX(T_ROP!$I$13:$I$436,IFERROR(MATCH(22,$AA$2:$AA$425,0),0)),"")</f>
        <v>3</v>
      </c>
      <c r="F108" s="90">
        <f>IFERROR(INDEX(T_ROP!$J$13:$J$436,IFERROR(MATCH(22,$AA$2:$AA$425,0),0)),"")</f>
        <v>3</v>
      </c>
      <c r="G108" s="127">
        <f>IFERROR(INDEX(T_ROP!$K$13:$K$436,IFERROR(MATCH(22,$AA$2:$AA$425,0),0)),"")</f>
        <v>0</v>
      </c>
      <c r="H108" s="155" t="str">
        <f>IFERROR(INDEX(T_ROP!$L$13:$L$436,IFERROR(MATCH(22,$AA$2:$AA$425,0),0)),"")</f>
        <v>CLEAN</v>
      </c>
      <c r="I108" s="209" t="str">
        <f>IF(IFERROR(INDEX(T_ROP!$A$13:$A$436,IFERROR(MATCH(22,$AA$2:$AA$425,0),0)),"")="","",IF(IFERROR(INDEX(T_VarianceReasons!$J$9:$J$240,MATCH(IFERROR(INDEX(T_ROP!$A$13:$A$436,IFERROR(MATCH(22,$AA$2:$AA$425,0),0)),""),T_VarianceReasons!$B$9:$B$240,0)),"")="","NO","YES"))</f>
        <v>NO</v>
      </c>
      <c r="J108" s="210" t="str">
        <f>IF(IFERROR(INDEX(T_ROP!$A$13:$A$436,IFERROR(MATCH(22,$AA$2:$AA$425,0),0)),"")="","",IFERROR(INDEX(T_VarianceReasons!$J$9:$J$240,MATCH(IFERROR(INDEX(T_ROP!$A$13:$A$436,IFERROR(MATCH(22,$AA$2:$AA$425,0),0)),""),T_VarianceReasons!$B$9:$B$240,0))&amp;": "&amp;INDEX(T_VarianceReasons!$K$9:$K$240,MATCH(IFERROR(INDEX(T_ROP!$A$13:$A$436,IFERROR(MATCH(22,$AA$2:$AA$425,0),0)),""),T_VarianceReasons!$B$9:$B$240,0)),""))</f>
        <v/>
      </c>
      <c r="AA108" s="175" t="str">
        <f>IF(AND(T_ROP!$C$119=$I$4,T_ROP!$L$119&lt;&gt;"CLEAN",T_ROP!$L$119&lt;&gt;""),COUNTIFS(T_ROP!$C$13:$C$119,$I$4,T_ROP!$L$13:$L$119,"&lt;&gt;CLEAN",T_ROP!$L$13:$L$119,"&lt;&gt;"),"")</f>
        <v/>
      </c>
    </row>
    <row r="109" spans="1:27" ht="34.5" customHeight="1" x14ac:dyDescent="0.3">
      <c r="A109" s="201">
        <v>23</v>
      </c>
      <c r="B109" s="202" t="str">
        <f>IFERROR(INDEX(T_ROP!$F$13:$F$436,IFERROR(MATCH(23,$AA$2:$AA$425,0),0)),"")</f>
        <v>PH003</v>
      </c>
      <c r="C109" s="203" t="str">
        <f>IF(B109="","",IFERROR(INDEX(M_SKU!$A$18:$J$57,MATCH(B109,M_SKU!$B$18:$B$57,0),1),"?"))</f>
        <v>Fanta Orange Pet 500ML ( x 12)</v>
      </c>
      <c r="D109" s="101" t="str">
        <f>IFERROR(INDEX(T_ROP!$H$13:$H$436,IFERROR(MATCH(23,$AA$2:$AA$425,0),0)),"")</f>
        <v>CK6-33405</v>
      </c>
      <c r="E109" s="204">
        <f>IFERROR(INDEX(T_ROP!$I$13:$I$436,IFERROR(MATCH(23,$AA$2:$AA$425,0),0)),"")</f>
        <v>3</v>
      </c>
      <c r="F109" s="204">
        <f>IFERROR(INDEX(T_ROP!$J$13:$J$436,IFERROR(MATCH(23,$AA$2:$AA$425,0),0)),"")</f>
        <v>3</v>
      </c>
      <c r="G109" s="205">
        <f>IFERROR(INDEX(T_ROP!$K$13:$K$436,IFERROR(MATCH(23,$AA$2:$AA$425,0),0)),"")</f>
        <v>0</v>
      </c>
      <c r="H109" s="256" t="str">
        <f>IFERROR(INDEX(T_ROP!$L$13:$L$436,IFERROR(MATCH(23,$AA$2:$AA$425,0),0)),"")</f>
        <v>CLEAN</v>
      </c>
      <c r="I109" s="202" t="str">
        <f>IF(IFERROR(INDEX(T_ROP!$A$13:$A$436,IFERROR(MATCH(23,$AA$2:$AA$425,0),0)),"")="","",IF(IFERROR(INDEX(T_VarianceReasons!$J$9:$J$240,MATCH(IFERROR(INDEX(T_ROP!$A$13:$A$436,IFERROR(MATCH(23,$AA$2:$AA$425,0),0)),""),T_VarianceReasons!$B$9:$B$240,0)),"")="","NO","YES"))</f>
        <v>NO</v>
      </c>
      <c r="J109" s="207" t="str">
        <f>IF(IFERROR(INDEX(T_ROP!$A$13:$A$436,IFERROR(MATCH(23,$AA$2:$AA$425,0),0)),"")="","",IFERROR(INDEX(T_VarianceReasons!$J$9:$J$240,MATCH(IFERROR(INDEX(T_ROP!$A$13:$A$436,IFERROR(MATCH(23,$AA$2:$AA$425,0),0)),""),T_VarianceReasons!$B$9:$B$240,0))&amp;": "&amp;INDEX(T_VarianceReasons!$K$9:$K$240,MATCH(IFERROR(INDEX(T_ROP!$A$13:$A$436,IFERROR(MATCH(23,$AA$2:$AA$425,0),0)),""),T_VarianceReasons!$B$9:$B$240,0)),""))</f>
        <v/>
      </c>
      <c r="AA109" s="175" t="str">
        <f>IF(AND(T_ROP!$C$120=$I$4,T_ROP!$L$120&lt;&gt;"CLEAN",T_ROP!$L$120&lt;&gt;""),COUNTIFS(T_ROP!$C$13:$C$120,$I$4,T_ROP!$L$13:$L$120,"&lt;&gt;CLEAN",T_ROP!$L$13:$L$120,"&lt;&gt;"),"")</f>
        <v/>
      </c>
    </row>
    <row r="110" spans="1:27" ht="34.5" customHeight="1" x14ac:dyDescent="0.3">
      <c r="A110" s="208">
        <v>24</v>
      </c>
      <c r="B110" s="209" t="str">
        <f>IFERROR(INDEX(T_ROP!$F$13:$F$436,IFERROR(MATCH(24,$AA$2:$AA$425,0),0)),"")</f>
        <v>PH004</v>
      </c>
      <c r="C110" s="135" t="str">
        <f>IF(B110="","",IFERROR(INDEX(M_SKU!$A$18:$J$57,MATCH(B110,M_SKU!$B$18:$B$57,0),1),"?"))</f>
        <v>Fanta Passion Pet 500ML ( x12)</v>
      </c>
      <c r="D110" s="63" t="str">
        <f>IFERROR(INDEX(T_ROP!$H$13:$H$436,IFERROR(MATCH(24,$AA$2:$AA$425,0),0)),"")</f>
        <v>CK5-33334</v>
      </c>
      <c r="E110" s="90">
        <f>IFERROR(INDEX(T_ROP!$I$13:$I$436,IFERROR(MATCH(24,$AA$2:$AA$425,0),0)),"")</f>
        <v>1</v>
      </c>
      <c r="F110" s="90">
        <f>IFERROR(INDEX(T_ROP!$J$13:$J$436,IFERROR(MATCH(24,$AA$2:$AA$425,0),0)),"")</f>
        <v>1</v>
      </c>
      <c r="G110" s="127">
        <f>IFERROR(INDEX(T_ROP!$K$13:$K$436,IFERROR(MATCH(24,$AA$2:$AA$425,0),0)),"")</f>
        <v>0</v>
      </c>
      <c r="H110" s="155" t="str">
        <f>IFERROR(INDEX(T_ROP!$L$13:$L$436,IFERROR(MATCH(24,$AA$2:$AA$425,0),0)),"")</f>
        <v>CLEAN</v>
      </c>
      <c r="I110" s="209" t="str">
        <f>IF(IFERROR(INDEX(T_ROP!$A$13:$A$436,IFERROR(MATCH(24,$AA$2:$AA$425,0),0)),"")="","",IF(IFERROR(INDEX(T_VarianceReasons!$J$9:$J$240,MATCH(IFERROR(INDEX(T_ROP!$A$13:$A$436,IFERROR(MATCH(24,$AA$2:$AA$425,0),0)),""),T_VarianceReasons!$B$9:$B$240,0)),"")="","NO","YES"))</f>
        <v>NO</v>
      </c>
      <c r="J110" s="210" t="str">
        <f>IF(IFERROR(INDEX(T_ROP!$A$13:$A$436,IFERROR(MATCH(24,$AA$2:$AA$425,0),0)),"")="","",IFERROR(INDEX(T_VarianceReasons!$J$9:$J$240,MATCH(IFERROR(INDEX(T_ROP!$A$13:$A$436,IFERROR(MATCH(24,$AA$2:$AA$425,0),0)),""),T_VarianceReasons!$B$9:$B$240,0))&amp;": "&amp;INDEX(T_VarianceReasons!$K$9:$K$240,MATCH(IFERROR(INDEX(T_ROP!$A$13:$A$436,IFERROR(MATCH(24,$AA$2:$AA$425,0),0)),""),T_VarianceReasons!$B$9:$B$240,0)),""))</f>
        <v/>
      </c>
      <c r="AA110" s="175" t="str">
        <f>IF(AND(T_ROP!$C$121=$I$4,T_ROP!$L$121&lt;&gt;"CLEAN",T_ROP!$L$121&lt;&gt;""),COUNTIFS(T_ROP!$C$13:$C$121,$I$4,T_ROP!$L$13:$L$121,"&lt;&gt;CLEAN",T_ROP!$L$13:$L$121,"&lt;&gt;"),"")</f>
        <v/>
      </c>
    </row>
    <row r="111" spans="1:27" ht="34.5" customHeight="1" x14ac:dyDescent="0.3">
      <c r="A111" s="201">
        <v>25</v>
      </c>
      <c r="B111" s="202" t="str">
        <f>IFERROR(INDEX(T_ROP!$F$13:$F$436,IFERROR(MATCH(25,$AA$2:$AA$425,0),0)),"")</f>
        <v>PH006</v>
      </c>
      <c r="C111" s="203" t="str">
        <f>IF(B111="","",IFERROR(INDEX(M_SKU!$A$18:$J$57,MATCH(B111,M_SKU!$B$18:$B$57,0),1),"?"))</f>
        <v>Fanta Fruit Blast Pet 500ML (x12)</v>
      </c>
      <c r="D111" s="101" t="str">
        <f>IFERROR(INDEX(T_ROP!$H$13:$H$436,IFERROR(MATCH(25,$AA$2:$AA$425,0),0)),"")</f>
        <v>CK6-33333</v>
      </c>
      <c r="E111" s="204">
        <f>IFERROR(INDEX(T_ROP!$I$13:$I$436,IFERROR(MATCH(25,$AA$2:$AA$425,0),0)),"")</f>
        <v>1</v>
      </c>
      <c r="F111" s="204">
        <f>IFERROR(INDEX(T_ROP!$J$13:$J$436,IFERROR(MATCH(25,$AA$2:$AA$425,0),0)),"")</f>
        <v>1</v>
      </c>
      <c r="G111" s="205">
        <f>IFERROR(INDEX(T_ROP!$K$13:$K$436,IFERROR(MATCH(25,$AA$2:$AA$425,0),0)),"")</f>
        <v>0</v>
      </c>
      <c r="H111" s="256" t="str">
        <f>IFERROR(INDEX(T_ROP!$L$13:$L$436,IFERROR(MATCH(25,$AA$2:$AA$425,0),0)),"")</f>
        <v>CLEAN</v>
      </c>
      <c r="I111" s="202" t="str">
        <f>IF(IFERROR(INDEX(T_ROP!$A$13:$A$436,IFERROR(MATCH(25,$AA$2:$AA$425,0),0)),"")="","",IF(IFERROR(INDEX(T_VarianceReasons!$J$9:$J$240,MATCH(IFERROR(INDEX(T_ROP!$A$13:$A$436,IFERROR(MATCH(25,$AA$2:$AA$425,0),0)),""),T_VarianceReasons!$B$9:$B$240,0)),"")="","NO","YES"))</f>
        <v>NO</v>
      </c>
      <c r="J111" s="207" t="str">
        <f>IF(IFERROR(INDEX(T_ROP!$A$13:$A$436,IFERROR(MATCH(25,$AA$2:$AA$425,0),0)),"")="","",IFERROR(INDEX(T_VarianceReasons!$J$9:$J$240,MATCH(IFERROR(INDEX(T_ROP!$A$13:$A$436,IFERROR(MATCH(25,$AA$2:$AA$425,0),0)),""),T_VarianceReasons!$B$9:$B$240,0))&amp;": "&amp;INDEX(T_VarianceReasons!$K$9:$K$240,MATCH(IFERROR(INDEX(T_ROP!$A$13:$A$436,IFERROR(MATCH(25,$AA$2:$AA$425,0),0)),""),T_VarianceReasons!$B$9:$B$240,0)),""))</f>
        <v/>
      </c>
      <c r="AA111" s="175" t="str">
        <f>IF(AND(T_ROP!$C$122=$I$4,T_ROP!$L$122&lt;&gt;"CLEAN",T_ROP!$L$122&lt;&gt;""),COUNTIFS(T_ROP!$C$13:$C$122,$I$4,T_ROP!$L$13:$L$122,"&lt;&gt;CLEAN",T_ROP!$L$13:$L$122,"&lt;&gt;"),"")</f>
        <v/>
      </c>
    </row>
    <row r="112" spans="1:27" ht="34.5" customHeight="1" x14ac:dyDescent="0.3">
      <c r="A112" s="208">
        <v>26</v>
      </c>
      <c r="B112" s="209" t="str">
        <f>IFERROR(INDEX(T_ROP!$F$13:$F$436,IFERROR(MATCH(26,$AA$2:$AA$425,0),0)),"")</f>
        <v>PH006</v>
      </c>
      <c r="C112" s="135" t="str">
        <f>IF(B112="","",IFERROR(INDEX(M_SKU!$A$18:$J$57,MATCH(B112,M_SKU!$B$18:$B$57,0),1),"?"))</f>
        <v>Fanta Fruit Blast Pet 500ML (x12)</v>
      </c>
      <c r="D112" s="63" t="str">
        <f>IFERROR(INDEX(T_ROP!$H$13:$H$436,IFERROR(MATCH(26,$AA$2:$AA$425,0),0)),"")</f>
        <v>CK6-33334</v>
      </c>
      <c r="E112" s="90">
        <f>IFERROR(INDEX(T_ROP!$I$13:$I$436,IFERROR(MATCH(26,$AA$2:$AA$425,0),0)),"")</f>
        <v>0</v>
      </c>
      <c r="F112" s="90">
        <f>IFERROR(INDEX(T_ROP!$J$13:$J$436,IFERROR(MATCH(26,$AA$2:$AA$425,0),0)),"")</f>
        <v>0</v>
      </c>
      <c r="G112" s="127">
        <f>IFERROR(INDEX(T_ROP!$K$13:$K$436,IFERROR(MATCH(26,$AA$2:$AA$425,0),0)),"")</f>
        <v>0</v>
      </c>
      <c r="H112" s="155" t="str">
        <f>IFERROR(INDEX(T_ROP!$L$13:$L$436,IFERROR(MATCH(26,$AA$2:$AA$425,0),0)),"")</f>
        <v>CLEAN</v>
      </c>
      <c r="I112" s="209" t="str">
        <f>IF(IFERROR(INDEX(T_ROP!$A$13:$A$436,IFERROR(MATCH(26,$AA$2:$AA$425,0),0)),"")="","",IF(IFERROR(INDEX(T_VarianceReasons!$J$9:$J$240,MATCH(IFERROR(INDEX(T_ROP!$A$13:$A$436,IFERROR(MATCH(26,$AA$2:$AA$425,0),0)),""),T_VarianceReasons!$B$9:$B$240,0)),"")="","NO","YES"))</f>
        <v>NO</v>
      </c>
      <c r="J112" s="210" t="str">
        <f>IF(IFERROR(INDEX(T_ROP!$A$13:$A$436,IFERROR(MATCH(26,$AA$2:$AA$425,0),0)),"")="","",IFERROR(INDEX(T_VarianceReasons!$J$9:$J$240,MATCH(IFERROR(INDEX(T_ROP!$A$13:$A$436,IFERROR(MATCH(26,$AA$2:$AA$425,0),0)),""),T_VarianceReasons!$B$9:$B$240,0))&amp;": "&amp;INDEX(T_VarianceReasons!$K$9:$K$240,MATCH(IFERROR(INDEX(T_ROP!$A$13:$A$436,IFERROR(MATCH(26,$AA$2:$AA$425,0),0)),""),T_VarianceReasons!$B$9:$B$240,0)),""))</f>
        <v/>
      </c>
      <c r="AA112" s="175" t="str">
        <f>IF(AND(T_ROP!$C$123=$I$4,T_ROP!$L$123&lt;&gt;"CLEAN",T_ROP!$L$123&lt;&gt;""),COUNTIFS(T_ROP!$C$13:$C$123,$I$4,T_ROP!$L$13:$L$123,"&lt;&gt;CLEAN",T_ROP!$L$13:$L$123,"&lt;&gt;"),"")</f>
        <v/>
      </c>
    </row>
    <row r="113" spans="1:27" ht="34.5" customHeight="1" x14ac:dyDescent="0.3">
      <c r="A113" s="201">
        <v>27</v>
      </c>
      <c r="B113" s="202" t="str">
        <f>IFERROR(INDEX(T_ROP!$F$13:$F$436,IFERROR(MATCH(27,$AA$2:$AA$425,0),0)),"")</f>
        <v>PH007</v>
      </c>
      <c r="C113" s="203" t="str">
        <f>IF(B113="","",IFERROR(INDEX(M_SKU!$A$18:$J$57,MATCH(B113,M_SKU!$B$18:$B$57,0),1),"?"))</f>
        <v>Stoney Tangawizi Pet 500 ml ( x12)</v>
      </c>
      <c r="D113" s="101" t="str">
        <f>IFERROR(INDEX(T_ROP!$H$13:$H$436,IFERROR(MATCH(27,$AA$2:$AA$425,0),0)),"")</f>
        <v>CK6-33375</v>
      </c>
      <c r="E113" s="204">
        <f>IFERROR(INDEX(T_ROP!$I$13:$I$436,IFERROR(MATCH(27,$AA$2:$AA$425,0),0)),"")</f>
        <v>0</v>
      </c>
      <c r="F113" s="204">
        <f>IFERROR(INDEX(T_ROP!$J$13:$J$436,IFERROR(MATCH(27,$AA$2:$AA$425,0),0)),"")</f>
        <v>0</v>
      </c>
      <c r="G113" s="205">
        <f>IFERROR(INDEX(T_ROP!$K$13:$K$436,IFERROR(MATCH(27,$AA$2:$AA$425,0),0)),"")</f>
        <v>0</v>
      </c>
      <c r="H113" s="256" t="str">
        <f>IFERROR(INDEX(T_ROP!$L$13:$L$436,IFERROR(MATCH(27,$AA$2:$AA$425,0),0)),"")</f>
        <v>CLEAN</v>
      </c>
      <c r="I113" s="202" t="str">
        <f>IF(IFERROR(INDEX(T_ROP!$A$13:$A$436,IFERROR(MATCH(27,$AA$2:$AA$425,0),0)),"")="","",IF(IFERROR(INDEX(T_VarianceReasons!$J$9:$J$240,MATCH(IFERROR(INDEX(T_ROP!$A$13:$A$436,IFERROR(MATCH(27,$AA$2:$AA$425,0),0)),""),T_VarianceReasons!$B$9:$B$240,0)),"")="","NO","YES"))</f>
        <v>NO</v>
      </c>
      <c r="J113" s="207" t="str">
        <f>IF(IFERROR(INDEX(T_ROP!$A$13:$A$436,IFERROR(MATCH(27,$AA$2:$AA$425,0),0)),"")="","",IFERROR(INDEX(T_VarianceReasons!$J$9:$J$240,MATCH(IFERROR(INDEX(T_ROP!$A$13:$A$436,IFERROR(MATCH(27,$AA$2:$AA$425,0),0)),""),T_VarianceReasons!$B$9:$B$240,0))&amp;": "&amp;INDEX(T_VarianceReasons!$K$9:$K$240,MATCH(IFERROR(INDEX(T_ROP!$A$13:$A$436,IFERROR(MATCH(27,$AA$2:$AA$425,0),0)),""),T_VarianceReasons!$B$9:$B$240,0)),""))</f>
        <v/>
      </c>
      <c r="AA113" s="175" t="str">
        <f>IF(AND(T_ROP!$C$124=$I$4,T_ROP!$L$124&lt;&gt;"CLEAN",T_ROP!$L$124&lt;&gt;""),COUNTIFS(T_ROP!$C$13:$C$124,$I$4,T_ROP!$L$13:$L$124,"&lt;&gt;CLEAN",T_ROP!$L$13:$L$124,"&lt;&gt;"),"")</f>
        <v/>
      </c>
    </row>
    <row r="114" spans="1:27" ht="34.5" customHeight="1" x14ac:dyDescent="0.3">
      <c r="A114" s="208">
        <v>28</v>
      </c>
      <c r="B114" s="209" t="str">
        <f>IFERROR(INDEX(T_ROP!$F$13:$F$436,IFERROR(MATCH(28,$AA$2:$AA$425,0),0)),"")</f>
        <v>PH008</v>
      </c>
      <c r="C114" s="135" t="str">
        <f>IF(B114="","",IFERROR(INDEX(M_SKU!$A$18:$J$57,MATCH(B114,M_SKU!$B$18:$B$57,0),1),"?"))</f>
        <v>Sparletta Pinenut Pet 500 ml ( x12)</v>
      </c>
      <c r="D114" s="63" t="str">
        <f>IFERROR(INDEX(T_ROP!$H$13:$H$436,IFERROR(MATCH(28,$AA$2:$AA$425,0),0)),"")</f>
        <v>CK5-33370</v>
      </c>
      <c r="E114" s="90">
        <f>IFERROR(INDEX(T_ROP!$I$13:$I$436,IFERROR(MATCH(28,$AA$2:$AA$425,0),0)),"")</f>
        <v>0</v>
      </c>
      <c r="F114" s="90">
        <f>IFERROR(INDEX(T_ROP!$J$13:$J$436,IFERROR(MATCH(28,$AA$2:$AA$425,0),0)),"")</f>
        <v>0</v>
      </c>
      <c r="G114" s="127">
        <f>IFERROR(INDEX(T_ROP!$K$13:$K$436,IFERROR(MATCH(28,$AA$2:$AA$425,0),0)),"")</f>
        <v>0</v>
      </c>
      <c r="H114" s="105" t="str">
        <f>IFERROR(INDEX(T_ROP!$L$13:$L$436,IFERROR(MATCH(28,$AA$2:$AA$425,0),0)),"")</f>
        <v>CLEAN</v>
      </c>
      <c r="I114" s="209" t="str">
        <f>IF(IFERROR(INDEX(T_ROP!$A$13:$A$436,IFERROR(MATCH(28,$AA$2:$AA$425,0),0)),"")="","",IF(IFERROR(INDEX(T_VarianceReasons!$J$9:$J$240,MATCH(IFERROR(INDEX(T_ROP!$A$13:$A$436,IFERROR(MATCH(28,$AA$2:$AA$425,0),0)),""),T_VarianceReasons!$B$9:$B$240,0)),"")="","NO","YES"))</f>
        <v>NO</v>
      </c>
      <c r="J114" s="210" t="str">
        <f>IF(IFERROR(INDEX(T_ROP!$A$13:$A$436,IFERROR(MATCH(28,$AA$2:$AA$425,0),0)),"")="","",IFERROR(INDEX(T_VarianceReasons!$J$9:$J$240,MATCH(IFERROR(INDEX(T_ROP!$A$13:$A$436,IFERROR(MATCH(28,$AA$2:$AA$425,0),0)),""),T_VarianceReasons!$B$9:$B$240,0))&amp;": "&amp;INDEX(T_VarianceReasons!$K$9:$K$240,MATCH(IFERROR(INDEX(T_ROP!$A$13:$A$436,IFERROR(MATCH(28,$AA$2:$AA$425,0),0)),""),T_VarianceReasons!$B$9:$B$240,0)),""))</f>
        <v/>
      </c>
      <c r="AA114" s="175" t="str">
        <f>IF(AND(T_ROP!$C$125=$I$4,T_ROP!$L$125&lt;&gt;"CLEAN",T_ROP!$L$125&lt;&gt;""),COUNTIFS(T_ROP!$C$13:$C$125,$I$4,T_ROP!$L$13:$L$125,"&lt;&gt;CLEAN",T_ROP!$L$13:$L$125,"&lt;&gt;"),"")</f>
        <v/>
      </c>
    </row>
    <row r="115" spans="1:27" ht="23.25" customHeight="1" x14ac:dyDescent="0.3">
      <c r="A115" s="201">
        <v>29</v>
      </c>
      <c r="B115" s="202" t="str">
        <f>IFERROR(INDEX(T_ROP!$F$13:$F$436,IFERROR(MATCH(29,$AA$2:$AA$425,0),0)),"")</f>
        <v>PH009</v>
      </c>
      <c r="C115" s="203" t="str">
        <f>IF(B115="","",IFERROR(INDEX(M_SKU!$A$18:$J$57,MATCH(B115,M_SKU!$B$18:$B$57,0),1),"?"))</f>
        <v>Coke Zero Pet 500ML ( X 12)</v>
      </c>
      <c r="D115" s="101" t="str">
        <f>IFERROR(INDEX(T_ROP!$H$13:$H$436,IFERROR(MATCH(29,$AA$2:$AA$425,0),0)),"")</f>
        <v>CK6-33241</v>
      </c>
      <c r="E115" s="204">
        <f>IFERROR(INDEX(T_ROP!$I$13:$I$436,IFERROR(MATCH(29,$AA$2:$AA$425,0),0)),"")</f>
        <v>1</v>
      </c>
      <c r="F115" s="204">
        <f>IFERROR(INDEX(T_ROP!$J$13:$J$436,IFERROR(MATCH(29,$AA$2:$AA$425,0),0)),"")</f>
        <v>1</v>
      </c>
      <c r="G115" s="205">
        <f>IFERROR(INDEX(T_ROP!$K$13:$K$436,IFERROR(MATCH(29,$AA$2:$AA$425,0),0)),"")</f>
        <v>0</v>
      </c>
      <c r="H115" s="206" t="str">
        <f>IFERROR(INDEX(T_ROP!$L$13:$L$436,IFERROR(MATCH(29,$AA$2:$AA$425,0),0)),"")</f>
        <v>CLEAN</v>
      </c>
      <c r="I115" s="202" t="str">
        <f>IF(IFERROR(INDEX(T_ROP!$A$13:$A$436,IFERROR(MATCH(29,$AA$2:$AA$425,0),0)),"")="","",IF(IFERROR(INDEX(T_VarianceReasons!$J$9:$J$240,MATCH(IFERROR(INDEX(T_ROP!$A$13:$A$436,IFERROR(MATCH(29,$AA$2:$AA$425,0),0)),""),T_VarianceReasons!$B$9:$B$240,0)),"")="","NO","YES"))</f>
        <v>NO</v>
      </c>
      <c r="J115" s="207" t="str">
        <f>IF(IFERROR(INDEX(T_ROP!$A$13:$A$436,IFERROR(MATCH(29,$AA$2:$AA$425,0),0)),"")="","",IFERROR(INDEX(T_VarianceReasons!$J$9:$J$240,MATCH(IFERROR(INDEX(T_ROP!$A$13:$A$436,IFERROR(MATCH(29,$AA$2:$AA$425,0),0)),""),T_VarianceReasons!$B$9:$B$240,0))&amp;": "&amp;INDEX(T_VarianceReasons!$K$9:$K$240,MATCH(IFERROR(INDEX(T_ROP!$A$13:$A$436,IFERROR(MATCH(29,$AA$2:$AA$425,0),0)),""),T_VarianceReasons!$B$9:$B$240,0)),""))</f>
        <v/>
      </c>
      <c r="AA115" s="175" t="str">
        <f>IF(AND(T_ROP!$C$126=$I$4,T_ROP!$L$126&lt;&gt;"CLEAN",T_ROP!$L$126&lt;&gt;""),COUNTIFS(T_ROP!$C$13:$C$126,$I$4,T_ROP!$L$13:$L$126,"&lt;&gt;CLEAN",T_ROP!$L$13:$L$126,"&lt;&gt;"),"")</f>
        <v/>
      </c>
    </row>
    <row r="116" spans="1:27" ht="34.5" customHeight="1" x14ac:dyDescent="0.3">
      <c r="A116" s="208">
        <v>30</v>
      </c>
      <c r="B116" s="209" t="str">
        <f>IFERROR(INDEX(T_ROP!$F$13:$F$436,IFERROR(MATCH(30,$AA$2:$AA$425,0),0)),"")</f>
        <v>PO010</v>
      </c>
      <c r="C116" s="135" t="str">
        <f>IF(B116="","",IFERROR(INDEX(M_SKU!$A$18:$J$57,MATCH(B116,M_SKU!$B$18:$B$57,0),1),"?"))</f>
        <v>Sprite Zero Pet 300ML (x 12)</v>
      </c>
      <c r="D116" s="63" t="str">
        <f>IFERROR(INDEX(T_ROP!$H$13:$H$436,IFERROR(MATCH(30,$AA$2:$AA$425,0),0)),"")</f>
        <v>CK5-33360</v>
      </c>
      <c r="E116" s="90">
        <f>IFERROR(INDEX(T_ROP!$I$13:$I$436,IFERROR(MATCH(30,$AA$2:$AA$425,0),0)),"")</f>
        <v>1</v>
      </c>
      <c r="F116" s="90">
        <f>IFERROR(INDEX(T_ROP!$J$13:$J$436,IFERROR(MATCH(30,$AA$2:$AA$425,0),0)),"")</f>
        <v>1</v>
      </c>
      <c r="G116" s="127">
        <f>IFERROR(INDEX(T_ROP!$K$13:$K$436,IFERROR(MATCH(30,$AA$2:$AA$425,0),0)),"")</f>
        <v>0</v>
      </c>
      <c r="H116" s="105" t="str">
        <f>IFERROR(INDEX(T_ROP!$L$13:$L$436,IFERROR(MATCH(30,$AA$2:$AA$425,0),0)),"")</f>
        <v>CLEAN</v>
      </c>
      <c r="I116" s="209" t="str">
        <f>IF(IFERROR(INDEX(T_ROP!$A$13:$A$436,IFERROR(MATCH(30,$AA$2:$AA$425,0),0)),"")="","",IF(IFERROR(INDEX(T_VarianceReasons!$J$9:$J$240,MATCH(IFERROR(INDEX(T_ROP!$A$13:$A$436,IFERROR(MATCH(30,$AA$2:$AA$425,0),0)),""),T_VarianceReasons!$B$9:$B$240,0)),"")="","NO","YES"))</f>
        <v>NO</v>
      </c>
      <c r="J116" s="210" t="str">
        <f>IF(IFERROR(INDEX(T_ROP!$A$13:$A$436,IFERROR(MATCH(30,$AA$2:$AA$425,0),0)),"")="","",IFERROR(INDEX(T_VarianceReasons!$J$9:$J$240,MATCH(IFERROR(INDEX(T_ROP!$A$13:$A$436,IFERROR(MATCH(30,$AA$2:$AA$425,0),0)),""),T_VarianceReasons!$B$9:$B$240,0))&amp;": "&amp;INDEX(T_VarianceReasons!$K$9:$K$240,MATCH(IFERROR(INDEX(T_ROP!$A$13:$A$436,IFERROR(MATCH(30,$AA$2:$AA$425,0),0)),""),T_VarianceReasons!$B$9:$B$240,0)),""))</f>
        <v/>
      </c>
      <c r="AA116" s="175" t="str">
        <f>IF(AND(T_ROP!$C$127=$I$4,T_ROP!$L$127&lt;&gt;"CLEAN",T_ROP!$L$127&lt;&gt;""),COUNTIFS(T_ROP!$C$13:$C$127,$I$4,T_ROP!$L$13:$L$127,"&lt;&gt;CLEAN",T_ROP!$L$13:$L$127,"&lt;&gt;"),"")</f>
        <v/>
      </c>
    </row>
    <row r="117" spans="1:27" ht="15" customHeight="1" x14ac:dyDescent="0.3">
      <c r="AA117" s="175" t="str">
        <f>IF(AND(T_ROP!$C$128=$I$4,T_ROP!$L$128&lt;&gt;"CLEAN",T_ROP!$L$128&lt;&gt;""),COUNTIFS(T_ROP!$C$13:$C$128,$I$4,T_ROP!$L$13:$L$128,"&lt;&gt;CLEAN",T_ROP!$L$13:$L$128,"&lt;&gt;"),"")</f>
        <v/>
      </c>
    </row>
    <row r="118" spans="1:27" ht="15" customHeight="1" x14ac:dyDescent="0.3">
      <c r="AA118" s="175" t="str">
        <f>IF(AND(T_ROP!$C$129=$I$4,T_ROP!$L$129&lt;&gt;"CLEAN",T_ROP!$L$129&lt;&gt;""),COUNTIFS(T_ROP!$C$13:$C$129,$I$4,T_ROP!$L$13:$L$129,"&lt;&gt;CLEAN",T_ROP!$L$13:$L$129,"&lt;&gt;"),"")</f>
        <v/>
      </c>
    </row>
    <row r="119" spans="1:27" ht="15" customHeight="1" x14ac:dyDescent="0.3">
      <c r="AA119" s="175" t="str">
        <f>IF(AND(T_ROP!$C$130=$I$4,T_ROP!$L$130&lt;&gt;"CLEAN",T_ROP!$L$130&lt;&gt;""),COUNTIFS(T_ROP!$C$13:$C$130,$I$4,T_ROP!$L$13:$L$130,"&lt;&gt;CLEAN",T_ROP!$L$13:$L$130,"&lt;&gt;"),"")</f>
        <v/>
      </c>
    </row>
    <row r="120" spans="1:27" ht="15" customHeight="1" x14ac:dyDescent="0.3">
      <c r="AA120" s="175" t="str">
        <f>IF(AND(T_ROP!$C$131=$I$4,T_ROP!$L$131&lt;&gt;"CLEAN",T_ROP!$L$131&lt;&gt;""),COUNTIFS(T_ROP!$C$13:$C$131,$I$4,T_ROP!$L$13:$L$131,"&lt;&gt;CLEAN",T_ROP!$L$13:$L$131,"&lt;&gt;"),"")</f>
        <v/>
      </c>
    </row>
    <row r="121" spans="1:27" ht="15" customHeight="1" x14ac:dyDescent="0.3">
      <c r="AA121" s="175" t="str">
        <f>IF(AND(T_ROP!$C$132=$I$4,T_ROP!$L$132&lt;&gt;"CLEAN",T_ROP!$L$132&lt;&gt;""),COUNTIFS(T_ROP!$C$13:$C$132,$I$4,T_ROP!$L$13:$L$132,"&lt;&gt;CLEAN",T_ROP!$L$13:$L$132,"&lt;&gt;"),"")</f>
        <v/>
      </c>
    </row>
    <row r="122" spans="1:27" ht="15" customHeight="1" x14ac:dyDescent="0.3">
      <c r="AA122" s="175" t="str">
        <f>IF(AND(T_ROP!$C$133=$I$4,T_ROP!$L$133&lt;&gt;"CLEAN",T_ROP!$L$133&lt;&gt;""),COUNTIFS(T_ROP!$C$13:$C$133,$I$4,T_ROP!$L$13:$L$133,"&lt;&gt;CLEAN",T_ROP!$L$13:$L$133,"&lt;&gt;"),"")</f>
        <v/>
      </c>
    </row>
    <row r="123" spans="1:27" ht="15" customHeight="1" x14ac:dyDescent="0.3">
      <c r="AA123" s="175" t="str">
        <f>IF(AND(T_ROP!$C$134=$I$4,T_ROP!$L$134&lt;&gt;"CLEAN",T_ROP!$L$134&lt;&gt;""),COUNTIFS(T_ROP!$C$13:$C$134,$I$4,T_ROP!$L$13:$L$134,"&lt;&gt;CLEAN",T_ROP!$L$13:$L$134,"&lt;&gt;"),"")</f>
        <v/>
      </c>
    </row>
    <row r="124" spans="1:27" ht="15" customHeight="1" x14ac:dyDescent="0.3">
      <c r="AA124" s="175" t="str">
        <f>IF(AND(T_ROP!$C$135=$I$4,T_ROP!$L$135&lt;&gt;"CLEAN",T_ROP!$L$135&lt;&gt;""),COUNTIFS(T_ROP!$C$13:$C$135,$I$4,T_ROP!$L$13:$L$135,"&lt;&gt;CLEAN",T_ROP!$L$13:$L$135,"&lt;&gt;"),"")</f>
        <v/>
      </c>
    </row>
    <row r="125" spans="1:27" ht="15" customHeight="1" x14ac:dyDescent="0.3">
      <c r="AA125" s="175" t="str">
        <f>IF(AND(T_ROP!$C$136=$I$4,T_ROP!$L$136&lt;&gt;"CLEAN",T_ROP!$L$136&lt;&gt;""),COUNTIFS(T_ROP!$C$13:$C$136,$I$4,T_ROP!$L$13:$L$136,"&lt;&gt;CLEAN",T_ROP!$L$13:$L$136,"&lt;&gt;"),"")</f>
        <v/>
      </c>
    </row>
    <row r="126" spans="1:27" ht="15" customHeight="1" x14ac:dyDescent="0.3">
      <c r="AA126" s="175" t="str">
        <f>IF(AND(T_ROP!$C$137=$I$4,T_ROP!$L$137&lt;&gt;"CLEAN",T_ROP!$L$137&lt;&gt;""),COUNTIFS(T_ROP!$C$13:$C$137,$I$4,T_ROP!$L$13:$L$137,"&lt;&gt;CLEAN",T_ROP!$L$13:$L$137,"&lt;&gt;"),"")</f>
        <v/>
      </c>
    </row>
    <row r="127" spans="1:27" ht="15" customHeight="1" x14ac:dyDescent="0.3">
      <c r="AA127" s="175" t="str">
        <f>IF(AND(T_ROP!$C$138=$I$4,T_ROP!$L$138&lt;&gt;"CLEAN",T_ROP!$L$138&lt;&gt;""),COUNTIFS(T_ROP!$C$13:$C$138,$I$4,T_ROP!$L$13:$L$138,"&lt;&gt;CLEAN",T_ROP!$L$13:$L$138,"&lt;&gt;"),"")</f>
        <v/>
      </c>
    </row>
    <row r="128" spans="1:27" ht="15" customHeight="1" x14ac:dyDescent="0.3">
      <c r="AA128" s="175" t="str">
        <f>IF(AND(T_ROP!$C$139=$I$4,T_ROP!$L$139&lt;&gt;"CLEAN",T_ROP!$L$139&lt;&gt;""),COUNTIFS(T_ROP!$C$13:$C$139,$I$4,T_ROP!$L$13:$L$139,"&lt;&gt;CLEAN",T_ROP!$L$13:$L$139,"&lt;&gt;"),"")</f>
        <v/>
      </c>
    </row>
    <row r="129" spans="27:27" ht="15" customHeight="1" x14ac:dyDescent="0.3">
      <c r="AA129" s="175" t="str">
        <f>IF(AND(T_ROP!$C$140=$I$4,T_ROP!$L$140&lt;&gt;"CLEAN",T_ROP!$L$140&lt;&gt;""),COUNTIFS(T_ROP!$C$13:$C$140,$I$4,T_ROP!$L$13:$L$140,"&lt;&gt;CLEAN",T_ROP!$L$13:$L$140,"&lt;&gt;"),"")</f>
        <v/>
      </c>
    </row>
    <row r="130" spans="27:27" ht="15" customHeight="1" x14ac:dyDescent="0.3">
      <c r="AA130" s="175" t="str">
        <f>IF(AND(T_ROP!$C$141=$I$4,T_ROP!$L$141&lt;&gt;"CLEAN",T_ROP!$L$141&lt;&gt;""),COUNTIFS(T_ROP!$C$13:$C$141,$I$4,T_ROP!$L$13:$L$141,"&lt;&gt;CLEAN",T_ROP!$L$13:$L$141,"&lt;&gt;"),"")</f>
        <v/>
      </c>
    </row>
    <row r="131" spans="27:27" ht="15" customHeight="1" x14ac:dyDescent="0.3">
      <c r="AA131" s="175" t="str">
        <f>IF(AND(T_ROP!$C$142=$I$4,T_ROP!$L$142&lt;&gt;"CLEAN",T_ROP!$L$142&lt;&gt;""),COUNTIFS(T_ROP!$C$13:$C$142,$I$4,T_ROP!$L$13:$L$142,"&lt;&gt;CLEAN",T_ROP!$L$13:$L$142,"&lt;&gt;"),"")</f>
        <v/>
      </c>
    </row>
    <row r="132" spans="27:27" ht="15" customHeight="1" x14ac:dyDescent="0.3">
      <c r="AA132" s="175">
        <f>IF(AND(T_ROP!$C$143=$I$4,T_ROP!$L$143&lt;&gt;"CLEAN",T_ROP!$L$143&lt;&gt;""),COUNTIFS(T_ROP!$C$13:$C$143,$I$4,T_ROP!$L$13:$L$143,"&lt;&gt;CLEAN",T_ROP!$L$13:$L$143,"&lt;&gt;"),"")</f>
        <v>1</v>
      </c>
    </row>
    <row r="133" spans="27:27" ht="15" customHeight="1" x14ac:dyDescent="0.3">
      <c r="AA133" s="175">
        <f>IF(AND(T_ROP!$C$144=$I$4,T_ROP!$L$144&lt;&gt;"CLEAN",T_ROP!$L$144&lt;&gt;""),COUNTIFS(T_ROP!$C$13:$C$144,$I$4,T_ROP!$L$13:$L$144,"&lt;&gt;CLEAN",T_ROP!$L$13:$L$144,"&lt;&gt;"),"")</f>
        <v>2</v>
      </c>
    </row>
    <row r="134" spans="27:27" ht="15" customHeight="1" x14ac:dyDescent="0.3">
      <c r="AA134" s="175">
        <f>IF(AND(T_ROP!$C$145=$I$4,T_ROP!$L$145&lt;&gt;"CLEAN",T_ROP!$L$145&lt;&gt;""),COUNTIFS(T_ROP!$C$13:$C$145,$I$4,T_ROP!$L$13:$L$145,"&lt;&gt;CLEAN",T_ROP!$L$13:$L$145,"&lt;&gt;"),"")</f>
        <v>3</v>
      </c>
    </row>
    <row r="135" spans="27:27" ht="15" customHeight="1" x14ac:dyDescent="0.3">
      <c r="AA135" s="175">
        <f>IF(AND(T_ROP!$C$146=$I$4,T_ROP!$L$146&lt;&gt;"CLEAN",T_ROP!$L$146&lt;&gt;""),COUNTIFS(T_ROP!$C$13:$C$146,$I$4,T_ROP!$L$13:$L$146,"&lt;&gt;CLEAN",T_ROP!$L$13:$L$146,"&lt;&gt;"),"")</f>
        <v>4</v>
      </c>
    </row>
    <row r="136" spans="27:27" ht="15" customHeight="1" x14ac:dyDescent="0.3">
      <c r="AA136" s="175">
        <f>IF(AND(T_ROP!$C$147=$I$4,T_ROP!$L$147&lt;&gt;"CLEAN",T_ROP!$L$147&lt;&gt;""),COUNTIFS(T_ROP!$C$13:$C$147,$I$4,T_ROP!$L$13:$L$147,"&lt;&gt;CLEAN",T_ROP!$L$13:$L$147,"&lt;&gt;"),"")</f>
        <v>5</v>
      </c>
    </row>
    <row r="137" spans="27:27" ht="15" customHeight="1" x14ac:dyDescent="0.3">
      <c r="AA137" s="175">
        <f>IF(AND(T_ROP!$C$148=$I$4,T_ROP!$L$148&lt;&gt;"CLEAN",T_ROP!$L$148&lt;&gt;""),COUNTIFS(T_ROP!$C$13:$C$148,$I$4,T_ROP!$L$13:$L$148,"&lt;&gt;CLEAN",T_ROP!$L$13:$L$148,"&lt;&gt;"),"")</f>
        <v>6</v>
      </c>
    </row>
    <row r="138" spans="27:27" ht="15" customHeight="1" x14ac:dyDescent="0.3">
      <c r="AA138" s="175">
        <f>IF(AND(T_ROP!$C$149=$I$4,T_ROP!$L$149&lt;&gt;"CLEAN",T_ROP!$L$149&lt;&gt;""),COUNTIFS(T_ROP!$C$13:$C$149,$I$4,T_ROP!$L$13:$L$149,"&lt;&gt;CLEAN",T_ROP!$L$13:$L$149,"&lt;&gt;"),"")</f>
        <v>7</v>
      </c>
    </row>
    <row r="139" spans="27:27" ht="15" customHeight="1" x14ac:dyDescent="0.3">
      <c r="AA139" s="175">
        <f>IF(AND(T_ROP!$C$150=$I$4,T_ROP!$L$150&lt;&gt;"CLEAN",T_ROP!$L$150&lt;&gt;""),COUNTIFS(T_ROP!$C$13:$C$150,$I$4,T_ROP!$L$13:$L$150,"&lt;&gt;CLEAN",T_ROP!$L$13:$L$150,"&lt;&gt;"),"")</f>
        <v>8</v>
      </c>
    </row>
    <row r="140" spans="27:27" ht="15" customHeight="1" x14ac:dyDescent="0.3">
      <c r="AA140" s="175">
        <f>IF(AND(T_ROP!$C$151=$I$4,T_ROP!$L$151&lt;&gt;"CLEAN",T_ROP!$L$151&lt;&gt;""),COUNTIFS(T_ROP!$C$13:$C$151,$I$4,T_ROP!$L$13:$L$151,"&lt;&gt;CLEAN",T_ROP!$L$13:$L$151,"&lt;&gt;"),"")</f>
        <v>9</v>
      </c>
    </row>
    <row r="141" spans="27:27" ht="15" customHeight="1" x14ac:dyDescent="0.3">
      <c r="AA141" s="175">
        <f>IF(AND(T_ROP!$C$152=$I$4,T_ROP!$L$152&lt;&gt;"CLEAN",T_ROP!$L$152&lt;&gt;""),COUNTIFS(T_ROP!$C$13:$C$152,$I$4,T_ROP!$L$13:$L$152,"&lt;&gt;CLEAN",T_ROP!$L$13:$L$152,"&lt;&gt;"),"")</f>
        <v>10</v>
      </c>
    </row>
    <row r="142" spans="27:27" ht="15" customHeight="1" x14ac:dyDescent="0.3">
      <c r="AA142" s="175">
        <f>IF(AND(T_ROP!$C$153=$I$4,T_ROP!$L$153&lt;&gt;"CLEAN",T_ROP!$L$153&lt;&gt;""),COUNTIFS(T_ROP!$C$13:$C$153,$I$4,T_ROP!$L$13:$L$153,"&lt;&gt;CLEAN",T_ROP!$L$13:$L$153,"&lt;&gt;"),"")</f>
        <v>11</v>
      </c>
    </row>
    <row r="143" spans="27:27" ht="15" customHeight="1" x14ac:dyDescent="0.3">
      <c r="AA143" s="175">
        <f>IF(AND(T_ROP!$C$154=$I$4,T_ROP!$L$154&lt;&gt;"CLEAN",T_ROP!$L$154&lt;&gt;""),COUNTIFS(T_ROP!$C$13:$C$154,$I$4,T_ROP!$L$13:$L$154,"&lt;&gt;CLEAN",T_ROP!$L$13:$L$154,"&lt;&gt;"),"")</f>
        <v>12</v>
      </c>
    </row>
    <row r="144" spans="27:27" ht="15" customHeight="1" x14ac:dyDescent="0.3">
      <c r="AA144" s="175">
        <f>IF(AND(T_ROP!$C$155=$I$4,T_ROP!$L$155&lt;&gt;"CLEAN",T_ROP!$L$155&lt;&gt;""),COUNTIFS(T_ROP!$C$13:$C$155,$I$4,T_ROP!$L$13:$L$155,"&lt;&gt;CLEAN",T_ROP!$L$13:$L$155,"&lt;&gt;"),"")</f>
        <v>13</v>
      </c>
    </row>
    <row r="145" spans="27:27" ht="15" customHeight="1" x14ac:dyDescent="0.3">
      <c r="AA145" s="175" t="str">
        <f>IF(AND(T_ROP!$C$156=$I$4,T_ROP!$L$156&lt;&gt;"CLEAN",T_ROP!$L$156&lt;&gt;""),COUNTIFS(T_ROP!$C$13:$C$156,$I$4,T_ROP!$L$13:$L$156,"&lt;&gt;CLEAN",T_ROP!$L$13:$L$156,"&lt;&gt;"),"")</f>
        <v/>
      </c>
    </row>
    <row r="146" spans="27:27" ht="15" customHeight="1" x14ac:dyDescent="0.3">
      <c r="AA146" s="175" t="str">
        <f>IF(AND(T_ROP!$C$157=$I$4,T_ROP!$L$157&lt;&gt;"CLEAN",T_ROP!$L$157&lt;&gt;""),COUNTIFS(T_ROP!$C$13:$C$157,$I$4,T_ROP!$L$13:$L$157,"&lt;&gt;CLEAN",T_ROP!$L$13:$L$157,"&lt;&gt;"),"")</f>
        <v/>
      </c>
    </row>
    <row r="147" spans="27:27" ht="15" customHeight="1" x14ac:dyDescent="0.3">
      <c r="AA147" s="175" t="str">
        <f>IF(AND(T_ROP!$C$158=$I$4,T_ROP!$L$158&lt;&gt;"CLEAN",T_ROP!$L$158&lt;&gt;""),COUNTIFS(T_ROP!$C$13:$C$158,$I$4,T_ROP!$L$13:$L$158,"&lt;&gt;CLEAN",T_ROP!$L$13:$L$158,"&lt;&gt;"),"")</f>
        <v/>
      </c>
    </row>
    <row r="148" spans="27:27" ht="15" customHeight="1" x14ac:dyDescent="0.3">
      <c r="AA148" s="175" t="str">
        <f>IF(AND(T_ROP!$C$159=$I$4,T_ROP!$L$159&lt;&gt;"CLEAN",T_ROP!$L$159&lt;&gt;""),COUNTIFS(T_ROP!$C$13:$C$159,$I$4,T_ROP!$L$13:$L$159,"&lt;&gt;CLEAN",T_ROP!$L$13:$L$159,"&lt;&gt;"),"")</f>
        <v/>
      </c>
    </row>
    <row r="149" spans="27:27" ht="15" customHeight="1" x14ac:dyDescent="0.3">
      <c r="AA149" s="175" t="str">
        <f>IF(AND(T_ROP!$C$160=$I$4,T_ROP!$L$160&lt;&gt;"CLEAN",T_ROP!$L$160&lt;&gt;""),COUNTIFS(T_ROP!$C$13:$C$160,$I$4,T_ROP!$L$13:$L$160,"&lt;&gt;CLEAN",T_ROP!$L$13:$L$160,"&lt;&gt;"),"")</f>
        <v/>
      </c>
    </row>
    <row r="150" spans="27:27" ht="15" customHeight="1" x14ac:dyDescent="0.3">
      <c r="AA150" s="175" t="str">
        <f>IF(AND(T_ROP!$C$161=$I$4,T_ROP!$L$161&lt;&gt;"CLEAN",T_ROP!$L$161&lt;&gt;""),COUNTIFS(T_ROP!$C$13:$C$161,$I$4,T_ROP!$L$13:$L$161,"&lt;&gt;CLEAN",T_ROP!$L$13:$L$161,"&lt;&gt;"),"")</f>
        <v/>
      </c>
    </row>
    <row r="151" spans="27:27" ht="15" customHeight="1" x14ac:dyDescent="0.3">
      <c r="AA151" s="175" t="str">
        <f>IF(AND(T_ROP!$C$162=$I$4,T_ROP!$L$162&lt;&gt;"CLEAN",T_ROP!$L$162&lt;&gt;""),COUNTIFS(T_ROP!$C$13:$C$162,$I$4,T_ROP!$L$13:$L$162,"&lt;&gt;CLEAN",T_ROP!$L$13:$L$162,"&lt;&gt;"),"")</f>
        <v/>
      </c>
    </row>
    <row r="152" spans="27:27" ht="15" customHeight="1" x14ac:dyDescent="0.3">
      <c r="AA152" s="175" t="str">
        <f>IF(AND(T_ROP!$C$163=$I$4,T_ROP!$L$163&lt;&gt;"CLEAN",T_ROP!$L$163&lt;&gt;""),COUNTIFS(T_ROP!$C$13:$C$163,$I$4,T_ROP!$L$13:$L$163,"&lt;&gt;CLEAN",T_ROP!$L$13:$L$163,"&lt;&gt;"),"")</f>
        <v/>
      </c>
    </row>
    <row r="153" spans="27:27" ht="15" customHeight="1" x14ac:dyDescent="0.3">
      <c r="AA153" s="175" t="str">
        <f>IF(AND(T_ROP!$C$164=$I$4,T_ROP!$L$164&lt;&gt;"CLEAN",T_ROP!$L$164&lt;&gt;""),COUNTIFS(T_ROP!$C$13:$C$164,$I$4,T_ROP!$L$13:$L$164,"&lt;&gt;CLEAN",T_ROP!$L$13:$L$164,"&lt;&gt;"),"")</f>
        <v/>
      </c>
    </row>
    <row r="154" spans="27:27" ht="15" customHeight="1" x14ac:dyDescent="0.3">
      <c r="AA154" s="175" t="str">
        <f>IF(AND(T_ROP!$C$165=$I$4,T_ROP!$L$165&lt;&gt;"CLEAN",T_ROP!$L$165&lt;&gt;""),COUNTIFS(T_ROP!$C$13:$C$165,$I$4,T_ROP!$L$13:$L$165,"&lt;&gt;CLEAN",T_ROP!$L$13:$L$165,"&lt;&gt;"),"")</f>
        <v/>
      </c>
    </row>
    <row r="155" spans="27:27" ht="15" customHeight="1" x14ac:dyDescent="0.3">
      <c r="AA155" s="175" t="str">
        <f>IF(AND(T_ROP!$C$166=$I$4,T_ROP!$L$166&lt;&gt;"CLEAN",T_ROP!$L$166&lt;&gt;""),COUNTIFS(T_ROP!$C$13:$C$166,$I$4,T_ROP!$L$13:$L$166,"&lt;&gt;CLEAN",T_ROP!$L$13:$L$166,"&lt;&gt;"),"")</f>
        <v/>
      </c>
    </row>
    <row r="156" spans="27:27" ht="15" customHeight="1" x14ac:dyDescent="0.3">
      <c r="AA156" s="175" t="str">
        <f>IF(AND(T_ROP!$C$167=$I$4,T_ROP!$L$167&lt;&gt;"CLEAN",T_ROP!$L$167&lt;&gt;""),COUNTIFS(T_ROP!$C$13:$C$167,$I$4,T_ROP!$L$13:$L$167,"&lt;&gt;CLEAN",T_ROP!$L$13:$L$167,"&lt;&gt;"),"")</f>
        <v/>
      </c>
    </row>
    <row r="157" spans="27:27" ht="15" customHeight="1" x14ac:dyDescent="0.3">
      <c r="AA157" s="175" t="str">
        <f>IF(AND(T_ROP!$C$168=$I$4,T_ROP!$L$168&lt;&gt;"CLEAN",T_ROP!$L$168&lt;&gt;""),COUNTIFS(T_ROP!$C$13:$C$168,$I$4,T_ROP!$L$13:$L$168,"&lt;&gt;CLEAN",T_ROP!$L$13:$L$168,"&lt;&gt;"),"")</f>
        <v/>
      </c>
    </row>
    <row r="158" spans="27:27" ht="15" customHeight="1" x14ac:dyDescent="0.3">
      <c r="AA158" s="175" t="str">
        <f>IF(AND(T_ROP!$C$169=$I$4,T_ROP!$L$169&lt;&gt;"CLEAN",T_ROP!$L$169&lt;&gt;""),COUNTIFS(T_ROP!$C$13:$C$169,$I$4,T_ROP!$L$13:$L$169,"&lt;&gt;CLEAN",T_ROP!$L$13:$L$169,"&lt;&gt;"),"")</f>
        <v/>
      </c>
    </row>
    <row r="159" spans="27:27" ht="15" customHeight="1" x14ac:dyDescent="0.3">
      <c r="AA159" s="175" t="str">
        <f>IF(AND(T_ROP!$C$170=$I$4,T_ROP!$L$170&lt;&gt;"CLEAN",T_ROP!$L$170&lt;&gt;""),COUNTIFS(T_ROP!$C$13:$C$170,$I$4,T_ROP!$L$13:$L$170,"&lt;&gt;CLEAN",T_ROP!$L$13:$L$170,"&lt;&gt;"),"")</f>
        <v/>
      </c>
    </row>
    <row r="160" spans="27:27" ht="15" customHeight="1" x14ac:dyDescent="0.3">
      <c r="AA160" s="175" t="str">
        <f>IF(AND(T_ROP!$C$171=$I$4,T_ROP!$L$171&lt;&gt;"CLEAN",T_ROP!$L$171&lt;&gt;""),COUNTIFS(T_ROP!$C$13:$C$171,$I$4,T_ROP!$L$13:$L$171,"&lt;&gt;CLEAN",T_ROP!$L$13:$L$171,"&lt;&gt;"),"")</f>
        <v/>
      </c>
    </row>
    <row r="161" spans="27:27" ht="15" customHeight="1" x14ac:dyDescent="0.3">
      <c r="AA161" s="175" t="str">
        <f>IF(AND(T_ROP!$C$172=$I$4,T_ROP!$L$172&lt;&gt;"CLEAN",T_ROP!$L$172&lt;&gt;""),COUNTIFS(T_ROP!$C$13:$C$172,$I$4,T_ROP!$L$13:$L$172,"&lt;&gt;CLEAN",T_ROP!$L$13:$L$172,"&lt;&gt;"),"")</f>
        <v/>
      </c>
    </row>
    <row r="162" spans="27:27" ht="15" customHeight="1" x14ac:dyDescent="0.3">
      <c r="AA162" s="175" t="str">
        <f>IF(AND(T_ROP!$C$173=$I$4,T_ROP!$L$173&lt;&gt;"CLEAN",T_ROP!$L$173&lt;&gt;""),COUNTIFS(T_ROP!$C$13:$C$173,$I$4,T_ROP!$L$13:$L$173,"&lt;&gt;CLEAN",T_ROP!$L$13:$L$173,"&lt;&gt;"),"")</f>
        <v/>
      </c>
    </row>
    <row r="163" spans="27:27" ht="15" customHeight="1" x14ac:dyDescent="0.3">
      <c r="AA163" s="175" t="str">
        <f>IF(AND(T_ROP!$C$174=$I$4,T_ROP!$L$174&lt;&gt;"CLEAN",T_ROP!$L$174&lt;&gt;""),COUNTIFS(T_ROP!$C$13:$C$174,$I$4,T_ROP!$L$13:$L$174,"&lt;&gt;CLEAN",T_ROP!$L$13:$L$174,"&lt;&gt;"),"")</f>
        <v/>
      </c>
    </row>
    <row r="164" spans="27:27" ht="15" customHeight="1" x14ac:dyDescent="0.3">
      <c r="AA164" s="175" t="str">
        <f>IF(AND(T_ROP!$C$175=$I$4,T_ROP!$L$175&lt;&gt;"CLEAN",T_ROP!$L$175&lt;&gt;""),COUNTIFS(T_ROP!$C$13:$C$175,$I$4,T_ROP!$L$13:$L$175,"&lt;&gt;CLEAN",T_ROP!$L$13:$L$175,"&lt;&gt;"),"")</f>
        <v/>
      </c>
    </row>
    <row r="165" spans="27:27" ht="15" customHeight="1" x14ac:dyDescent="0.3">
      <c r="AA165" s="175" t="str">
        <f>IF(AND(T_ROP!$C$176=$I$4,T_ROP!$L$176&lt;&gt;"CLEAN",T_ROP!$L$176&lt;&gt;""),COUNTIFS(T_ROP!$C$13:$C$176,$I$4,T_ROP!$L$13:$L$176,"&lt;&gt;CLEAN",T_ROP!$L$13:$L$176,"&lt;&gt;"),"")</f>
        <v/>
      </c>
    </row>
    <row r="166" spans="27:27" ht="15" customHeight="1" x14ac:dyDescent="0.3">
      <c r="AA166" s="175" t="str">
        <f>IF(AND(T_ROP!$C$177=$I$4,T_ROP!$L$177&lt;&gt;"CLEAN",T_ROP!$L$177&lt;&gt;""),COUNTIFS(T_ROP!$C$13:$C$177,$I$4,T_ROP!$L$13:$L$177,"&lt;&gt;CLEAN",T_ROP!$L$13:$L$177,"&lt;&gt;"),"")</f>
        <v/>
      </c>
    </row>
    <row r="167" spans="27:27" ht="15" customHeight="1" x14ac:dyDescent="0.3">
      <c r="AA167" s="175" t="str">
        <f>IF(AND(T_ROP!$C$178=$I$4,T_ROP!$L$178&lt;&gt;"CLEAN",T_ROP!$L$178&lt;&gt;""),COUNTIFS(T_ROP!$C$13:$C$178,$I$4,T_ROP!$L$13:$L$178,"&lt;&gt;CLEAN",T_ROP!$L$13:$L$178,"&lt;&gt;"),"")</f>
        <v/>
      </c>
    </row>
    <row r="168" spans="27:27" ht="15" customHeight="1" x14ac:dyDescent="0.3">
      <c r="AA168" s="175" t="str">
        <f>IF(AND(T_ROP!$C$179=$I$4,T_ROP!$L$179&lt;&gt;"CLEAN",T_ROP!$L$179&lt;&gt;""),COUNTIFS(T_ROP!$C$13:$C$179,$I$4,T_ROP!$L$13:$L$179,"&lt;&gt;CLEAN",T_ROP!$L$13:$L$179,"&lt;&gt;"),"")</f>
        <v/>
      </c>
    </row>
    <row r="169" spans="27:27" ht="15" customHeight="1" x14ac:dyDescent="0.3">
      <c r="AA169" s="175" t="str">
        <f>IF(AND(T_ROP!$C$180=$I$4,T_ROP!$L$180&lt;&gt;"CLEAN",T_ROP!$L$180&lt;&gt;""),COUNTIFS(T_ROP!$C$13:$C$180,$I$4,T_ROP!$L$13:$L$180,"&lt;&gt;CLEAN",T_ROP!$L$13:$L$180,"&lt;&gt;"),"")</f>
        <v/>
      </c>
    </row>
    <row r="170" spans="27:27" ht="15" customHeight="1" x14ac:dyDescent="0.3">
      <c r="AA170" s="175" t="str">
        <f>IF(AND(T_ROP!$C$181=$I$4,T_ROP!$L$181&lt;&gt;"CLEAN",T_ROP!$L$181&lt;&gt;""),COUNTIFS(T_ROP!$C$13:$C$181,$I$4,T_ROP!$L$13:$L$181,"&lt;&gt;CLEAN",T_ROP!$L$13:$L$181,"&lt;&gt;"),"")</f>
        <v/>
      </c>
    </row>
    <row r="171" spans="27:27" ht="15" customHeight="1" x14ac:dyDescent="0.3">
      <c r="AA171" s="175" t="str">
        <f>IF(AND(T_ROP!$C$182=$I$4,T_ROP!$L$182&lt;&gt;"CLEAN",T_ROP!$L$182&lt;&gt;""),COUNTIFS(T_ROP!$C$13:$C$182,$I$4,T_ROP!$L$13:$L$182,"&lt;&gt;CLEAN",T_ROP!$L$13:$L$182,"&lt;&gt;"),"")</f>
        <v/>
      </c>
    </row>
    <row r="172" spans="27:27" ht="15" customHeight="1" x14ac:dyDescent="0.3">
      <c r="AA172" s="175" t="str">
        <f>IF(AND(T_ROP!$C$183=$I$4,T_ROP!$L$183&lt;&gt;"CLEAN",T_ROP!$L$183&lt;&gt;""),COUNTIFS(T_ROP!$C$13:$C$183,$I$4,T_ROP!$L$13:$L$183,"&lt;&gt;CLEAN",T_ROP!$L$13:$L$183,"&lt;&gt;"),"")</f>
        <v/>
      </c>
    </row>
    <row r="173" spans="27:27" ht="15" customHeight="1" x14ac:dyDescent="0.3">
      <c r="AA173" s="175" t="str">
        <f>IF(AND(T_ROP!$C$184=$I$4,T_ROP!$L$184&lt;&gt;"CLEAN",T_ROP!$L$184&lt;&gt;""),COUNTIFS(T_ROP!$C$13:$C$184,$I$4,T_ROP!$L$13:$L$184,"&lt;&gt;CLEAN",T_ROP!$L$13:$L$184,"&lt;&gt;"),"")</f>
        <v/>
      </c>
    </row>
    <row r="174" spans="27:27" ht="15" customHeight="1" x14ac:dyDescent="0.3">
      <c r="AA174" s="175" t="str">
        <f>IF(AND(T_ROP!$C$185=$I$4,T_ROP!$L$185&lt;&gt;"CLEAN",T_ROP!$L$185&lt;&gt;""),COUNTIFS(T_ROP!$C$13:$C$185,$I$4,T_ROP!$L$13:$L$185,"&lt;&gt;CLEAN",T_ROP!$L$13:$L$185,"&lt;&gt;"),"")</f>
        <v/>
      </c>
    </row>
    <row r="175" spans="27:27" ht="15" customHeight="1" x14ac:dyDescent="0.3">
      <c r="AA175" s="175" t="str">
        <f>IF(AND(T_ROP!$C$186=$I$4,T_ROP!$L$186&lt;&gt;"CLEAN",T_ROP!$L$186&lt;&gt;""),COUNTIFS(T_ROP!$C$13:$C$186,$I$4,T_ROP!$L$13:$L$186,"&lt;&gt;CLEAN",T_ROP!$L$13:$L$186,"&lt;&gt;"),"")</f>
        <v/>
      </c>
    </row>
    <row r="176" spans="27:27" ht="15" customHeight="1" x14ac:dyDescent="0.3">
      <c r="AA176" s="175" t="str">
        <f>IF(AND(T_ROP!$C$187=$I$4,T_ROP!$L$187&lt;&gt;"CLEAN",T_ROP!$L$187&lt;&gt;""),COUNTIFS(T_ROP!$C$13:$C$187,$I$4,T_ROP!$L$13:$L$187,"&lt;&gt;CLEAN",T_ROP!$L$13:$L$187,"&lt;&gt;"),"")</f>
        <v/>
      </c>
    </row>
    <row r="177" spans="27:27" ht="15" customHeight="1" x14ac:dyDescent="0.3">
      <c r="AA177" s="175" t="str">
        <f>IF(AND(T_ROP!$C$188=$I$4,T_ROP!$L$188&lt;&gt;"CLEAN",T_ROP!$L$188&lt;&gt;""),COUNTIFS(T_ROP!$C$13:$C$188,$I$4,T_ROP!$L$13:$L$188,"&lt;&gt;CLEAN",T_ROP!$L$13:$L$188,"&lt;&gt;"),"")</f>
        <v/>
      </c>
    </row>
    <row r="178" spans="27:27" ht="15" customHeight="1" x14ac:dyDescent="0.3">
      <c r="AA178" s="175" t="str">
        <f>IF(AND(T_ROP!$C$189=$I$4,T_ROP!$L$189&lt;&gt;"CLEAN",T_ROP!$L$189&lt;&gt;""),COUNTIFS(T_ROP!$C$13:$C$189,$I$4,T_ROP!$L$13:$L$189,"&lt;&gt;CLEAN",T_ROP!$L$13:$L$189,"&lt;&gt;"),"")</f>
        <v/>
      </c>
    </row>
    <row r="179" spans="27:27" ht="15" customHeight="1" x14ac:dyDescent="0.3">
      <c r="AA179" s="175" t="str">
        <f>IF(AND(T_ROP!$C$190=$I$4,T_ROP!$L$190&lt;&gt;"CLEAN",T_ROP!$L$190&lt;&gt;""),COUNTIFS(T_ROP!$C$13:$C$190,$I$4,T_ROP!$L$13:$L$190,"&lt;&gt;CLEAN",T_ROP!$L$13:$L$190,"&lt;&gt;"),"")</f>
        <v/>
      </c>
    </row>
    <row r="180" spans="27:27" ht="15" customHeight="1" x14ac:dyDescent="0.3">
      <c r="AA180" s="175" t="str">
        <f>IF(AND(T_ROP!$C$191=$I$4,T_ROP!$L$191&lt;&gt;"CLEAN",T_ROP!$L$191&lt;&gt;""),COUNTIFS(T_ROP!$C$13:$C$191,$I$4,T_ROP!$L$13:$L$191,"&lt;&gt;CLEAN",T_ROP!$L$13:$L$191,"&lt;&gt;"),"")</f>
        <v/>
      </c>
    </row>
    <row r="181" spans="27:27" ht="15" customHeight="1" x14ac:dyDescent="0.3">
      <c r="AA181" s="175" t="str">
        <f>IF(AND(T_ROP!$C$192=$I$4,T_ROP!$L$192&lt;&gt;"CLEAN",T_ROP!$L$192&lt;&gt;""),COUNTIFS(T_ROP!$C$13:$C$192,$I$4,T_ROP!$L$13:$L$192,"&lt;&gt;CLEAN",T_ROP!$L$13:$L$192,"&lt;&gt;"),"")</f>
        <v/>
      </c>
    </row>
    <row r="182" spans="27:27" ht="15" customHeight="1" x14ac:dyDescent="0.3">
      <c r="AA182" s="175" t="str">
        <f>IF(AND(T_ROP!$C$193=$I$4,T_ROP!$L$193&lt;&gt;"CLEAN",T_ROP!$L$193&lt;&gt;""),COUNTIFS(T_ROP!$C$13:$C$193,$I$4,T_ROP!$L$13:$L$193,"&lt;&gt;CLEAN",T_ROP!$L$13:$L$193,"&lt;&gt;"),"")</f>
        <v/>
      </c>
    </row>
    <row r="183" spans="27:27" ht="15" customHeight="1" x14ac:dyDescent="0.3">
      <c r="AA183" s="175" t="str">
        <f>IF(AND(T_ROP!$C$194=$I$4,T_ROP!$L$194&lt;&gt;"CLEAN",T_ROP!$L$194&lt;&gt;""),COUNTIFS(T_ROP!$C$13:$C$194,$I$4,T_ROP!$L$13:$L$194,"&lt;&gt;CLEAN",T_ROP!$L$13:$L$194,"&lt;&gt;"),"")</f>
        <v/>
      </c>
    </row>
    <row r="184" spans="27:27" ht="15" customHeight="1" x14ac:dyDescent="0.3">
      <c r="AA184" s="175" t="str">
        <f>IF(AND(T_ROP!$C$195=$I$4,T_ROP!$L$195&lt;&gt;"CLEAN",T_ROP!$L$195&lt;&gt;""),COUNTIFS(T_ROP!$C$13:$C$195,$I$4,T_ROP!$L$13:$L$195,"&lt;&gt;CLEAN",T_ROP!$L$13:$L$195,"&lt;&gt;"),"")</f>
        <v/>
      </c>
    </row>
    <row r="185" spans="27:27" ht="15" customHeight="1" x14ac:dyDescent="0.3">
      <c r="AA185" s="175" t="str">
        <f>IF(AND(T_ROP!$C$196=$I$4,T_ROP!$L$196&lt;&gt;"CLEAN",T_ROP!$L$196&lt;&gt;""),COUNTIFS(T_ROP!$C$13:$C$196,$I$4,T_ROP!$L$13:$L$196,"&lt;&gt;CLEAN",T_ROP!$L$13:$L$196,"&lt;&gt;"),"")</f>
        <v/>
      </c>
    </row>
    <row r="186" spans="27:27" ht="15" customHeight="1" x14ac:dyDescent="0.3">
      <c r="AA186" s="175" t="str">
        <f>IF(AND(T_ROP!$C$197=$I$4,T_ROP!$L$197&lt;&gt;"CLEAN",T_ROP!$L$197&lt;&gt;""),COUNTIFS(T_ROP!$C$13:$C$197,$I$4,T_ROP!$L$13:$L$197,"&lt;&gt;CLEAN",T_ROP!$L$13:$L$197,"&lt;&gt;"),"")</f>
        <v/>
      </c>
    </row>
    <row r="187" spans="27:27" ht="15" customHeight="1" x14ac:dyDescent="0.3">
      <c r="AA187" s="175" t="str">
        <f>IF(AND(T_ROP!$C$198=$I$4,T_ROP!$L$198&lt;&gt;"CLEAN",T_ROP!$L$198&lt;&gt;""),COUNTIFS(T_ROP!$C$13:$C$198,$I$4,T_ROP!$L$13:$L$198,"&lt;&gt;CLEAN",T_ROP!$L$13:$L$198,"&lt;&gt;"),"")</f>
        <v/>
      </c>
    </row>
    <row r="188" spans="27:27" ht="15" customHeight="1" x14ac:dyDescent="0.3">
      <c r="AA188" s="175" t="str">
        <f>IF(AND(T_ROP!$C$199=$I$4,T_ROP!$L$199&lt;&gt;"CLEAN",T_ROP!$L$199&lt;&gt;""),COUNTIFS(T_ROP!$C$13:$C$199,$I$4,T_ROP!$L$13:$L$199,"&lt;&gt;CLEAN",T_ROP!$L$13:$L$199,"&lt;&gt;"),"")</f>
        <v/>
      </c>
    </row>
    <row r="189" spans="27:27" ht="15" customHeight="1" x14ac:dyDescent="0.3">
      <c r="AA189" s="175" t="str">
        <f>IF(AND(T_ROP!$C$200=$I$4,T_ROP!$L$200&lt;&gt;"CLEAN",T_ROP!$L$200&lt;&gt;""),COUNTIFS(T_ROP!$C$13:$C$200,$I$4,T_ROP!$L$13:$L$200,"&lt;&gt;CLEAN",T_ROP!$L$13:$L$200,"&lt;&gt;"),"")</f>
        <v/>
      </c>
    </row>
    <row r="190" spans="27:27" ht="15" customHeight="1" x14ac:dyDescent="0.3">
      <c r="AA190" s="175" t="str">
        <f>IF(AND(T_ROP!$C$201=$I$4,T_ROP!$L$201&lt;&gt;"CLEAN",T_ROP!$L$201&lt;&gt;""),COUNTIFS(T_ROP!$C$13:$C$201,$I$4,T_ROP!$L$13:$L$201,"&lt;&gt;CLEAN",T_ROP!$L$13:$L$201,"&lt;&gt;"),"")</f>
        <v/>
      </c>
    </row>
    <row r="191" spans="27:27" ht="15" customHeight="1" x14ac:dyDescent="0.3">
      <c r="AA191" s="175" t="str">
        <f>IF(AND(T_ROP!$C$202=$I$4,T_ROP!$L$202&lt;&gt;"CLEAN",T_ROP!$L$202&lt;&gt;""),COUNTIFS(T_ROP!$C$13:$C$202,$I$4,T_ROP!$L$13:$L$202,"&lt;&gt;CLEAN",T_ROP!$L$13:$L$202,"&lt;&gt;"),"")</f>
        <v/>
      </c>
    </row>
    <row r="192" spans="27:27" ht="15" customHeight="1" x14ac:dyDescent="0.3">
      <c r="AA192" s="175" t="str">
        <f>IF(AND(T_ROP!$C$203=$I$4,T_ROP!$L$203&lt;&gt;"CLEAN",T_ROP!$L$203&lt;&gt;""),COUNTIFS(T_ROP!$C$13:$C$203,$I$4,T_ROP!$L$13:$L$203,"&lt;&gt;CLEAN",T_ROP!$L$13:$L$203,"&lt;&gt;"),"")</f>
        <v/>
      </c>
    </row>
    <row r="193" spans="27:27" ht="15" customHeight="1" x14ac:dyDescent="0.3">
      <c r="AA193" s="175" t="str">
        <f>IF(AND(T_ROP!$C$204=$I$4,T_ROP!$L$204&lt;&gt;"CLEAN",T_ROP!$L$204&lt;&gt;""),COUNTIFS(T_ROP!$C$13:$C$204,$I$4,T_ROP!$L$13:$L$204,"&lt;&gt;CLEAN",T_ROP!$L$13:$L$204,"&lt;&gt;"),"")</f>
        <v/>
      </c>
    </row>
    <row r="194" spans="27:27" ht="15" customHeight="1" x14ac:dyDescent="0.3">
      <c r="AA194" s="175" t="str">
        <f>IF(AND(T_ROP!$C$205=$I$4,T_ROP!$L$205&lt;&gt;"CLEAN",T_ROP!$L$205&lt;&gt;""),COUNTIFS(T_ROP!$C$13:$C$205,$I$4,T_ROP!$L$13:$L$205,"&lt;&gt;CLEAN",T_ROP!$L$13:$L$205,"&lt;&gt;"),"")</f>
        <v/>
      </c>
    </row>
    <row r="195" spans="27:27" ht="15" customHeight="1" x14ac:dyDescent="0.3">
      <c r="AA195" s="175" t="str">
        <f>IF(AND(T_ROP!$C$206=$I$4,T_ROP!$L$206&lt;&gt;"CLEAN",T_ROP!$L$206&lt;&gt;""),COUNTIFS(T_ROP!$C$13:$C$206,$I$4,T_ROP!$L$13:$L$206,"&lt;&gt;CLEAN",T_ROP!$L$13:$L$206,"&lt;&gt;"),"")</f>
        <v/>
      </c>
    </row>
    <row r="196" spans="27:27" ht="15" customHeight="1" x14ac:dyDescent="0.3">
      <c r="AA196" s="175" t="str">
        <f>IF(AND(T_ROP!$C$207=$I$4,T_ROP!$L$207&lt;&gt;"CLEAN",T_ROP!$L$207&lt;&gt;""),COUNTIFS(T_ROP!$C$13:$C$207,$I$4,T_ROP!$L$13:$L$207,"&lt;&gt;CLEAN",T_ROP!$L$13:$L$207,"&lt;&gt;"),"")</f>
        <v/>
      </c>
    </row>
    <row r="197" spans="27:27" ht="15" customHeight="1" x14ac:dyDescent="0.3">
      <c r="AA197" s="175" t="str">
        <f>IF(AND(T_ROP!$C$208=$I$4,T_ROP!$L$208&lt;&gt;"CLEAN",T_ROP!$L$208&lt;&gt;""),COUNTIFS(T_ROP!$C$13:$C$208,$I$4,T_ROP!$L$13:$L$208,"&lt;&gt;CLEAN",T_ROP!$L$13:$L$208,"&lt;&gt;"),"")</f>
        <v/>
      </c>
    </row>
    <row r="198" spans="27:27" ht="15" customHeight="1" x14ac:dyDescent="0.3">
      <c r="AA198" s="175" t="str">
        <f>IF(AND(T_ROP!$C$209=$I$4,T_ROP!$L$209&lt;&gt;"CLEAN",T_ROP!$L$209&lt;&gt;""),COUNTIFS(T_ROP!$C$13:$C$209,$I$4,T_ROP!$L$13:$L$209,"&lt;&gt;CLEAN",T_ROP!$L$13:$L$209,"&lt;&gt;"),"")</f>
        <v/>
      </c>
    </row>
    <row r="199" spans="27:27" ht="15" customHeight="1" x14ac:dyDescent="0.3">
      <c r="AA199" s="175" t="str">
        <f>IF(AND(T_ROP!$C$210=$I$4,T_ROP!$L$210&lt;&gt;"CLEAN",T_ROP!$L$210&lt;&gt;""),COUNTIFS(T_ROP!$C$13:$C$210,$I$4,T_ROP!$L$13:$L$210,"&lt;&gt;CLEAN",T_ROP!$L$13:$L$210,"&lt;&gt;"),"")</f>
        <v/>
      </c>
    </row>
    <row r="200" spans="27:27" ht="15" customHeight="1" x14ac:dyDescent="0.3">
      <c r="AA200" s="175" t="str">
        <f>IF(AND(T_ROP!$C$211=$I$4,T_ROP!$L$211&lt;&gt;"CLEAN",T_ROP!$L$211&lt;&gt;""),COUNTIFS(T_ROP!$C$13:$C$211,$I$4,T_ROP!$L$13:$L$211,"&lt;&gt;CLEAN",T_ROP!$L$13:$L$211,"&lt;&gt;"),"")</f>
        <v/>
      </c>
    </row>
    <row r="201" spans="27:27" ht="15" customHeight="1" x14ac:dyDescent="0.3">
      <c r="AA201" s="175" t="str">
        <f>IF(AND(T_ROP!$C$212=$I$4,T_ROP!$L$212&lt;&gt;"CLEAN",T_ROP!$L$212&lt;&gt;""),COUNTIFS(T_ROP!$C$13:$C$212,$I$4,T_ROP!$L$13:$L$212,"&lt;&gt;CLEAN",T_ROP!$L$13:$L$212,"&lt;&gt;"),"")</f>
        <v/>
      </c>
    </row>
    <row r="202" spans="27:27" ht="15" customHeight="1" x14ac:dyDescent="0.3">
      <c r="AA202" s="175" t="str">
        <f>IF(AND(T_ROP!$C$213=$I$4,T_ROP!$L$213&lt;&gt;"CLEAN",T_ROP!$L$213&lt;&gt;""),COUNTIFS(T_ROP!$C$13:$C$213,$I$4,T_ROP!$L$13:$L$213,"&lt;&gt;CLEAN",T_ROP!$L$13:$L$213,"&lt;&gt;"),"")</f>
        <v/>
      </c>
    </row>
    <row r="203" spans="27:27" ht="15" customHeight="1" x14ac:dyDescent="0.3">
      <c r="AA203" s="175" t="str">
        <f>IF(AND(T_ROP!$C$214=$I$4,T_ROP!$L$214&lt;&gt;"CLEAN",T_ROP!$L$214&lt;&gt;""),COUNTIFS(T_ROP!$C$13:$C$214,$I$4,T_ROP!$L$13:$L$214,"&lt;&gt;CLEAN",T_ROP!$L$13:$L$214,"&lt;&gt;"),"")</f>
        <v/>
      </c>
    </row>
    <row r="204" spans="27:27" ht="15" customHeight="1" x14ac:dyDescent="0.3">
      <c r="AA204" s="175" t="str">
        <f>IF(AND(T_ROP!$C$215=$I$4,T_ROP!$L$215&lt;&gt;"CLEAN",T_ROP!$L$215&lt;&gt;""),COUNTIFS(T_ROP!$C$13:$C$215,$I$4,T_ROP!$L$13:$L$215,"&lt;&gt;CLEAN",T_ROP!$L$13:$L$215,"&lt;&gt;"),"")</f>
        <v/>
      </c>
    </row>
    <row r="205" spans="27:27" ht="15" customHeight="1" x14ac:dyDescent="0.3">
      <c r="AA205" s="175" t="str">
        <f>IF(AND(T_ROP!$C$216=$I$4,T_ROP!$L$216&lt;&gt;"CLEAN",T_ROP!$L$216&lt;&gt;""),COUNTIFS(T_ROP!$C$13:$C$216,$I$4,T_ROP!$L$13:$L$216,"&lt;&gt;CLEAN",T_ROP!$L$13:$L$216,"&lt;&gt;"),"")</f>
        <v/>
      </c>
    </row>
    <row r="206" spans="27:27" ht="15" customHeight="1" x14ac:dyDescent="0.3">
      <c r="AA206" s="175" t="str">
        <f>IF(AND(T_ROP!$C$217=$I$4,T_ROP!$L$217&lt;&gt;"CLEAN",T_ROP!$L$217&lt;&gt;""),COUNTIFS(T_ROP!$C$13:$C$217,$I$4,T_ROP!$L$13:$L$217,"&lt;&gt;CLEAN",T_ROP!$L$13:$L$217,"&lt;&gt;"),"")</f>
        <v/>
      </c>
    </row>
    <row r="207" spans="27:27" ht="15" customHeight="1" x14ac:dyDescent="0.3">
      <c r="AA207" s="175" t="str">
        <f>IF(AND(T_ROP!$C$218=$I$4,T_ROP!$L$218&lt;&gt;"CLEAN",T_ROP!$L$218&lt;&gt;""),COUNTIFS(T_ROP!$C$13:$C$218,$I$4,T_ROP!$L$13:$L$218,"&lt;&gt;CLEAN",T_ROP!$L$13:$L$218,"&lt;&gt;"),"")</f>
        <v/>
      </c>
    </row>
    <row r="208" spans="27:27" ht="15" customHeight="1" x14ac:dyDescent="0.3">
      <c r="AA208" s="175" t="str">
        <f>IF(AND(T_ROP!$C$219=$I$4,T_ROP!$L$219&lt;&gt;"CLEAN",T_ROP!$L$219&lt;&gt;""),COUNTIFS(T_ROP!$C$13:$C$219,$I$4,T_ROP!$L$13:$L$219,"&lt;&gt;CLEAN",T_ROP!$L$13:$L$219,"&lt;&gt;"),"")</f>
        <v/>
      </c>
    </row>
    <row r="209" spans="27:27" ht="15" customHeight="1" x14ac:dyDescent="0.3">
      <c r="AA209" s="175" t="str">
        <f>IF(AND(T_ROP!$C$220=$I$4,T_ROP!$L$220&lt;&gt;"CLEAN",T_ROP!$L$220&lt;&gt;""),COUNTIFS(T_ROP!$C$13:$C$220,$I$4,T_ROP!$L$13:$L$220,"&lt;&gt;CLEAN",T_ROP!$L$13:$L$220,"&lt;&gt;"),"")</f>
        <v/>
      </c>
    </row>
    <row r="210" spans="27:27" ht="15" customHeight="1" x14ac:dyDescent="0.3">
      <c r="AA210" s="175" t="str">
        <f>IF(AND(T_ROP!$C$221=$I$4,T_ROP!$L$221&lt;&gt;"CLEAN",T_ROP!$L$221&lt;&gt;""),COUNTIFS(T_ROP!$C$13:$C$221,$I$4,T_ROP!$L$13:$L$221,"&lt;&gt;CLEAN",T_ROP!$L$13:$L$221,"&lt;&gt;"),"")</f>
        <v/>
      </c>
    </row>
    <row r="211" spans="27:27" ht="15" customHeight="1" x14ac:dyDescent="0.3">
      <c r="AA211" s="175" t="str">
        <f>IF(AND(T_ROP!$C$222=$I$4,T_ROP!$L$222&lt;&gt;"CLEAN",T_ROP!$L$222&lt;&gt;""),COUNTIFS(T_ROP!$C$13:$C$222,$I$4,T_ROP!$L$13:$L$222,"&lt;&gt;CLEAN",T_ROP!$L$13:$L$222,"&lt;&gt;"),"")</f>
        <v/>
      </c>
    </row>
    <row r="212" spans="27:27" ht="15" customHeight="1" x14ac:dyDescent="0.3">
      <c r="AA212" s="175" t="str">
        <f>IF(AND(T_ROP!$C$223=$I$4,T_ROP!$L$223&lt;&gt;"CLEAN",T_ROP!$L$223&lt;&gt;""),COUNTIFS(T_ROP!$C$13:$C$223,$I$4,T_ROP!$L$13:$L$223,"&lt;&gt;CLEAN",T_ROP!$L$13:$L$223,"&lt;&gt;"),"")</f>
        <v/>
      </c>
    </row>
    <row r="213" spans="27:27" ht="15" customHeight="1" x14ac:dyDescent="0.3">
      <c r="AA213" s="175" t="str">
        <f>IF(AND(T_ROP!$C$224=$I$4,T_ROP!$L$224&lt;&gt;"CLEAN",T_ROP!$L$224&lt;&gt;""),COUNTIFS(T_ROP!$C$13:$C$224,$I$4,T_ROP!$L$13:$L$224,"&lt;&gt;CLEAN",T_ROP!$L$13:$L$224,"&lt;&gt;"),"")</f>
        <v/>
      </c>
    </row>
    <row r="214" spans="27:27" ht="15" customHeight="1" x14ac:dyDescent="0.3">
      <c r="AA214" s="175" t="str">
        <f>IF(AND(T_ROP!$C$225=$I$4,T_ROP!$L$225&lt;&gt;"CLEAN",T_ROP!$L$225&lt;&gt;""),COUNTIFS(T_ROP!$C$13:$C$225,$I$4,T_ROP!$L$13:$L$225,"&lt;&gt;CLEAN",T_ROP!$L$13:$L$225,"&lt;&gt;"),"")</f>
        <v/>
      </c>
    </row>
    <row r="215" spans="27:27" ht="15" customHeight="1" x14ac:dyDescent="0.3">
      <c r="AA215" s="175" t="str">
        <f>IF(AND(T_ROP!$C$226=$I$4,T_ROP!$L$226&lt;&gt;"CLEAN",T_ROP!$L$226&lt;&gt;""),COUNTIFS(T_ROP!$C$13:$C$226,$I$4,T_ROP!$L$13:$L$226,"&lt;&gt;CLEAN",T_ROP!$L$13:$L$226,"&lt;&gt;"),"")</f>
        <v/>
      </c>
    </row>
    <row r="216" spans="27:27" ht="15" customHeight="1" x14ac:dyDescent="0.3">
      <c r="AA216" s="175" t="str">
        <f>IF(AND(T_ROP!$C$227=$I$4,T_ROP!$L$227&lt;&gt;"CLEAN",T_ROP!$L$227&lt;&gt;""),COUNTIFS(T_ROP!$C$13:$C$227,$I$4,T_ROP!$L$13:$L$227,"&lt;&gt;CLEAN",T_ROP!$L$13:$L$227,"&lt;&gt;"),"")</f>
        <v/>
      </c>
    </row>
    <row r="217" spans="27:27" ht="15" customHeight="1" x14ac:dyDescent="0.3">
      <c r="AA217" s="175" t="str">
        <f>IF(AND(T_ROP!$C$228=$I$4,T_ROP!$L$228&lt;&gt;"CLEAN",T_ROP!$L$228&lt;&gt;""),COUNTIFS(T_ROP!$C$13:$C$228,$I$4,T_ROP!$L$13:$L$228,"&lt;&gt;CLEAN",T_ROP!$L$13:$L$228,"&lt;&gt;"),"")</f>
        <v/>
      </c>
    </row>
    <row r="218" spans="27:27" ht="15" customHeight="1" x14ac:dyDescent="0.3">
      <c r="AA218" s="175" t="str">
        <f>IF(AND(T_ROP!$C$229=$I$4,T_ROP!$L$229&lt;&gt;"CLEAN",T_ROP!$L$229&lt;&gt;""),COUNTIFS(T_ROP!$C$13:$C$229,$I$4,T_ROP!$L$13:$L$229,"&lt;&gt;CLEAN",T_ROP!$L$13:$L$229,"&lt;&gt;"),"")</f>
        <v/>
      </c>
    </row>
    <row r="219" spans="27:27" ht="15" customHeight="1" x14ac:dyDescent="0.3">
      <c r="AA219" s="175" t="str">
        <f>IF(AND(T_ROP!$C$230=$I$4,T_ROP!$L$230&lt;&gt;"CLEAN",T_ROP!$L$230&lt;&gt;""),COUNTIFS(T_ROP!$C$13:$C$230,$I$4,T_ROP!$L$13:$L$230,"&lt;&gt;CLEAN",T_ROP!$L$13:$L$230,"&lt;&gt;"),"")</f>
        <v/>
      </c>
    </row>
    <row r="220" spans="27:27" ht="15" customHeight="1" x14ac:dyDescent="0.3">
      <c r="AA220" s="175" t="str">
        <f>IF(AND(T_ROP!$C$231=$I$4,T_ROP!$L$231&lt;&gt;"CLEAN",T_ROP!$L$231&lt;&gt;""),COUNTIFS(T_ROP!$C$13:$C$231,$I$4,T_ROP!$L$13:$L$231,"&lt;&gt;CLEAN",T_ROP!$L$13:$L$231,"&lt;&gt;"),"")</f>
        <v/>
      </c>
    </row>
    <row r="221" spans="27:27" ht="15" customHeight="1" x14ac:dyDescent="0.3">
      <c r="AA221" s="175" t="str">
        <f>IF(AND(T_ROP!$C$232=$I$4,T_ROP!$L$232&lt;&gt;"CLEAN",T_ROP!$L$232&lt;&gt;""),COUNTIFS(T_ROP!$C$13:$C$232,$I$4,T_ROP!$L$13:$L$232,"&lt;&gt;CLEAN",T_ROP!$L$13:$L$232,"&lt;&gt;"),"")</f>
        <v/>
      </c>
    </row>
    <row r="222" spans="27:27" ht="15" customHeight="1" x14ac:dyDescent="0.3">
      <c r="AA222" s="175" t="str">
        <f>IF(AND(T_ROP!$C$233=$I$4,T_ROP!$L$233&lt;&gt;"CLEAN",T_ROP!$L$233&lt;&gt;""),COUNTIFS(T_ROP!$C$13:$C$233,$I$4,T_ROP!$L$13:$L$233,"&lt;&gt;CLEAN",T_ROP!$L$13:$L$233,"&lt;&gt;"),"")</f>
        <v/>
      </c>
    </row>
    <row r="223" spans="27:27" ht="15" customHeight="1" x14ac:dyDescent="0.3">
      <c r="AA223" s="175" t="str">
        <f>IF(AND(T_ROP!$C$234=$I$4,T_ROP!$L$234&lt;&gt;"CLEAN",T_ROP!$L$234&lt;&gt;""),COUNTIFS(T_ROP!$C$13:$C$234,$I$4,T_ROP!$L$13:$L$234,"&lt;&gt;CLEAN",T_ROP!$L$13:$L$234,"&lt;&gt;"),"")</f>
        <v/>
      </c>
    </row>
    <row r="224" spans="27:27" ht="15" customHeight="1" x14ac:dyDescent="0.3">
      <c r="AA224" s="175" t="str">
        <f>IF(AND(T_ROP!$C$235=$I$4,T_ROP!$L$235&lt;&gt;"CLEAN",T_ROP!$L$235&lt;&gt;""),COUNTIFS(T_ROP!$C$13:$C$235,$I$4,T_ROP!$L$13:$L$235,"&lt;&gt;CLEAN",T_ROP!$L$13:$L$235,"&lt;&gt;"),"")</f>
        <v/>
      </c>
    </row>
    <row r="225" spans="27:27" ht="15" customHeight="1" x14ac:dyDescent="0.3">
      <c r="AA225" s="175" t="str">
        <f>IF(AND(T_ROP!$C$236=$I$4,T_ROP!$L$236&lt;&gt;"CLEAN",T_ROP!$L$236&lt;&gt;""),COUNTIFS(T_ROP!$C$13:$C$236,$I$4,T_ROP!$L$13:$L$236,"&lt;&gt;CLEAN",T_ROP!$L$13:$L$236,"&lt;&gt;"),"")</f>
        <v/>
      </c>
    </row>
    <row r="226" spans="27:27" ht="15" customHeight="1" x14ac:dyDescent="0.3">
      <c r="AA226" s="175" t="str">
        <f>IF(AND(T_ROP!$C$237=$I$4,T_ROP!$L$237&lt;&gt;"CLEAN",T_ROP!$L$237&lt;&gt;""),COUNTIFS(T_ROP!$C$13:$C$237,$I$4,T_ROP!$L$13:$L$237,"&lt;&gt;CLEAN",T_ROP!$L$13:$L$237,"&lt;&gt;"),"")</f>
        <v/>
      </c>
    </row>
    <row r="227" spans="27:27" ht="15" customHeight="1" x14ac:dyDescent="0.3">
      <c r="AA227" s="175" t="str">
        <f>IF(AND(T_ROP!$C$238=$I$4,T_ROP!$L$238&lt;&gt;"CLEAN",T_ROP!$L$238&lt;&gt;""),COUNTIFS(T_ROP!$C$13:$C$238,$I$4,T_ROP!$L$13:$L$238,"&lt;&gt;CLEAN",T_ROP!$L$13:$L$238,"&lt;&gt;"),"")</f>
        <v/>
      </c>
    </row>
    <row r="228" spans="27:27" ht="15" customHeight="1" x14ac:dyDescent="0.3">
      <c r="AA228" s="175" t="str">
        <f>IF(AND(T_ROP!$C$239=$I$4,T_ROP!$L$239&lt;&gt;"CLEAN",T_ROP!$L$239&lt;&gt;""),COUNTIFS(T_ROP!$C$13:$C$239,$I$4,T_ROP!$L$13:$L$239,"&lt;&gt;CLEAN",T_ROP!$L$13:$L$239,"&lt;&gt;"),"")</f>
        <v/>
      </c>
    </row>
    <row r="229" spans="27:27" ht="15" customHeight="1" x14ac:dyDescent="0.3">
      <c r="AA229" s="175" t="str">
        <f>IF(AND(T_ROP!$C$240=$I$4,T_ROP!$L$240&lt;&gt;"CLEAN",T_ROP!$L$240&lt;&gt;""),COUNTIFS(T_ROP!$C$13:$C$240,$I$4,T_ROP!$L$13:$L$240,"&lt;&gt;CLEAN",T_ROP!$L$13:$L$240,"&lt;&gt;"),"")</f>
        <v/>
      </c>
    </row>
    <row r="230" spans="27:27" ht="15" customHeight="1" x14ac:dyDescent="0.3">
      <c r="AA230" s="175" t="str">
        <f>IF(AND(T_ROP!$C$241=$I$4,T_ROP!$L$241&lt;&gt;"CLEAN",T_ROP!$L$241&lt;&gt;""),COUNTIFS(T_ROP!$C$13:$C$241,$I$4,T_ROP!$L$13:$L$241,"&lt;&gt;CLEAN",T_ROP!$L$13:$L$241,"&lt;&gt;"),"")</f>
        <v/>
      </c>
    </row>
    <row r="231" spans="27:27" ht="15" customHeight="1" x14ac:dyDescent="0.3">
      <c r="AA231" s="175" t="str">
        <f>IF(AND(T_ROP!$C$242=$I$4,T_ROP!$L$242&lt;&gt;"CLEAN",T_ROP!$L$242&lt;&gt;""),COUNTIFS(T_ROP!$C$13:$C$242,$I$4,T_ROP!$L$13:$L$242,"&lt;&gt;CLEAN",T_ROP!$L$13:$L$242,"&lt;&gt;"),"")</f>
        <v/>
      </c>
    </row>
    <row r="232" spans="27:27" ht="15" customHeight="1" x14ac:dyDescent="0.3">
      <c r="AA232" s="175" t="str">
        <f>IF(AND(T_ROP!$C$243=$I$4,T_ROP!$L$243&lt;&gt;"CLEAN",T_ROP!$L$243&lt;&gt;""),COUNTIFS(T_ROP!$C$13:$C$243,$I$4,T_ROP!$L$13:$L$243,"&lt;&gt;CLEAN",T_ROP!$L$13:$L$243,"&lt;&gt;"),"")</f>
        <v/>
      </c>
    </row>
    <row r="233" spans="27:27" ht="15" customHeight="1" x14ac:dyDescent="0.3">
      <c r="AA233" s="175" t="str">
        <f>IF(AND(T_ROP!$C$244=$I$4,T_ROP!$L$244&lt;&gt;"CLEAN",T_ROP!$L$244&lt;&gt;""),COUNTIFS(T_ROP!$C$13:$C$244,$I$4,T_ROP!$L$13:$L$244,"&lt;&gt;CLEAN",T_ROP!$L$13:$L$244,"&lt;&gt;"),"")</f>
        <v/>
      </c>
    </row>
    <row r="234" spans="27:27" ht="15" customHeight="1" x14ac:dyDescent="0.3">
      <c r="AA234" s="175" t="str">
        <f>IF(AND(T_ROP!$C$245=$I$4,T_ROP!$L$245&lt;&gt;"CLEAN",T_ROP!$L$245&lt;&gt;""),COUNTIFS(T_ROP!$C$13:$C$245,$I$4,T_ROP!$L$13:$L$245,"&lt;&gt;CLEAN",T_ROP!$L$13:$L$245,"&lt;&gt;"),"")</f>
        <v/>
      </c>
    </row>
    <row r="235" spans="27:27" ht="15" customHeight="1" x14ac:dyDescent="0.3">
      <c r="AA235" s="175" t="str">
        <f>IF(AND(T_ROP!$C$246=$I$4,T_ROP!$L$246&lt;&gt;"CLEAN",T_ROP!$L$246&lt;&gt;""),COUNTIFS(T_ROP!$C$13:$C$246,$I$4,T_ROP!$L$13:$L$246,"&lt;&gt;CLEAN",T_ROP!$L$13:$L$246,"&lt;&gt;"),"")</f>
        <v/>
      </c>
    </row>
    <row r="236" spans="27:27" ht="15" customHeight="1" x14ac:dyDescent="0.3">
      <c r="AA236" s="175" t="str">
        <f>IF(AND(T_ROP!$C$247=$I$4,T_ROP!$L$247&lt;&gt;"CLEAN",T_ROP!$L$247&lt;&gt;""),COUNTIFS(T_ROP!$C$13:$C$247,$I$4,T_ROP!$L$13:$L$247,"&lt;&gt;CLEAN",T_ROP!$L$13:$L$247,"&lt;&gt;"),"")</f>
        <v/>
      </c>
    </row>
    <row r="237" spans="27:27" ht="15" customHeight="1" x14ac:dyDescent="0.3">
      <c r="AA237" s="175" t="str">
        <f>IF(AND(T_ROP!$C$248=$I$4,T_ROP!$L$248&lt;&gt;"CLEAN",T_ROP!$L$248&lt;&gt;""),COUNTIFS(T_ROP!$C$13:$C$248,$I$4,T_ROP!$L$13:$L$248,"&lt;&gt;CLEAN",T_ROP!$L$13:$L$248,"&lt;&gt;"),"")</f>
        <v/>
      </c>
    </row>
    <row r="238" spans="27:27" ht="15" customHeight="1" x14ac:dyDescent="0.3">
      <c r="AA238" s="175" t="str">
        <f>IF(AND(T_ROP!$C$249=$I$4,T_ROP!$L$249&lt;&gt;"CLEAN",T_ROP!$L$249&lt;&gt;""),COUNTIFS(T_ROP!$C$13:$C$249,$I$4,T_ROP!$L$13:$L$249,"&lt;&gt;CLEAN",T_ROP!$L$13:$L$249,"&lt;&gt;"),"")</f>
        <v/>
      </c>
    </row>
    <row r="239" spans="27:27" ht="15" customHeight="1" x14ac:dyDescent="0.3">
      <c r="AA239" s="175" t="str">
        <f>IF(AND(T_ROP!$C$250=$I$4,T_ROP!$L$250&lt;&gt;"CLEAN",T_ROP!$L$250&lt;&gt;""),COUNTIFS(T_ROP!$C$13:$C$250,$I$4,T_ROP!$L$13:$L$250,"&lt;&gt;CLEAN",T_ROP!$L$13:$L$250,"&lt;&gt;"),"")</f>
        <v/>
      </c>
    </row>
    <row r="240" spans="27:27" ht="15" customHeight="1" x14ac:dyDescent="0.3">
      <c r="AA240" s="175" t="str">
        <f>IF(AND(T_ROP!$C$251=$I$4,T_ROP!$L$251&lt;&gt;"CLEAN",T_ROP!$L$251&lt;&gt;""),COUNTIFS(T_ROP!$C$13:$C$251,$I$4,T_ROP!$L$13:$L$251,"&lt;&gt;CLEAN",T_ROP!$L$13:$L$251,"&lt;&gt;"),"")</f>
        <v/>
      </c>
    </row>
    <row r="241" spans="27:27" ht="15" customHeight="1" x14ac:dyDescent="0.3">
      <c r="AA241" s="175" t="str">
        <f>IF(AND(T_ROP!$C$252=$I$4,T_ROP!$L$252&lt;&gt;"CLEAN",T_ROP!$L$252&lt;&gt;""),COUNTIFS(T_ROP!$C$13:$C$252,$I$4,T_ROP!$L$13:$L$252,"&lt;&gt;CLEAN",T_ROP!$L$13:$L$252,"&lt;&gt;"),"")</f>
        <v/>
      </c>
    </row>
    <row r="242" spans="27:27" ht="15" customHeight="1" x14ac:dyDescent="0.3">
      <c r="AA242" s="175" t="str">
        <f>IF(AND(T_ROP!$C$253=$I$4,T_ROP!$L$253&lt;&gt;"CLEAN",T_ROP!$L$253&lt;&gt;""),COUNTIFS(T_ROP!$C$13:$C$253,$I$4,T_ROP!$L$13:$L$253,"&lt;&gt;CLEAN",T_ROP!$L$13:$L$253,"&lt;&gt;"),"")</f>
        <v/>
      </c>
    </row>
    <row r="243" spans="27:27" ht="15" customHeight="1" x14ac:dyDescent="0.3">
      <c r="AA243" s="175" t="str">
        <f>IF(AND(T_ROP!$C$254=$I$4,T_ROP!$L$254&lt;&gt;"CLEAN",T_ROP!$L$254&lt;&gt;""),COUNTIFS(T_ROP!$C$13:$C$254,$I$4,T_ROP!$L$13:$L$254,"&lt;&gt;CLEAN",T_ROP!$L$13:$L$254,"&lt;&gt;"),"")</f>
        <v/>
      </c>
    </row>
    <row r="244" spans="27:27" ht="15" customHeight="1" x14ac:dyDescent="0.3">
      <c r="AA244" s="175" t="str">
        <f>IF(AND(T_ROP!$C$255=$I$4,T_ROP!$L$255&lt;&gt;"CLEAN",T_ROP!$L$255&lt;&gt;""),COUNTIFS(T_ROP!$C$13:$C$255,$I$4,T_ROP!$L$13:$L$255,"&lt;&gt;CLEAN",T_ROP!$L$13:$L$255,"&lt;&gt;"),"")</f>
        <v/>
      </c>
    </row>
    <row r="245" spans="27:27" ht="15" customHeight="1" x14ac:dyDescent="0.3">
      <c r="AA245" s="175" t="str">
        <f>IF(AND(T_ROP!$C$256=$I$4,T_ROP!$L$256&lt;&gt;"CLEAN",T_ROP!$L$256&lt;&gt;""),COUNTIFS(T_ROP!$C$13:$C$256,$I$4,T_ROP!$L$13:$L$256,"&lt;&gt;CLEAN",T_ROP!$L$13:$L$256,"&lt;&gt;"),"")</f>
        <v/>
      </c>
    </row>
    <row r="246" spans="27:27" ht="15" customHeight="1" x14ac:dyDescent="0.3">
      <c r="AA246" s="175" t="str">
        <f>IF(AND(T_ROP!$C$257=$I$4,T_ROP!$L$257&lt;&gt;"CLEAN",T_ROP!$L$257&lt;&gt;""),COUNTIFS(T_ROP!$C$13:$C$257,$I$4,T_ROP!$L$13:$L$257,"&lt;&gt;CLEAN",T_ROP!$L$13:$L$257,"&lt;&gt;"),"")</f>
        <v/>
      </c>
    </row>
    <row r="247" spans="27:27" ht="15" customHeight="1" x14ac:dyDescent="0.3">
      <c r="AA247" s="175" t="str">
        <f>IF(AND(T_ROP!$C$258=$I$4,T_ROP!$L$258&lt;&gt;"CLEAN",T_ROP!$L$258&lt;&gt;""),COUNTIFS(T_ROP!$C$13:$C$258,$I$4,T_ROP!$L$13:$L$258,"&lt;&gt;CLEAN",T_ROP!$L$13:$L$258,"&lt;&gt;"),"")</f>
        <v/>
      </c>
    </row>
    <row r="248" spans="27:27" ht="15" customHeight="1" x14ac:dyDescent="0.3">
      <c r="AA248" s="175" t="str">
        <f>IF(AND(T_ROP!$C$259=$I$4,T_ROP!$L$259&lt;&gt;"CLEAN",T_ROP!$L$259&lt;&gt;""),COUNTIFS(T_ROP!$C$13:$C$259,$I$4,T_ROP!$L$13:$L$259,"&lt;&gt;CLEAN",T_ROP!$L$13:$L$259,"&lt;&gt;"),"")</f>
        <v/>
      </c>
    </row>
    <row r="249" spans="27:27" ht="15" customHeight="1" x14ac:dyDescent="0.3">
      <c r="AA249" s="175" t="str">
        <f>IF(AND(T_ROP!$C$260=$I$4,T_ROP!$L$260&lt;&gt;"CLEAN",T_ROP!$L$260&lt;&gt;""),COUNTIFS(T_ROP!$C$13:$C$260,$I$4,T_ROP!$L$13:$L$260,"&lt;&gt;CLEAN",T_ROP!$L$13:$L$260,"&lt;&gt;"),"")</f>
        <v/>
      </c>
    </row>
    <row r="250" spans="27:27" ht="15" customHeight="1" x14ac:dyDescent="0.3">
      <c r="AA250" s="175" t="str">
        <f>IF(AND(T_ROP!$C$261=$I$4,T_ROP!$L$261&lt;&gt;"CLEAN",T_ROP!$L$261&lt;&gt;""),COUNTIFS(T_ROP!$C$13:$C$261,$I$4,T_ROP!$L$13:$L$261,"&lt;&gt;CLEAN",T_ROP!$L$13:$L$261,"&lt;&gt;"),"")</f>
        <v/>
      </c>
    </row>
    <row r="251" spans="27:27" ht="15" customHeight="1" x14ac:dyDescent="0.3">
      <c r="AA251" s="175" t="str">
        <f>IF(AND(T_ROP!$C$262=$I$4,T_ROP!$L$262&lt;&gt;"CLEAN",T_ROP!$L$262&lt;&gt;""),COUNTIFS(T_ROP!$C$13:$C$262,$I$4,T_ROP!$L$13:$L$262,"&lt;&gt;CLEAN",T_ROP!$L$13:$L$262,"&lt;&gt;"),"")</f>
        <v/>
      </c>
    </row>
    <row r="252" spans="27:27" ht="15" customHeight="1" x14ac:dyDescent="0.3">
      <c r="AA252" s="175" t="str">
        <f>IF(AND(T_ROP!$C$263=$I$4,T_ROP!$L$263&lt;&gt;"CLEAN",T_ROP!$L$263&lt;&gt;""),COUNTIFS(T_ROP!$C$13:$C$263,$I$4,T_ROP!$L$13:$L$263,"&lt;&gt;CLEAN",T_ROP!$L$13:$L$263,"&lt;&gt;"),"")</f>
        <v/>
      </c>
    </row>
    <row r="253" spans="27:27" ht="15" customHeight="1" x14ac:dyDescent="0.3">
      <c r="AA253" s="175" t="str">
        <f>IF(AND(T_ROP!$C$264=$I$4,T_ROP!$L$264&lt;&gt;"CLEAN",T_ROP!$L$264&lt;&gt;""),COUNTIFS(T_ROP!$C$13:$C$264,$I$4,T_ROP!$L$13:$L$264,"&lt;&gt;CLEAN",T_ROP!$L$13:$L$264,"&lt;&gt;"),"")</f>
        <v/>
      </c>
    </row>
    <row r="254" spans="27:27" ht="15" customHeight="1" x14ac:dyDescent="0.3">
      <c r="AA254" s="175" t="str">
        <f>IF(AND(T_ROP!$C$265=$I$4,T_ROP!$L$265&lt;&gt;"CLEAN",T_ROP!$L$265&lt;&gt;""),COUNTIFS(T_ROP!$C$13:$C$265,$I$4,T_ROP!$L$13:$L$265,"&lt;&gt;CLEAN",T_ROP!$L$13:$L$265,"&lt;&gt;"),"")</f>
        <v/>
      </c>
    </row>
    <row r="255" spans="27:27" ht="15" customHeight="1" x14ac:dyDescent="0.3">
      <c r="AA255" s="175" t="str">
        <f>IF(AND(T_ROP!$C$266=$I$4,T_ROP!$L$266&lt;&gt;"CLEAN",T_ROP!$L$266&lt;&gt;""),COUNTIFS(T_ROP!$C$13:$C$266,$I$4,T_ROP!$L$13:$L$266,"&lt;&gt;CLEAN",T_ROP!$L$13:$L$266,"&lt;&gt;"),"")</f>
        <v/>
      </c>
    </row>
    <row r="256" spans="27:27" ht="15" customHeight="1" x14ac:dyDescent="0.3">
      <c r="AA256" s="175" t="str">
        <f>IF(AND(T_ROP!$C$267=$I$4,T_ROP!$L$267&lt;&gt;"CLEAN",T_ROP!$L$267&lt;&gt;""),COUNTIFS(T_ROP!$C$13:$C$267,$I$4,T_ROP!$L$13:$L$267,"&lt;&gt;CLEAN",T_ROP!$L$13:$L$267,"&lt;&gt;"),"")</f>
        <v/>
      </c>
    </row>
    <row r="257" spans="27:27" ht="15" customHeight="1" x14ac:dyDescent="0.3">
      <c r="AA257" s="175" t="str">
        <f>IF(AND(T_ROP!$C$268=$I$4,T_ROP!$L$268&lt;&gt;"CLEAN",T_ROP!$L$268&lt;&gt;""),COUNTIFS(T_ROP!$C$13:$C$268,$I$4,T_ROP!$L$13:$L$268,"&lt;&gt;CLEAN",T_ROP!$L$13:$L$268,"&lt;&gt;"),"")</f>
        <v/>
      </c>
    </row>
    <row r="258" spans="27:27" ht="15" customHeight="1" x14ac:dyDescent="0.3">
      <c r="AA258" s="175" t="str">
        <f>IF(AND(T_ROP!$C$269=$I$4,T_ROP!$L$269&lt;&gt;"CLEAN",T_ROP!$L$269&lt;&gt;""),COUNTIFS(T_ROP!$C$13:$C$269,$I$4,T_ROP!$L$13:$L$269,"&lt;&gt;CLEAN",T_ROP!$L$13:$L$269,"&lt;&gt;"),"")</f>
        <v/>
      </c>
    </row>
    <row r="259" spans="27:27" ht="15" customHeight="1" x14ac:dyDescent="0.3">
      <c r="AA259" s="175" t="str">
        <f>IF(AND(T_ROP!$C$270=$I$4,T_ROP!$L$270&lt;&gt;"CLEAN",T_ROP!$L$270&lt;&gt;""),COUNTIFS(T_ROP!$C$13:$C$270,$I$4,T_ROP!$L$13:$L$270,"&lt;&gt;CLEAN",T_ROP!$L$13:$L$270,"&lt;&gt;"),"")</f>
        <v/>
      </c>
    </row>
    <row r="260" spans="27:27" ht="15" customHeight="1" x14ac:dyDescent="0.3">
      <c r="AA260" s="175" t="str">
        <f>IF(AND(T_ROP!$C$271=$I$4,T_ROP!$L$271&lt;&gt;"CLEAN",T_ROP!$L$271&lt;&gt;""),COUNTIFS(T_ROP!$C$13:$C$271,$I$4,T_ROP!$L$13:$L$271,"&lt;&gt;CLEAN",T_ROP!$L$13:$L$271,"&lt;&gt;"),"")</f>
        <v/>
      </c>
    </row>
    <row r="261" spans="27:27" ht="15" customHeight="1" x14ac:dyDescent="0.3">
      <c r="AA261" s="175" t="str">
        <f>IF(AND(T_ROP!$C$272=$I$4,T_ROP!$L$272&lt;&gt;"CLEAN",T_ROP!$L$272&lt;&gt;""),COUNTIFS(T_ROP!$C$13:$C$272,$I$4,T_ROP!$L$13:$L$272,"&lt;&gt;CLEAN",T_ROP!$L$13:$L$272,"&lt;&gt;"),"")</f>
        <v/>
      </c>
    </row>
    <row r="262" spans="27:27" ht="15" customHeight="1" x14ac:dyDescent="0.3">
      <c r="AA262" s="175" t="str">
        <f>IF(AND(T_ROP!$C$273=$I$4,T_ROP!$L$273&lt;&gt;"CLEAN",T_ROP!$L$273&lt;&gt;""),COUNTIFS(T_ROP!$C$13:$C$273,$I$4,T_ROP!$L$13:$L$273,"&lt;&gt;CLEAN",T_ROP!$L$13:$L$273,"&lt;&gt;"),"")</f>
        <v/>
      </c>
    </row>
    <row r="263" spans="27:27" ht="15" customHeight="1" x14ac:dyDescent="0.3">
      <c r="AA263" s="175" t="str">
        <f>IF(AND(T_ROP!$C$274=$I$4,T_ROP!$L$274&lt;&gt;"CLEAN",T_ROP!$L$274&lt;&gt;""),COUNTIFS(T_ROP!$C$13:$C$274,$I$4,T_ROP!$L$13:$L$274,"&lt;&gt;CLEAN",T_ROP!$L$13:$L$274,"&lt;&gt;"),"")</f>
        <v/>
      </c>
    </row>
    <row r="264" spans="27:27" ht="15" customHeight="1" x14ac:dyDescent="0.3">
      <c r="AA264" s="175" t="str">
        <f>IF(AND(T_ROP!$C$275=$I$4,T_ROP!$L$275&lt;&gt;"CLEAN",T_ROP!$L$275&lt;&gt;""),COUNTIFS(T_ROP!$C$13:$C$275,$I$4,T_ROP!$L$13:$L$275,"&lt;&gt;CLEAN",T_ROP!$L$13:$L$275,"&lt;&gt;"),"")</f>
        <v/>
      </c>
    </row>
    <row r="265" spans="27:27" ht="15" customHeight="1" x14ac:dyDescent="0.3">
      <c r="AA265" s="175" t="str">
        <f>IF(AND(T_ROP!$C$276=$I$4,T_ROP!$L$276&lt;&gt;"CLEAN",T_ROP!$L$276&lt;&gt;""),COUNTIFS(T_ROP!$C$13:$C$276,$I$4,T_ROP!$L$13:$L$276,"&lt;&gt;CLEAN",T_ROP!$L$13:$L$276,"&lt;&gt;"),"")</f>
        <v/>
      </c>
    </row>
    <row r="266" spans="27:27" ht="15" customHeight="1" x14ac:dyDescent="0.3">
      <c r="AA266" s="175" t="str">
        <f>IF(AND(T_ROP!$C$277=$I$4,T_ROP!$L$277&lt;&gt;"CLEAN",T_ROP!$L$277&lt;&gt;""),COUNTIFS(T_ROP!$C$13:$C$277,$I$4,T_ROP!$L$13:$L$277,"&lt;&gt;CLEAN",T_ROP!$L$13:$L$277,"&lt;&gt;"),"")</f>
        <v/>
      </c>
    </row>
    <row r="267" spans="27:27" ht="15" customHeight="1" x14ac:dyDescent="0.3">
      <c r="AA267" s="175" t="str">
        <f>IF(AND(T_ROP!$C$278=$I$4,T_ROP!$L$278&lt;&gt;"CLEAN",T_ROP!$L$278&lt;&gt;""),COUNTIFS(T_ROP!$C$13:$C$278,$I$4,T_ROP!$L$13:$L$278,"&lt;&gt;CLEAN",T_ROP!$L$13:$L$278,"&lt;&gt;"),"")</f>
        <v/>
      </c>
    </row>
    <row r="268" spans="27:27" ht="15" customHeight="1" x14ac:dyDescent="0.3">
      <c r="AA268" s="175" t="str">
        <f>IF(AND(T_ROP!$C$279=$I$4,T_ROP!$L$279&lt;&gt;"CLEAN",T_ROP!$L$279&lt;&gt;""),COUNTIFS(T_ROP!$C$13:$C$279,$I$4,T_ROP!$L$13:$L$279,"&lt;&gt;CLEAN",T_ROP!$L$13:$L$279,"&lt;&gt;"),"")</f>
        <v/>
      </c>
    </row>
    <row r="269" spans="27:27" ht="15" customHeight="1" x14ac:dyDescent="0.3">
      <c r="AA269" s="175" t="str">
        <f>IF(AND(T_ROP!$C$280=$I$4,T_ROP!$L$280&lt;&gt;"CLEAN",T_ROP!$L$280&lt;&gt;""),COUNTIFS(T_ROP!$C$13:$C$280,$I$4,T_ROP!$L$13:$L$280,"&lt;&gt;CLEAN",T_ROP!$L$13:$L$280,"&lt;&gt;"),"")</f>
        <v/>
      </c>
    </row>
    <row r="270" spans="27:27" ht="15" customHeight="1" x14ac:dyDescent="0.3">
      <c r="AA270" s="175" t="str">
        <f>IF(AND(T_ROP!$C$281=$I$4,T_ROP!$L$281&lt;&gt;"CLEAN",T_ROP!$L$281&lt;&gt;""),COUNTIFS(T_ROP!$C$13:$C$281,$I$4,T_ROP!$L$13:$L$281,"&lt;&gt;CLEAN",T_ROP!$L$13:$L$281,"&lt;&gt;"),"")</f>
        <v/>
      </c>
    </row>
    <row r="271" spans="27:27" ht="15" customHeight="1" x14ac:dyDescent="0.3">
      <c r="AA271" s="175" t="str">
        <f>IF(AND(T_ROP!$C$282=$I$4,T_ROP!$L$282&lt;&gt;"CLEAN",T_ROP!$L$282&lt;&gt;""),COUNTIFS(T_ROP!$C$13:$C$282,$I$4,T_ROP!$L$13:$L$282,"&lt;&gt;CLEAN",T_ROP!$L$13:$L$282,"&lt;&gt;"),"")</f>
        <v/>
      </c>
    </row>
    <row r="272" spans="27:27" ht="15" customHeight="1" x14ac:dyDescent="0.3">
      <c r="AA272" s="175" t="str">
        <f>IF(AND(T_ROP!$C$283=$I$4,T_ROP!$L$283&lt;&gt;"CLEAN",T_ROP!$L$283&lt;&gt;""),COUNTIFS(T_ROP!$C$13:$C$283,$I$4,T_ROP!$L$13:$L$283,"&lt;&gt;CLEAN",T_ROP!$L$13:$L$283,"&lt;&gt;"),"")</f>
        <v/>
      </c>
    </row>
    <row r="273" spans="27:27" ht="15" customHeight="1" x14ac:dyDescent="0.3">
      <c r="AA273" s="175" t="str">
        <f>IF(AND(T_ROP!$C$284=$I$4,T_ROP!$L$284&lt;&gt;"CLEAN",T_ROP!$L$284&lt;&gt;""),COUNTIFS(T_ROP!$C$13:$C$284,$I$4,T_ROP!$L$13:$L$284,"&lt;&gt;CLEAN",T_ROP!$L$13:$L$284,"&lt;&gt;"),"")</f>
        <v/>
      </c>
    </row>
    <row r="274" spans="27:27" ht="15" customHeight="1" x14ac:dyDescent="0.3">
      <c r="AA274" s="175" t="str">
        <f>IF(AND(T_ROP!$C$285=$I$4,T_ROP!$L$285&lt;&gt;"CLEAN",T_ROP!$L$285&lt;&gt;""),COUNTIFS(T_ROP!$C$13:$C$285,$I$4,T_ROP!$L$13:$L$285,"&lt;&gt;CLEAN",T_ROP!$L$13:$L$285,"&lt;&gt;"),"")</f>
        <v/>
      </c>
    </row>
    <row r="275" spans="27:27" ht="15" customHeight="1" x14ac:dyDescent="0.3">
      <c r="AA275" s="175" t="str">
        <f>IF(AND(T_ROP!$C$286=$I$4,T_ROP!$L$286&lt;&gt;"CLEAN",T_ROP!$L$286&lt;&gt;""),COUNTIFS(T_ROP!$C$13:$C$286,$I$4,T_ROP!$L$13:$L$286,"&lt;&gt;CLEAN",T_ROP!$L$13:$L$286,"&lt;&gt;"),"")</f>
        <v/>
      </c>
    </row>
    <row r="276" spans="27:27" ht="15" customHeight="1" x14ac:dyDescent="0.3">
      <c r="AA276" s="175" t="str">
        <f>IF(AND(T_ROP!$C$287=$I$4,T_ROP!$L$287&lt;&gt;"CLEAN",T_ROP!$L$287&lt;&gt;""),COUNTIFS(T_ROP!$C$13:$C$287,$I$4,T_ROP!$L$13:$L$287,"&lt;&gt;CLEAN",T_ROP!$L$13:$L$287,"&lt;&gt;"),"")</f>
        <v/>
      </c>
    </row>
    <row r="277" spans="27:27" ht="15" customHeight="1" x14ac:dyDescent="0.3">
      <c r="AA277" s="175" t="str">
        <f>IF(AND(T_ROP!$C$288=$I$4,T_ROP!$L$288&lt;&gt;"CLEAN",T_ROP!$L$288&lt;&gt;""),COUNTIFS(T_ROP!$C$13:$C$288,$I$4,T_ROP!$L$13:$L$288,"&lt;&gt;CLEAN",T_ROP!$L$13:$L$288,"&lt;&gt;"),"")</f>
        <v/>
      </c>
    </row>
    <row r="278" spans="27:27" ht="15" customHeight="1" x14ac:dyDescent="0.3">
      <c r="AA278" s="175" t="str">
        <f>IF(AND(T_ROP!$C$289=$I$4,T_ROP!$L$289&lt;&gt;"CLEAN",T_ROP!$L$289&lt;&gt;""),COUNTIFS(T_ROP!$C$13:$C$289,$I$4,T_ROP!$L$13:$L$289,"&lt;&gt;CLEAN",T_ROP!$L$13:$L$289,"&lt;&gt;"),"")</f>
        <v/>
      </c>
    </row>
    <row r="279" spans="27:27" ht="15" customHeight="1" x14ac:dyDescent="0.3">
      <c r="AA279" s="175" t="str">
        <f>IF(AND(T_ROP!$C$290=$I$4,T_ROP!$L$290&lt;&gt;"CLEAN",T_ROP!$L$290&lt;&gt;""),COUNTIFS(T_ROP!$C$13:$C$290,$I$4,T_ROP!$L$13:$L$290,"&lt;&gt;CLEAN",T_ROP!$L$13:$L$290,"&lt;&gt;"),"")</f>
        <v/>
      </c>
    </row>
    <row r="280" spans="27:27" ht="15" customHeight="1" x14ac:dyDescent="0.3">
      <c r="AA280" s="175" t="str">
        <f>IF(AND(T_ROP!$C$291=$I$4,T_ROP!$L$291&lt;&gt;"CLEAN",T_ROP!$L$291&lt;&gt;""),COUNTIFS(T_ROP!$C$13:$C$291,$I$4,T_ROP!$L$13:$L$291,"&lt;&gt;CLEAN",T_ROP!$L$13:$L$291,"&lt;&gt;"),"")</f>
        <v/>
      </c>
    </row>
    <row r="281" spans="27:27" ht="15" customHeight="1" x14ac:dyDescent="0.3">
      <c r="AA281" s="175" t="str">
        <f>IF(AND(T_ROP!$C$292=$I$4,T_ROP!$L$292&lt;&gt;"CLEAN",T_ROP!$L$292&lt;&gt;""),COUNTIFS(T_ROP!$C$13:$C$292,$I$4,T_ROP!$L$13:$L$292,"&lt;&gt;CLEAN",T_ROP!$L$13:$L$292,"&lt;&gt;"),"")</f>
        <v/>
      </c>
    </row>
    <row r="282" spans="27:27" ht="15" customHeight="1" x14ac:dyDescent="0.3">
      <c r="AA282" s="175" t="str">
        <f>IF(AND(T_ROP!$C$293=$I$4,T_ROP!$L$293&lt;&gt;"CLEAN",T_ROP!$L$293&lt;&gt;""),COUNTIFS(T_ROP!$C$13:$C$293,$I$4,T_ROP!$L$13:$L$293,"&lt;&gt;CLEAN",T_ROP!$L$13:$L$293,"&lt;&gt;"),"")</f>
        <v/>
      </c>
    </row>
    <row r="283" spans="27:27" ht="15" customHeight="1" x14ac:dyDescent="0.3">
      <c r="AA283" s="175" t="str">
        <f>IF(AND(T_ROP!$C$294=$I$4,T_ROP!$L$294&lt;&gt;"CLEAN",T_ROP!$L$294&lt;&gt;""),COUNTIFS(T_ROP!$C$13:$C$294,$I$4,T_ROP!$L$13:$L$294,"&lt;&gt;CLEAN",T_ROP!$L$13:$L$294,"&lt;&gt;"),"")</f>
        <v/>
      </c>
    </row>
    <row r="284" spans="27:27" ht="15" customHeight="1" x14ac:dyDescent="0.3">
      <c r="AA284" s="175" t="str">
        <f>IF(AND(T_ROP!$C$295=$I$4,T_ROP!$L$295&lt;&gt;"CLEAN",T_ROP!$L$295&lt;&gt;""),COUNTIFS(T_ROP!$C$13:$C$295,$I$4,T_ROP!$L$13:$L$295,"&lt;&gt;CLEAN",T_ROP!$L$13:$L$295,"&lt;&gt;"),"")</f>
        <v/>
      </c>
    </row>
    <row r="285" spans="27:27" ht="15" customHeight="1" x14ac:dyDescent="0.3">
      <c r="AA285" s="175" t="str">
        <f>IF(AND(T_ROP!$C$296=$I$4,T_ROP!$L$296&lt;&gt;"CLEAN",T_ROP!$L$296&lt;&gt;""),COUNTIFS(T_ROP!$C$13:$C$296,$I$4,T_ROP!$L$13:$L$296,"&lt;&gt;CLEAN",T_ROP!$L$13:$L$296,"&lt;&gt;"),"")</f>
        <v/>
      </c>
    </row>
    <row r="286" spans="27:27" ht="15" customHeight="1" x14ac:dyDescent="0.3">
      <c r="AA286" s="175" t="str">
        <f>IF(AND(T_ROP!$C$297=$I$4,T_ROP!$L$297&lt;&gt;"CLEAN",T_ROP!$L$297&lt;&gt;""),COUNTIFS(T_ROP!$C$13:$C$297,$I$4,T_ROP!$L$13:$L$297,"&lt;&gt;CLEAN",T_ROP!$L$13:$L$297,"&lt;&gt;"),"")</f>
        <v/>
      </c>
    </row>
    <row r="287" spans="27:27" ht="15" customHeight="1" x14ac:dyDescent="0.3">
      <c r="AA287" s="175" t="str">
        <f>IF(AND(T_ROP!$C$298=$I$4,T_ROP!$L$298&lt;&gt;"CLEAN",T_ROP!$L$298&lt;&gt;""),COUNTIFS(T_ROP!$C$13:$C$298,$I$4,T_ROP!$L$13:$L$298,"&lt;&gt;CLEAN",T_ROP!$L$13:$L$298,"&lt;&gt;"),"")</f>
        <v/>
      </c>
    </row>
    <row r="288" spans="27:27" ht="15" customHeight="1" x14ac:dyDescent="0.3">
      <c r="AA288" s="175" t="str">
        <f>IF(AND(T_ROP!$C$299=$I$4,T_ROP!$L$299&lt;&gt;"CLEAN",T_ROP!$L$299&lt;&gt;""),COUNTIFS(T_ROP!$C$13:$C$299,$I$4,T_ROP!$L$13:$L$299,"&lt;&gt;CLEAN",T_ROP!$L$13:$L$299,"&lt;&gt;"),"")</f>
        <v/>
      </c>
    </row>
    <row r="289" spans="27:27" ht="15" customHeight="1" x14ac:dyDescent="0.3">
      <c r="AA289" s="175" t="str">
        <f>IF(AND(T_ROP!$C$300=$I$4,T_ROP!$L$300&lt;&gt;"CLEAN",T_ROP!$L$300&lt;&gt;""),COUNTIFS(T_ROP!$C$13:$C$300,$I$4,T_ROP!$L$13:$L$300,"&lt;&gt;CLEAN",T_ROP!$L$13:$L$300,"&lt;&gt;"),"")</f>
        <v/>
      </c>
    </row>
    <row r="290" spans="27:27" ht="15" customHeight="1" x14ac:dyDescent="0.3">
      <c r="AA290" s="175" t="str">
        <f>IF(AND(T_ROP!$C$301=$I$4,T_ROP!$L$301&lt;&gt;"CLEAN",T_ROP!$L$301&lt;&gt;""),COUNTIFS(T_ROP!$C$13:$C$301,$I$4,T_ROP!$L$13:$L$301,"&lt;&gt;CLEAN",T_ROP!$L$13:$L$301,"&lt;&gt;"),"")</f>
        <v/>
      </c>
    </row>
    <row r="291" spans="27:27" ht="15" customHeight="1" x14ac:dyDescent="0.3">
      <c r="AA291" s="175" t="str">
        <f>IF(AND(T_ROP!$C$302=$I$4,T_ROP!$L$302&lt;&gt;"CLEAN",T_ROP!$L$302&lt;&gt;""),COUNTIFS(T_ROP!$C$13:$C$302,$I$4,T_ROP!$L$13:$L$302,"&lt;&gt;CLEAN",T_ROP!$L$13:$L$302,"&lt;&gt;"),"")</f>
        <v/>
      </c>
    </row>
    <row r="292" spans="27:27" ht="15" customHeight="1" x14ac:dyDescent="0.3">
      <c r="AA292" s="175" t="str">
        <f>IF(AND(T_ROP!$C$303=$I$4,T_ROP!$L$303&lt;&gt;"CLEAN",T_ROP!$L$303&lt;&gt;""),COUNTIFS(T_ROP!$C$13:$C$303,$I$4,T_ROP!$L$13:$L$303,"&lt;&gt;CLEAN",T_ROP!$L$13:$L$303,"&lt;&gt;"),"")</f>
        <v/>
      </c>
    </row>
    <row r="293" spans="27:27" ht="15" customHeight="1" x14ac:dyDescent="0.3">
      <c r="AA293" s="175" t="str">
        <f>IF(AND(T_ROP!$C$304=$I$4,T_ROP!$L$304&lt;&gt;"CLEAN",T_ROP!$L$304&lt;&gt;""),COUNTIFS(T_ROP!$C$13:$C$304,$I$4,T_ROP!$L$13:$L$304,"&lt;&gt;CLEAN",T_ROP!$L$13:$L$304,"&lt;&gt;"),"")</f>
        <v/>
      </c>
    </row>
    <row r="294" spans="27:27" ht="15" customHeight="1" x14ac:dyDescent="0.3">
      <c r="AA294" s="175" t="str">
        <f>IF(AND(T_ROP!$C$305=$I$4,T_ROP!$L$305&lt;&gt;"CLEAN",T_ROP!$L$305&lt;&gt;""),COUNTIFS(T_ROP!$C$13:$C$305,$I$4,T_ROP!$L$13:$L$305,"&lt;&gt;CLEAN",T_ROP!$L$13:$L$305,"&lt;&gt;"),"")</f>
        <v/>
      </c>
    </row>
    <row r="295" spans="27:27" ht="15" customHeight="1" x14ac:dyDescent="0.3">
      <c r="AA295" s="175" t="str">
        <f>IF(AND(T_ROP!$C$306=$I$4,T_ROP!$L$306&lt;&gt;"CLEAN",T_ROP!$L$306&lt;&gt;""),COUNTIFS(T_ROP!$C$13:$C$306,$I$4,T_ROP!$L$13:$L$306,"&lt;&gt;CLEAN",T_ROP!$L$13:$L$306,"&lt;&gt;"),"")</f>
        <v/>
      </c>
    </row>
    <row r="296" spans="27:27" ht="15" customHeight="1" x14ac:dyDescent="0.3">
      <c r="AA296" s="175" t="str">
        <f>IF(AND(T_ROP!$C$307=$I$4,T_ROP!$L$307&lt;&gt;"CLEAN",T_ROP!$L$307&lt;&gt;""),COUNTIFS(T_ROP!$C$13:$C$307,$I$4,T_ROP!$L$13:$L$307,"&lt;&gt;CLEAN",T_ROP!$L$13:$L$307,"&lt;&gt;"),"")</f>
        <v/>
      </c>
    </row>
    <row r="297" spans="27:27" ht="15" customHeight="1" x14ac:dyDescent="0.3">
      <c r="AA297" s="175" t="str">
        <f>IF(AND(T_ROP!$C$308=$I$4,T_ROP!$L$308&lt;&gt;"CLEAN",T_ROP!$L$308&lt;&gt;""),COUNTIFS(T_ROP!$C$13:$C$308,$I$4,T_ROP!$L$13:$L$308,"&lt;&gt;CLEAN",T_ROP!$L$13:$L$308,"&lt;&gt;"),"")</f>
        <v/>
      </c>
    </row>
    <row r="298" spans="27:27" ht="15" customHeight="1" x14ac:dyDescent="0.3">
      <c r="AA298" s="175" t="str">
        <f>IF(AND(T_ROP!$C$309=$I$4,T_ROP!$L$309&lt;&gt;"CLEAN",T_ROP!$L$309&lt;&gt;""),COUNTIFS(T_ROP!$C$13:$C$309,$I$4,T_ROP!$L$13:$L$309,"&lt;&gt;CLEAN",T_ROP!$L$13:$L$309,"&lt;&gt;"),"")</f>
        <v/>
      </c>
    </row>
    <row r="299" spans="27:27" ht="15" customHeight="1" x14ac:dyDescent="0.3">
      <c r="AA299" s="175" t="str">
        <f>IF(AND(T_ROP!$C$310=$I$4,T_ROP!$L$310&lt;&gt;"CLEAN",T_ROP!$L$310&lt;&gt;""),COUNTIFS(T_ROP!$C$13:$C$310,$I$4,T_ROP!$L$13:$L$310,"&lt;&gt;CLEAN",T_ROP!$L$13:$L$310,"&lt;&gt;"),"")</f>
        <v/>
      </c>
    </row>
    <row r="300" spans="27:27" ht="15" customHeight="1" x14ac:dyDescent="0.3">
      <c r="AA300" s="175" t="str">
        <f>IF(AND(T_ROP!$C$311=$I$4,T_ROP!$L$311&lt;&gt;"CLEAN",T_ROP!$L$311&lt;&gt;""),COUNTIFS(T_ROP!$C$13:$C$311,$I$4,T_ROP!$L$13:$L$311,"&lt;&gt;CLEAN",T_ROP!$L$13:$L$311,"&lt;&gt;"),"")</f>
        <v/>
      </c>
    </row>
    <row r="301" spans="27:27" ht="15" customHeight="1" x14ac:dyDescent="0.3">
      <c r="AA301" s="175" t="str">
        <f>IF(AND(T_ROP!$C$312=$I$4,T_ROP!$L$312&lt;&gt;"CLEAN",T_ROP!$L$312&lt;&gt;""),COUNTIFS(T_ROP!$C$13:$C$312,$I$4,T_ROP!$L$13:$L$312,"&lt;&gt;CLEAN",T_ROP!$L$13:$L$312,"&lt;&gt;"),"")</f>
        <v/>
      </c>
    </row>
    <row r="302" spans="27:27" ht="15" customHeight="1" x14ac:dyDescent="0.3">
      <c r="AA302" s="175" t="str">
        <f>IF(AND(T_ROP!$C$313=$I$4,T_ROP!$L$313&lt;&gt;"CLEAN",T_ROP!$L$313&lt;&gt;""),COUNTIFS(T_ROP!$C$13:$C$313,$I$4,T_ROP!$L$13:$L$313,"&lt;&gt;CLEAN",T_ROP!$L$13:$L$313,"&lt;&gt;"),"")</f>
        <v/>
      </c>
    </row>
    <row r="303" spans="27:27" ht="15" customHeight="1" x14ac:dyDescent="0.3">
      <c r="AA303" s="175" t="str">
        <f>IF(AND(T_ROP!$C$314=$I$4,T_ROP!$L$314&lt;&gt;"CLEAN",T_ROP!$L$314&lt;&gt;""),COUNTIFS(T_ROP!$C$13:$C$314,$I$4,T_ROP!$L$13:$L$314,"&lt;&gt;CLEAN",T_ROP!$L$13:$L$314,"&lt;&gt;"),"")</f>
        <v/>
      </c>
    </row>
    <row r="304" spans="27:27" ht="15" customHeight="1" x14ac:dyDescent="0.3">
      <c r="AA304" s="175" t="str">
        <f>IF(AND(T_ROP!$C$315=$I$4,T_ROP!$L$315&lt;&gt;"CLEAN",T_ROP!$L$315&lt;&gt;""),COUNTIFS(T_ROP!$C$13:$C$315,$I$4,T_ROP!$L$13:$L$315,"&lt;&gt;CLEAN",T_ROP!$L$13:$L$315,"&lt;&gt;"),"")</f>
        <v/>
      </c>
    </row>
    <row r="305" spans="27:27" ht="15" customHeight="1" x14ac:dyDescent="0.3">
      <c r="AA305" s="175" t="str">
        <f>IF(AND(T_ROP!$C$316=$I$4,T_ROP!$L$316&lt;&gt;"CLEAN",T_ROP!$L$316&lt;&gt;""),COUNTIFS(T_ROP!$C$13:$C$316,$I$4,T_ROP!$L$13:$L$316,"&lt;&gt;CLEAN",T_ROP!$L$13:$L$316,"&lt;&gt;"),"")</f>
        <v/>
      </c>
    </row>
    <row r="306" spans="27:27" ht="15" customHeight="1" x14ac:dyDescent="0.3">
      <c r="AA306" s="175" t="str">
        <f>IF(AND(T_ROP!$C$317=$I$4,T_ROP!$L$317&lt;&gt;"CLEAN",T_ROP!$L$317&lt;&gt;""),COUNTIFS(T_ROP!$C$13:$C$317,$I$4,T_ROP!$L$13:$L$317,"&lt;&gt;CLEAN",T_ROP!$L$13:$L$317,"&lt;&gt;"),"")</f>
        <v/>
      </c>
    </row>
    <row r="307" spans="27:27" ht="15" customHeight="1" x14ac:dyDescent="0.3">
      <c r="AA307" s="175" t="str">
        <f>IF(AND(T_ROP!$C$318=$I$4,T_ROP!$L$318&lt;&gt;"CLEAN",T_ROP!$L$318&lt;&gt;""),COUNTIFS(T_ROP!$C$13:$C$318,$I$4,T_ROP!$L$13:$L$318,"&lt;&gt;CLEAN",T_ROP!$L$13:$L$318,"&lt;&gt;"),"")</f>
        <v/>
      </c>
    </row>
    <row r="308" spans="27:27" ht="15" customHeight="1" x14ac:dyDescent="0.3">
      <c r="AA308" s="175" t="str">
        <f>IF(AND(T_ROP!$C$319=$I$4,T_ROP!$L$319&lt;&gt;"CLEAN",T_ROP!$L$319&lt;&gt;""),COUNTIFS(T_ROP!$C$13:$C$319,$I$4,T_ROP!$L$13:$L$319,"&lt;&gt;CLEAN",T_ROP!$L$13:$L$319,"&lt;&gt;"),"")</f>
        <v/>
      </c>
    </row>
    <row r="309" spans="27:27" ht="15" customHeight="1" x14ac:dyDescent="0.3">
      <c r="AA309" s="175" t="str">
        <f>IF(AND(T_ROP!$C$320=$I$4,T_ROP!$L$320&lt;&gt;"CLEAN",T_ROP!$L$320&lt;&gt;""),COUNTIFS(T_ROP!$C$13:$C$320,$I$4,T_ROP!$L$13:$L$320,"&lt;&gt;CLEAN",T_ROP!$L$13:$L$320,"&lt;&gt;"),"")</f>
        <v/>
      </c>
    </row>
    <row r="310" spans="27:27" ht="15" customHeight="1" x14ac:dyDescent="0.3">
      <c r="AA310" s="175" t="str">
        <f>IF(AND(T_ROP!$C$321=$I$4,T_ROP!$L$321&lt;&gt;"CLEAN",T_ROP!$L$321&lt;&gt;""),COUNTIFS(T_ROP!$C$13:$C$321,$I$4,T_ROP!$L$13:$L$321,"&lt;&gt;CLEAN",T_ROP!$L$13:$L$321,"&lt;&gt;"),"")</f>
        <v/>
      </c>
    </row>
    <row r="311" spans="27:27" ht="15" customHeight="1" x14ac:dyDescent="0.3">
      <c r="AA311" s="175" t="str">
        <f>IF(AND(T_ROP!$C$322=$I$4,T_ROP!$L$322&lt;&gt;"CLEAN",T_ROP!$L$322&lt;&gt;""),COUNTIFS(T_ROP!$C$13:$C$322,$I$4,T_ROP!$L$13:$L$322,"&lt;&gt;CLEAN",T_ROP!$L$13:$L$322,"&lt;&gt;"),"")</f>
        <v/>
      </c>
    </row>
    <row r="312" spans="27:27" ht="15" customHeight="1" x14ac:dyDescent="0.3">
      <c r="AA312" s="175" t="str">
        <f>IF(AND(T_ROP!$C$323=$I$4,T_ROP!$L$323&lt;&gt;"CLEAN",T_ROP!$L$323&lt;&gt;""),COUNTIFS(T_ROP!$C$13:$C$323,$I$4,T_ROP!$L$13:$L$323,"&lt;&gt;CLEAN",T_ROP!$L$13:$L$323,"&lt;&gt;"),"")</f>
        <v/>
      </c>
    </row>
    <row r="313" spans="27:27" ht="15" customHeight="1" x14ac:dyDescent="0.3">
      <c r="AA313" s="175" t="str">
        <f>IF(AND(T_ROP!$C$324=$I$4,T_ROP!$L$324&lt;&gt;"CLEAN",T_ROP!$L$324&lt;&gt;""),COUNTIFS(T_ROP!$C$13:$C$324,$I$4,T_ROP!$L$13:$L$324,"&lt;&gt;CLEAN",T_ROP!$L$13:$L$324,"&lt;&gt;"),"")</f>
        <v/>
      </c>
    </row>
    <row r="314" spans="27:27" ht="15" customHeight="1" x14ac:dyDescent="0.3">
      <c r="AA314" s="175" t="str">
        <f>IF(AND(T_ROP!$C$325=$I$4,T_ROP!$L$325&lt;&gt;"CLEAN",T_ROP!$L$325&lt;&gt;""),COUNTIFS(T_ROP!$C$13:$C$325,$I$4,T_ROP!$L$13:$L$325,"&lt;&gt;CLEAN",T_ROP!$L$13:$L$325,"&lt;&gt;"),"")</f>
        <v/>
      </c>
    </row>
    <row r="315" spans="27:27" ht="15" customHeight="1" x14ac:dyDescent="0.3">
      <c r="AA315" s="175" t="str">
        <f>IF(AND(T_ROP!$C$326=$I$4,T_ROP!$L$326&lt;&gt;"CLEAN",T_ROP!$L$326&lt;&gt;""),COUNTIFS(T_ROP!$C$13:$C$326,$I$4,T_ROP!$L$13:$L$326,"&lt;&gt;CLEAN",T_ROP!$L$13:$L$326,"&lt;&gt;"),"")</f>
        <v/>
      </c>
    </row>
    <row r="316" spans="27:27" ht="15" customHeight="1" x14ac:dyDescent="0.3">
      <c r="AA316" s="175" t="str">
        <f>IF(AND(T_ROP!$C$327=$I$4,T_ROP!$L$327&lt;&gt;"CLEAN",T_ROP!$L$327&lt;&gt;""),COUNTIFS(T_ROP!$C$13:$C$327,$I$4,T_ROP!$L$13:$L$327,"&lt;&gt;CLEAN",T_ROP!$L$13:$L$327,"&lt;&gt;"),"")</f>
        <v/>
      </c>
    </row>
    <row r="317" spans="27:27" ht="15" customHeight="1" x14ac:dyDescent="0.3">
      <c r="AA317" s="175" t="str">
        <f>IF(AND(T_ROP!$C$328=$I$4,T_ROP!$L$328&lt;&gt;"CLEAN",T_ROP!$L$328&lt;&gt;""),COUNTIFS(T_ROP!$C$13:$C$328,$I$4,T_ROP!$L$13:$L$328,"&lt;&gt;CLEAN",T_ROP!$L$13:$L$328,"&lt;&gt;"),"")</f>
        <v/>
      </c>
    </row>
    <row r="318" spans="27:27" ht="15" customHeight="1" x14ac:dyDescent="0.3">
      <c r="AA318" s="175" t="str">
        <f>IF(AND(T_ROP!$C$329=$I$4,T_ROP!$L$329&lt;&gt;"CLEAN",T_ROP!$L$329&lt;&gt;""),COUNTIFS(T_ROP!$C$13:$C$329,$I$4,T_ROP!$L$13:$L$329,"&lt;&gt;CLEAN",T_ROP!$L$13:$L$329,"&lt;&gt;"),"")</f>
        <v/>
      </c>
    </row>
    <row r="319" spans="27:27" ht="15" customHeight="1" x14ac:dyDescent="0.3">
      <c r="AA319" s="175" t="str">
        <f>IF(AND(T_ROP!$C$330=$I$4,T_ROP!$L$330&lt;&gt;"CLEAN",T_ROP!$L$330&lt;&gt;""),COUNTIFS(T_ROP!$C$13:$C$330,$I$4,T_ROP!$L$13:$L$330,"&lt;&gt;CLEAN",T_ROP!$L$13:$L$330,"&lt;&gt;"),"")</f>
        <v/>
      </c>
    </row>
    <row r="320" spans="27:27" ht="15" customHeight="1" x14ac:dyDescent="0.3">
      <c r="AA320" s="175" t="str">
        <f>IF(AND(T_ROP!$C$331=$I$4,T_ROP!$L$331&lt;&gt;"CLEAN",T_ROP!$L$331&lt;&gt;""),COUNTIFS(T_ROP!$C$13:$C$331,$I$4,T_ROP!$L$13:$L$331,"&lt;&gt;CLEAN",T_ROP!$L$13:$L$331,"&lt;&gt;"),"")</f>
        <v/>
      </c>
    </row>
    <row r="321" spans="27:27" ht="15" customHeight="1" x14ac:dyDescent="0.3">
      <c r="AA321" s="175" t="str">
        <f>IF(AND(T_ROP!$C$332=$I$4,T_ROP!$L$332&lt;&gt;"CLEAN",T_ROP!$L$332&lt;&gt;""),COUNTIFS(T_ROP!$C$13:$C$332,$I$4,T_ROP!$L$13:$L$332,"&lt;&gt;CLEAN",T_ROP!$L$13:$L$332,"&lt;&gt;"),"")</f>
        <v/>
      </c>
    </row>
    <row r="322" spans="27:27" ht="15" customHeight="1" x14ac:dyDescent="0.3">
      <c r="AA322" s="175" t="str">
        <f>IF(AND(T_ROP!$C$333=$I$4,T_ROP!$L$333&lt;&gt;"CLEAN",T_ROP!$L$333&lt;&gt;""),COUNTIFS(T_ROP!$C$13:$C$333,$I$4,T_ROP!$L$13:$L$333,"&lt;&gt;CLEAN",T_ROP!$L$13:$L$333,"&lt;&gt;"),"")</f>
        <v/>
      </c>
    </row>
    <row r="323" spans="27:27" ht="15" customHeight="1" x14ac:dyDescent="0.3">
      <c r="AA323" s="175" t="str">
        <f>IF(AND(T_ROP!$C$334=$I$4,T_ROP!$L$334&lt;&gt;"CLEAN",T_ROP!$L$334&lt;&gt;""),COUNTIFS(T_ROP!$C$13:$C$334,$I$4,T_ROP!$L$13:$L$334,"&lt;&gt;CLEAN",T_ROP!$L$13:$L$334,"&lt;&gt;"),"")</f>
        <v/>
      </c>
    </row>
    <row r="324" spans="27:27" ht="15" customHeight="1" x14ac:dyDescent="0.3">
      <c r="AA324" s="175" t="str">
        <f>IF(AND(T_ROP!$C$335=$I$4,T_ROP!$L$335&lt;&gt;"CLEAN",T_ROP!$L$335&lt;&gt;""),COUNTIFS(T_ROP!$C$13:$C$335,$I$4,T_ROP!$L$13:$L$335,"&lt;&gt;CLEAN",T_ROP!$L$13:$L$335,"&lt;&gt;"),"")</f>
        <v/>
      </c>
    </row>
    <row r="325" spans="27:27" ht="15" customHeight="1" x14ac:dyDescent="0.3">
      <c r="AA325" s="175" t="str">
        <f>IF(AND(T_ROP!$C$336=$I$4,T_ROP!$L$336&lt;&gt;"CLEAN",T_ROP!$L$336&lt;&gt;""),COUNTIFS(T_ROP!$C$13:$C$336,$I$4,T_ROP!$L$13:$L$336,"&lt;&gt;CLEAN",T_ROP!$L$13:$L$336,"&lt;&gt;"),"")</f>
        <v/>
      </c>
    </row>
    <row r="326" spans="27:27" ht="15" customHeight="1" x14ac:dyDescent="0.3">
      <c r="AA326" s="175" t="str">
        <f>IF(AND(T_ROP!$C$337=$I$4,T_ROP!$L$337&lt;&gt;"CLEAN",T_ROP!$L$337&lt;&gt;""),COUNTIFS(T_ROP!$C$13:$C$337,$I$4,T_ROP!$L$13:$L$337,"&lt;&gt;CLEAN",T_ROP!$L$13:$L$337,"&lt;&gt;"),"")</f>
        <v/>
      </c>
    </row>
    <row r="327" spans="27:27" ht="15" customHeight="1" x14ac:dyDescent="0.3">
      <c r="AA327" s="175" t="str">
        <f>IF(AND(T_ROP!$C$338=$I$4,T_ROP!$L$338&lt;&gt;"CLEAN",T_ROP!$L$338&lt;&gt;""),COUNTIFS(T_ROP!$C$13:$C$338,$I$4,T_ROP!$L$13:$L$338,"&lt;&gt;CLEAN",T_ROP!$L$13:$L$338,"&lt;&gt;"),"")</f>
        <v/>
      </c>
    </row>
    <row r="328" spans="27:27" ht="15" customHeight="1" x14ac:dyDescent="0.3">
      <c r="AA328" s="175" t="str">
        <f>IF(AND(T_ROP!$C$339=$I$4,T_ROP!$L$339&lt;&gt;"CLEAN",T_ROP!$L$339&lt;&gt;""),COUNTIFS(T_ROP!$C$13:$C$339,$I$4,T_ROP!$L$13:$L$339,"&lt;&gt;CLEAN",T_ROP!$L$13:$L$339,"&lt;&gt;"),"")</f>
        <v/>
      </c>
    </row>
    <row r="329" spans="27:27" ht="15" customHeight="1" x14ac:dyDescent="0.3">
      <c r="AA329" s="175" t="str">
        <f>IF(AND(T_ROP!$C$340=$I$4,T_ROP!$L$340&lt;&gt;"CLEAN",T_ROP!$L$340&lt;&gt;""),COUNTIFS(T_ROP!$C$13:$C$340,$I$4,T_ROP!$L$13:$L$340,"&lt;&gt;CLEAN",T_ROP!$L$13:$L$340,"&lt;&gt;"),"")</f>
        <v/>
      </c>
    </row>
    <row r="330" spans="27:27" ht="15" customHeight="1" x14ac:dyDescent="0.3">
      <c r="AA330" s="175" t="str">
        <f>IF(AND(T_ROP!$C$341=$I$4,T_ROP!$L$341&lt;&gt;"CLEAN",T_ROP!$L$341&lt;&gt;""),COUNTIFS(T_ROP!$C$13:$C$341,$I$4,T_ROP!$L$13:$L$341,"&lt;&gt;CLEAN",T_ROP!$L$13:$L$341,"&lt;&gt;"),"")</f>
        <v/>
      </c>
    </row>
    <row r="331" spans="27:27" ht="15" customHeight="1" x14ac:dyDescent="0.3">
      <c r="AA331" s="175" t="str">
        <f>IF(AND(T_ROP!$C$342=$I$4,T_ROP!$L$342&lt;&gt;"CLEAN",T_ROP!$L$342&lt;&gt;""),COUNTIFS(T_ROP!$C$13:$C$342,$I$4,T_ROP!$L$13:$L$342,"&lt;&gt;CLEAN",T_ROP!$L$13:$L$342,"&lt;&gt;"),"")</f>
        <v/>
      </c>
    </row>
    <row r="332" spans="27:27" ht="15" customHeight="1" x14ac:dyDescent="0.3">
      <c r="AA332" s="175" t="str">
        <f>IF(AND(T_ROP!$C$343=$I$4,T_ROP!$L$343&lt;&gt;"CLEAN",T_ROP!$L$343&lt;&gt;""),COUNTIFS(T_ROP!$C$13:$C$343,$I$4,T_ROP!$L$13:$L$343,"&lt;&gt;CLEAN",T_ROP!$L$13:$L$343,"&lt;&gt;"),"")</f>
        <v/>
      </c>
    </row>
    <row r="333" spans="27:27" ht="15" customHeight="1" x14ac:dyDescent="0.3">
      <c r="AA333" s="175" t="str">
        <f>IF(AND(T_ROP!$C$344=$I$4,T_ROP!$L$344&lt;&gt;"CLEAN",T_ROP!$L$344&lt;&gt;""),COUNTIFS(T_ROP!$C$13:$C$344,$I$4,T_ROP!$L$13:$L$344,"&lt;&gt;CLEAN",T_ROP!$L$13:$L$344,"&lt;&gt;"),"")</f>
        <v/>
      </c>
    </row>
    <row r="334" spans="27:27" ht="15" customHeight="1" x14ac:dyDescent="0.3">
      <c r="AA334" s="175" t="str">
        <f>IF(AND(T_ROP!$C$345=$I$4,T_ROP!$L$345&lt;&gt;"CLEAN",T_ROP!$L$345&lt;&gt;""),COUNTIFS(T_ROP!$C$13:$C$345,$I$4,T_ROP!$L$13:$L$345,"&lt;&gt;CLEAN",T_ROP!$L$13:$L$345,"&lt;&gt;"),"")</f>
        <v/>
      </c>
    </row>
    <row r="335" spans="27:27" ht="15" customHeight="1" x14ac:dyDescent="0.3">
      <c r="AA335" s="175" t="str">
        <f>IF(AND(T_ROP!$C$346=$I$4,T_ROP!$L$346&lt;&gt;"CLEAN",T_ROP!$L$346&lt;&gt;""),COUNTIFS(T_ROP!$C$13:$C$346,$I$4,T_ROP!$L$13:$L$346,"&lt;&gt;CLEAN",T_ROP!$L$13:$L$346,"&lt;&gt;"),"")</f>
        <v/>
      </c>
    </row>
    <row r="336" spans="27:27" ht="15" customHeight="1" x14ac:dyDescent="0.3">
      <c r="AA336" s="175" t="str">
        <f>IF(AND(T_ROP!$C$347=$I$4,T_ROP!$L$347&lt;&gt;"CLEAN",T_ROP!$L$347&lt;&gt;""),COUNTIFS(T_ROP!$C$13:$C$347,$I$4,T_ROP!$L$13:$L$347,"&lt;&gt;CLEAN",T_ROP!$L$13:$L$347,"&lt;&gt;"),"")</f>
        <v/>
      </c>
    </row>
    <row r="337" spans="27:27" ht="15" customHeight="1" x14ac:dyDescent="0.3">
      <c r="AA337" s="175" t="str">
        <f>IF(AND(T_ROP!$C$348=$I$4,T_ROP!$L$348&lt;&gt;"CLEAN",T_ROP!$L$348&lt;&gt;""),COUNTIFS(T_ROP!$C$13:$C$348,$I$4,T_ROP!$L$13:$L$348,"&lt;&gt;CLEAN",T_ROP!$L$13:$L$348,"&lt;&gt;"),"")</f>
        <v/>
      </c>
    </row>
    <row r="338" spans="27:27" ht="15" customHeight="1" x14ac:dyDescent="0.3">
      <c r="AA338" s="175" t="str">
        <f>IF(AND(T_ROP!$C$349=$I$4,T_ROP!$L$349&lt;&gt;"CLEAN",T_ROP!$L$349&lt;&gt;""),COUNTIFS(T_ROP!$C$13:$C$349,$I$4,T_ROP!$L$13:$L$349,"&lt;&gt;CLEAN",T_ROP!$L$13:$L$349,"&lt;&gt;"),"")</f>
        <v/>
      </c>
    </row>
    <row r="339" spans="27:27" ht="15" customHeight="1" x14ac:dyDescent="0.3">
      <c r="AA339" s="175" t="str">
        <f>IF(AND(T_ROP!$C$350=$I$4,T_ROP!$L$350&lt;&gt;"CLEAN",T_ROP!$L$350&lt;&gt;""),COUNTIFS(T_ROP!$C$13:$C$350,$I$4,T_ROP!$L$13:$L$350,"&lt;&gt;CLEAN",T_ROP!$L$13:$L$350,"&lt;&gt;"),"")</f>
        <v/>
      </c>
    </row>
    <row r="340" spans="27:27" ht="15" customHeight="1" x14ac:dyDescent="0.3">
      <c r="AA340" s="175" t="str">
        <f>IF(AND(T_ROP!$C$351=$I$4,T_ROP!$L$351&lt;&gt;"CLEAN",T_ROP!$L$351&lt;&gt;""),COUNTIFS(T_ROP!$C$13:$C$351,$I$4,T_ROP!$L$13:$L$351,"&lt;&gt;CLEAN",T_ROP!$L$13:$L$351,"&lt;&gt;"),"")</f>
        <v/>
      </c>
    </row>
    <row r="341" spans="27:27" ht="15" customHeight="1" x14ac:dyDescent="0.3">
      <c r="AA341" s="175" t="str">
        <f>IF(AND(T_ROP!$C$352=$I$4,T_ROP!$L$352&lt;&gt;"CLEAN",T_ROP!$L$352&lt;&gt;""),COUNTIFS(T_ROP!$C$13:$C$352,$I$4,T_ROP!$L$13:$L$352,"&lt;&gt;CLEAN",T_ROP!$L$13:$L$352,"&lt;&gt;"),"")</f>
        <v/>
      </c>
    </row>
    <row r="342" spans="27:27" ht="15" customHeight="1" x14ac:dyDescent="0.3">
      <c r="AA342" s="175" t="str">
        <f>IF(AND(T_ROP!$C$353=$I$4,T_ROP!$L$353&lt;&gt;"CLEAN",T_ROP!$L$353&lt;&gt;""),COUNTIFS(T_ROP!$C$13:$C$353,$I$4,T_ROP!$L$13:$L$353,"&lt;&gt;CLEAN",T_ROP!$L$13:$L$353,"&lt;&gt;"),"")</f>
        <v/>
      </c>
    </row>
    <row r="343" spans="27:27" ht="15" customHeight="1" x14ac:dyDescent="0.3">
      <c r="AA343" s="175" t="str">
        <f>IF(AND(T_ROP!$C$354=$I$4,T_ROP!$L$354&lt;&gt;"CLEAN",T_ROP!$L$354&lt;&gt;""),COUNTIFS(T_ROP!$C$13:$C$354,$I$4,T_ROP!$L$13:$L$354,"&lt;&gt;CLEAN",T_ROP!$L$13:$L$354,"&lt;&gt;"),"")</f>
        <v/>
      </c>
    </row>
    <row r="344" spans="27:27" ht="15" customHeight="1" x14ac:dyDescent="0.3">
      <c r="AA344" s="175" t="str">
        <f>IF(AND(T_ROP!$C$355=$I$4,T_ROP!$L$355&lt;&gt;"CLEAN",T_ROP!$L$355&lt;&gt;""),COUNTIFS(T_ROP!$C$13:$C$355,$I$4,T_ROP!$L$13:$L$355,"&lt;&gt;CLEAN",T_ROP!$L$13:$L$355,"&lt;&gt;"),"")</f>
        <v/>
      </c>
    </row>
    <row r="345" spans="27:27" ht="15" customHeight="1" x14ac:dyDescent="0.3">
      <c r="AA345" s="175" t="str">
        <f>IF(AND(T_ROP!$C$356=$I$4,T_ROP!$L$356&lt;&gt;"CLEAN",T_ROP!$L$356&lt;&gt;""),COUNTIFS(T_ROP!$C$13:$C$356,$I$4,T_ROP!$L$13:$L$356,"&lt;&gt;CLEAN",T_ROP!$L$13:$L$356,"&lt;&gt;"),"")</f>
        <v/>
      </c>
    </row>
    <row r="346" spans="27:27" ht="15" customHeight="1" x14ac:dyDescent="0.3">
      <c r="AA346" s="175" t="str">
        <f>IF(AND(T_ROP!$C$357=$I$4,T_ROP!$L$357&lt;&gt;"CLEAN",T_ROP!$L$357&lt;&gt;""),COUNTIFS(T_ROP!$C$13:$C$357,$I$4,T_ROP!$L$13:$L$357,"&lt;&gt;CLEAN",T_ROP!$L$13:$L$357,"&lt;&gt;"),"")</f>
        <v/>
      </c>
    </row>
    <row r="347" spans="27:27" ht="15" customHeight="1" x14ac:dyDescent="0.3">
      <c r="AA347" s="175" t="str">
        <f>IF(AND(T_ROP!$C$358=$I$4,T_ROP!$L$358&lt;&gt;"CLEAN",T_ROP!$L$358&lt;&gt;""),COUNTIFS(T_ROP!$C$13:$C$358,$I$4,T_ROP!$L$13:$L$358,"&lt;&gt;CLEAN",T_ROP!$L$13:$L$358,"&lt;&gt;"),"")</f>
        <v/>
      </c>
    </row>
    <row r="348" spans="27:27" ht="15" customHeight="1" x14ac:dyDescent="0.3">
      <c r="AA348" s="175" t="str">
        <f>IF(AND(T_ROP!$C$359=$I$4,T_ROP!$L$359&lt;&gt;"CLEAN",T_ROP!$L$359&lt;&gt;""),COUNTIFS(T_ROP!$C$13:$C$359,$I$4,T_ROP!$L$13:$L$359,"&lt;&gt;CLEAN",T_ROP!$L$13:$L$359,"&lt;&gt;"),"")</f>
        <v/>
      </c>
    </row>
    <row r="349" spans="27:27" ht="15" customHeight="1" x14ac:dyDescent="0.3">
      <c r="AA349" s="175" t="str">
        <f>IF(AND(T_ROP!$C$360=$I$4,T_ROP!$L$360&lt;&gt;"CLEAN",T_ROP!$L$360&lt;&gt;""),COUNTIFS(T_ROP!$C$13:$C$360,$I$4,T_ROP!$L$13:$L$360,"&lt;&gt;CLEAN",T_ROP!$L$13:$L$360,"&lt;&gt;"),"")</f>
        <v/>
      </c>
    </row>
    <row r="350" spans="27:27" ht="15" customHeight="1" x14ac:dyDescent="0.3">
      <c r="AA350" s="175" t="str">
        <f>IF(AND(T_ROP!$C$361=$I$4,T_ROP!$L$361&lt;&gt;"CLEAN",T_ROP!$L$361&lt;&gt;""),COUNTIFS(T_ROP!$C$13:$C$361,$I$4,T_ROP!$L$13:$L$361,"&lt;&gt;CLEAN",T_ROP!$L$13:$L$361,"&lt;&gt;"),"")</f>
        <v/>
      </c>
    </row>
    <row r="351" spans="27:27" ht="15" customHeight="1" x14ac:dyDescent="0.3">
      <c r="AA351" s="175" t="str">
        <f>IF(AND(T_ROP!$C$362=$I$4,T_ROP!$L$362&lt;&gt;"CLEAN",T_ROP!$L$362&lt;&gt;""),COUNTIFS(T_ROP!$C$13:$C$362,$I$4,T_ROP!$L$13:$L$362,"&lt;&gt;CLEAN",T_ROP!$L$13:$L$362,"&lt;&gt;"),"")</f>
        <v/>
      </c>
    </row>
    <row r="352" spans="27:27" ht="15" customHeight="1" x14ac:dyDescent="0.3">
      <c r="AA352" s="175" t="str">
        <f>IF(AND(T_ROP!$C$363=$I$4,T_ROP!$L$363&lt;&gt;"CLEAN",T_ROP!$L$363&lt;&gt;""),COUNTIFS(T_ROP!$C$13:$C$363,$I$4,T_ROP!$L$13:$L$363,"&lt;&gt;CLEAN",T_ROP!$L$13:$L$363,"&lt;&gt;"),"")</f>
        <v/>
      </c>
    </row>
    <row r="353" spans="27:27" ht="15" customHeight="1" x14ac:dyDescent="0.3">
      <c r="AA353" s="175" t="str">
        <f>IF(AND(T_ROP!$C$364=$I$4,T_ROP!$L$364&lt;&gt;"CLEAN",T_ROP!$L$364&lt;&gt;""),COUNTIFS(T_ROP!$C$13:$C$364,$I$4,T_ROP!$L$13:$L$364,"&lt;&gt;CLEAN",T_ROP!$L$13:$L$364,"&lt;&gt;"),"")</f>
        <v/>
      </c>
    </row>
    <row r="354" spans="27:27" ht="15" customHeight="1" x14ac:dyDescent="0.3">
      <c r="AA354" s="175" t="str">
        <f>IF(AND(T_ROP!$C$365=$I$4,T_ROP!$L$365&lt;&gt;"CLEAN",T_ROP!$L$365&lt;&gt;""),COUNTIFS(T_ROP!$C$13:$C$365,$I$4,T_ROP!$L$13:$L$365,"&lt;&gt;CLEAN",T_ROP!$L$13:$L$365,"&lt;&gt;"),"")</f>
        <v/>
      </c>
    </row>
    <row r="355" spans="27:27" ht="15" customHeight="1" x14ac:dyDescent="0.3">
      <c r="AA355" s="175" t="str">
        <f>IF(AND(T_ROP!$C$366=$I$4,T_ROP!$L$366&lt;&gt;"CLEAN",T_ROP!$L$366&lt;&gt;""),COUNTIFS(T_ROP!$C$13:$C$366,$I$4,T_ROP!$L$13:$L$366,"&lt;&gt;CLEAN",T_ROP!$L$13:$L$366,"&lt;&gt;"),"")</f>
        <v/>
      </c>
    </row>
    <row r="356" spans="27:27" ht="15" customHeight="1" x14ac:dyDescent="0.3">
      <c r="AA356" s="175" t="str">
        <f>IF(AND(T_ROP!$C$367=$I$4,T_ROP!$L$367&lt;&gt;"CLEAN",T_ROP!$L$367&lt;&gt;""),COUNTIFS(T_ROP!$C$13:$C$367,$I$4,T_ROP!$L$13:$L$367,"&lt;&gt;CLEAN",T_ROP!$L$13:$L$367,"&lt;&gt;"),"")</f>
        <v/>
      </c>
    </row>
    <row r="357" spans="27:27" ht="15" customHeight="1" x14ac:dyDescent="0.3">
      <c r="AA357" s="175" t="str">
        <f>IF(AND(T_ROP!$C$368=$I$4,T_ROP!$L$368&lt;&gt;"CLEAN",T_ROP!$L$368&lt;&gt;""),COUNTIFS(T_ROP!$C$13:$C$368,$I$4,T_ROP!$L$13:$L$368,"&lt;&gt;CLEAN",T_ROP!$L$13:$L$368,"&lt;&gt;"),"")</f>
        <v/>
      </c>
    </row>
    <row r="358" spans="27:27" ht="15" customHeight="1" x14ac:dyDescent="0.3">
      <c r="AA358" s="175" t="str">
        <f>IF(AND(T_ROP!$C$369=$I$4,T_ROP!$L$369&lt;&gt;"CLEAN",T_ROP!$L$369&lt;&gt;""),COUNTIFS(T_ROP!$C$13:$C$369,$I$4,T_ROP!$L$13:$L$369,"&lt;&gt;CLEAN",T_ROP!$L$13:$L$369,"&lt;&gt;"),"")</f>
        <v/>
      </c>
    </row>
    <row r="359" spans="27:27" ht="15" customHeight="1" x14ac:dyDescent="0.3">
      <c r="AA359" s="175" t="str">
        <f>IF(AND(T_ROP!$C$370=$I$4,T_ROP!$L$370&lt;&gt;"CLEAN",T_ROP!$L$370&lt;&gt;""),COUNTIFS(T_ROP!$C$13:$C$370,$I$4,T_ROP!$L$13:$L$370,"&lt;&gt;CLEAN",T_ROP!$L$13:$L$370,"&lt;&gt;"),"")</f>
        <v/>
      </c>
    </row>
    <row r="360" spans="27:27" ht="15" customHeight="1" x14ac:dyDescent="0.3">
      <c r="AA360" s="175" t="str">
        <f>IF(AND(T_ROP!$C$371=$I$4,T_ROP!$L$371&lt;&gt;"CLEAN",T_ROP!$L$371&lt;&gt;""),COUNTIFS(T_ROP!$C$13:$C$371,$I$4,T_ROP!$L$13:$L$371,"&lt;&gt;CLEAN",T_ROP!$L$13:$L$371,"&lt;&gt;"),"")</f>
        <v/>
      </c>
    </row>
    <row r="361" spans="27:27" ht="15" customHeight="1" x14ac:dyDescent="0.3">
      <c r="AA361" s="175" t="str">
        <f>IF(AND(T_ROP!$C$372=$I$4,T_ROP!$L$372&lt;&gt;"CLEAN",T_ROP!$L$372&lt;&gt;""),COUNTIFS(T_ROP!$C$13:$C$372,$I$4,T_ROP!$L$13:$L$372,"&lt;&gt;CLEAN",T_ROP!$L$13:$L$372,"&lt;&gt;"),"")</f>
        <v/>
      </c>
    </row>
    <row r="362" spans="27:27" ht="15" customHeight="1" x14ac:dyDescent="0.3">
      <c r="AA362" s="175" t="str">
        <f>IF(AND(T_ROP!$C$373=$I$4,T_ROP!$L$373&lt;&gt;"CLEAN",T_ROP!$L$373&lt;&gt;""),COUNTIFS(T_ROP!$C$13:$C$373,$I$4,T_ROP!$L$13:$L$373,"&lt;&gt;CLEAN",T_ROP!$L$13:$L$373,"&lt;&gt;"),"")</f>
        <v/>
      </c>
    </row>
    <row r="363" spans="27:27" ht="15" customHeight="1" x14ac:dyDescent="0.3">
      <c r="AA363" s="175" t="str">
        <f>IF(AND(T_ROP!$C$374=$I$4,T_ROP!$L$374&lt;&gt;"CLEAN",T_ROP!$L$374&lt;&gt;""),COUNTIFS(T_ROP!$C$13:$C$374,$I$4,T_ROP!$L$13:$L$374,"&lt;&gt;CLEAN",T_ROP!$L$13:$L$374,"&lt;&gt;"),"")</f>
        <v/>
      </c>
    </row>
    <row r="364" spans="27:27" ht="15" customHeight="1" x14ac:dyDescent="0.3">
      <c r="AA364" s="175" t="str">
        <f>IF(AND(T_ROP!$C$375=$I$4,T_ROP!$L$375&lt;&gt;"CLEAN",T_ROP!$L$375&lt;&gt;""),COUNTIFS(T_ROP!$C$13:$C$375,$I$4,T_ROP!$L$13:$L$375,"&lt;&gt;CLEAN",T_ROP!$L$13:$L$375,"&lt;&gt;"),"")</f>
        <v/>
      </c>
    </row>
    <row r="365" spans="27:27" ht="15" customHeight="1" x14ac:dyDescent="0.3">
      <c r="AA365" s="175" t="str">
        <f>IF(AND(T_ROP!$C$376=$I$4,T_ROP!$L$376&lt;&gt;"CLEAN",T_ROP!$L$376&lt;&gt;""),COUNTIFS(T_ROP!$C$13:$C$376,$I$4,T_ROP!$L$13:$L$376,"&lt;&gt;CLEAN",T_ROP!$L$13:$L$376,"&lt;&gt;"),"")</f>
        <v/>
      </c>
    </row>
    <row r="366" spans="27:27" ht="15" customHeight="1" x14ac:dyDescent="0.3">
      <c r="AA366" s="175" t="str">
        <f>IF(AND(T_ROP!$C$377=$I$4,T_ROP!$L$377&lt;&gt;"CLEAN",T_ROP!$L$377&lt;&gt;""),COUNTIFS(T_ROP!$C$13:$C$377,$I$4,T_ROP!$L$13:$L$377,"&lt;&gt;CLEAN",T_ROP!$L$13:$L$377,"&lt;&gt;"),"")</f>
        <v/>
      </c>
    </row>
    <row r="367" spans="27:27" ht="15" customHeight="1" x14ac:dyDescent="0.3">
      <c r="AA367" s="175" t="str">
        <f>IF(AND(T_ROP!$C$378=$I$4,T_ROP!$L$378&lt;&gt;"CLEAN",T_ROP!$L$378&lt;&gt;""),COUNTIFS(T_ROP!$C$13:$C$378,$I$4,T_ROP!$L$13:$L$378,"&lt;&gt;CLEAN",T_ROP!$L$13:$L$378,"&lt;&gt;"),"")</f>
        <v/>
      </c>
    </row>
    <row r="368" spans="27:27" ht="15" customHeight="1" x14ac:dyDescent="0.3">
      <c r="AA368" s="175" t="str">
        <f>IF(AND(T_ROP!$C$379=$I$4,T_ROP!$L$379&lt;&gt;"CLEAN",T_ROP!$L$379&lt;&gt;""),COUNTIFS(T_ROP!$C$13:$C$379,$I$4,T_ROP!$L$13:$L$379,"&lt;&gt;CLEAN",T_ROP!$L$13:$L$379,"&lt;&gt;"),"")</f>
        <v/>
      </c>
    </row>
    <row r="369" spans="27:27" ht="15" customHeight="1" x14ac:dyDescent="0.3">
      <c r="AA369" s="175" t="str">
        <f>IF(AND(T_ROP!$C$380=$I$4,T_ROP!$L$380&lt;&gt;"CLEAN",T_ROP!$L$380&lt;&gt;""),COUNTIFS(T_ROP!$C$13:$C$380,$I$4,T_ROP!$L$13:$L$380,"&lt;&gt;CLEAN",T_ROP!$L$13:$L$380,"&lt;&gt;"),"")</f>
        <v/>
      </c>
    </row>
    <row r="370" spans="27:27" ht="15" customHeight="1" x14ac:dyDescent="0.3">
      <c r="AA370" s="175" t="str">
        <f>IF(AND(T_ROP!$C$381=$I$4,T_ROP!$L$381&lt;&gt;"CLEAN",T_ROP!$L$381&lt;&gt;""),COUNTIFS(T_ROP!$C$13:$C$381,$I$4,T_ROP!$L$13:$L$381,"&lt;&gt;CLEAN",T_ROP!$L$13:$L$381,"&lt;&gt;"),"")</f>
        <v/>
      </c>
    </row>
    <row r="371" spans="27:27" ht="15" customHeight="1" x14ac:dyDescent="0.3">
      <c r="AA371" s="175" t="str">
        <f>IF(AND(T_ROP!$C$382=$I$4,T_ROP!$L$382&lt;&gt;"CLEAN",T_ROP!$L$382&lt;&gt;""),COUNTIFS(T_ROP!$C$13:$C$382,$I$4,T_ROP!$L$13:$L$382,"&lt;&gt;CLEAN",T_ROP!$L$13:$L$382,"&lt;&gt;"),"")</f>
        <v/>
      </c>
    </row>
    <row r="372" spans="27:27" ht="15" customHeight="1" x14ac:dyDescent="0.3">
      <c r="AA372" s="175" t="str">
        <f>IF(AND(T_ROP!$C$383=$I$4,T_ROP!$L$383&lt;&gt;"CLEAN",T_ROP!$L$383&lt;&gt;""),COUNTIFS(T_ROP!$C$13:$C$383,$I$4,T_ROP!$L$13:$L$383,"&lt;&gt;CLEAN",T_ROP!$L$13:$L$383,"&lt;&gt;"),"")</f>
        <v/>
      </c>
    </row>
    <row r="373" spans="27:27" ht="15" customHeight="1" x14ac:dyDescent="0.3">
      <c r="AA373" s="175" t="str">
        <f>IF(AND(T_ROP!$C$384=$I$4,T_ROP!$L$384&lt;&gt;"CLEAN",T_ROP!$L$384&lt;&gt;""),COUNTIFS(T_ROP!$C$13:$C$384,$I$4,T_ROP!$L$13:$L$384,"&lt;&gt;CLEAN",T_ROP!$L$13:$L$384,"&lt;&gt;"),"")</f>
        <v/>
      </c>
    </row>
    <row r="374" spans="27:27" ht="15" customHeight="1" x14ac:dyDescent="0.3">
      <c r="AA374" s="175" t="str">
        <f>IF(AND(T_ROP!$C$385=$I$4,T_ROP!$L$385&lt;&gt;"CLEAN",T_ROP!$L$385&lt;&gt;""),COUNTIFS(T_ROP!$C$13:$C$385,$I$4,T_ROP!$L$13:$L$385,"&lt;&gt;CLEAN",T_ROP!$L$13:$L$385,"&lt;&gt;"),"")</f>
        <v/>
      </c>
    </row>
    <row r="375" spans="27:27" ht="15" customHeight="1" x14ac:dyDescent="0.3">
      <c r="AA375" s="175" t="str">
        <f>IF(AND(T_ROP!$C$386=$I$4,T_ROP!$L$386&lt;&gt;"CLEAN",T_ROP!$L$386&lt;&gt;""),COUNTIFS(T_ROP!$C$13:$C$386,$I$4,T_ROP!$L$13:$L$386,"&lt;&gt;CLEAN",T_ROP!$L$13:$L$386,"&lt;&gt;"),"")</f>
        <v/>
      </c>
    </row>
    <row r="376" spans="27:27" ht="15" customHeight="1" x14ac:dyDescent="0.3">
      <c r="AA376" s="175" t="str">
        <f>IF(AND(T_ROP!$C$387=$I$4,T_ROP!$L$387&lt;&gt;"CLEAN",T_ROP!$L$387&lt;&gt;""),COUNTIFS(T_ROP!$C$13:$C$387,$I$4,T_ROP!$L$13:$L$387,"&lt;&gt;CLEAN",T_ROP!$L$13:$L$387,"&lt;&gt;"),"")</f>
        <v/>
      </c>
    </row>
    <row r="377" spans="27:27" ht="15" customHeight="1" x14ac:dyDescent="0.3">
      <c r="AA377" s="175" t="str">
        <f>IF(AND(T_ROP!$C$388=$I$4,T_ROP!$L$388&lt;&gt;"CLEAN",T_ROP!$L$388&lt;&gt;""),COUNTIFS(T_ROP!$C$13:$C$388,$I$4,T_ROP!$L$13:$L$388,"&lt;&gt;CLEAN",T_ROP!$L$13:$L$388,"&lt;&gt;"),"")</f>
        <v/>
      </c>
    </row>
    <row r="378" spans="27:27" ht="15" customHeight="1" x14ac:dyDescent="0.3">
      <c r="AA378" s="175" t="str">
        <f>IF(AND(T_ROP!$C$389=$I$4,T_ROP!$L$389&lt;&gt;"CLEAN",T_ROP!$L$389&lt;&gt;""),COUNTIFS(T_ROP!$C$13:$C$389,$I$4,T_ROP!$L$13:$L$389,"&lt;&gt;CLEAN",T_ROP!$L$13:$L$389,"&lt;&gt;"),"")</f>
        <v/>
      </c>
    </row>
    <row r="379" spans="27:27" ht="15" customHeight="1" x14ac:dyDescent="0.3">
      <c r="AA379" s="175" t="str">
        <f>IF(AND(T_ROP!$C$390=$I$4,T_ROP!$L$390&lt;&gt;"CLEAN",T_ROP!$L$390&lt;&gt;""),COUNTIFS(T_ROP!$C$13:$C$390,$I$4,T_ROP!$L$13:$L$390,"&lt;&gt;CLEAN",T_ROP!$L$13:$L$390,"&lt;&gt;"),"")</f>
        <v/>
      </c>
    </row>
    <row r="380" spans="27:27" ht="15" customHeight="1" x14ac:dyDescent="0.3">
      <c r="AA380" s="175" t="str">
        <f>IF(AND(T_ROP!$C$391=$I$4,T_ROP!$L$391&lt;&gt;"CLEAN",T_ROP!$L$391&lt;&gt;""),COUNTIFS(T_ROP!$C$13:$C$391,$I$4,T_ROP!$L$13:$L$391,"&lt;&gt;CLEAN",T_ROP!$L$13:$L$391,"&lt;&gt;"),"")</f>
        <v/>
      </c>
    </row>
    <row r="381" spans="27:27" ht="15" customHeight="1" x14ac:dyDescent="0.3">
      <c r="AA381" s="175" t="str">
        <f>IF(AND(T_ROP!$C$392=$I$4,T_ROP!$L$392&lt;&gt;"CLEAN",T_ROP!$L$392&lt;&gt;""),COUNTIFS(T_ROP!$C$13:$C$392,$I$4,T_ROP!$L$13:$L$392,"&lt;&gt;CLEAN",T_ROP!$L$13:$L$392,"&lt;&gt;"),"")</f>
        <v/>
      </c>
    </row>
    <row r="382" spans="27:27" ht="15" customHeight="1" x14ac:dyDescent="0.3">
      <c r="AA382" s="175" t="str">
        <f>IF(AND(T_ROP!$C$393=$I$4,T_ROP!$L$393&lt;&gt;"CLEAN",T_ROP!$L$393&lt;&gt;""),COUNTIFS(T_ROP!$C$13:$C$393,$I$4,T_ROP!$L$13:$L$393,"&lt;&gt;CLEAN",T_ROP!$L$13:$L$393,"&lt;&gt;"),"")</f>
        <v/>
      </c>
    </row>
    <row r="383" spans="27:27" ht="15" customHeight="1" x14ac:dyDescent="0.3">
      <c r="AA383" s="175" t="str">
        <f>IF(AND(T_ROP!$C$394=$I$4,T_ROP!$L$394&lt;&gt;"CLEAN",T_ROP!$L$394&lt;&gt;""),COUNTIFS(T_ROP!$C$13:$C$394,$I$4,T_ROP!$L$13:$L$394,"&lt;&gt;CLEAN",T_ROP!$L$13:$L$394,"&lt;&gt;"),"")</f>
        <v/>
      </c>
    </row>
    <row r="384" spans="27:27" ht="15" customHeight="1" x14ac:dyDescent="0.3">
      <c r="AA384" s="175" t="str">
        <f>IF(AND(T_ROP!$C$395=$I$4,T_ROP!$L$395&lt;&gt;"CLEAN",T_ROP!$L$395&lt;&gt;""),COUNTIFS(T_ROP!$C$13:$C$395,$I$4,T_ROP!$L$13:$L$395,"&lt;&gt;CLEAN",T_ROP!$L$13:$L$395,"&lt;&gt;"),"")</f>
        <v/>
      </c>
    </row>
    <row r="385" spans="27:27" ht="15" customHeight="1" x14ac:dyDescent="0.3">
      <c r="AA385" s="175" t="str">
        <f>IF(AND(T_ROP!$C$396=$I$4,T_ROP!$L$396&lt;&gt;"CLEAN",T_ROP!$L$396&lt;&gt;""),COUNTIFS(T_ROP!$C$13:$C$396,$I$4,T_ROP!$L$13:$L$396,"&lt;&gt;CLEAN",T_ROP!$L$13:$L$396,"&lt;&gt;"),"")</f>
        <v/>
      </c>
    </row>
    <row r="386" spans="27:27" ht="15" customHeight="1" x14ac:dyDescent="0.3">
      <c r="AA386" s="175" t="str">
        <f>IF(AND(T_ROP!$C$397=$I$4,T_ROP!$L$397&lt;&gt;"CLEAN",T_ROP!$L$397&lt;&gt;""),COUNTIFS(T_ROP!$C$13:$C$397,$I$4,T_ROP!$L$13:$L$397,"&lt;&gt;CLEAN",T_ROP!$L$13:$L$397,"&lt;&gt;"),"")</f>
        <v/>
      </c>
    </row>
    <row r="387" spans="27:27" ht="15" customHeight="1" x14ac:dyDescent="0.3">
      <c r="AA387" s="175" t="str">
        <f>IF(AND(T_ROP!$C$398=$I$4,T_ROP!$L$398&lt;&gt;"CLEAN",T_ROP!$L$398&lt;&gt;""),COUNTIFS(T_ROP!$C$13:$C$398,$I$4,T_ROP!$L$13:$L$398,"&lt;&gt;CLEAN",T_ROP!$L$13:$L$398,"&lt;&gt;"),"")</f>
        <v/>
      </c>
    </row>
    <row r="388" spans="27:27" ht="15" customHeight="1" x14ac:dyDescent="0.3">
      <c r="AA388" s="175" t="str">
        <f>IF(AND(T_ROP!$C$399=$I$4,T_ROP!$L$399&lt;&gt;"CLEAN",T_ROP!$L$399&lt;&gt;""),COUNTIFS(T_ROP!$C$13:$C$399,$I$4,T_ROP!$L$13:$L$399,"&lt;&gt;CLEAN",T_ROP!$L$13:$L$399,"&lt;&gt;"),"")</f>
        <v/>
      </c>
    </row>
    <row r="389" spans="27:27" ht="15" customHeight="1" x14ac:dyDescent="0.3">
      <c r="AA389" s="175" t="str">
        <f>IF(AND(T_ROP!$C$400=$I$4,T_ROP!$L$400&lt;&gt;"CLEAN",T_ROP!$L$400&lt;&gt;""),COUNTIFS(T_ROP!$C$13:$C$400,$I$4,T_ROP!$L$13:$L$400,"&lt;&gt;CLEAN",T_ROP!$L$13:$L$400,"&lt;&gt;"),"")</f>
        <v/>
      </c>
    </row>
    <row r="390" spans="27:27" ht="15" customHeight="1" x14ac:dyDescent="0.3">
      <c r="AA390" s="175" t="str">
        <f>IF(AND(T_ROP!$C$401=$I$4,T_ROP!$L$401&lt;&gt;"CLEAN",T_ROP!$L$401&lt;&gt;""),COUNTIFS(T_ROP!$C$13:$C$401,$I$4,T_ROP!$L$13:$L$401,"&lt;&gt;CLEAN",T_ROP!$L$13:$L$401,"&lt;&gt;"),"")</f>
        <v/>
      </c>
    </row>
    <row r="391" spans="27:27" ht="15" customHeight="1" x14ac:dyDescent="0.3">
      <c r="AA391" s="175" t="str">
        <f>IF(AND(T_ROP!$C$402=$I$4,T_ROP!$L$402&lt;&gt;"CLEAN",T_ROP!$L$402&lt;&gt;""),COUNTIFS(T_ROP!$C$13:$C$402,$I$4,T_ROP!$L$13:$L$402,"&lt;&gt;CLEAN",T_ROP!$L$13:$L$402,"&lt;&gt;"),"")</f>
        <v/>
      </c>
    </row>
    <row r="392" spans="27:27" ht="15" customHeight="1" x14ac:dyDescent="0.3">
      <c r="AA392" s="175" t="str">
        <f>IF(AND(T_ROP!$C$403=$I$4,T_ROP!$L$403&lt;&gt;"CLEAN",T_ROP!$L$403&lt;&gt;""),COUNTIFS(T_ROP!$C$13:$C$403,$I$4,T_ROP!$L$13:$L$403,"&lt;&gt;CLEAN",T_ROP!$L$13:$L$403,"&lt;&gt;"),"")</f>
        <v/>
      </c>
    </row>
    <row r="393" spans="27:27" ht="15" customHeight="1" x14ac:dyDescent="0.3">
      <c r="AA393" s="175" t="str">
        <f>IF(AND(T_ROP!$C$404=$I$4,T_ROP!$L$404&lt;&gt;"CLEAN",T_ROP!$L$404&lt;&gt;""),COUNTIFS(T_ROP!$C$13:$C$404,$I$4,T_ROP!$L$13:$L$404,"&lt;&gt;CLEAN",T_ROP!$L$13:$L$404,"&lt;&gt;"),"")</f>
        <v/>
      </c>
    </row>
    <row r="394" spans="27:27" ht="15" customHeight="1" x14ac:dyDescent="0.3">
      <c r="AA394" s="175" t="str">
        <f>IF(AND(T_ROP!$C$405=$I$4,T_ROP!$L$405&lt;&gt;"CLEAN",T_ROP!$L$405&lt;&gt;""),COUNTIFS(T_ROP!$C$13:$C$405,$I$4,T_ROP!$L$13:$L$405,"&lt;&gt;CLEAN",T_ROP!$L$13:$L$405,"&lt;&gt;"),"")</f>
        <v/>
      </c>
    </row>
    <row r="395" spans="27:27" ht="15" customHeight="1" x14ac:dyDescent="0.3">
      <c r="AA395" s="175" t="str">
        <f>IF(AND(T_ROP!$C$406=$I$4,T_ROP!$L$406&lt;&gt;"CLEAN",T_ROP!$L$406&lt;&gt;""),COUNTIFS(T_ROP!$C$13:$C$406,$I$4,T_ROP!$L$13:$L$406,"&lt;&gt;CLEAN",T_ROP!$L$13:$L$406,"&lt;&gt;"),"")</f>
        <v/>
      </c>
    </row>
    <row r="396" spans="27:27" ht="15" customHeight="1" x14ac:dyDescent="0.3">
      <c r="AA396" s="175" t="str">
        <f>IF(AND(T_ROP!$C$407=$I$4,T_ROP!$L$407&lt;&gt;"CLEAN",T_ROP!$L$407&lt;&gt;""),COUNTIFS(T_ROP!$C$13:$C$407,$I$4,T_ROP!$L$13:$L$407,"&lt;&gt;CLEAN",T_ROP!$L$13:$L$407,"&lt;&gt;"),"")</f>
        <v/>
      </c>
    </row>
    <row r="397" spans="27:27" ht="15" customHeight="1" x14ac:dyDescent="0.3">
      <c r="AA397" s="175" t="str">
        <f>IF(AND(T_ROP!$C$408=$I$4,T_ROP!$L$408&lt;&gt;"CLEAN",T_ROP!$L$408&lt;&gt;""),COUNTIFS(T_ROP!$C$13:$C$408,$I$4,T_ROP!$L$13:$L$408,"&lt;&gt;CLEAN",T_ROP!$L$13:$L$408,"&lt;&gt;"),"")</f>
        <v/>
      </c>
    </row>
    <row r="398" spans="27:27" ht="15" customHeight="1" x14ac:dyDescent="0.3">
      <c r="AA398" s="175" t="str">
        <f>IF(AND(T_ROP!$C$409=$I$4,T_ROP!$L$409&lt;&gt;"CLEAN",T_ROP!$L$409&lt;&gt;""),COUNTIFS(T_ROP!$C$13:$C$409,$I$4,T_ROP!$L$13:$L$409,"&lt;&gt;CLEAN",T_ROP!$L$13:$L$409,"&lt;&gt;"),"")</f>
        <v/>
      </c>
    </row>
    <row r="399" spans="27:27" ht="15" customHeight="1" x14ac:dyDescent="0.3">
      <c r="AA399" s="175" t="str">
        <f>IF(AND(T_ROP!$C$410=$I$4,T_ROP!$L$410&lt;&gt;"CLEAN",T_ROP!$L$410&lt;&gt;""),COUNTIFS(T_ROP!$C$13:$C$410,$I$4,T_ROP!$L$13:$L$410,"&lt;&gt;CLEAN",T_ROP!$L$13:$L$410,"&lt;&gt;"),"")</f>
        <v/>
      </c>
    </row>
    <row r="400" spans="27:27" ht="15" customHeight="1" x14ac:dyDescent="0.3">
      <c r="AA400" s="175" t="str">
        <f>IF(AND(T_ROP!$C$411=$I$4,T_ROP!$L$411&lt;&gt;"CLEAN",T_ROP!$L$411&lt;&gt;""),COUNTIFS(T_ROP!$C$13:$C$411,$I$4,T_ROP!$L$13:$L$411,"&lt;&gt;CLEAN",T_ROP!$L$13:$L$411,"&lt;&gt;"),"")</f>
        <v/>
      </c>
    </row>
    <row r="401" spans="27:27" ht="15" customHeight="1" x14ac:dyDescent="0.3">
      <c r="AA401" s="175" t="str">
        <f>IF(AND(T_ROP!$C$412=$I$4,T_ROP!$L$412&lt;&gt;"CLEAN",T_ROP!$L$412&lt;&gt;""),COUNTIFS(T_ROP!$C$13:$C$412,$I$4,T_ROP!$L$13:$L$412,"&lt;&gt;CLEAN",T_ROP!$L$13:$L$412,"&lt;&gt;"),"")</f>
        <v/>
      </c>
    </row>
    <row r="402" spans="27:27" ht="15" customHeight="1" x14ac:dyDescent="0.3">
      <c r="AA402" s="175" t="str">
        <f>IF(AND(T_ROP!$C$413=$I$4,T_ROP!$L$413&lt;&gt;"CLEAN",T_ROP!$L$413&lt;&gt;""),COUNTIFS(T_ROP!$C$13:$C$413,$I$4,T_ROP!$L$13:$L$413,"&lt;&gt;CLEAN",T_ROP!$L$13:$L$413,"&lt;&gt;"),"")</f>
        <v/>
      </c>
    </row>
    <row r="403" spans="27:27" ht="15" customHeight="1" x14ac:dyDescent="0.3">
      <c r="AA403" s="175" t="str">
        <f>IF(AND(T_ROP!$C$414=$I$4,T_ROP!$L$414&lt;&gt;"CLEAN",T_ROP!$L$414&lt;&gt;""),COUNTIFS(T_ROP!$C$13:$C$414,$I$4,T_ROP!$L$13:$L$414,"&lt;&gt;CLEAN",T_ROP!$L$13:$L$414,"&lt;&gt;"),"")</f>
        <v/>
      </c>
    </row>
    <row r="404" spans="27:27" ht="15" customHeight="1" x14ac:dyDescent="0.3">
      <c r="AA404" s="175" t="str">
        <f>IF(AND(T_ROP!$C$415=$I$4,T_ROP!$L$415&lt;&gt;"CLEAN",T_ROP!$L$415&lt;&gt;""),COUNTIFS(T_ROP!$C$13:$C$415,$I$4,T_ROP!$L$13:$L$415,"&lt;&gt;CLEAN",T_ROP!$L$13:$L$415,"&lt;&gt;"),"")</f>
        <v/>
      </c>
    </row>
    <row r="405" spans="27:27" ht="15" customHeight="1" x14ac:dyDescent="0.3">
      <c r="AA405" s="175" t="str">
        <f>IF(AND(T_ROP!$C$416=$I$4,T_ROP!$L$416&lt;&gt;"CLEAN",T_ROP!$L$416&lt;&gt;""),COUNTIFS(T_ROP!$C$13:$C$416,$I$4,T_ROP!$L$13:$L$416,"&lt;&gt;CLEAN",T_ROP!$L$13:$L$416,"&lt;&gt;"),"")</f>
        <v/>
      </c>
    </row>
    <row r="406" spans="27:27" ht="15" customHeight="1" x14ac:dyDescent="0.3">
      <c r="AA406" s="175" t="str">
        <f>IF(AND(T_ROP!$C$417=$I$4,T_ROP!$L$417&lt;&gt;"CLEAN",T_ROP!$L$417&lt;&gt;""),COUNTIFS(T_ROP!$C$13:$C$417,$I$4,T_ROP!$L$13:$L$417,"&lt;&gt;CLEAN",T_ROP!$L$13:$L$417,"&lt;&gt;"),"")</f>
        <v/>
      </c>
    </row>
    <row r="407" spans="27:27" ht="15" customHeight="1" x14ac:dyDescent="0.3">
      <c r="AA407" s="175" t="str">
        <f>IF(AND(T_ROP!$C$418=$I$4,T_ROP!$L$418&lt;&gt;"CLEAN",T_ROP!$L$418&lt;&gt;""),COUNTIFS(T_ROP!$C$13:$C$418,$I$4,T_ROP!$L$13:$L$418,"&lt;&gt;CLEAN",T_ROP!$L$13:$L$418,"&lt;&gt;"),"")</f>
        <v/>
      </c>
    </row>
    <row r="408" spans="27:27" ht="15" customHeight="1" x14ac:dyDescent="0.3">
      <c r="AA408" s="175" t="str">
        <f>IF(AND(T_ROP!$C$419=$I$4,T_ROP!$L$419&lt;&gt;"CLEAN",T_ROP!$L$419&lt;&gt;""),COUNTIFS(T_ROP!$C$13:$C$419,$I$4,T_ROP!$L$13:$L$419,"&lt;&gt;CLEAN",T_ROP!$L$13:$L$419,"&lt;&gt;"),"")</f>
        <v/>
      </c>
    </row>
    <row r="409" spans="27:27" ht="15" customHeight="1" x14ac:dyDescent="0.3">
      <c r="AA409" s="175" t="str">
        <f>IF(AND(T_ROP!$C$420=$I$4,T_ROP!$L$420&lt;&gt;"CLEAN",T_ROP!$L$420&lt;&gt;""),COUNTIFS(T_ROP!$C$13:$C$420,$I$4,T_ROP!$L$13:$L$420,"&lt;&gt;CLEAN",T_ROP!$L$13:$L$420,"&lt;&gt;"),"")</f>
        <v/>
      </c>
    </row>
    <row r="410" spans="27:27" ht="15" customHeight="1" x14ac:dyDescent="0.3">
      <c r="AA410" s="175" t="str">
        <f>IF(AND(T_ROP!$C$421=$I$4,T_ROP!$L$421&lt;&gt;"CLEAN",T_ROP!$L$421&lt;&gt;""),COUNTIFS(T_ROP!$C$13:$C$421,$I$4,T_ROP!$L$13:$L$421,"&lt;&gt;CLEAN",T_ROP!$L$13:$L$421,"&lt;&gt;"),"")</f>
        <v/>
      </c>
    </row>
    <row r="411" spans="27:27" ht="15" customHeight="1" x14ac:dyDescent="0.3">
      <c r="AA411" s="175" t="str">
        <f>IF(AND(T_ROP!$C$422=$I$4,T_ROP!$L$422&lt;&gt;"CLEAN",T_ROP!$L$422&lt;&gt;""),COUNTIFS(T_ROP!$C$13:$C$422,$I$4,T_ROP!$L$13:$L$422,"&lt;&gt;CLEAN",T_ROP!$L$13:$L$422,"&lt;&gt;"),"")</f>
        <v/>
      </c>
    </row>
    <row r="412" spans="27:27" ht="15" customHeight="1" x14ac:dyDescent="0.3">
      <c r="AA412" s="175" t="str">
        <f>IF(AND(T_ROP!$C$423=$I$4,T_ROP!$L$423&lt;&gt;"CLEAN",T_ROP!$L$423&lt;&gt;""),COUNTIFS(T_ROP!$C$13:$C$423,$I$4,T_ROP!$L$13:$L$423,"&lt;&gt;CLEAN",T_ROP!$L$13:$L$423,"&lt;&gt;"),"")</f>
        <v/>
      </c>
    </row>
    <row r="413" spans="27:27" ht="15" customHeight="1" x14ac:dyDescent="0.3">
      <c r="AA413" s="175" t="str">
        <f>IF(AND(T_ROP!$C$424=$I$4,T_ROP!$L$424&lt;&gt;"CLEAN",T_ROP!$L$424&lt;&gt;""),COUNTIFS(T_ROP!$C$13:$C$424,$I$4,T_ROP!$L$13:$L$424,"&lt;&gt;CLEAN",T_ROP!$L$13:$L$424,"&lt;&gt;"),"")</f>
        <v/>
      </c>
    </row>
    <row r="414" spans="27:27" ht="15" customHeight="1" x14ac:dyDescent="0.3">
      <c r="AA414" s="175" t="str">
        <f>IF(AND(T_ROP!$C$425=$I$4,T_ROP!$L$425&lt;&gt;"CLEAN",T_ROP!$L$425&lt;&gt;""),COUNTIFS(T_ROP!$C$13:$C$425,$I$4,T_ROP!$L$13:$L$425,"&lt;&gt;CLEAN",T_ROP!$L$13:$L$425,"&lt;&gt;"),"")</f>
        <v/>
      </c>
    </row>
    <row r="415" spans="27:27" ht="15" customHeight="1" x14ac:dyDescent="0.3">
      <c r="AA415" s="175" t="str">
        <f>IF(AND(T_ROP!$C$426=$I$4,T_ROP!$L$426&lt;&gt;"CLEAN",T_ROP!$L$426&lt;&gt;""),COUNTIFS(T_ROP!$C$13:$C$426,$I$4,T_ROP!$L$13:$L$426,"&lt;&gt;CLEAN",T_ROP!$L$13:$L$426,"&lt;&gt;"),"")</f>
        <v/>
      </c>
    </row>
    <row r="416" spans="27:27" ht="15" customHeight="1" x14ac:dyDescent="0.3">
      <c r="AA416" s="175" t="str">
        <f>IF(AND(T_ROP!$C$427=$I$4,T_ROP!$L$427&lt;&gt;"CLEAN",T_ROP!$L$427&lt;&gt;""),COUNTIFS(T_ROP!$C$13:$C$427,$I$4,T_ROP!$L$13:$L$427,"&lt;&gt;CLEAN",T_ROP!$L$13:$L$427,"&lt;&gt;"),"")</f>
        <v/>
      </c>
    </row>
    <row r="417" spans="27:27" ht="15" customHeight="1" x14ac:dyDescent="0.3">
      <c r="AA417" s="175" t="str">
        <f>IF(AND(T_ROP!$C$428=$I$4,T_ROP!$L$428&lt;&gt;"CLEAN",T_ROP!$L$428&lt;&gt;""),COUNTIFS(T_ROP!$C$13:$C$428,$I$4,T_ROP!$L$13:$L$428,"&lt;&gt;CLEAN",T_ROP!$L$13:$L$428,"&lt;&gt;"),"")</f>
        <v/>
      </c>
    </row>
    <row r="418" spans="27:27" ht="15" customHeight="1" x14ac:dyDescent="0.3">
      <c r="AA418" s="175" t="str">
        <f>IF(AND(T_ROP!$C$429=$I$4,T_ROP!$L$429&lt;&gt;"CLEAN",T_ROP!$L$429&lt;&gt;""),COUNTIFS(T_ROP!$C$13:$C$429,$I$4,T_ROP!$L$13:$L$429,"&lt;&gt;CLEAN",T_ROP!$L$13:$L$429,"&lt;&gt;"),"")</f>
        <v/>
      </c>
    </row>
    <row r="419" spans="27:27" ht="15" customHeight="1" x14ac:dyDescent="0.3">
      <c r="AA419" s="175" t="str">
        <f>IF(AND(T_ROP!$C$430=$I$4,T_ROP!$L$430&lt;&gt;"CLEAN",T_ROP!$L$430&lt;&gt;""),COUNTIFS(T_ROP!$C$13:$C$430,$I$4,T_ROP!$L$13:$L$430,"&lt;&gt;CLEAN",T_ROP!$L$13:$L$430,"&lt;&gt;"),"")</f>
        <v/>
      </c>
    </row>
    <row r="420" spans="27:27" ht="15" customHeight="1" x14ac:dyDescent="0.3">
      <c r="AA420" s="175" t="str">
        <f>IF(AND(T_ROP!$C$431=$I$4,T_ROP!$L$431&lt;&gt;"CLEAN",T_ROP!$L$431&lt;&gt;""),COUNTIFS(T_ROP!$C$13:$C$431,$I$4,T_ROP!$L$13:$L$431,"&lt;&gt;CLEAN",T_ROP!$L$13:$L$431,"&lt;&gt;"),"")</f>
        <v/>
      </c>
    </row>
    <row r="421" spans="27:27" ht="15" customHeight="1" x14ac:dyDescent="0.3">
      <c r="AA421" s="175" t="str">
        <f>IF(AND(T_ROP!$C$432=$I$4,T_ROP!$L$432&lt;&gt;"CLEAN",T_ROP!$L$432&lt;&gt;""),COUNTIFS(T_ROP!$C$13:$C$432,$I$4,T_ROP!$L$13:$L$432,"&lt;&gt;CLEAN",T_ROP!$L$13:$L$432,"&lt;&gt;"),"")</f>
        <v/>
      </c>
    </row>
    <row r="422" spans="27:27" ht="15" customHeight="1" x14ac:dyDescent="0.3">
      <c r="AA422" s="175" t="str">
        <f>IF(AND(T_ROP!$C$433=$I$4,T_ROP!$L$433&lt;&gt;"CLEAN",T_ROP!$L$433&lt;&gt;""),COUNTIFS(T_ROP!$C$13:$C$433,$I$4,T_ROP!$L$13:$L$433,"&lt;&gt;CLEAN",T_ROP!$L$13:$L$433,"&lt;&gt;"),"")</f>
        <v/>
      </c>
    </row>
    <row r="423" spans="27:27" ht="15" customHeight="1" x14ac:dyDescent="0.3">
      <c r="AA423" s="175" t="str">
        <f>IF(AND(T_ROP!$C$434=$I$4,T_ROP!$L$434&lt;&gt;"CLEAN",T_ROP!$L$434&lt;&gt;""),COUNTIFS(T_ROP!$C$13:$C$434,$I$4,T_ROP!$L$13:$L$434,"&lt;&gt;CLEAN",T_ROP!$L$13:$L$434,"&lt;&gt;"),"")</f>
        <v/>
      </c>
    </row>
    <row r="424" spans="27:27" ht="15" customHeight="1" x14ac:dyDescent="0.3">
      <c r="AA424" s="175" t="str">
        <f>IF(AND(T_ROP!$C$435=$I$4,T_ROP!$L$435&lt;&gt;"CLEAN",T_ROP!$L$435&lt;&gt;""),COUNTIFS(T_ROP!$C$13:$C$435,$I$4,T_ROP!$L$13:$L$435,"&lt;&gt;CLEAN",T_ROP!$L$13:$L$435,"&lt;&gt;"),"")</f>
        <v/>
      </c>
    </row>
    <row r="425" spans="27:27" ht="15" customHeight="1" x14ac:dyDescent="0.3">
      <c r="AA425" s="175" t="str">
        <f>IF(AND(T_ROP!$C$436=$I$4,T_ROP!$L$436&lt;&gt;"CLEAN",T_ROP!$L$436&lt;&gt;""),COUNTIFS(T_ROP!$C$13:$C$436,$I$4,T_ROP!$L$13:$L$436,"&lt;&gt;CLEAN",T_ROP!$L$13:$L$436,"&lt;&gt;"),"")</f>
        <v/>
      </c>
    </row>
  </sheetData>
  <mergeCells count="25">
    <mergeCell ref="B80:E80"/>
    <mergeCell ref="G80:J80"/>
    <mergeCell ref="A83:J83"/>
    <mergeCell ref="A84:J84"/>
    <mergeCell ref="C73:H73"/>
    <mergeCell ref="I73:J73"/>
    <mergeCell ref="A76:J76"/>
    <mergeCell ref="B78:E78"/>
    <mergeCell ref="G78:J78"/>
    <mergeCell ref="A60:J60"/>
    <mergeCell ref="A70:J70"/>
    <mergeCell ref="C71:H71"/>
    <mergeCell ref="I71:J71"/>
    <mergeCell ref="C72:H72"/>
    <mergeCell ref="I72:J72"/>
    <mergeCell ref="B7:E7"/>
    <mergeCell ref="G7:H7"/>
    <mergeCell ref="B8:E8"/>
    <mergeCell ref="G8:H8"/>
    <mergeCell ref="A11:J11"/>
    <mergeCell ref="A1:J1"/>
    <mergeCell ref="A2:J2"/>
    <mergeCell ref="B4:E4"/>
    <mergeCell ref="B6:E6"/>
    <mergeCell ref="G6:H6"/>
  </mergeCells>
  <conditionalFormatting sqref="A13:J57">
    <cfRule type="expression" dxfId="20" priority="2">
      <formula>AND($C13=0,ISNUMBER($C13))</formula>
    </cfRule>
  </conditionalFormatting>
  <conditionalFormatting sqref="G13:G57">
    <cfRule type="cellIs" dxfId="19" priority="3" operator="greaterThan">
      <formula>0.0001</formula>
    </cfRule>
    <cfRule type="cellIs" dxfId="18" priority="4" operator="lessThan">
      <formula>-0.0001</formula>
    </cfRule>
  </conditionalFormatting>
  <conditionalFormatting sqref="G87:G116">
    <cfRule type="cellIs" dxfId="17" priority="10" operator="greaterThan">
      <formula>0.0001</formula>
    </cfRule>
    <cfRule type="cellIs" dxfId="16" priority="11" operator="lessThan">
      <formula>-0.0001</formula>
    </cfRule>
  </conditionalFormatting>
  <conditionalFormatting sqref="I87:I116">
    <cfRule type="cellIs" dxfId="15" priority="8" operator="equal">
      <formula>"YES"</formula>
    </cfRule>
    <cfRule type="cellIs" dxfId="14" priority="9" operator="equal">
      <formula>"NO"</formula>
    </cfRule>
  </conditionalFormatting>
  <conditionalFormatting sqref="J13:J57">
    <cfRule type="cellIs" dxfId="13" priority="5" operator="equal">
      <formula>"Default Outlet Posting"</formula>
    </cfRule>
    <cfRule type="cellIs" dxfId="12" priority="6" operator="equal">
      <formula>"Unload Adjustment"</formula>
    </cfRule>
    <cfRule type="cellIs" dxfId="11" priority="7" operator="equal">
      <formula>"CLEAN"</formula>
    </cfRule>
  </conditionalFormatting>
  <dataValidations count="1">
    <dataValidation type="list" errorTitle="Invalid Selection" error="Pick a valid salesman from the dropdown." promptTitle="Salesman Selector" prompt="Select a salesman to populate this sheet" sqref="B4:E4" xr:uid="{00000000-0002-0000-0D00-000000000000}">
      <formula1>$N$2:$N$19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portrait" horizontalDpi="300" verticalDpi="300"/>
  <rowBreaks count="1" manualBreakCount="1">
    <brk id="8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52"/>
  <sheetViews>
    <sheetView showGridLines="0" topLeftCell="A31" zoomScaleNormal="100" workbookViewId="0">
      <selection activeCell="A46" sqref="A46:J46"/>
    </sheetView>
  </sheetViews>
  <sheetFormatPr defaultColWidth="8.6640625" defaultRowHeight="14.4" x14ac:dyDescent="0.3"/>
  <cols>
    <col min="1" max="1" width="8" customWidth="1"/>
    <col min="2" max="3" width="24" customWidth="1"/>
    <col min="4" max="10" width="13" customWidth="1"/>
  </cols>
  <sheetData>
    <row r="1" spans="1:10" ht="31.5" customHeight="1" x14ac:dyDescent="0.3">
      <c r="A1" s="349" t="s">
        <v>3717</v>
      </c>
      <c r="B1" s="349"/>
      <c r="C1" s="349"/>
      <c r="D1" s="349"/>
      <c r="E1" s="349"/>
      <c r="F1" s="349"/>
      <c r="G1" s="349"/>
      <c r="H1" s="349"/>
      <c r="I1" s="349"/>
      <c r="J1" s="349"/>
    </row>
    <row r="2" spans="1:10" ht="15" customHeight="1" x14ac:dyDescent="0.3">
      <c r="A2" s="350" t="s">
        <v>3718</v>
      </c>
      <c r="B2" s="350"/>
      <c r="C2" s="350"/>
      <c r="D2" s="350"/>
      <c r="E2" s="350"/>
      <c r="F2" s="350"/>
      <c r="G2" s="350"/>
      <c r="H2" s="350"/>
      <c r="I2" s="350"/>
      <c r="J2" s="350"/>
    </row>
    <row r="3" spans="1:10" ht="15" customHeight="1" x14ac:dyDescent="0.3">
      <c r="A3" s="178" t="s">
        <v>3719</v>
      </c>
      <c r="B3" s="151">
        <f ca="1">TODAY()</f>
        <v>46206</v>
      </c>
    </row>
    <row r="5" spans="1:10" ht="21.75" customHeight="1" x14ac:dyDescent="0.3">
      <c r="A5" s="356" t="s">
        <v>3720</v>
      </c>
      <c r="B5" s="356"/>
      <c r="C5" s="356"/>
      <c r="D5" s="356"/>
      <c r="E5" s="356"/>
      <c r="F5" s="356"/>
      <c r="G5" s="356"/>
      <c r="H5" s="356"/>
      <c r="I5" s="356"/>
      <c r="J5" s="356"/>
    </row>
    <row r="6" spans="1:10" ht="21.75" customHeight="1" x14ac:dyDescent="0.3">
      <c r="A6" s="329" t="s">
        <v>3721</v>
      </c>
      <c r="B6" s="329"/>
      <c r="C6" s="329"/>
      <c r="D6" s="367" t="s">
        <v>3722</v>
      </c>
      <c r="E6" s="367"/>
      <c r="F6" s="367" t="s">
        <v>3723</v>
      </c>
      <c r="G6" s="367"/>
      <c r="H6" s="337" t="s">
        <v>3625</v>
      </c>
      <c r="I6" s="337"/>
      <c r="J6" s="337"/>
    </row>
    <row r="7" spans="1:10" ht="48" customHeight="1" x14ac:dyDescent="0.3">
      <c r="A7" s="368">
        <f>SUM(T_DefaultOutletPosting!$N$9:$N$111)</f>
        <v>263742.49584426585</v>
      </c>
      <c r="B7" s="368"/>
      <c r="C7" s="368"/>
      <c r="D7" s="369">
        <f>SUMIF(T_ROP!$L$13:$L$436,"Adjust Unload Upward",T_ROP!$N$13:$N$436)</f>
        <v>36.596089527841428</v>
      </c>
      <c r="E7" s="369"/>
      <c r="F7" s="370">
        <f ca="1">COUNTIF(T_VarianceReasons!$O$9:$O$240,"PENDING")+COUNTIF(T_VarianceReasons!$O$9:$O$240,"BREACHED")</f>
        <v>163</v>
      </c>
      <c r="G7" s="370"/>
      <c r="H7" s="371">
        <f ca="1">COUNTIF(T_VarianceReasons!$O$9:$O$240,"BREACHED")</f>
        <v>163</v>
      </c>
      <c r="I7" s="371"/>
      <c r="J7" s="371"/>
    </row>
    <row r="8" spans="1:10" ht="18" customHeight="1" x14ac:dyDescent="0.3">
      <c r="A8" s="343" t="s">
        <v>3724</v>
      </c>
      <c r="B8" s="343"/>
      <c r="C8" s="343"/>
      <c r="D8" s="327" t="s">
        <v>3725</v>
      </c>
      <c r="E8" s="327"/>
      <c r="F8" s="327" t="s">
        <v>3726</v>
      </c>
      <c r="G8" s="327"/>
      <c r="H8" s="347" t="s">
        <v>3727</v>
      </c>
      <c r="I8" s="347"/>
      <c r="J8" s="347"/>
    </row>
    <row r="11" spans="1:10" ht="21.75" customHeight="1" x14ac:dyDescent="0.3">
      <c r="A11" s="372" t="s">
        <v>3728</v>
      </c>
      <c r="B11" s="372"/>
      <c r="C11" s="372"/>
      <c r="D11" s="372"/>
      <c r="E11" s="372"/>
      <c r="F11" s="372"/>
      <c r="G11" s="372"/>
      <c r="H11" s="372"/>
      <c r="I11" s="372"/>
      <c r="J11" s="372"/>
    </row>
    <row r="12" spans="1:10" ht="31.5" customHeight="1" x14ac:dyDescent="0.3">
      <c r="A12" s="179" t="s">
        <v>1875</v>
      </c>
      <c r="B12" s="179" t="s">
        <v>3729</v>
      </c>
      <c r="C12" s="179" t="s">
        <v>3730</v>
      </c>
      <c r="D12" s="179" t="s">
        <v>3731</v>
      </c>
      <c r="E12" s="179" t="s">
        <v>3732</v>
      </c>
      <c r="F12" s="179" t="s">
        <v>3733</v>
      </c>
      <c r="G12" s="179" t="s">
        <v>3734</v>
      </c>
      <c r="H12" s="179" t="s">
        <v>3735</v>
      </c>
      <c r="I12" s="179" t="s">
        <v>3736</v>
      </c>
      <c r="J12" s="179" t="s">
        <v>3625</v>
      </c>
    </row>
    <row r="13" spans="1:10" ht="15" customHeight="1" x14ac:dyDescent="0.3">
      <c r="A13" s="211" t="s">
        <v>146</v>
      </c>
      <c r="B13" s="195">
        <f>COUNTIF(T_ROP!$E$13:$E$436,"MOS")</f>
        <v>362</v>
      </c>
      <c r="C13" s="212">
        <f>COUNTIFS(T_ROP!$E$13:$E$436,"MOS",T_ROP!$L$13:$L$436,"Post to Default Outlet")</f>
        <v>103</v>
      </c>
      <c r="D13" s="212">
        <f>SUMIFS(T_DefaultOutletPosting!$N$9:$N$111,T_DefaultOutletPosting!$F$9:$F$111,"MOS")</f>
        <v>263742.49584426585</v>
      </c>
      <c r="E13" s="213">
        <f>COUNTIFS(T_ROP!$E$13:$E$436,"MOS",T_ROP!$L$13:$L$436,"Adjust Unload Upward")</f>
        <v>105</v>
      </c>
      <c r="F13" s="214">
        <f>SUMIFS(T_ROP!$N$13:$N$436,T_ROP!$E$13:$E$436,"MOS")</f>
        <v>36.596089527841428</v>
      </c>
      <c r="G13" s="215">
        <f>COUNTIFS(T_ROP!$E$13:$E$436,"MOS",T_ROP!$L$13:$L$436,"CLEAN")</f>
        <v>154</v>
      </c>
      <c r="H13" s="216">
        <f>COUNTIFS(T_ROP!$E$13:$E$436,"MOS",T_ROP!$L$13:$L$436,"Awaiting Force-Push")</f>
        <v>0</v>
      </c>
      <c r="I13" s="215">
        <f ca="1">SUMPRODUCT((LEFT(T_VarianceReasons!$D$9:$D$240,3)="MOS")*(T_VarianceReasons!$O$9:$O$240="Within SLA"))</f>
        <v>69</v>
      </c>
      <c r="J13" s="212">
        <f ca="1">SUMPRODUCT((LEFT(T_VarianceReasons!$D$9:$D$240,3)="MOS")*(T_VarianceReasons!$O$9:$O$240="BREACHED"))</f>
        <v>163</v>
      </c>
    </row>
    <row r="14" spans="1:10" ht="15" customHeight="1" x14ac:dyDescent="0.3">
      <c r="A14" s="217" t="s">
        <v>76</v>
      </c>
      <c r="B14" s="218">
        <f>COUNTIF(T_ROP!$E$13:$E$436,"DAR")</f>
        <v>5</v>
      </c>
      <c r="C14" s="219">
        <f>COUNTIFS(T_ROP!$E$13:$E$436,"DAR",T_ROP!$L$13:$L$436,"Post to Default Outlet")</f>
        <v>0</v>
      </c>
      <c r="D14" s="219">
        <f>SUMIFS(T_DefaultOutletPosting!$N$9:$N$111,T_DefaultOutletPosting!$F$9:$F$111,"DAR")</f>
        <v>0</v>
      </c>
      <c r="E14" s="220">
        <f>COUNTIFS(T_ROP!$E$13:$E$436,"DAR",T_ROP!$L$13:$L$436,"Adjust Unload Upward")</f>
        <v>0</v>
      </c>
      <c r="F14" s="221">
        <f>SUMIFS(T_ROP!$N$13:$N$436,T_ROP!$E$13:$E$436,"DAR")</f>
        <v>0</v>
      </c>
      <c r="G14" s="222">
        <f>COUNTIFS(T_ROP!$E$13:$E$436,"DAR",T_ROP!$L$13:$L$436,"CLEAN")</f>
        <v>5</v>
      </c>
      <c r="H14" s="223">
        <f>COUNTIFS(T_ROP!$E$13:$E$436,"DAR",T_ROP!$L$13:$L$436,"Awaiting Force-Push")</f>
        <v>0</v>
      </c>
      <c r="I14" s="222">
        <f ca="1">SUMPRODUCT((LEFT(T_VarianceReasons!$D$9:$D$240,3)="DSM")*(T_VarianceReasons!$O$9:$O$240="Within SLA"))</f>
        <v>0</v>
      </c>
      <c r="J14" s="219">
        <f ca="1">SUMPRODUCT((LEFT(T_VarianceReasons!$D$9:$D$240,3)="DSM")*(T_VarianceReasons!$O$9:$O$240="BREACHED"))</f>
        <v>0</v>
      </c>
    </row>
    <row r="15" spans="1:10" ht="15" customHeight="1" x14ac:dyDescent="0.3">
      <c r="A15" s="211" t="s">
        <v>141</v>
      </c>
      <c r="B15" s="195">
        <f>COUNTIF(T_ROP!$E$13:$E$436,"ARS")</f>
        <v>33</v>
      </c>
      <c r="C15" s="212">
        <f>COUNTIFS(T_ROP!$E$13:$E$436,"ARS",T_ROP!$L$13:$L$436,"Post to Default Outlet")</f>
        <v>0</v>
      </c>
      <c r="D15" s="212">
        <f>SUMIFS(T_DefaultOutletPosting!$N$9:$N$111,T_DefaultOutletPosting!$F$9:$F$111,"ARS")</f>
        <v>0</v>
      </c>
      <c r="E15" s="213">
        <f>COUNTIFS(T_ROP!$E$13:$E$436,"ARS",T_ROP!$L$13:$L$436,"Adjust Unload Upward")</f>
        <v>0</v>
      </c>
      <c r="F15" s="214">
        <f>SUMIFS(T_ROP!$N$13:$N$436,T_ROP!$E$13:$E$436,"ARS")</f>
        <v>0</v>
      </c>
      <c r="G15" s="215">
        <f>COUNTIFS(T_ROP!$E$13:$E$436,"ARS",T_ROP!$L$13:$L$436,"CLEAN")</f>
        <v>33</v>
      </c>
      <c r="H15" s="216">
        <f>COUNTIFS(T_ROP!$E$13:$E$436,"ARS",T_ROP!$L$13:$L$436,"Awaiting Force-Push")</f>
        <v>0</v>
      </c>
      <c r="I15" s="215">
        <f ca="1">SUMPRODUCT((LEFT(T_VarianceReasons!$D$9:$D$240,3)="ARS")*(T_VarianceReasons!$O$9:$O$240="Within SLA"))</f>
        <v>0</v>
      </c>
      <c r="J15" s="212">
        <f ca="1">SUMPRODUCT((LEFT(T_VarianceReasons!$D$9:$D$240,3)="ARS")*(T_VarianceReasons!$O$9:$O$240="BREACHED"))</f>
        <v>0</v>
      </c>
    </row>
    <row r="16" spans="1:10" ht="15" customHeight="1" x14ac:dyDescent="0.3">
      <c r="A16" s="224" t="s">
        <v>3737</v>
      </c>
      <c r="B16" s="225">
        <f>COUNTIF(T_ROP!$E$13:$E$436,"UNMAPPED")</f>
        <v>24</v>
      </c>
      <c r="C16" s="226">
        <f>COUNTIFS(T_ROP!$E$13:$E$436,"UNMAPPED",T_ROP!$L$13:$L$436,"Post to Default Outlet")</f>
        <v>0</v>
      </c>
      <c r="D16" s="226">
        <f>SUMIFS(T_DefaultOutletPosting!$N$9:$N$111,T_DefaultOutletPosting!$F$9:$F$111,"UNMAPPED")</f>
        <v>0</v>
      </c>
      <c r="E16" s="227">
        <f>COUNTIFS(T_ROP!$E$13:$E$436,"UNMAPPED",T_ROP!$L$13:$L$436,"Adjust Unload Upward")</f>
        <v>0</v>
      </c>
      <c r="F16" s="228">
        <f>SUMIFS(T_ROP!$N$13:$N$436,T_ROP!$E$13:$E$436,"UNMAPPED")</f>
        <v>0</v>
      </c>
      <c r="G16" s="229">
        <f>COUNTIFS(T_ROP!$E$13:$E$436,"UNMAPPED",T_ROP!$L$13:$L$436,"CLEAN")</f>
        <v>0</v>
      </c>
      <c r="H16" s="230">
        <f>COUNTIFS(T_ROP!$E$13:$E$436,"UNMAPPED",T_ROP!$L$13:$L$436,"Awaiting Force-Push")</f>
        <v>24</v>
      </c>
      <c r="I16" s="229">
        <f ca="1">COUNTIFS(T_VarianceReasons!$D$9:$D$240,"MOS100801",T_VarianceReasons!$O$9:$O$240,"Within SLA")</f>
        <v>2</v>
      </c>
      <c r="J16" s="226">
        <f ca="1">COUNTIFS(T_VarianceReasons!$D$9:$D$240,"MOS100801",T_VarianceReasons!$O$9:$O$240,"BREACHED")</f>
        <v>22</v>
      </c>
    </row>
    <row r="17" spans="1:10" ht="15" customHeight="1" x14ac:dyDescent="0.3">
      <c r="A17" s="231" t="s">
        <v>3738</v>
      </c>
      <c r="B17" s="232">
        <f t="shared" ref="B17:J17" si="0">SUM(B13:B16)</f>
        <v>424</v>
      </c>
      <c r="C17" s="232">
        <f t="shared" si="0"/>
        <v>103</v>
      </c>
      <c r="D17" s="232">
        <f t="shared" si="0"/>
        <v>263742.49584426585</v>
      </c>
      <c r="E17" s="232">
        <f t="shared" si="0"/>
        <v>105</v>
      </c>
      <c r="F17" s="233">
        <f t="shared" si="0"/>
        <v>36.596089527841428</v>
      </c>
      <c r="G17" s="232">
        <f t="shared" si="0"/>
        <v>192</v>
      </c>
      <c r="H17" s="232">
        <f t="shared" si="0"/>
        <v>24</v>
      </c>
      <c r="I17" s="232">
        <f t="shared" ca="1" si="0"/>
        <v>71</v>
      </c>
      <c r="J17" s="232">
        <f t="shared" ca="1" si="0"/>
        <v>185</v>
      </c>
    </row>
    <row r="19" spans="1:10" ht="21.75" customHeight="1" x14ac:dyDescent="0.3">
      <c r="A19" s="373"/>
      <c r="B19" s="373"/>
      <c r="C19" s="373"/>
      <c r="D19" s="373"/>
      <c r="E19" s="373"/>
      <c r="F19" s="373"/>
      <c r="G19" s="373"/>
      <c r="H19" s="373"/>
      <c r="I19" s="373"/>
      <c r="J19" s="373"/>
    </row>
    <row r="20" spans="1:10" ht="31.5" customHeight="1" x14ac:dyDescent="0.3">
      <c r="A20" s="152" t="s">
        <v>3739</v>
      </c>
    </row>
    <row r="21" spans="1:10" ht="15" customHeight="1" x14ac:dyDescent="0.3">
      <c r="A21" s="153" t="s">
        <v>3740</v>
      </c>
      <c r="B21" s="153" t="s">
        <v>315</v>
      </c>
      <c r="C21" s="153" t="s">
        <v>307</v>
      </c>
      <c r="D21" s="153" t="s">
        <v>1875</v>
      </c>
      <c r="E21" s="153" t="s">
        <v>3741</v>
      </c>
      <c r="F21" s="153" t="s">
        <v>3731</v>
      </c>
      <c r="G21" s="153" t="s">
        <v>3742</v>
      </c>
      <c r="H21" s="153" t="s">
        <v>3733</v>
      </c>
      <c r="I21" s="153" t="s">
        <v>3736</v>
      </c>
      <c r="J21" s="153" t="s">
        <v>3625</v>
      </c>
    </row>
    <row r="22" spans="1:10" ht="15" customHeight="1" x14ac:dyDescent="0.3">
      <c r="A22" s="234">
        <f t="shared" ref="A22:A39" si="1">RANK(F22,$F$22:$F$39,0)</f>
        <v>11</v>
      </c>
      <c r="B22" s="135" t="str">
        <f>IFERROR(INDEX(M_User!$A$12:$J$67,MATCH("MOS100823",M_User!$D$12:$D$67,0),3),"Alice Jonathan Mfuru")</f>
        <v>Alice Jonathan Mfuru</v>
      </c>
      <c r="C22" s="235" t="s">
        <v>401</v>
      </c>
      <c r="D22" s="236" t="str">
        <f>IFERROR(INDEX(M_User!$A$12:$J$67,MATCH("MOS100823",M_User!$D$12:$D$67,0),5),"-")</f>
        <v>MOS</v>
      </c>
      <c r="E22" s="212">
        <f>COUNTIFS(T_ROP!$C$13:$C$436,"MOS100823",T_ROP!$L$13:$L$436,"Post to Default Outlet")</f>
        <v>4</v>
      </c>
      <c r="F22" s="212">
        <f>SUMIF(T_DefaultOutletPosting!$D$9:$D$111,"MOS100823",T_DefaultOutletPosting!$N$9:$N$111)</f>
        <v>155.45229106711173</v>
      </c>
      <c r="G22" s="213">
        <f>COUNTIFS(T_ROP!$C$13:$C$436,"MOS100823",T_ROP!$L$13:$L$436,"Adjust Unload Upward")</f>
        <v>4</v>
      </c>
      <c r="H22" s="214">
        <f>SUMIFS(T_ROP!$N$13:$N$436,T_ROP!$C$13:$C$436,"MOS100823")</f>
        <v>4.8606279156016008E-3</v>
      </c>
      <c r="I22" s="215">
        <f ca="1">COUNTIFS(T_VarianceReasons!$D$9:$D$240,"MOS100823",T_VarianceReasons!$O$9:$O$240,"Within SLA")</f>
        <v>4</v>
      </c>
      <c r="J22" s="212">
        <f ca="1">COUNTIFS(T_VarianceReasons!$D$9:$D$240,"MOS100823",T_VarianceReasons!$O$9:$O$240,"BREACHED")</f>
        <v>4</v>
      </c>
    </row>
    <row r="23" spans="1:10" ht="15" customHeight="1" x14ac:dyDescent="0.3">
      <c r="A23" s="237">
        <f t="shared" si="1"/>
        <v>4</v>
      </c>
      <c r="B23" s="156" t="str">
        <f>IFERROR(INDEX(M_User!$A$12:$J$67,MATCH("MOS100180",M_User!$D$12:$D$67,0),3),"Deodat Francis Materu")</f>
        <v>Deodat Francis Materu</v>
      </c>
      <c r="C23" s="238" t="s">
        <v>421</v>
      </c>
      <c r="D23" s="239" t="str">
        <f>IFERROR(INDEX(M_User!$A$12:$J$67,MATCH("MOS100180",M_User!$D$12:$D$67,0),5),"-")</f>
        <v>MOS</v>
      </c>
      <c r="E23" s="240">
        <f>COUNTIFS(T_ROP!$C$13:$C$436,"MOS100180",T_ROP!$L$13:$L$436,"Post to Default Outlet")</f>
        <v>10</v>
      </c>
      <c r="F23" s="240">
        <f>SUMIF(T_DefaultOutletPosting!$D$9:$D$111,"MOS100180",T_DefaultOutletPosting!$N$9:$N$111)</f>
        <v>267.13581896425012</v>
      </c>
      <c r="G23" s="241">
        <f>COUNTIFS(T_ROP!$C$13:$C$436,"MOS100180",T_ROP!$L$13:$L$436,"Adjust Unload Upward")</f>
        <v>3</v>
      </c>
      <c r="H23" s="242">
        <f>SUMIFS(T_ROP!$N$13:$N$436,T_ROP!$C$13:$C$436,"MOS100180")</f>
        <v>8.5483253684492944E-3</v>
      </c>
      <c r="I23" s="243">
        <f ca="1">COUNTIFS(T_VarianceReasons!$D$9:$D$240,"MOS100180",T_VarianceReasons!$O$9:$O$240,"Within SLA")</f>
        <v>4</v>
      </c>
      <c r="J23" s="240">
        <f ca="1">COUNTIFS(T_VarianceReasons!$D$9:$D$240,"MOS100180",T_VarianceReasons!$O$9:$O$240,"BREACHED")</f>
        <v>9</v>
      </c>
    </row>
    <row r="24" spans="1:10" ht="15" customHeight="1" x14ac:dyDescent="0.3">
      <c r="A24" s="234">
        <f t="shared" si="1"/>
        <v>15</v>
      </c>
      <c r="B24" s="135" t="str">
        <f>IFERROR(INDEX(M_User!$A$12:$J$67,MATCH("ARS000069",M_User!$D$12:$D$67,0),3),"Doglas E. Shirima")</f>
        <v>Doglas E. Shirima</v>
      </c>
      <c r="C24" s="235" t="s">
        <v>320</v>
      </c>
      <c r="D24" s="236" t="str">
        <f>IFERROR(INDEX(M_User!$A$12:$J$67,MATCH("ARS000069",M_User!$D$12:$D$67,0),5),"-")</f>
        <v>ARS</v>
      </c>
      <c r="E24" s="212">
        <f>COUNTIFS(T_ROP!$C$13:$C$436,"ARS000069",T_ROP!$L$13:$L$436,"Post to Default Outlet")</f>
        <v>0</v>
      </c>
      <c r="F24" s="212">
        <f>SUMIF(T_DefaultOutletPosting!$D$9:$D$111,"ARS000069",T_DefaultOutletPosting!$N$9:$N$111)</f>
        <v>0</v>
      </c>
      <c r="G24" s="213">
        <f>COUNTIFS(T_ROP!$C$13:$C$436,"ARS000069",T_ROP!$L$13:$L$436,"Adjust Unload Upward")</f>
        <v>0</v>
      </c>
      <c r="H24" s="214">
        <f>SUMIFS(T_ROP!$N$13:$N$436,T_ROP!$C$13:$C$436,"ARS000069")</f>
        <v>0</v>
      </c>
      <c r="I24" s="215">
        <f>COUNTIFS(T_VarianceReasons!$D$9:$D$240,"ARS000069",T_VarianceReasons!$O$9:$O$240,"Within SLA")</f>
        <v>0</v>
      </c>
      <c r="J24" s="212">
        <f>COUNTIFS(T_VarianceReasons!$D$9:$D$240,"ARS000069",T_VarianceReasons!$O$9:$O$240,"BREACHED")</f>
        <v>0</v>
      </c>
    </row>
    <row r="25" spans="1:10" ht="15" customHeight="1" x14ac:dyDescent="0.3">
      <c r="A25" s="237">
        <f t="shared" si="1"/>
        <v>12</v>
      </c>
      <c r="B25" s="156" t="str">
        <f>IFERROR(INDEX(M_User!$A$12:$J$67,MATCH("MOS100209",M_User!$D$12:$D$67,0),3),"Erick K. Mkama")</f>
        <v>Erick K. Mkama</v>
      </c>
      <c r="C25" s="238" t="s">
        <v>339</v>
      </c>
      <c r="D25" s="239" t="str">
        <f>IFERROR(INDEX(M_User!$A$12:$J$67,MATCH("MOS100209",M_User!$D$12:$D$67,0),5),"-")</f>
        <v>MOS</v>
      </c>
      <c r="E25" s="240">
        <f>COUNTIFS(T_ROP!$C$13:$C$436,"MOS100209",T_ROP!$L$13:$L$436,"Post to Default Outlet")</f>
        <v>6</v>
      </c>
      <c r="F25" s="240">
        <f>SUMIF(T_DefaultOutletPosting!$D$9:$D$111,"MOS100209",T_DefaultOutletPosting!$N$9:$N$111)</f>
        <v>141.63703053964366</v>
      </c>
      <c r="G25" s="241">
        <f>COUNTIFS(T_ROP!$C$13:$C$436,"MOS100209",T_ROP!$L$13:$L$436,"Adjust Unload Upward")</f>
        <v>7</v>
      </c>
      <c r="H25" s="242">
        <f>SUMIFS(T_ROP!$N$13:$N$436,T_ROP!$C$13:$C$436,"MOS100209")</f>
        <v>1.2220283064107412E-2</v>
      </c>
      <c r="I25" s="243">
        <f ca="1">COUNTIFS(T_VarianceReasons!$D$9:$D$240,"MOS100209",T_VarianceReasons!$O$9:$O$240,"Within SLA")</f>
        <v>4</v>
      </c>
      <c r="J25" s="240">
        <f ca="1">COUNTIFS(T_VarianceReasons!$D$9:$D$240,"MOS100209",T_VarianceReasons!$O$9:$O$240,"BREACHED")</f>
        <v>9</v>
      </c>
    </row>
    <row r="26" spans="1:10" ht="15" customHeight="1" x14ac:dyDescent="0.3">
      <c r="A26" s="234">
        <f t="shared" si="1"/>
        <v>6</v>
      </c>
      <c r="B26" s="135" t="str">
        <f>IFERROR(INDEX(M_User!$A$12:$J$67,MATCH("MOS100624",M_User!$D$12:$D$67,0),3),"Gastory S Msaki")</f>
        <v>Gastory S Msaki</v>
      </c>
      <c r="C26" s="235" t="s">
        <v>384</v>
      </c>
      <c r="D26" s="236" t="str">
        <f>IFERROR(INDEX(M_User!$A$12:$J$67,MATCH("MOS100624",M_User!$D$12:$D$67,0),5),"-")</f>
        <v>MOS</v>
      </c>
      <c r="E26" s="212">
        <f>COUNTIFS(T_ROP!$C$13:$C$436,"MOS100624",T_ROP!$L$13:$L$436,"Post to Default Outlet")</f>
        <v>7</v>
      </c>
      <c r="F26" s="212">
        <f>SUMIF(T_DefaultOutletPosting!$D$9:$D$111,"MOS100624",T_DefaultOutletPosting!$N$9:$N$111)</f>
        <v>211.51486671880843</v>
      </c>
      <c r="G26" s="213">
        <f>COUNTIFS(T_ROP!$C$13:$C$436,"MOS100624",T_ROP!$L$13:$L$436,"Adjust Unload Upward")</f>
        <v>6</v>
      </c>
      <c r="H26" s="214">
        <f>SUMIFS(T_ROP!$N$13:$N$436,T_ROP!$C$13:$C$436,"MOS100624")</f>
        <v>1.2280649246730946E-2</v>
      </c>
      <c r="I26" s="215">
        <f ca="1">COUNTIFS(T_VarianceReasons!$D$9:$D$240,"MOS100624",T_VarianceReasons!$O$9:$O$240,"Within SLA")</f>
        <v>3</v>
      </c>
      <c r="J26" s="212">
        <f ca="1">COUNTIFS(T_VarianceReasons!$D$9:$D$240,"MOS100624",T_VarianceReasons!$O$9:$O$240,"BREACHED")</f>
        <v>10</v>
      </c>
    </row>
    <row r="27" spans="1:10" ht="15" customHeight="1" x14ac:dyDescent="0.3">
      <c r="A27" s="237">
        <f t="shared" si="1"/>
        <v>9</v>
      </c>
      <c r="B27" s="156" t="str">
        <f>IFERROR(INDEX(M_User!$A$12:$J$67,MATCH("MOS100200",M_User!$D$12:$D$67,0),3),"George Gibson Mmary")</f>
        <v>George Gibson Mmary</v>
      </c>
      <c r="C27" s="238" t="s">
        <v>336</v>
      </c>
      <c r="D27" s="239" t="str">
        <f>IFERROR(INDEX(M_User!$A$12:$J$67,MATCH("MOS100200",M_User!$D$12:$D$67,0),5),"-")</f>
        <v>MOS</v>
      </c>
      <c r="E27" s="240">
        <f>COUNTIFS(T_ROP!$C$13:$C$436,"MOS100200",T_ROP!$L$13:$L$436,"Post to Default Outlet")</f>
        <v>7</v>
      </c>
      <c r="F27" s="240">
        <f>SUMIF(T_DefaultOutletPosting!$D$9:$D$111,"MOS100200",T_DefaultOutletPosting!$N$9:$N$111)</f>
        <v>170.27778622075635</v>
      </c>
      <c r="G27" s="241">
        <f>COUNTIFS(T_ROP!$C$13:$C$436,"MOS100200",T_ROP!$L$13:$L$436,"Adjust Unload Upward")</f>
        <v>5</v>
      </c>
      <c r="H27" s="242">
        <f>SUMIFS(T_ROP!$N$13:$N$436,T_ROP!$C$13:$C$436,"MOS100200")</f>
        <v>1.4858613307104751E-2</v>
      </c>
      <c r="I27" s="243">
        <f ca="1">COUNTIFS(T_VarianceReasons!$D$9:$D$240,"MOS100200",T_VarianceReasons!$O$9:$O$240,"Within SLA")</f>
        <v>6</v>
      </c>
      <c r="J27" s="240">
        <f ca="1">COUNTIFS(T_VarianceReasons!$D$9:$D$240,"MOS100200",T_VarianceReasons!$O$9:$O$240,"BREACHED")</f>
        <v>6</v>
      </c>
    </row>
    <row r="28" spans="1:10" ht="15" customHeight="1" x14ac:dyDescent="0.3">
      <c r="A28" s="234">
        <f t="shared" si="1"/>
        <v>15</v>
      </c>
      <c r="B28" s="135" t="str">
        <f>IFERROR(INDEX(M_User!$A$12:$J$67,MATCH("MOS100801",M_User!$D$12:$D$67,0),3),"James Tegemea Ndosi")</f>
        <v>James Tegemea Ndosi</v>
      </c>
      <c r="C28" s="235" t="s">
        <v>562</v>
      </c>
      <c r="D28" s="236" t="str">
        <f>IFERROR(INDEX(M_User!$A$12:$J$67,MATCH("MOS100801",M_User!$D$12:$D$67,0),5),"-")</f>
        <v>-</v>
      </c>
      <c r="E28" s="212">
        <f>COUNTIFS(T_ROP!$C$13:$C$436,"MOS100801",T_ROP!$L$13:$L$436,"Post to Default Outlet")</f>
        <v>0</v>
      </c>
      <c r="F28" s="212">
        <f>SUMIF(T_DefaultOutletPosting!$D$9:$D$111,"MOS100801",T_DefaultOutletPosting!$N$9:$N$111)</f>
        <v>0</v>
      </c>
      <c r="G28" s="213">
        <f>COUNTIFS(T_ROP!$C$13:$C$436,"MOS100801",T_ROP!$L$13:$L$436,"Adjust Unload Upward")</f>
        <v>0</v>
      </c>
      <c r="H28" s="214">
        <f>SUMIFS(T_ROP!$N$13:$N$436,T_ROP!$C$13:$C$436,"MOS100801")</f>
        <v>0</v>
      </c>
      <c r="I28" s="215">
        <f ca="1">COUNTIFS(T_VarianceReasons!$D$9:$D$240,"MOS100801",T_VarianceReasons!$O$9:$O$240,"Within SLA")</f>
        <v>2</v>
      </c>
      <c r="J28" s="212">
        <f ca="1">COUNTIFS(T_VarianceReasons!$D$9:$D$240,"MOS100801",T_VarianceReasons!$O$9:$O$240,"BREACHED")</f>
        <v>22</v>
      </c>
    </row>
    <row r="29" spans="1:10" ht="15" customHeight="1" x14ac:dyDescent="0.3">
      <c r="A29" s="237">
        <f t="shared" si="1"/>
        <v>14</v>
      </c>
      <c r="B29" s="156" t="str">
        <f>IFERROR(INDEX(M_User!$A$12:$J$67,MATCH("MOS100501",M_User!$D$12:$D$67,0),3),"Jonas Steven Michael")</f>
        <v>Jonas Steven Michael</v>
      </c>
      <c r="C29" s="238" t="s">
        <v>412</v>
      </c>
      <c r="D29" s="239" t="str">
        <f>IFERROR(INDEX(M_User!$A$12:$J$67,MATCH("MOS100501",M_User!$D$12:$D$67,0),5),"-")</f>
        <v>MOS</v>
      </c>
      <c r="E29" s="240">
        <f>COUNTIFS(T_ROP!$C$13:$C$436,"MOS100501",T_ROP!$L$13:$L$436,"Post to Default Outlet")</f>
        <v>1</v>
      </c>
      <c r="F29" s="240">
        <f>SUMIF(T_DefaultOutletPosting!$D$9:$D$111,"MOS100501",T_DefaultOutletPosting!$N$9:$N$111)</f>
        <v>59.030389720663031</v>
      </c>
      <c r="G29" s="241">
        <f>COUNTIFS(T_ROP!$C$13:$C$436,"MOS100501",T_ROP!$L$13:$L$436,"Adjust Unload Upward")</f>
        <v>12</v>
      </c>
      <c r="H29" s="242">
        <f>SUMIFS(T_ROP!$N$13:$N$436,T_ROP!$C$13:$C$436,"MOS100501")</f>
        <v>3.3624982581748258E-2</v>
      </c>
      <c r="I29" s="243">
        <f ca="1">COUNTIFS(T_VarianceReasons!$D$9:$D$240,"MOS100501",T_VarianceReasons!$O$9:$O$240,"Within SLA")</f>
        <v>3</v>
      </c>
      <c r="J29" s="240">
        <f ca="1">COUNTIFS(T_VarianceReasons!$D$9:$D$240,"MOS100501",T_VarianceReasons!$O$9:$O$240,"BREACHED")</f>
        <v>10</v>
      </c>
    </row>
    <row r="30" spans="1:10" ht="15" customHeight="1" x14ac:dyDescent="0.3">
      <c r="A30" s="234">
        <f t="shared" si="1"/>
        <v>15</v>
      </c>
      <c r="B30" s="135" t="str">
        <f>IFERROR(INDEX(M_User!$A$12:$J$67,MATCH("MOS100802",M_User!$D$12:$D$67,0),3),"Joyline J Lyimo")</f>
        <v>Joyline J Lyimo</v>
      </c>
      <c r="C30" s="235" t="s">
        <v>415</v>
      </c>
      <c r="D30" s="236" t="str">
        <f>IFERROR(INDEX(M_User!$A$12:$J$67,MATCH("MOS100802",M_User!$D$12:$D$67,0),5),"-")</f>
        <v>MOS</v>
      </c>
      <c r="E30" s="212">
        <f>COUNTIFS(T_ROP!$C$13:$C$436,"MOS100802",T_ROP!$L$13:$L$436,"Post to Default Outlet")</f>
        <v>0</v>
      </c>
      <c r="F30" s="212">
        <f>SUMIF(T_DefaultOutletPosting!$D$9:$D$111,"MOS100802",T_DefaultOutletPosting!$N$9:$N$111)</f>
        <v>0</v>
      </c>
      <c r="G30" s="213">
        <f>COUNTIFS(T_ROP!$C$13:$C$436,"MOS100802",T_ROP!$L$13:$L$436,"Adjust Unload Upward")</f>
        <v>23</v>
      </c>
      <c r="H30" s="214">
        <f>SUMIFS(T_ROP!$N$13:$N$436,T_ROP!$C$13:$C$436,"MOS100802")</f>
        <v>36.380758962845007</v>
      </c>
      <c r="I30" s="215">
        <f ca="1">COUNTIFS(T_VarianceReasons!$D$9:$D$240,"MOS100802",T_VarianceReasons!$O$9:$O$240,"Within SLA")</f>
        <v>7</v>
      </c>
      <c r="J30" s="212">
        <f ca="1">COUNTIFS(T_VarianceReasons!$D$9:$D$240,"MOS100802",T_VarianceReasons!$O$9:$O$240,"BREACHED")</f>
        <v>16</v>
      </c>
    </row>
    <row r="31" spans="1:10" ht="15" customHeight="1" x14ac:dyDescent="0.3">
      <c r="A31" s="237">
        <f t="shared" si="1"/>
        <v>7</v>
      </c>
      <c r="B31" s="156" t="str">
        <f>IFERROR(INDEX(M_User!$A$12:$J$67,MATCH("MOS100788",M_User!$D$12:$D$67,0),3),"Masunga Mwala Ramadhani")</f>
        <v>Masunga Mwala Ramadhani</v>
      </c>
      <c r="C31" s="238" t="s">
        <v>361</v>
      </c>
      <c r="D31" s="239" t="str">
        <f>IFERROR(INDEX(M_User!$A$12:$J$67,MATCH("MOS100788",M_User!$D$12:$D$67,0),5),"-")</f>
        <v>MOS</v>
      </c>
      <c r="E31" s="240">
        <f>COUNTIFS(T_ROP!$C$13:$C$436,"MOS100788",T_ROP!$L$13:$L$436,"Post to Default Outlet")</f>
        <v>6</v>
      </c>
      <c r="F31" s="240">
        <f>SUMIF(T_DefaultOutletPosting!$D$9:$D$111,"MOS100788",T_DefaultOutletPosting!$N$9:$N$111)</f>
        <v>188.66615780112824</v>
      </c>
      <c r="G31" s="241">
        <f>COUNTIFS(T_ROP!$C$13:$C$436,"MOS100788",T_ROP!$L$13:$L$436,"Adjust Unload Upward")</f>
        <v>8</v>
      </c>
      <c r="H31" s="242">
        <f>SUMIFS(T_ROP!$N$13:$N$436,T_ROP!$C$13:$C$436,"MOS100788")</f>
        <v>2.2880675019219421E-2</v>
      </c>
      <c r="I31" s="243">
        <f ca="1">COUNTIFS(T_VarianceReasons!$D$9:$D$240,"MOS100788",T_VarianceReasons!$O$9:$O$240,"Within SLA")</f>
        <v>8</v>
      </c>
      <c r="J31" s="240">
        <f ca="1">COUNTIFS(T_VarianceReasons!$D$9:$D$240,"MOS100788",T_VarianceReasons!$O$9:$O$240,"BREACHED")</f>
        <v>6</v>
      </c>
    </row>
    <row r="32" spans="1:10" ht="15" customHeight="1" x14ac:dyDescent="0.3">
      <c r="A32" s="234">
        <f t="shared" si="1"/>
        <v>8</v>
      </c>
      <c r="B32" s="135" t="str">
        <f>IFERROR(INDEX(M_User!$A$12:$J$67,MATCH("MOS100079",M_User!$D$12:$D$67,0),3),"Meshack Jeremiah")</f>
        <v>Meshack  Jeremiah</v>
      </c>
      <c r="C32" s="235" t="s">
        <v>395</v>
      </c>
      <c r="D32" s="236" t="str">
        <f>IFERROR(INDEX(M_User!$A$12:$J$67,MATCH("MOS100079",M_User!$D$12:$D$67,0),5),"-")</f>
        <v>MOS</v>
      </c>
      <c r="E32" s="212">
        <f>COUNTIFS(T_ROP!$C$13:$C$436,"MOS100079",T_ROP!$L$13:$L$436,"Post to Default Outlet")</f>
        <v>6</v>
      </c>
      <c r="F32" s="212">
        <f>SUMIF(T_DefaultOutletPosting!$D$9:$D$111,"MOS100079",T_DefaultOutletPosting!$N$9:$N$111)</f>
        <v>185.91055211229309</v>
      </c>
      <c r="G32" s="213">
        <f>COUNTIFS(T_ROP!$C$13:$C$436,"MOS100079",T_ROP!$L$13:$L$436,"Adjust Unload Upward")</f>
        <v>6</v>
      </c>
      <c r="H32" s="214">
        <f>SUMIFS(T_ROP!$N$13:$N$436,T_ROP!$C$13:$C$436,"MOS100079")</f>
        <v>2.0691767600295424E-2</v>
      </c>
      <c r="I32" s="215">
        <f ca="1">COUNTIFS(T_VarianceReasons!$D$9:$D$240,"MOS100079",T_VarianceReasons!$O$9:$O$240,"Within SLA")</f>
        <v>1</v>
      </c>
      <c r="J32" s="212">
        <f ca="1">COUNTIFS(T_VarianceReasons!$D$9:$D$240,"MOS100079",T_VarianceReasons!$O$9:$O$240,"BREACHED")</f>
        <v>11</v>
      </c>
    </row>
    <row r="33" spans="1:10" ht="15" customHeight="1" x14ac:dyDescent="0.3">
      <c r="A33" s="237">
        <f t="shared" si="1"/>
        <v>15</v>
      </c>
      <c r="B33" s="156" t="str">
        <f>IFERROR(INDEX(M_User!$A$12:$J$67,MATCH("DSM300140",M_User!$D$12:$D$67,0),3),"Omary O. Seif")</f>
        <v>Omary O. Seif</v>
      </c>
      <c r="C33" s="238" t="s">
        <v>314</v>
      </c>
      <c r="D33" s="239" t="str">
        <f>IFERROR(INDEX(M_User!$A$12:$J$67,MATCH("DSM300140",M_User!$D$12:$D$67,0),5),"-")</f>
        <v>DAR</v>
      </c>
      <c r="E33" s="240">
        <f>COUNTIFS(T_ROP!$C$13:$C$436,"DSM300140",T_ROP!$L$13:$L$436,"Post to Default Outlet")</f>
        <v>0</v>
      </c>
      <c r="F33" s="240">
        <f>SUMIF(T_DefaultOutletPosting!$D$9:$D$111,"DSM300140",T_DefaultOutletPosting!$N$9:$N$111)</f>
        <v>0</v>
      </c>
      <c r="G33" s="241">
        <f>COUNTIFS(T_ROP!$C$13:$C$436,"DSM300140",T_ROP!$L$13:$L$436,"Adjust Unload Upward")</f>
        <v>0</v>
      </c>
      <c r="H33" s="242">
        <f>SUMIFS(T_ROP!$N$13:$N$436,T_ROP!$C$13:$C$436,"DSM300140")</f>
        <v>0</v>
      </c>
      <c r="I33" s="243">
        <f>COUNTIFS(T_VarianceReasons!$D$9:$D$240,"DSM300140",T_VarianceReasons!$O$9:$O$240,"Within SLA")</f>
        <v>0</v>
      </c>
      <c r="J33" s="240">
        <f>COUNTIFS(T_VarianceReasons!$D$9:$D$240,"DSM300140",T_VarianceReasons!$O$9:$O$240,"BREACHED")</f>
        <v>0</v>
      </c>
    </row>
    <row r="34" spans="1:10" ht="15" customHeight="1" x14ac:dyDescent="0.3">
      <c r="A34" s="234">
        <f t="shared" si="1"/>
        <v>10</v>
      </c>
      <c r="B34" s="135" t="str">
        <f>IFERROR(INDEX(M_User!$A$12:$J$67,MATCH("MOS100654",M_User!$D$12:$D$67,0),3),"Piniel Julius Singo")</f>
        <v>Piniel Julius Singo</v>
      </c>
      <c r="C34" s="235" t="s">
        <v>427</v>
      </c>
      <c r="D34" s="236" t="str">
        <f>IFERROR(INDEX(M_User!$A$12:$J$67,MATCH("MOS100654",M_User!$D$12:$D$67,0),5),"-")</f>
        <v>MOS</v>
      </c>
      <c r="E34" s="212">
        <f>COUNTIFS(T_ROP!$C$13:$C$436,"MOS100654",T_ROP!$L$13:$L$436,"Post to Default Outlet")</f>
        <v>4</v>
      </c>
      <c r="F34" s="212">
        <f>SUMIF(T_DefaultOutletPosting!$D$9:$D$111,"MOS100654",T_DefaultOutletPosting!$N$9:$N$111)</f>
        <v>160.32201415184687</v>
      </c>
      <c r="G34" s="213">
        <f>COUNTIFS(T_ROP!$C$13:$C$436,"MOS100654",T_ROP!$L$13:$L$436,"Adjust Unload Upward")</f>
        <v>7</v>
      </c>
      <c r="H34" s="214">
        <f>SUMIFS(T_ROP!$N$13:$N$436,T_ROP!$C$13:$C$436,"MOS100654")</f>
        <v>1.1799327452863523E-2</v>
      </c>
      <c r="I34" s="215">
        <f ca="1">COUNTIFS(T_VarianceReasons!$D$9:$D$240,"MOS100654",T_VarianceReasons!$O$9:$O$240,"Within SLA")</f>
        <v>5</v>
      </c>
      <c r="J34" s="212">
        <f ca="1">COUNTIFS(T_VarianceReasons!$D$9:$D$240,"MOS100654",T_VarianceReasons!$O$9:$O$240,"BREACHED")</f>
        <v>6</v>
      </c>
    </row>
    <row r="35" spans="1:10" ht="15" customHeight="1" x14ac:dyDescent="0.3">
      <c r="A35" s="237">
        <f t="shared" si="1"/>
        <v>3</v>
      </c>
      <c r="B35" s="156" t="str">
        <f>IFERROR(INDEX(M_User!$A$12:$J$67,MATCH("MOS100716",M_User!$D$12:$D$67,0),3),"Raymond P Sangawe")</f>
        <v>Raymond P Sangawe</v>
      </c>
      <c r="C35" s="238" t="s">
        <v>424</v>
      </c>
      <c r="D35" s="239" t="str">
        <f>IFERROR(INDEX(M_User!$A$12:$J$67,MATCH("MOS100716",M_User!$D$12:$D$67,0),5),"-")</f>
        <v>MOS</v>
      </c>
      <c r="E35" s="240">
        <f>COUNTIFS(T_ROP!$C$13:$C$436,"MOS100716",T_ROP!$L$13:$L$436,"Post to Default Outlet")</f>
        <v>8</v>
      </c>
      <c r="F35" s="240">
        <f>SUMIF(T_DefaultOutletPosting!$D$9:$D$111,"MOS100716",T_DefaultOutletPosting!$N$9:$N$111)</f>
        <v>322.06020301845035</v>
      </c>
      <c r="G35" s="241">
        <f>COUNTIFS(T_ROP!$C$13:$C$436,"MOS100716",T_ROP!$L$13:$L$436,"Adjust Unload Upward")</f>
        <v>5</v>
      </c>
      <c r="H35" s="242">
        <f>SUMIFS(T_ROP!$N$13:$N$436,T_ROP!$C$13:$C$436,"MOS100716")</f>
        <v>1.473502300448426E-2</v>
      </c>
      <c r="I35" s="243">
        <f ca="1">COUNTIFS(T_VarianceReasons!$D$9:$D$240,"MOS100716",T_VarianceReasons!$O$9:$O$240,"Within SLA")</f>
        <v>4</v>
      </c>
      <c r="J35" s="240">
        <f ca="1">COUNTIFS(T_VarianceReasons!$D$9:$D$240,"MOS100716",T_VarianceReasons!$O$9:$O$240,"BREACHED")</f>
        <v>9</v>
      </c>
    </row>
    <row r="36" spans="1:10" ht="15" customHeight="1" x14ac:dyDescent="0.3">
      <c r="A36" s="234">
        <f t="shared" si="1"/>
        <v>1</v>
      </c>
      <c r="B36" s="135" t="str">
        <f>IFERROR(INDEX(M_User!$A$12:$J$67,MATCH("MOS100645",M_User!$D$12:$D$67,0),3),"Riziki Rajabu Mghamba")</f>
        <v>Riziki Rajabu Mghamba</v>
      </c>
      <c r="C36" s="235" t="s">
        <v>404</v>
      </c>
      <c r="D36" s="236" t="str">
        <f>IFERROR(INDEX(M_User!$A$12:$J$67,MATCH("MOS100645",M_User!$D$12:$D$67,0),5),"-")</f>
        <v>MOS</v>
      </c>
      <c r="E36" s="212">
        <f>COUNTIFS(T_ROP!$C$13:$C$436,"MOS100645",T_ROP!$L$13:$L$436,"Post to Default Outlet")</f>
        <v>23</v>
      </c>
      <c r="F36" s="212">
        <f>SUMIF(T_DefaultOutletPosting!$D$9:$D$111,"MOS100645",T_DefaultOutletPosting!$N$9:$N$111)</f>
        <v>261171.22359658143</v>
      </c>
      <c r="G36" s="213">
        <f>COUNTIFS(T_ROP!$C$13:$C$436,"MOS100645",T_ROP!$L$13:$L$436,"Adjust Unload Upward")</f>
        <v>0</v>
      </c>
      <c r="H36" s="214">
        <f>SUMIFS(T_ROP!$N$13:$N$436,T_ROP!$C$13:$C$436,"MOS100645")</f>
        <v>0</v>
      </c>
      <c r="I36" s="215">
        <f ca="1">COUNTIFS(T_VarianceReasons!$D$9:$D$240,"MOS100645",T_VarianceReasons!$O$9:$O$240,"Within SLA")</f>
        <v>8</v>
      </c>
      <c r="J36" s="212">
        <f ca="1">COUNTIFS(T_VarianceReasons!$D$9:$D$240,"MOS100645",T_VarianceReasons!$O$9:$O$240,"BREACHED")</f>
        <v>15</v>
      </c>
    </row>
    <row r="37" spans="1:10" ht="15" customHeight="1" x14ac:dyDescent="0.3">
      <c r="A37" s="237">
        <f t="shared" si="1"/>
        <v>2</v>
      </c>
      <c r="B37" s="156" t="str">
        <f>IFERROR(INDEX(M_User!$A$12:$J$67,MATCH("MOS100842",M_User!$D$12:$D$67,0),3),"Samson Felix Ngowi")</f>
        <v>Samson Felix Ngowi</v>
      </c>
      <c r="C37" s="238" t="s">
        <v>350</v>
      </c>
      <c r="D37" s="239" t="str">
        <f>IFERROR(INDEX(M_User!$A$12:$J$67,MATCH("MOS100842",M_User!$D$12:$D$67,0),5),"-")</f>
        <v>MOS</v>
      </c>
      <c r="E37" s="240">
        <f>COUNTIFS(T_ROP!$C$13:$C$436,"MOS100842",T_ROP!$L$13:$L$436,"Post to Default Outlet")</f>
        <v>12</v>
      </c>
      <c r="F37" s="240">
        <f>SUMIF(T_DefaultOutletPosting!$D$9:$D$111,"MOS100842",T_DefaultOutletPosting!$N$9:$N$111)</f>
        <v>349.90146583830824</v>
      </c>
      <c r="G37" s="241">
        <f>COUNTIFS(T_ROP!$C$13:$C$436,"MOS100842",T_ROP!$L$13:$L$436,"Adjust Unload Upward")</f>
        <v>6</v>
      </c>
      <c r="H37" s="242">
        <f>SUMIFS(T_ROP!$N$13:$N$436,T_ROP!$C$13:$C$436,"MOS100842")</f>
        <v>1.768490237559675E-2</v>
      </c>
      <c r="I37" s="243">
        <f ca="1">COUNTIFS(T_VarianceReasons!$D$9:$D$240,"MOS100842",T_VarianceReasons!$O$9:$O$240,"Within SLA")</f>
        <v>6</v>
      </c>
      <c r="J37" s="240">
        <f ca="1">COUNTIFS(T_VarianceReasons!$D$9:$D$240,"MOS100842",T_VarianceReasons!$O$9:$O$240,"BREACHED")</f>
        <v>12</v>
      </c>
    </row>
    <row r="38" spans="1:10" ht="15" customHeight="1" x14ac:dyDescent="0.3">
      <c r="A38" s="234">
        <f t="shared" si="1"/>
        <v>5</v>
      </c>
      <c r="B38" s="135" t="str">
        <f>IFERROR(INDEX(M_User!$A$12:$J$67,MATCH("MOS100744",M_User!$D$12:$D$67,0),3),"Zawadi Jastin Laizer")</f>
        <v>Zawadi Jastin Laizer</v>
      </c>
      <c r="C38" s="235" t="s">
        <v>370</v>
      </c>
      <c r="D38" s="236" t="str">
        <f>IFERROR(INDEX(M_User!$A$12:$J$67,MATCH("MOS100744",M_User!$D$12:$D$67,0),5),"-")</f>
        <v>MOS</v>
      </c>
      <c r="E38" s="212">
        <f>COUNTIFS(T_ROP!$C$13:$C$436,"MOS100744",T_ROP!$L$13:$L$436,"Post to Default Outlet")</f>
        <v>6</v>
      </c>
      <c r="F38" s="212">
        <f>SUMIF(T_DefaultOutletPosting!$D$9:$D$111,"MOS100744",T_DefaultOutletPosting!$N$9:$N$111)</f>
        <v>218.26866847976555</v>
      </c>
      <c r="G38" s="213">
        <f>COUNTIFS(T_ROP!$C$13:$C$436,"MOS100744",T_ROP!$L$13:$L$436,"Adjust Unload Upward")</f>
        <v>7</v>
      </c>
      <c r="H38" s="214">
        <f>SUMIFS(T_ROP!$N$13:$N$436,T_ROP!$C$13:$C$436,"MOS100744")</f>
        <v>2.1292277338573307E-2</v>
      </c>
      <c r="I38" s="215">
        <f ca="1">COUNTIFS(T_VarianceReasons!$D$9:$D$240,"MOS100744",T_VarianceReasons!$O$9:$O$240,"Within SLA")</f>
        <v>2</v>
      </c>
      <c r="J38" s="212">
        <f ca="1">COUNTIFS(T_VarianceReasons!$D$9:$D$240,"MOS100744",T_VarianceReasons!$O$9:$O$240,"BREACHED")</f>
        <v>11</v>
      </c>
    </row>
    <row r="39" spans="1:10" ht="15" customHeight="1" x14ac:dyDescent="0.3">
      <c r="A39" s="237">
        <f t="shared" si="1"/>
        <v>13</v>
      </c>
      <c r="B39" s="156" t="str">
        <f>IFERROR(INDEX(M_User!$A$12:$J$67,MATCH("MOS100144",M_User!$D$12:$D$67,0),3),"Zefania Julius Ngoma")</f>
        <v>Zefania Julius Ngoma</v>
      </c>
      <c r="C39" s="238" t="s">
        <v>376</v>
      </c>
      <c r="D39" s="239" t="str">
        <f>IFERROR(INDEX(M_User!$A$12:$J$67,MATCH("MOS100144",M_User!$D$12:$D$67,0),5),"-")</f>
        <v>MOS</v>
      </c>
      <c r="E39" s="240">
        <f>COUNTIFS(T_ROP!$C$13:$C$436,"MOS100144",T_ROP!$L$13:$L$436,"Post to Default Outlet")</f>
        <v>3</v>
      </c>
      <c r="F39" s="240">
        <f>SUMIF(T_DefaultOutletPosting!$D$9:$D$111,"MOS100144",T_DefaultOutletPosting!$N$9:$N$111)</f>
        <v>141.09500305124274</v>
      </c>
      <c r="G39" s="241">
        <f>COUNTIFS(T_ROP!$C$13:$C$436,"MOS100144",T_ROP!$L$13:$L$436,"Adjust Unload Upward")</f>
        <v>6</v>
      </c>
      <c r="H39" s="242">
        <f>SUMIFS(T_ROP!$N$13:$N$436,T_ROP!$C$13:$C$436,"MOS100144")</f>
        <v>1.9853110721637673E-2</v>
      </c>
      <c r="I39" s="243">
        <f ca="1">COUNTIFS(T_VarianceReasons!$D$9:$D$240,"MOS100144",T_VarianceReasons!$O$9:$O$240,"Within SLA")</f>
        <v>2</v>
      </c>
      <c r="J39" s="240">
        <f ca="1">COUNTIFS(T_VarianceReasons!$D$9:$D$240,"MOS100144",T_VarianceReasons!$O$9:$O$240,"BREACHED")</f>
        <v>7</v>
      </c>
    </row>
    <row r="41" spans="1:10" ht="21.75" customHeight="1" x14ac:dyDescent="0.3">
      <c r="A41" s="373"/>
      <c r="B41" s="373"/>
      <c r="C41" s="373"/>
      <c r="D41" s="373"/>
      <c r="E41" s="373"/>
      <c r="F41" s="373"/>
      <c r="G41" s="373"/>
      <c r="H41" s="373"/>
      <c r="I41" s="373"/>
      <c r="J41" s="373"/>
    </row>
    <row r="42" spans="1:10" ht="15" customHeight="1" x14ac:dyDescent="0.3">
      <c r="A42" s="357" t="s">
        <v>3743</v>
      </c>
      <c r="B42" s="357"/>
      <c r="C42" s="357"/>
      <c r="D42" s="357"/>
      <c r="E42" s="357"/>
      <c r="F42" s="357"/>
      <c r="G42" s="357"/>
      <c r="H42" s="357"/>
      <c r="I42" s="357"/>
      <c r="J42" s="357"/>
    </row>
    <row r="43" spans="1:10" ht="15" customHeight="1" x14ac:dyDescent="0.3">
      <c r="A43" s="374" t="s">
        <v>3744</v>
      </c>
      <c r="B43" s="374"/>
      <c r="C43" s="374"/>
      <c r="D43" s="374"/>
      <c r="E43" s="374"/>
      <c r="F43" s="374"/>
      <c r="G43" s="374"/>
      <c r="H43" s="374"/>
      <c r="I43" s="374"/>
      <c r="J43" s="374"/>
    </row>
    <row r="44" spans="1:10" ht="15" customHeight="1" x14ac:dyDescent="0.3">
      <c r="A44" s="375" t="s">
        <v>3745</v>
      </c>
      <c r="B44" s="375"/>
      <c r="C44" s="375"/>
      <c r="D44" s="375"/>
      <c r="E44" s="375"/>
      <c r="F44" s="375"/>
      <c r="G44" s="375"/>
      <c r="H44" s="375"/>
      <c r="I44" s="375"/>
      <c r="J44" s="375"/>
    </row>
    <row r="45" spans="1:10" ht="15" customHeight="1" x14ac:dyDescent="0.3">
      <c r="A45" s="374" t="s">
        <v>3746</v>
      </c>
      <c r="B45" s="374"/>
      <c r="C45" s="374"/>
      <c r="D45" s="374"/>
      <c r="E45" s="374"/>
      <c r="F45" s="374"/>
      <c r="G45" s="374"/>
      <c r="H45" s="374"/>
      <c r="I45" s="374"/>
      <c r="J45" s="374"/>
    </row>
    <row r="46" spans="1:10" ht="15" customHeight="1" x14ac:dyDescent="0.3">
      <c r="A46" s="375" t="s">
        <v>3747</v>
      </c>
      <c r="B46" s="375"/>
      <c r="C46" s="375"/>
      <c r="D46" s="375"/>
      <c r="E46" s="375"/>
      <c r="F46" s="375"/>
      <c r="G46" s="375"/>
      <c r="H46" s="375"/>
      <c r="I46" s="375"/>
      <c r="J46" s="375"/>
    </row>
    <row r="47" spans="1:10" ht="15" customHeight="1" x14ac:dyDescent="0.3">
      <c r="A47" s="374" t="s">
        <v>3748</v>
      </c>
      <c r="B47" s="374"/>
      <c r="C47" s="374"/>
      <c r="D47" s="374"/>
      <c r="E47" s="374"/>
      <c r="F47" s="374"/>
      <c r="G47" s="374"/>
      <c r="H47" s="374"/>
      <c r="I47" s="374"/>
      <c r="J47" s="374"/>
    </row>
    <row r="48" spans="1:10" ht="15" customHeight="1" x14ac:dyDescent="0.3">
      <c r="A48" s="375" t="s">
        <v>3749</v>
      </c>
      <c r="B48" s="375"/>
      <c r="C48" s="375"/>
      <c r="D48" s="375"/>
      <c r="E48" s="375"/>
      <c r="F48" s="375"/>
      <c r="G48" s="375"/>
      <c r="H48" s="375"/>
      <c r="I48" s="375"/>
      <c r="J48" s="375"/>
    </row>
    <row r="49" spans="1:10" ht="15" customHeight="1" x14ac:dyDescent="0.3">
      <c r="A49" s="374" t="s">
        <v>3750</v>
      </c>
      <c r="B49" s="374"/>
      <c r="C49" s="374"/>
      <c r="D49" s="374"/>
      <c r="E49" s="374"/>
      <c r="F49" s="374"/>
      <c r="G49" s="374"/>
      <c r="H49" s="374"/>
      <c r="I49" s="374"/>
      <c r="J49" s="374"/>
    </row>
    <row r="50" spans="1:10" ht="15" customHeight="1" x14ac:dyDescent="0.3">
      <c r="A50" s="375" t="s">
        <v>3751</v>
      </c>
      <c r="B50" s="375"/>
      <c r="C50" s="375"/>
      <c r="D50" s="375"/>
      <c r="E50" s="375"/>
      <c r="F50" s="375"/>
      <c r="G50" s="375"/>
      <c r="H50" s="375"/>
      <c r="I50" s="375"/>
      <c r="J50" s="375"/>
    </row>
    <row r="51" spans="1:10" ht="15" customHeight="1" x14ac:dyDescent="0.3">
      <c r="A51" s="374" t="s">
        <v>3752</v>
      </c>
      <c r="B51" s="374"/>
      <c r="C51" s="374"/>
      <c r="D51" s="374"/>
      <c r="E51" s="374"/>
      <c r="F51" s="374"/>
      <c r="G51" s="374"/>
      <c r="H51" s="374"/>
      <c r="I51" s="374"/>
      <c r="J51" s="374"/>
    </row>
    <row r="52" spans="1:10" ht="63.75" customHeight="1" x14ac:dyDescent="0.3">
      <c r="A52" s="244" t="s">
        <v>3753</v>
      </c>
    </row>
  </sheetData>
  <mergeCells count="28">
    <mergeCell ref="A49:J49"/>
    <mergeCell ref="A50:J50"/>
    <mergeCell ref="A51:J51"/>
    <mergeCell ref="A44:J44"/>
    <mergeCell ref="A45:J45"/>
    <mergeCell ref="A46:J46"/>
    <mergeCell ref="A47:J47"/>
    <mergeCell ref="A48:J48"/>
    <mergeCell ref="A11:J11"/>
    <mergeCell ref="A19:J19"/>
    <mergeCell ref="A41:J41"/>
    <mergeCell ref="A42:J42"/>
    <mergeCell ref="A43:J43"/>
    <mergeCell ref="A7:C7"/>
    <mergeCell ref="D7:E7"/>
    <mergeCell ref="F7:G7"/>
    <mergeCell ref="H7:J7"/>
    <mergeCell ref="A8:C8"/>
    <mergeCell ref="D8:E8"/>
    <mergeCell ref="F8:G8"/>
    <mergeCell ref="H8:J8"/>
    <mergeCell ref="A1:J1"/>
    <mergeCell ref="A2:J2"/>
    <mergeCell ref="A5:J5"/>
    <mergeCell ref="A6:C6"/>
    <mergeCell ref="D6:E6"/>
    <mergeCell ref="F6:G6"/>
    <mergeCell ref="H6:J6"/>
  </mergeCells>
  <conditionalFormatting sqref="A21:A38">
    <cfRule type="cellIs" dxfId="10" priority="4" operator="equal">
      <formula>1</formula>
    </cfRule>
  </conditionalFormatting>
  <conditionalFormatting sqref="F21:F38">
    <cfRule type="cellIs" dxfId="9" priority="3" operator="greaterThan">
      <formula>100000</formula>
    </cfRule>
  </conditionalFormatting>
  <conditionalFormatting sqref="J21:J38">
    <cfRule type="cellIs" dxfId="8" priority="2" operator="greaterThan">
      <formula>0</formula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33"/>
  <sheetViews>
    <sheetView showGridLines="0" zoomScaleNormal="100" workbookViewId="0">
      <pane ySplit="11" topLeftCell="A22" activePane="bottomLeft" state="frozen"/>
      <selection activeCell="F9" sqref="F9"/>
      <selection pane="bottomLeft" activeCell="F22" sqref="F2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3" customWidth="1"/>
    <col min="4" max="4" width="11" customWidth="1"/>
    <col min="5" max="5" width="16" customWidth="1"/>
    <col min="6" max="6" width="14" customWidth="1"/>
    <col min="7" max="7" width="22" customWidth="1"/>
    <col min="8" max="8" width="9" customWidth="1"/>
    <col min="9" max="9" width="11" customWidth="1"/>
    <col min="10" max="10" width="13" customWidth="1"/>
    <col min="11" max="11" width="18" customWidth="1"/>
    <col min="12" max="12" width="16" customWidth="1"/>
  </cols>
  <sheetData>
    <row r="1" spans="1:12" ht="31.5" customHeight="1" x14ac:dyDescent="0.3">
      <c r="A1" s="349" t="s">
        <v>3754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</row>
    <row r="2" spans="1:12" ht="15" customHeight="1" x14ac:dyDescent="0.3">
      <c r="A2" s="350" t="s">
        <v>3755</v>
      </c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0"/>
    </row>
    <row r="3" spans="1:12" ht="15" customHeight="1" x14ac:dyDescent="0.3">
      <c r="A3" s="178" t="s">
        <v>3719</v>
      </c>
      <c r="B3" s="151">
        <f ca="1">TODAY()</f>
        <v>46206</v>
      </c>
      <c r="D3" s="178" t="s">
        <v>3756</v>
      </c>
      <c r="F3" s="245">
        <f>M_Config!B8</f>
        <v>7</v>
      </c>
      <c r="G3" s="1" t="s">
        <v>3757</v>
      </c>
    </row>
    <row r="5" spans="1:12" ht="21.75" customHeight="1" x14ac:dyDescent="0.3">
      <c r="A5" s="356" t="s">
        <v>3758</v>
      </c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</row>
    <row r="6" spans="1:12" ht="21.75" customHeight="1" x14ac:dyDescent="0.3">
      <c r="A6" s="376" t="s">
        <v>3759</v>
      </c>
      <c r="B6" s="376"/>
      <c r="C6" s="376"/>
      <c r="D6" s="311" t="s">
        <v>3640</v>
      </c>
      <c r="E6" s="311"/>
      <c r="F6" s="311"/>
      <c r="G6" s="367" t="s">
        <v>3641</v>
      </c>
      <c r="H6" s="367"/>
      <c r="I6" s="367"/>
      <c r="J6" s="329" t="s">
        <v>3760</v>
      </c>
      <c r="K6" s="329"/>
      <c r="L6" s="329"/>
    </row>
    <row r="7" spans="1:12" ht="48" customHeight="1" x14ac:dyDescent="0.3">
      <c r="A7" s="379">
        <f ca="1">COUNTIF($E$12:$E$31,"Same Day")</f>
        <v>0</v>
      </c>
      <c r="B7" s="379"/>
      <c r="C7" s="379"/>
      <c r="D7" s="380">
        <f ca="1">COUNTIF($E$12:$E$31,"1-2 days")</f>
        <v>0</v>
      </c>
      <c r="E7" s="380"/>
      <c r="F7" s="380"/>
      <c r="G7" s="370">
        <f ca="1">COUNTIF($E$12:$E$31,"3-6 days")</f>
        <v>0</v>
      </c>
      <c r="H7" s="370"/>
      <c r="I7" s="370"/>
      <c r="J7" s="368">
        <f ca="1">COUNTIF($E$12:$E$31,"7+ days ALERT")</f>
        <v>20</v>
      </c>
      <c r="K7" s="368"/>
      <c r="L7" s="368"/>
    </row>
    <row r="8" spans="1:12" ht="18" customHeight="1" x14ac:dyDescent="0.3">
      <c r="A8" s="381" t="s">
        <v>3761</v>
      </c>
      <c r="B8" s="381"/>
      <c r="C8" s="381"/>
      <c r="D8" s="382" t="s">
        <v>3762</v>
      </c>
      <c r="E8" s="382"/>
      <c r="F8" s="382"/>
      <c r="G8" s="327" t="s">
        <v>3763</v>
      </c>
      <c r="H8" s="327"/>
      <c r="I8" s="327"/>
      <c r="J8" s="343" t="s">
        <v>3764</v>
      </c>
      <c r="K8" s="343"/>
      <c r="L8" s="343"/>
    </row>
    <row r="10" spans="1:12" ht="21.75" customHeight="1" x14ac:dyDescent="0.3">
      <c r="A10" s="372" t="s">
        <v>3765</v>
      </c>
      <c r="B10" s="372"/>
      <c r="C10" s="372"/>
      <c r="D10" s="372"/>
      <c r="E10" s="372"/>
      <c r="F10" s="372"/>
      <c r="G10" s="372"/>
      <c r="H10" s="372"/>
      <c r="I10" s="372"/>
      <c r="J10" s="372"/>
      <c r="K10" s="372"/>
      <c r="L10" s="372"/>
    </row>
    <row r="11" spans="1:12" ht="31.5" customHeight="1" x14ac:dyDescent="0.3">
      <c r="A11" s="179" t="s">
        <v>501</v>
      </c>
      <c r="B11" s="179" t="s">
        <v>3630</v>
      </c>
      <c r="C11" s="179" t="s">
        <v>3211</v>
      </c>
      <c r="D11" s="179" t="s">
        <v>3766</v>
      </c>
      <c r="E11" s="179" t="s">
        <v>3767</v>
      </c>
      <c r="F11" s="179" t="s">
        <v>3768</v>
      </c>
      <c r="G11" s="179" t="s">
        <v>648</v>
      </c>
      <c r="H11" s="179" t="s">
        <v>1875</v>
      </c>
      <c r="I11" s="179" t="s">
        <v>3769</v>
      </c>
      <c r="J11" s="179" t="s">
        <v>3637</v>
      </c>
      <c r="K11" s="179" t="s">
        <v>9</v>
      </c>
      <c r="L11" s="179" t="s">
        <v>3770</v>
      </c>
    </row>
    <row r="12" spans="1:12" ht="15" customHeight="1" x14ac:dyDescent="0.3">
      <c r="A12" s="180" t="s">
        <v>519</v>
      </c>
      <c r="B12" s="154">
        <v>166147</v>
      </c>
      <c r="C12" s="246">
        <v>46179</v>
      </c>
      <c r="D12" s="247">
        <f t="shared" ref="D12:D31" ca="1" si="0">TODAY()-C12</f>
        <v>27</v>
      </c>
      <c r="E12" s="180" t="str">
        <f t="shared" ref="E12:E31" ca="1" si="1">IF(D12=0,"Same Day",IF(D12&lt;=2,"1-2 days",IF(D12&lt;$F$3,"3-6 days","7+ days ALERT")))</f>
        <v>7+ days ALERT</v>
      </c>
      <c r="F12" s="180" t="s">
        <v>415</v>
      </c>
      <c r="G12" s="135" t="s">
        <v>414</v>
      </c>
      <c r="H12" s="236" t="s">
        <v>146</v>
      </c>
      <c r="I12" s="195">
        <v>6</v>
      </c>
      <c r="J12" s="160">
        <v>150</v>
      </c>
      <c r="K12" s="248" t="s">
        <v>521</v>
      </c>
      <c r="L12" s="155" t="str">
        <f ca="1">IF(D12&gt;=$F$3,"ESCALATE - Aging","Confirm Load")</f>
        <v>ESCALATE - Aging</v>
      </c>
    </row>
    <row r="13" spans="1:12" ht="15" customHeight="1" x14ac:dyDescent="0.3">
      <c r="A13" s="185" t="s">
        <v>527</v>
      </c>
      <c r="B13" s="249">
        <v>166148</v>
      </c>
      <c r="C13" s="250">
        <v>46179</v>
      </c>
      <c r="D13" s="251">
        <f t="shared" ca="1" si="0"/>
        <v>27</v>
      </c>
      <c r="E13" s="185" t="str">
        <f t="shared" ca="1" si="1"/>
        <v>7+ days ALERT</v>
      </c>
      <c r="F13" s="185" t="s">
        <v>404</v>
      </c>
      <c r="G13" s="203" t="s">
        <v>403</v>
      </c>
      <c r="H13" s="252" t="s">
        <v>146</v>
      </c>
      <c r="I13" s="253">
        <v>24</v>
      </c>
      <c r="J13" s="254">
        <v>711</v>
      </c>
      <c r="K13" s="255" t="s">
        <v>521</v>
      </c>
      <c r="L13" s="256" t="str">
        <f ca="1">IF(D13&gt;=$F$3,"ESCALATE - Aging","Confirm Load")</f>
        <v>ESCALATE - Aging</v>
      </c>
    </row>
    <row r="14" spans="1:12" ht="15" customHeight="1" x14ac:dyDescent="0.3">
      <c r="A14" s="180" t="s">
        <v>548</v>
      </c>
      <c r="B14" s="154">
        <v>166149</v>
      </c>
      <c r="C14" s="246">
        <v>46179</v>
      </c>
      <c r="D14" s="247">
        <f t="shared" ca="1" si="0"/>
        <v>27</v>
      </c>
      <c r="E14" s="180" t="str">
        <f t="shared" ca="1" si="1"/>
        <v>7+ days ALERT</v>
      </c>
      <c r="F14" s="180" t="s">
        <v>421</v>
      </c>
      <c r="G14" s="135" t="s">
        <v>420</v>
      </c>
      <c r="H14" s="236" t="s">
        <v>146</v>
      </c>
      <c r="I14" s="195">
        <v>27</v>
      </c>
      <c r="J14" s="160">
        <v>458</v>
      </c>
      <c r="K14" s="248" t="s">
        <v>521</v>
      </c>
      <c r="L14" s="155" t="str">
        <f ca="1">IF(D14&gt;=$F$3,"ESCALATE - Aging","Confirm Load")</f>
        <v>ESCALATE - Aging</v>
      </c>
    </row>
    <row r="15" spans="1:12" ht="15" customHeight="1" x14ac:dyDescent="0.3">
      <c r="A15" s="185" t="s">
        <v>556</v>
      </c>
      <c r="B15" s="249">
        <v>166150</v>
      </c>
      <c r="C15" s="250">
        <v>46179</v>
      </c>
      <c r="D15" s="251">
        <f t="shared" ca="1" si="0"/>
        <v>27</v>
      </c>
      <c r="E15" s="185" t="str">
        <f t="shared" ca="1" si="1"/>
        <v>7+ days ALERT</v>
      </c>
      <c r="F15" s="185" t="s">
        <v>424</v>
      </c>
      <c r="G15" s="203" t="s">
        <v>423</v>
      </c>
      <c r="H15" s="252" t="s">
        <v>146</v>
      </c>
      <c r="I15" s="253">
        <v>24</v>
      </c>
      <c r="J15" s="254">
        <v>314</v>
      </c>
      <c r="K15" s="255" t="s">
        <v>521</v>
      </c>
      <c r="L15" s="256" t="str">
        <f ca="1">IF(D15&gt;=$F$3,"ESCALATE - Aging","Confirm Load")</f>
        <v>ESCALATE - Aging</v>
      </c>
    </row>
    <row r="16" spans="1:12" ht="15" customHeight="1" x14ac:dyDescent="0.3">
      <c r="A16" s="180" t="s">
        <v>559</v>
      </c>
      <c r="B16" s="154">
        <v>166151</v>
      </c>
      <c r="C16" s="246">
        <v>46179</v>
      </c>
      <c r="D16" s="247">
        <f t="shared" ca="1" si="0"/>
        <v>27</v>
      </c>
      <c r="E16" s="180" t="str">
        <f t="shared" ca="1" si="1"/>
        <v>7+ days ALERT</v>
      </c>
      <c r="F16" s="180" t="s">
        <v>395</v>
      </c>
      <c r="G16" s="135" t="s">
        <v>394</v>
      </c>
      <c r="H16" s="236" t="s">
        <v>146</v>
      </c>
      <c r="I16" s="195">
        <v>24</v>
      </c>
      <c r="J16" s="160">
        <v>333</v>
      </c>
      <c r="K16" s="248" t="s">
        <v>521</v>
      </c>
      <c r="L16" s="155" t="str">
        <f ca="1">IF(D16&gt;=$F$3,"ESCALATE - Aging","Confirm Load")</f>
        <v>ESCALATE - Aging</v>
      </c>
    </row>
    <row r="17" spans="1:12" ht="23.25" customHeight="1" x14ac:dyDescent="0.3">
      <c r="A17" s="185" t="s">
        <v>561</v>
      </c>
      <c r="B17" s="249">
        <v>166152</v>
      </c>
      <c r="C17" s="250">
        <v>46179</v>
      </c>
      <c r="D17" s="251">
        <f t="shared" ca="1" si="0"/>
        <v>27</v>
      </c>
      <c r="E17" s="185" t="str">
        <f t="shared" ca="1" si="1"/>
        <v>7+ days ALERT</v>
      </c>
      <c r="F17" s="185" t="s">
        <v>562</v>
      </c>
      <c r="G17" s="257" t="s">
        <v>3771</v>
      </c>
      <c r="H17" s="256" t="s">
        <v>3737</v>
      </c>
      <c r="I17" s="253">
        <v>24</v>
      </c>
      <c r="J17" s="254">
        <v>320</v>
      </c>
      <c r="K17" s="255" t="s">
        <v>521</v>
      </c>
      <c r="L17" s="256" t="s">
        <v>3772</v>
      </c>
    </row>
    <row r="18" spans="1:12" ht="15" customHeight="1" x14ac:dyDescent="0.3">
      <c r="A18" s="180" t="s">
        <v>564</v>
      </c>
      <c r="B18" s="154">
        <v>166153</v>
      </c>
      <c r="C18" s="246">
        <v>46179</v>
      </c>
      <c r="D18" s="247">
        <f t="shared" ca="1" si="0"/>
        <v>27</v>
      </c>
      <c r="E18" s="180" t="str">
        <f t="shared" ca="1" si="1"/>
        <v>7+ days ALERT</v>
      </c>
      <c r="F18" s="180" t="s">
        <v>370</v>
      </c>
      <c r="G18" s="135" t="s">
        <v>369</v>
      </c>
      <c r="H18" s="236" t="s">
        <v>146</v>
      </c>
      <c r="I18" s="195">
        <v>26</v>
      </c>
      <c r="J18" s="160">
        <v>411</v>
      </c>
      <c r="K18" s="248" t="s">
        <v>521</v>
      </c>
      <c r="L18" s="155" t="str">
        <f t="shared" ref="L18:L31" ca="1" si="2">IF(D18&gt;=$F$3,"ESCALATE - Aging","Confirm Load")</f>
        <v>ESCALATE - Aging</v>
      </c>
    </row>
    <row r="19" spans="1:12" ht="15" customHeight="1" x14ac:dyDescent="0.3">
      <c r="A19" s="185" t="s">
        <v>568</v>
      </c>
      <c r="B19" s="249">
        <v>166154</v>
      </c>
      <c r="C19" s="250">
        <v>46179</v>
      </c>
      <c r="D19" s="251">
        <f t="shared" ca="1" si="0"/>
        <v>27</v>
      </c>
      <c r="E19" s="185" t="str">
        <f t="shared" ca="1" si="1"/>
        <v>7+ days ALERT</v>
      </c>
      <c r="F19" s="185" t="s">
        <v>412</v>
      </c>
      <c r="G19" s="203" t="s">
        <v>411</v>
      </c>
      <c r="H19" s="252" t="s">
        <v>146</v>
      </c>
      <c r="I19" s="253">
        <v>25</v>
      </c>
      <c r="J19" s="254">
        <v>536</v>
      </c>
      <c r="K19" s="255" t="s">
        <v>521</v>
      </c>
      <c r="L19" s="256" t="str">
        <f t="shared" ca="1" si="2"/>
        <v>ESCALATE - Aging</v>
      </c>
    </row>
    <row r="20" spans="1:12" ht="15" customHeight="1" x14ac:dyDescent="0.3">
      <c r="A20" s="180" t="s">
        <v>569</v>
      </c>
      <c r="B20" s="154">
        <v>166156</v>
      </c>
      <c r="C20" s="246">
        <v>46179</v>
      </c>
      <c r="D20" s="247">
        <f t="shared" ca="1" si="0"/>
        <v>27</v>
      </c>
      <c r="E20" s="180" t="str">
        <f t="shared" ca="1" si="1"/>
        <v>7+ days ALERT</v>
      </c>
      <c r="F20" s="180" t="s">
        <v>384</v>
      </c>
      <c r="G20" s="135" t="s">
        <v>383</v>
      </c>
      <c r="H20" s="236" t="s">
        <v>146</v>
      </c>
      <c r="I20" s="195">
        <v>26</v>
      </c>
      <c r="J20" s="160">
        <v>548</v>
      </c>
      <c r="K20" s="248" t="s">
        <v>521</v>
      </c>
      <c r="L20" s="155" t="str">
        <f t="shared" ca="1" si="2"/>
        <v>ESCALATE - Aging</v>
      </c>
    </row>
    <row r="21" spans="1:12" ht="15" customHeight="1" x14ac:dyDescent="0.3">
      <c r="A21" s="185" t="s">
        <v>572</v>
      </c>
      <c r="B21" s="249">
        <v>166157</v>
      </c>
      <c r="C21" s="250">
        <v>46179</v>
      </c>
      <c r="D21" s="251">
        <f t="shared" ca="1" si="0"/>
        <v>27</v>
      </c>
      <c r="E21" s="185" t="str">
        <f t="shared" ca="1" si="1"/>
        <v>7+ days ALERT</v>
      </c>
      <c r="F21" s="185" t="s">
        <v>427</v>
      </c>
      <c r="G21" s="203" t="s">
        <v>426</v>
      </c>
      <c r="H21" s="252" t="s">
        <v>146</v>
      </c>
      <c r="I21" s="253">
        <v>22</v>
      </c>
      <c r="J21" s="254">
        <v>293</v>
      </c>
      <c r="K21" s="255" t="s">
        <v>521</v>
      </c>
      <c r="L21" s="256" t="str">
        <f t="shared" ca="1" si="2"/>
        <v>ESCALATE - Aging</v>
      </c>
    </row>
    <row r="22" spans="1:12" ht="15" customHeight="1" x14ac:dyDescent="0.3">
      <c r="A22" s="180" t="s">
        <v>575</v>
      </c>
      <c r="B22" s="154">
        <v>166158</v>
      </c>
      <c r="C22" s="246">
        <v>46179</v>
      </c>
      <c r="D22" s="247">
        <f t="shared" ca="1" si="0"/>
        <v>27</v>
      </c>
      <c r="E22" s="180" t="str">
        <f t="shared" ca="1" si="1"/>
        <v>7+ days ALERT</v>
      </c>
      <c r="F22" s="180" t="s">
        <v>376</v>
      </c>
      <c r="G22" s="135" t="s">
        <v>375</v>
      </c>
      <c r="H22" s="236" t="s">
        <v>146</v>
      </c>
      <c r="I22" s="195">
        <v>17</v>
      </c>
      <c r="J22" s="160">
        <v>248</v>
      </c>
      <c r="K22" s="248" t="s">
        <v>521</v>
      </c>
      <c r="L22" s="155" t="str">
        <f t="shared" ca="1" si="2"/>
        <v>ESCALATE - Aging</v>
      </c>
    </row>
    <row r="23" spans="1:12" ht="15" customHeight="1" x14ac:dyDescent="0.3">
      <c r="A23" s="185" t="s">
        <v>577</v>
      </c>
      <c r="B23" s="249">
        <v>166160</v>
      </c>
      <c r="C23" s="250">
        <v>46179</v>
      </c>
      <c r="D23" s="251">
        <f t="shared" ca="1" si="0"/>
        <v>27</v>
      </c>
      <c r="E23" s="185" t="str">
        <f t="shared" ca="1" si="1"/>
        <v>7+ days ALERT</v>
      </c>
      <c r="F23" s="185" t="s">
        <v>401</v>
      </c>
      <c r="G23" s="203" t="s">
        <v>400</v>
      </c>
      <c r="H23" s="252" t="s">
        <v>146</v>
      </c>
      <c r="I23" s="253">
        <v>19</v>
      </c>
      <c r="J23" s="254">
        <v>383</v>
      </c>
      <c r="K23" s="255" t="s">
        <v>521</v>
      </c>
      <c r="L23" s="256" t="str">
        <f t="shared" ca="1" si="2"/>
        <v>ESCALATE - Aging</v>
      </c>
    </row>
    <row r="24" spans="1:12" ht="15" customHeight="1" x14ac:dyDescent="0.3">
      <c r="A24" s="180" t="s">
        <v>579</v>
      </c>
      <c r="B24" s="154">
        <v>166161</v>
      </c>
      <c r="C24" s="246">
        <v>46179</v>
      </c>
      <c r="D24" s="247">
        <f t="shared" ca="1" si="0"/>
        <v>27</v>
      </c>
      <c r="E24" s="180" t="str">
        <f t="shared" ca="1" si="1"/>
        <v>7+ days ALERT</v>
      </c>
      <c r="F24" s="180" t="s">
        <v>350</v>
      </c>
      <c r="G24" s="135" t="s">
        <v>349</v>
      </c>
      <c r="H24" s="236" t="s">
        <v>146</v>
      </c>
      <c r="I24" s="195">
        <v>22</v>
      </c>
      <c r="J24" s="160">
        <v>322</v>
      </c>
      <c r="K24" s="248" t="s">
        <v>521</v>
      </c>
      <c r="L24" s="155" t="str">
        <f t="shared" ca="1" si="2"/>
        <v>ESCALATE - Aging</v>
      </c>
    </row>
    <row r="25" spans="1:12" ht="15" customHeight="1" x14ac:dyDescent="0.3">
      <c r="A25" s="185" t="s">
        <v>581</v>
      </c>
      <c r="B25" s="249">
        <v>166162</v>
      </c>
      <c r="C25" s="250">
        <v>46179</v>
      </c>
      <c r="D25" s="251">
        <f t="shared" ca="1" si="0"/>
        <v>27</v>
      </c>
      <c r="E25" s="185" t="str">
        <f t="shared" ca="1" si="1"/>
        <v>7+ days ALERT</v>
      </c>
      <c r="F25" s="185" t="s">
        <v>339</v>
      </c>
      <c r="G25" s="203" t="s">
        <v>338</v>
      </c>
      <c r="H25" s="252" t="s">
        <v>146</v>
      </c>
      <c r="I25" s="253">
        <v>26</v>
      </c>
      <c r="J25" s="254">
        <v>387</v>
      </c>
      <c r="K25" s="255" t="s">
        <v>521</v>
      </c>
      <c r="L25" s="256" t="str">
        <f t="shared" ca="1" si="2"/>
        <v>ESCALATE - Aging</v>
      </c>
    </row>
    <row r="26" spans="1:12" ht="15" customHeight="1" x14ac:dyDescent="0.3">
      <c r="A26" s="180" t="s">
        <v>583</v>
      </c>
      <c r="B26" s="154">
        <v>166164</v>
      </c>
      <c r="C26" s="246">
        <v>46179</v>
      </c>
      <c r="D26" s="247">
        <f t="shared" ca="1" si="0"/>
        <v>27</v>
      </c>
      <c r="E26" s="180" t="str">
        <f t="shared" ca="1" si="1"/>
        <v>7+ days ALERT</v>
      </c>
      <c r="F26" s="180" t="s">
        <v>336</v>
      </c>
      <c r="G26" s="135" t="s">
        <v>335</v>
      </c>
      <c r="H26" s="236" t="s">
        <v>146</v>
      </c>
      <c r="I26" s="195">
        <v>23</v>
      </c>
      <c r="J26" s="160">
        <v>557</v>
      </c>
      <c r="K26" s="248" t="s">
        <v>521</v>
      </c>
      <c r="L26" s="155" t="str">
        <f t="shared" ca="1" si="2"/>
        <v>ESCALATE - Aging</v>
      </c>
    </row>
    <row r="27" spans="1:12" ht="15" customHeight="1" x14ac:dyDescent="0.3">
      <c r="A27" s="185" t="s">
        <v>586</v>
      </c>
      <c r="B27" s="249">
        <v>166165</v>
      </c>
      <c r="C27" s="250">
        <v>46179</v>
      </c>
      <c r="D27" s="251">
        <f t="shared" ca="1" si="0"/>
        <v>27</v>
      </c>
      <c r="E27" s="185" t="str">
        <f t="shared" ca="1" si="1"/>
        <v>7+ days ALERT</v>
      </c>
      <c r="F27" s="185" t="s">
        <v>361</v>
      </c>
      <c r="G27" s="203" t="s">
        <v>360</v>
      </c>
      <c r="H27" s="252" t="s">
        <v>146</v>
      </c>
      <c r="I27" s="253">
        <v>24</v>
      </c>
      <c r="J27" s="254">
        <v>582</v>
      </c>
      <c r="K27" s="255" t="s">
        <v>521</v>
      </c>
      <c r="L27" s="256" t="str">
        <f t="shared" ca="1" si="2"/>
        <v>ESCALATE - Aging</v>
      </c>
    </row>
    <row r="28" spans="1:12" ht="15" customHeight="1" x14ac:dyDescent="0.3">
      <c r="A28" s="180" t="s">
        <v>588</v>
      </c>
      <c r="B28" s="154">
        <v>166170</v>
      </c>
      <c r="C28" s="246">
        <v>46179</v>
      </c>
      <c r="D28" s="247">
        <f t="shared" ca="1" si="0"/>
        <v>27</v>
      </c>
      <c r="E28" s="180" t="str">
        <f t="shared" ca="1" si="1"/>
        <v>7+ days ALERT</v>
      </c>
      <c r="F28" s="180" t="s">
        <v>415</v>
      </c>
      <c r="G28" s="135" t="s">
        <v>414</v>
      </c>
      <c r="H28" s="236" t="s">
        <v>146</v>
      </c>
      <c r="I28" s="195">
        <v>17</v>
      </c>
      <c r="J28" s="160">
        <v>384</v>
      </c>
      <c r="K28" s="248" t="s">
        <v>521</v>
      </c>
      <c r="L28" s="155" t="str">
        <f t="shared" ca="1" si="2"/>
        <v>ESCALATE - Aging</v>
      </c>
    </row>
    <row r="29" spans="1:12" ht="15" customHeight="1" x14ac:dyDescent="0.3">
      <c r="A29" s="185" t="s">
        <v>589</v>
      </c>
      <c r="B29" s="249">
        <v>166176</v>
      </c>
      <c r="C29" s="250">
        <v>46179</v>
      </c>
      <c r="D29" s="251">
        <f t="shared" ca="1" si="0"/>
        <v>27</v>
      </c>
      <c r="E29" s="185" t="str">
        <f t="shared" ca="1" si="1"/>
        <v>7+ days ALERT</v>
      </c>
      <c r="F29" s="185" t="s">
        <v>350</v>
      </c>
      <c r="G29" s="203" t="s">
        <v>349</v>
      </c>
      <c r="H29" s="252" t="s">
        <v>146</v>
      </c>
      <c r="I29" s="253">
        <v>14</v>
      </c>
      <c r="J29" s="254">
        <v>91</v>
      </c>
      <c r="K29" s="255" t="s">
        <v>521</v>
      </c>
      <c r="L29" s="256" t="str">
        <f t="shared" ca="1" si="2"/>
        <v>ESCALATE - Aging</v>
      </c>
    </row>
    <row r="30" spans="1:12" ht="15" customHeight="1" x14ac:dyDescent="0.3">
      <c r="A30" s="180" t="s">
        <v>594</v>
      </c>
      <c r="B30" s="154">
        <v>2174877</v>
      </c>
      <c r="C30" s="246">
        <v>46179</v>
      </c>
      <c r="D30" s="247">
        <f t="shared" ca="1" si="0"/>
        <v>27</v>
      </c>
      <c r="E30" s="180" t="str">
        <f t="shared" ca="1" si="1"/>
        <v>7+ days ALERT</v>
      </c>
      <c r="F30" s="180" t="s">
        <v>320</v>
      </c>
      <c r="G30" s="135" t="s">
        <v>319</v>
      </c>
      <c r="H30" s="236" t="s">
        <v>141</v>
      </c>
      <c r="I30" s="195">
        <v>28</v>
      </c>
      <c r="J30" s="160">
        <v>648</v>
      </c>
      <c r="K30" s="248" t="s">
        <v>521</v>
      </c>
      <c r="L30" s="155" t="str">
        <f t="shared" ca="1" si="2"/>
        <v>ESCALATE - Aging</v>
      </c>
    </row>
    <row r="31" spans="1:12" ht="15" customHeight="1" x14ac:dyDescent="0.3">
      <c r="A31" s="185" t="s">
        <v>619</v>
      </c>
      <c r="B31" s="249">
        <v>4078166</v>
      </c>
      <c r="C31" s="250">
        <v>46179</v>
      </c>
      <c r="D31" s="251">
        <f t="shared" ca="1" si="0"/>
        <v>27</v>
      </c>
      <c r="E31" s="185" t="str">
        <f t="shared" ca="1" si="1"/>
        <v>7+ days ALERT</v>
      </c>
      <c r="F31" s="185" t="s">
        <v>314</v>
      </c>
      <c r="G31" s="203" t="s">
        <v>313</v>
      </c>
      <c r="H31" s="252" t="s">
        <v>76</v>
      </c>
      <c r="I31" s="253">
        <v>5</v>
      </c>
      <c r="J31" s="254">
        <v>610</v>
      </c>
      <c r="K31" s="255" t="s">
        <v>521</v>
      </c>
      <c r="L31" s="256" t="str">
        <f t="shared" ca="1" si="2"/>
        <v>ESCALATE - Aging</v>
      </c>
    </row>
    <row r="33" spans="1:12" ht="15" customHeight="1" x14ac:dyDescent="0.3">
      <c r="A33" s="231" t="s">
        <v>3738</v>
      </c>
      <c r="B33" s="377" t="s">
        <v>3773</v>
      </c>
      <c r="C33" s="377"/>
      <c r="D33" s="377"/>
      <c r="E33" s="377"/>
      <c r="F33" s="377"/>
      <c r="G33" s="377"/>
      <c r="H33" s="377"/>
      <c r="I33" s="232">
        <f>SUM(I12:I31)</f>
        <v>423</v>
      </c>
      <c r="J33" s="233">
        <f>SUM(J12:J31)</f>
        <v>8286</v>
      </c>
      <c r="K33" s="378" t="s">
        <v>3774</v>
      </c>
      <c r="L33" s="378"/>
    </row>
  </sheetData>
  <mergeCells count="18">
    <mergeCell ref="A10:L10"/>
    <mergeCell ref="B33:H33"/>
    <mergeCell ref="K33:L33"/>
    <mergeCell ref="A7:C7"/>
    <mergeCell ref="D7:F7"/>
    <mergeCell ref="G7:I7"/>
    <mergeCell ref="J7:L7"/>
    <mergeCell ref="A8:C8"/>
    <mergeCell ref="D8:F8"/>
    <mergeCell ref="G8:I8"/>
    <mergeCell ref="J8:L8"/>
    <mergeCell ref="A1:L1"/>
    <mergeCell ref="A2:L2"/>
    <mergeCell ref="A5:L5"/>
    <mergeCell ref="A6:C6"/>
    <mergeCell ref="D6:F6"/>
    <mergeCell ref="G6:I6"/>
    <mergeCell ref="J6:L6"/>
  </mergeCells>
  <conditionalFormatting sqref="D12:D31">
    <cfRule type="cellIs" dxfId="7" priority="2" operator="greaterThanOrEqual">
      <formula>$F$3</formula>
    </cfRule>
  </conditionalFormatting>
  <conditionalFormatting sqref="E12:E31">
    <cfRule type="cellIs" dxfId="6" priority="3" operator="equal">
      <formula>"Same Day"</formula>
    </cfRule>
    <cfRule type="cellIs" dxfId="5" priority="4" operator="equal">
      <formula>"1-2 days"</formula>
    </cfRule>
    <cfRule type="cellIs" dxfId="4" priority="5" operator="equal">
      <formula>"3-6 days"</formula>
    </cfRule>
    <cfRule type="cellIs" dxfId="3" priority="6" operator="equal">
      <formula>"7+ days ALERT"</formula>
    </cfRule>
  </conditionalFormatting>
  <conditionalFormatting sqref="L12:L31">
    <cfRule type="cellIs" dxfId="2" priority="7" operator="equal">
      <formula>"FORCE-PUSH"</formula>
    </cfRule>
    <cfRule type="cellIs" dxfId="1" priority="8" operator="equal">
      <formula>"ESCALATE - Aging"</formula>
    </cfRule>
    <cfRule type="cellIs" dxfId="0" priority="9" operator="equal">
      <formula>"Confirm Load"</formula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M_Depot</vt:lpstr>
      <vt:lpstr>M_SKU</vt:lpstr>
      <vt:lpstr>M_DepotPrice</vt:lpstr>
      <vt:lpstr>M_User</vt:lpstr>
      <vt:lpstr>M_Config</vt:lpstr>
      <vt:lpstr>T_Load</vt:lpstr>
      <vt:lpstr>T_Sales</vt:lpstr>
      <vt:lpstr>T_Unload</vt:lpstr>
      <vt:lpstr>T_ROP</vt:lpstr>
      <vt:lpstr>T_DefaultOutletPosting</vt:lpstr>
      <vt:lpstr>T_VarianceReasons</vt:lpstr>
      <vt:lpstr>R_IntegrationPage</vt:lpstr>
      <vt:lpstr>R_SettlementSheet</vt:lpstr>
      <vt:lpstr>R_VarianceReport</vt:lpstr>
      <vt:lpstr>R_AgingView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 Kant Sharma</cp:lastModifiedBy>
  <cp:revision>0</cp:revision>
  <dcterms:created xsi:type="dcterms:W3CDTF">2026-06-03T07:10:52Z</dcterms:created>
  <dcterms:modified xsi:type="dcterms:W3CDTF">2026-07-03T08:54:30Z</dcterms:modified>
  <dc:language>en-US</dc:language>
</cp:coreProperties>
</file>