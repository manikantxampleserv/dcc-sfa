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ashok\Downloads\"/>
    </mc:Choice>
  </mc:AlternateContent>
  <xr:revisionPtr revIDLastSave="0" documentId="8_{70A9345F-A78A-45F4-B36C-78F4B0758772}" xr6:coauthVersionLast="47" xr6:coauthVersionMax="47" xr10:uidLastSave="{00000000-0000-0000-0000-000000000000}"/>
  <bookViews>
    <workbookView xWindow="-110" yWindow="-110" windowWidth="19420" windowHeight="11500" xr2:uid="{FA30EAA1-8FE9-490E-9BDF-E49D4C0CAE01}"/>
  </bookViews>
  <sheets>
    <sheet name="T_ROP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57" i="1" l="1"/>
  <c r="B450" i="1"/>
  <c r="B440" i="1"/>
  <c r="N436" i="1"/>
  <c r="M436" i="1"/>
  <c r="I436" i="1"/>
  <c r="K436" i="1" s="1"/>
  <c r="L436" i="1" s="1"/>
  <c r="G436" i="1"/>
  <c r="E436" i="1"/>
  <c r="D436" i="1"/>
  <c r="N435" i="1"/>
  <c r="M435" i="1"/>
  <c r="L435" i="1"/>
  <c r="I435" i="1"/>
  <c r="K435" i="1" s="1"/>
  <c r="G435" i="1"/>
  <c r="E435" i="1"/>
  <c r="D435" i="1"/>
  <c r="I434" i="1"/>
  <c r="K434" i="1" s="1"/>
  <c r="G434" i="1"/>
  <c r="E434" i="1"/>
  <c r="D434" i="1"/>
  <c r="I433" i="1"/>
  <c r="K433" i="1" s="1"/>
  <c r="N433" i="1" s="1"/>
  <c r="G433" i="1"/>
  <c r="E433" i="1"/>
  <c r="D433" i="1"/>
  <c r="I432" i="1"/>
  <c r="K432" i="1" s="1"/>
  <c r="G432" i="1"/>
  <c r="E432" i="1"/>
  <c r="D432" i="1"/>
  <c r="I431" i="1"/>
  <c r="K431" i="1" s="1"/>
  <c r="G431" i="1"/>
  <c r="E431" i="1"/>
  <c r="D431" i="1"/>
  <c r="I430" i="1"/>
  <c r="K430" i="1" s="1"/>
  <c r="N430" i="1" s="1"/>
  <c r="G430" i="1"/>
  <c r="E430" i="1"/>
  <c r="D430" i="1"/>
  <c r="N429" i="1"/>
  <c r="I429" i="1"/>
  <c r="K429" i="1" s="1"/>
  <c r="M429" i="1" s="1"/>
  <c r="G429" i="1"/>
  <c r="E429" i="1"/>
  <c r="D429" i="1"/>
  <c r="N428" i="1"/>
  <c r="M428" i="1"/>
  <c r="I428" i="1"/>
  <c r="K428" i="1" s="1"/>
  <c r="L428" i="1" s="1"/>
  <c r="G428" i="1"/>
  <c r="E428" i="1"/>
  <c r="D428" i="1"/>
  <c r="N427" i="1"/>
  <c r="M427" i="1"/>
  <c r="L427" i="1"/>
  <c r="I427" i="1"/>
  <c r="K427" i="1" s="1"/>
  <c r="G427" i="1"/>
  <c r="E427" i="1"/>
  <c r="D427" i="1"/>
  <c r="N426" i="1"/>
  <c r="M426" i="1"/>
  <c r="L426" i="1"/>
  <c r="I426" i="1"/>
  <c r="K426" i="1" s="1"/>
  <c r="G426" i="1"/>
  <c r="E426" i="1"/>
  <c r="D426" i="1"/>
  <c r="M425" i="1"/>
  <c r="I425" i="1"/>
  <c r="K425" i="1" s="1"/>
  <c r="N425" i="1" s="1"/>
  <c r="G425" i="1"/>
  <c r="E425" i="1"/>
  <c r="D425" i="1"/>
  <c r="I424" i="1"/>
  <c r="K424" i="1" s="1"/>
  <c r="G424" i="1"/>
  <c r="E424" i="1"/>
  <c r="D424" i="1"/>
  <c r="I423" i="1"/>
  <c r="K423" i="1" s="1"/>
  <c r="G423" i="1"/>
  <c r="E423" i="1"/>
  <c r="D423" i="1"/>
  <c r="I422" i="1"/>
  <c r="K422" i="1" s="1"/>
  <c r="N422" i="1" s="1"/>
  <c r="G422" i="1"/>
  <c r="E422" i="1"/>
  <c r="D422" i="1"/>
  <c r="N421" i="1"/>
  <c r="I421" i="1"/>
  <c r="K421" i="1" s="1"/>
  <c r="M421" i="1" s="1"/>
  <c r="G421" i="1"/>
  <c r="E421" i="1"/>
  <c r="D421" i="1"/>
  <c r="N420" i="1"/>
  <c r="M420" i="1"/>
  <c r="I420" i="1"/>
  <c r="K420" i="1" s="1"/>
  <c r="L420" i="1" s="1"/>
  <c r="G420" i="1"/>
  <c r="E420" i="1"/>
  <c r="D420" i="1"/>
  <c r="N419" i="1"/>
  <c r="M419" i="1"/>
  <c r="L419" i="1"/>
  <c r="I419" i="1"/>
  <c r="K419" i="1" s="1"/>
  <c r="G419" i="1"/>
  <c r="E419" i="1"/>
  <c r="D419" i="1"/>
  <c r="I418" i="1"/>
  <c r="K418" i="1" s="1"/>
  <c r="G418" i="1"/>
  <c r="E418" i="1"/>
  <c r="D418" i="1"/>
  <c r="I417" i="1"/>
  <c r="K417" i="1" s="1"/>
  <c r="N417" i="1" s="1"/>
  <c r="G417" i="1"/>
  <c r="E417" i="1"/>
  <c r="D417" i="1"/>
  <c r="L416" i="1"/>
  <c r="I416" i="1"/>
  <c r="K416" i="1" s="1"/>
  <c r="G416" i="1"/>
  <c r="E416" i="1"/>
  <c r="D416" i="1"/>
  <c r="I415" i="1"/>
  <c r="K415" i="1" s="1"/>
  <c r="G415" i="1"/>
  <c r="E415" i="1"/>
  <c r="D415" i="1"/>
  <c r="I414" i="1"/>
  <c r="K414" i="1" s="1"/>
  <c r="N414" i="1" s="1"/>
  <c r="G414" i="1"/>
  <c r="E414" i="1"/>
  <c r="D414" i="1"/>
  <c r="N413" i="1"/>
  <c r="I413" i="1"/>
  <c r="K413" i="1" s="1"/>
  <c r="M413" i="1" s="1"/>
  <c r="G413" i="1"/>
  <c r="E413" i="1"/>
  <c r="D413" i="1"/>
  <c r="N412" i="1"/>
  <c r="M412" i="1"/>
  <c r="I412" i="1"/>
  <c r="K412" i="1" s="1"/>
  <c r="L412" i="1" s="1"/>
  <c r="G412" i="1"/>
  <c r="E412" i="1"/>
  <c r="D412" i="1"/>
  <c r="N411" i="1"/>
  <c r="M411" i="1"/>
  <c r="L411" i="1"/>
  <c r="I411" i="1"/>
  <c r="K411" i="1" s="1"/>
  <c r="G411" i="1"/>
  <c r="E411" i="1"/>
  <c r="D411" i="1"/>
  <c r="N410" i="1"/>
  <c r="M410" i="1"/>
  <c r="L410" i="1"/>
  <c r="I410" i="1"/>
  <c r="K410" i="1" s="1"/>
  <c r="G410" i="1"/>
  <c r="E410" i="1"/>
  <c r="D410" i="1"/>
  <c r="I409" i="1"/>
  <c r="K409" i="1" s="1"/>
  <c r="G409" i="1"/>
  <c r="E409" i="1"/>
  <c r="D409" i="1"/>
  <c r="I408" i="1"/>
  <c r="K408" i="1" s="1"/>
  <c r="G408" i="1"/>
  <c r="E408" i="1"/>
  <c r="D408" i="1"/>
  <c r="I407" i="1"/>
  <c r="K407" i="1" s="1"/>
  <c r="G407" i="1"/>
  <c r="E407" i="1"/>
  <c r="D407" i="1"/>
  <c r="I406" i="1"/>
  <c r="K406" i="1" s="1"/>
  <c r="N406" i="1" s="1"/>
  <c r="G406" i="1"/>
  <c r="E406" i="1"/>
  <c r="D406" i="1"/>
  <c r="N405" i="1"/>
  <c r="I405" i="1"/>
  <c r="K405" i="1" s="1"/>
  <c r="M405" i="1" s="1"/>
  <c r="G405" i="1"/>
  <c r="E405" i="1"/>
  <c r="D405" i="1"/>
  <c r="N404" i="1"/>
  <c r="M404" i="1"/>
  <c r="I404" i="1"/>
  <c r="K404" i="1" s="1"/>
  <c r="L404" i="1" s="1"/>
  <c r="G404" i="1"/>
  <c r="E404" i="1"/>
  <c r="D404" i="1"/>
  <c r="N403" i="1"/>
  <c r="M403" i="1"/>
  <c r="L403" i="1"/>
  <c r="I403" i="1"/>
  <c r="K403" i="1" s="1"/>
  <c r="G403" i="1"/>
  <c r="E403" i="1"/>
  <c r="D403" i="1"/>
  <c r="I402" i="1"/>
  <c r="K402" i="1" s="1"/>
  <c r="G402" i="1"/>
  <c r="E402" i="1"/>
  <c r="D402" i="1"/>
  <c r="I401" i="1"/>
  <c r="K401" i="1" s="1"/>
  <c r="N401" i="1" s="1"/>
  <c r="G401" i="1"/>
  <c r="E401" i="1"/>
  <c r="D401" i="1"/>
  <c r="L400" i="1"/>
  <c r="I400" i="1"/>
  <c r="K400" i="1" s="1"/>
  <c r="G400" i="1"/>
  <c r="E400" i="1"/>
  <c r="D400" i="1"/>
  <c r="I399" i="1"/>
  <c r="K399" i="1" s="1"/>
  <c r="G399" i="1"/>
  <c r="E399" i="1"/>
  <c r="D399" i="1"/>
  <c r="I398" i="1"/>
  <c r="K398" i="1" s="1"/>
  <c r="N398" i="1" s="1"/>
  <c r="G398" i="1"/>
  <c r="E398" i="1"/>
  <c r="D398" i="1"/>
  <c r="N397" i="1"/>
  <c r="I397" i="1"/>
  <c r="K397" i="1" s="1"/>
  <c r="M397" i="1" s="1"/>
  <c r="G397" i="1"/>
  <c r="E397" i="1"/>
  <c r="D397" i="1"/>
  <c r="N396" i="1"/>
  <c r="M396" i="1"/>
  <c r="I396" i="1"/>
  <c r="K396" i="1" s="1"/>
  <c r="L396" i="1" s="1"/>
  <c r="G396" i="1"/>
  <c r="E396" i="1"/>
  <c r="D396" i="1"/>
  <c r="N395" i="1"/>
  <c r="M395" i="1"/>
  <c r="L395" i="1"/>
  <c r="I395" i="1"/>
  <c r="K395" i="1" s="1"/>
  <c r="G395" i="1"/>
  <c r="E395" i="1"/>
  <c r="D395" i="1"/>
  <c r="N394" i="1"/>
  <c r="M394" i="1"/>
  <c r="L394" i="1"/>
  <c r="I394" i="1"/>
  <c r="K394" i="1" s="1"/>
  <c r="G394" i="1"/>
  <c r="E394" i="1"/>
  <c r="D394" i="1"/>
  <c r="M393" i="1"/>
  <c r="I393" i="1"/>
  <c r="K393" i="1" s="1"/>
  <c r="N393" i="1" s="1"/>
  <c r="G393" i="1"/>
  <c r="E393" i="1"/>
  <c r="D393" i="1"/>
  <c r="I392" i="1"/>
  <c r="K392" i="1" s="1"/>
  <c r="G392" i="1"/>
  <c r="E392" i="1"/>
  <c r="D392" i="1"/>
  <c r="I391" i="1"/>
  <c r="K391" i="1" s="1"/>
  <c r="G391" i="1"/>
  <c r="E391" i="1"/>
  <c r="D391" i="1"/>
  <c r="I390" i="1"/>
  <c r="K390" i="1" s="1"/>
  <c r="N390" i="1" s="1"/>
  <c r="G390" i="1"/>
  <c r="E390" i="1"/>
  <c r="D390" i="1"/>
  <c r="N389" i="1"/>
  <c r="I389" i="1"/>
  <c r="K389" i="1" s="1"/>
  <c r="M389" i="1" s="1"/>
  <c r="G389" i="1"/>
  <c r="E389" i="1"/>
  <c r="D389" i="1"/>
  <c r="N388" i="1"/>
  <c r="M388" i="1"/>
  <c r="I388" i="1"/>
  <c r="K388" i="1" s="1"/>
  <c r="L388" i="1" s="1"/>
  <c r="G388" i="1"/>
  <c r="E388" i="1"/>
  <c r="D388" i="1"/>
  <c r="N387" i="1"/>
  <c r="M387" i="1"/>
  <c r="L387" i="1"/>
  <c r="I387" i="1"/>
  <c r="K387" i="1" s="1"/>
  <c r="G387" i="1"/>
  <c r="E387" i="1"/>
  <c r="D387" i="1"/>
  <c r="I386" i="1"/>
  <c r="K386" i="1" s="1"/>
  <c r="G386" i="1"/>
  <c r="E386" i="1"/>
  <c r="D386" i="1"/>
  <c r="I385" i="1"/>
  <c r="K385" i="1" s="1"/>
  <c r="G385" i="1"/>
  <c r="E385" i="1"/>
  <c r="D385" i="1"/>
  <c r="I384" i="1"/>
  <c r="K384" i="1" s="1"/>
  <c r="G384" i="1"/>
  <c r="E384" i="1"/>
  <c r="D384" i="1"/>
  <c r="I383" i="1"/>
  <c r="K383" i="1" s="1"/>
  <c r="G383" i="1"/>
  <c r="E383" i="1"/>
  <c r="D383" i="1"/>
  <c r="I382" i="1"/>
  <c r="K382" i="1" s="1"/>
  <c r="N382" i="1" s="1"/>
  <c r="G382" i="1"/>
  <c r="E382" i="1"/>
  <c r="D382" i="1"/>
  <c r="N381" i="1"/>
  <c r="I381" i="1"/>
  <c r="K381" i="1" s="1"/>
  <c r="M381" i="1" s="1"/>
  <c r="G381" i="1"/>
  <c r="E381" i="1"/>
  <c r="D381" i="1"/>
  <c r="N380" i="1"/>
  <c r="M380" i="1"/>
  <c r="I380" i="1"/>
  <c r="K380" i="1" s="1"/>
  <c r="L380" i="1" s="1"/>
  <c r="G380" i="1"/>
  <c r="E380" i="1"/>
  <c r="D380" i="1"/>
  <c r="N379" i="1"/>
  <c r="M379" i="1"/>
  <c r="L379" i="1"/>
  <c r="I379" i="1"/>
  <c r="K379" i="1" s="1"/>
  <c r="G379" i="1"/>
  <c r="E379" i="1"/>
  <c r="D379" i="1"/>
  <c r="N378" i="1"/>
  <c r="M378" i="1"/>
  <c r="L378" i="1"/>
  <c r="I378" i="1"/>
  <c r="K378" i="1" s="1"/>
  <c r="G378" i="1"/>
  <c r="E378" i="1"/>
  <c r="D378" i="1"/>
  <c r="I377" i="1"/>
  <c r="K377" i="1" s="1"/>
  <c r="N377" i="1" s="1"/>
  <c r="G377" i="1"/>
  <c r="E377" i="1"/>
  <c r="D377" i="1"/>
  <c r="I376" i="1"/>
  <c r="K376" i="1" s="1"/>
  <c r="G376" i="1"/>
  <c r="E376" i="1"/>
  <c r="D376" i="1"/>
  <c r="I375" i="1"/>
  <c r="K375" i="1" s="1"/>
  <c r="G375" i="1"/>
  <c r="E375" i="1"/>
  <c r="D375" i="1"/>
  <c r="I374" i="1"/>
  <c r="K374" i="1" s="1"/>
  <c r="N374" i="1" s="1"/>
  <c r="G374" i="1"/>
  <c r="E374" i="1"/>
  <c r="D374" i="1"/>
  <c r="N373" i="1"/>
  <c r="I373" i="1"/>
  <c r="K373" i="1" s="1"/>
  <c r="M373" i="1" s="1"/>
  <c r="G373" i="1"/>
  <c r="E373" i="1"/>
  <c r="D373" i="1"/>
  <c r="N372" i="1"/>
  <c r="M372" i="1"/>
  <c r="I372" i="1"/>
  <c r="K372" i="1" s="1"/>
  <c r="L372" i="1" s="1"/>
  <c r="G372" i="1"/>
  <c r="E372" i="1"/>
  <c r="D372" i="1"/>
  <c r="N371" i="1"/>
  <c r="M371" i="1"/>
  <c r="L371" i="1"/>
  <c r="I371" i="1"/>
  <c r="K371" i="1" s="1"/>
  <c r="G371" i="1"/>
  <c r="E371" i="1"/>
  <c r="D371" i="1"/>
  <c r="I370" i="1"/>
  <c r="K370" i="1" s="1"/>
  <c r="N370" i="1" s="1"/>
  <c r="G370" i="1"/>
  <c r="E370" i="1"/>
  <c r="D370" i="1"/>
  <c r="I369" i="1"/>
  <c r="K369" i="1" s="1"/>
  <c r="G369" i="1"/>
  <c r="E369" i="1"/>
  <c r="D369" i="1"/>
  <c r="L368" i="1"/>
  <c r="I368" i="1"/>
  <c r="K368" i="1" s="1"/>
  <c r="G368" i="1"/>
  <c r="E368" i="1"/>
  <c r="D368" i="1"/>
  <c r="I367" i="1"/>
  <c r="K367" i="1" s="1"/>
  <c r="G367" i="1"/>
  <c r="E367" i="1"/>
  <c r="D367" i="1"/>
  <c r="I366" i="1"/>
  <c r="K366" i="1" s="1"/>
  <c r="N366" i="1" s="1"/>
  <c r="G366" i="1"/>
  <c r="E366" i="1"/>
  <c r="D366" i="1"/>
  <c r="I365" i="1"/>
  <c r="G365" i="1"/>
  <c r="E365" i="1"/>
  <c r="D365" i="1"/>
  <c r="I364" i="1"/>
  <c r="G364" i="1"/>
  <c r="E364" i="1"/>
  <c r="D364" i="1"/>
  <c r="I363" i="1"/>
  <c r="G363" i="1"/>
  <c r="E363" i="1"/>
  <c r="D363" i="1"/>
  <c r="I362" i="1"/>
  <c r="G362" i="1"/>
  <c r="E362" i="1"/>
  <c r="D362" i="1"/>
  <c r="I361" i="1"/>
  <c r="G361" i="1"/>
  <c r="E361" i="1"/>
  <c r="D361" i="1"/>
  <c r="I360" i="1"/>
  <c r="G360" i="1"/>
  <c r="E360" i="1"/>
  <c r="D360" i="1"/>
  <c r="I359" i="1"/>
  <c r="G359" i="1"/>
  <c r="E359" i="1"/>
  <c r="D359" i="1"/>
  <c r="I358" i="1"/>
  <c r="G358" i="1"/>
  <c r="E358" i="1"/>
  <c r="D358" i="1"/>
  <c r="I357" i="1"/>
  <c r="G357" i="1"/>
  <c r="E357" i="1"/>
  <c r="D357" i="1"/>
  <c r="I356" i="1"/>
  <c r="G356" i="1"/>
  <c r="E356" i="1"/>
  <c r="D356" i="1"/>
  <c r="I355" i="1"/>
  <c r="G355" i="1"/>
  <c r="E355" i="1"/>
  <c r="D355" i="1"/>
  <c r="I354" i="1"/>
  <c r="G354" i="1"/>
  <c r="E354" i="1"/>
  <c r="D354" i="1"/>
  <c r="I353" i="1"/>
  <c r="G353" i="1"/>
  <c r="E353" i="1"/>
  <c r="D353" i="1"/>
  <c r="I352" i="1"/>
  <c r="G352" i="1"/>
  <c r="E352" i="1"/>
  <c r="D352" i="1"/>
  <c r="I351" i="1"/>
  <c r="G351" i="1"/>
  <c r="E351" i="1"/>
  <c r="D351" i="1"/>
  <c r="I350" i="1"/>
  <c r="G350" i="1"/>
  <c r="E350" i="1"/>
  <c r="D350" i="1"/>
  <c r="I349" i="1"/>
  <c r="G349" i="1"/>
  <c r="E349" i="1"/>
  <c r="D349" i="1"/>
  <c r="I348" i="1"/>
  <c r="G348" i="1"/>
  <c r="E348" i="1"/>
  <c r="D348" i="1"/>
  <c r="I347" i="1"/>
  <c r="G347" i="1"/>
  <c r="E347" i="1"/>
  <c r="D347" i="1"/>
  <c r="I346" i="1"/>
  <c r="G346" i="1"/>
  <c r="E346" i="1"/>
  <c r="D346" i="1"/>
  <c r="I345" i="1"/>
  <c r="G345" i="1"/>
  <c r="E345" i="1"/>
  <c r="D345" i="1"/>
  <c r="I344" i="1"/>
  <c r="G344" i="1"/>
  <c r="E344" i="1"/>
  <c r="D344" i="1"/>
  <c r="I343" i="1"/>
  <c r="G343" i="1"/>
  <c r="E343" i="1"/>
  <c r="D343" i="1"/>
  <c r="I342" i="1"/>
  <c r="G342" i="1"/>
  <c r="E342" i="1"/>
  <c r="D342" i="1"/>
  <c r="N341" i="1"/>
  <c r="I341" i="1"/>
  <c r="K341" i="1" s="1"/>
  <c r="M341" i="1" s="1"/>
  <c r="G341" i="1"/>
  <c r="E341" i="1"/>
  <c r="D341" i="1"/>
  <c r="N340" i="1"/>
  <c r="M340" i="1"/>
  <c r="I340" i="1"/>
  <c r="K340" i="1" s="1"/>
  <c r="L340" i="1" s="1"/>
  <c r="G340" i="1"/>
  <c r="E340" i="1"/>
  <c r="D340" i="1"/>
  <c r="N339" i="1"/>
  <c r="M339" i="1"/>
  <c r="L339" i="1"/>
  <c r="I339" i="1"/>
  <c r="K339" i="1" s="1"/>
  <c r="G339" i="1"/>
  <c r="E339" i="1"/>
  <c r="D339" i="1"/>
  <c r="N338" i="1"/>
  <c r="M338" i="1"/>
  <c r="L338" i="1"/>
  <c r="I338" i="1"/>
  <c r="K338" i="1" s="1"/>
  <c r="G338" i="1"/>
  <c r="E338" i="1"/>
  <c r="D338" i="1"/>
  <c r="I337" i="1"/>
  <c r="K337" i="1" s="1"/>
  <c r="N337" i="1" s="1"/>
  <c r="G337" i="1"/>
  <c r="E337" i="1"/>
  <c r="D337" i="1"/>
  <c r="I336" i="1"/>
  <c r="K336" i="1" s="1"/>
  <c r="G336" i="1"/>
  <c r="E336" i="1"/>
  <c r="D336" i="1"/>
  <c r="I335" i="1"/>
  <c r="K335" i="1" s="1"/>
  <c r="G335" i="1"/>
  <c r="E335" i="1"/>
  <c r="D335" i="1"/>
  <c r="I334" i="1"/>
  <c r="K334" i="1" s="1"/>
  <c r="G334" i="1"/>
  <c r="E334" i="1"/>
  <c r="D334" i="1"/>
  <c r="N333" i="1"/>
  <c r="I333" i="1"/>
  <c r="K333" i="1" s="1"/>
  <c r="M333" i="1" s="1"/>
  <c r="G333" i="1"/>
  <c r="E333" i="1"/>
  <c r="D333" i="1"/>
  <c r="N332" i="1"/>
  <c r="M332" i="1"/>
  <c r="I332" i="1"/>
  <c r="K332" i="1" s="1"/>
  <c r="L332" i="1" s="1"/>
  <c r="G332" i="1"/>
  <c r="E332" i="1"/>
  <c r="D332" i="1"/>
  <c r="N331" i="1"/>
  <c r="M331" i="1"/>
  <c r="L331" i="1"/>
  <c r="I331" i="1"/>
  <c r="K331" i="1" s="1"/>
  <c r="G331" i="1"/>
  <c r="E331" i="1"/>
  <c r="D331" i="1"/>
  <c r="I330" i="1"/>
  <c r="K330" i="1" s="1"/>
  <c r="G330" i="1"/>
  <c r="E330" i="1"/>
  <c r="D330" i="1"/>
  <c r="I329" i="1"/>
  <c r="K329" i="1" s="1"/>
  <c r="G329" i="1"/>
  <c r="E329" i="1"/>
  <c r="D329" i="1"/>
  <c r="I328" i="1"/>
  <c r="K328" i="1" s="1"/>
  <c r="G328" i="1"/>
  <c r="E328" i="1"/>
  <c r="D328" i="1"/>
  <c r="I327" i="1"/>
  <c r="K327" i="1" s="1"/>
  <c r="G327" i="1"/>
  <c r="E327" i="1"/>
  <c r="D327" i="1"/>
  <c r="K326" i="1"/>
  <c r="N326" i="1" s="1"/>
  <c r="I326" i="1"/>
  <c r="G326" i="1"/>
  <c r="E326" i="1"/>
  <c r="D326" i="1"/>
  <c r="I325" i="1"/>
  <c r="K325" i="1" s="1"/>
  <c r="G325" i="1"/>
  <c r="E325" i="1"/>
  <c r="D325" i="1"/>
  <c r="I324" i="1"/>
  <c r="K324" i="1" s="1"/>
  <c r="G324" i="1"/>
  <c r="E324" i="1"/>
  <c r="D324" i="1"/>
  <c r="K323" i="1"/>
  <c r="N323" i="1" s="1"/>
  <c r="I323" i="1"/>
  <c r="G323" i="1"/>
  <c r="E323" i="1"/>
  <c r="D323" i="1"/>
  <c r="I322" i="1"/>
  <c r="K322" i="1" s="1"/>
  <c r="G322" i="1"/>
  <c r="E322" i="1"/>
  <c r="D322" i="1"/>
  <c r="I321" i="1"/>
  <c r="K321" i="1" s="1"/>
  <c r="G321" i="1"/>
  <c r="E321" i="1"/>
  <c r="D321" i="1"/>
  <c r="M320" i="1"/>
  <c r="I320" i="1"/>
  <c r="K320" i="1" s="1"/>
  <c r="G320" i="1"/>
  <c r="E320" i="1"/>
  <c r="D320" i="1"/>
  <c r="M319" i="1"/>
  <c r="L319" i="1"/>
  <c r="I319" i="1"/>
  <c r="K319" i="1" s="1"/>
  <c r="N319" i="1" s="1"/>
  <c r="G319" i="1"/>
  <c r="E319" i="1"/>
  <c r="D319" i="1"/>
  <c r="L318" i="1"/>
  <c r="K318" i="1"/>
  <c r="I318" i="1"/>
  <c r="G318" i="1"/>
  <c r="E318" i="1"/>
  <c r="D318" i="1"/>
  <c r="I317" i="1"/>
  <c r="K317" i="1" s="1"/>
  <c r="G317" i="1"/>
  <c r="E317" i="1"/>
  <c r="D317" i="1"/>
  <c r="I316" i="1"/>
  <c r="K316" i="1" s="1"/>
  <c r="G316" i="1"/>
  <c r="E316" i="1"/>
  <c r="D316" i="1"/>
  <c r="I315" i="1"/>
  <c r="K315" i="1" s="1"/>
  <c r="G315" i="1"/>
  <c r="E315" i="1"/>
  <c r="D315" i="1"/>
  <c r="K314" i="1"/>
  <c r="L314" i="1" s="1"/>
  <c r="I314" i="1"/>
  <c r="G314" i="1"/>
  <c r="E314" i="1"/>
  <c r="D314" i="1"/>
  <c r="I313" i="1"/>
  <c r="K313" i="1" s="1"/>
  <c r="G313" i="1"/>
  <c r="E313" i="1"/>
  <c r="D313" i="1"/>
  <c r="I312" i="1"/>
  <c r="K312" i="1" s="1"/>
  <c r="G312" i="1"/>
  <c r="E312" i="1"/>
  <c r="D312" i="1"/>
  <c r="M311" i="1"/>
  <c r="L311" i="1"/>
  <c r="I311" i="1"/>
  <c r="K311" i="1" s="1"/>
  <c r="N311" i="1" s="1"/>
  <c r="G311" i="1"/>
  <c r="E311" i="1"/>
  <c r="D311" i="1"/>
  <c r="K310" i="1"/>
  <c r="N310" i="1" s="1"/>
  <c r="I310" i="1"/>
  <c r="G310" i="1"/>
  <c r="E310" i="1"/>
  <c r="D310" i="1"/>
  <c r="I309" i="1"/>
  <c r="K309" i="1" s="1"/>
  <c r="G309" i="1"/>
  <c r="E309" i="1"/>
  <c r="D309" i="1"/>
  <c r="L308" i="1"/>
  <c r="K308" i="1"/>
  <c r="I308" i="1"/>
  <c r="G308" i="1"/>
  <c r="E308" i="1"/>
  <c r="D308" i="1"/>
  <c r="I307" i="1"/>
  <c r="K307" i="1" s="1"/>
  <c r="G307" i="1"/>
  <c r="E307" i="1"/>
  <c r="D307" i="1"/>
  <c r="I306" i="1"/>
  <c r="K306" i="1" s="1"/>
  <c r="G306" i="1"/>
  <c r="E306" i="1"/>
  <c r="D306" i="1"/>
  <c r="I305" i="1"/>
  <c r="K305" i="1" s="1"/>
  <c r="G305" i="1"/>
  <c r="E305" i="1"/>
  <c r="D305" i="1"/>
  <c r="M304" i="1"/>
  <c r="I304" i="1"/>
  <c r="K304" i="1" s="1"/>
  <c r="G304" i="1"/>
  <c r="E304" i="1"/>
  <c r="D304" i="1"/>
  <c r="I303" i="1"/>
  <c r="K303" i="1" s="1"/>
  <c r="N303" i="1" s="1"/>
  <c r="G303" i="1"/>
  <c r="E303" i="1"/>
  <c r="D303" i="1"/>
  <c r="M302" i="1"/>
  <c r="L302" i="1"/>
  <c r="K302" i="1"/>
  <c r="N302" i="1" s="1"/>
  <c r="I302" i="1"/>
  <c r="G302" i="1"/>
  <c r="E302" i="1"/>
  <c r="D302" i="1"/>
  <c r="K301" i="1"/>
  <c r="N301" i="1" s="1"/>
  <c r="I301" i="1"/>
  <c r="G301" i="1"/>
  <c r="E301" i="1"/>
  <c r="D301" i="1"/>
  <c r="I300" i="1"/>
  <c r="K300" i="1" s="1"/>
  <c r="G300" i="1"/>
  <c r="E300" i="1"/>
  <c r="D300" i="1"/>
  <c r="K299" i="1"/>
  <c r="N299" i="1" s="1"/>
  <c r="I299" i="1"/>
  <c r="G299" i="1"/>
  <c r="E299" i="1"/>
  <c r="D299" i="1"/>
  <c r="K298" i="1"/>
  <c r="I298" i="1"/>
  <c r="G298" i="1"/>
  <c r="E298" i="1"/>
  <c r="D298" i="1"/>
  <c r="K297" i="1"/>
  <c r="I297" i="1"/>
  <c r="G297" i="1"/>
  <c r="E297" i="1"/>
  <c r="D297" i="1"/>
  <c r="I296" i="1"/>
  <c r="K296" i="1" s="1"/>
  <c r="G296" i="1"/>
  <c r="E296" i="1"/>
  <c r="D296" i="1"/>
  <c r="M295" i="1"/>
  <c r="L295" i="1"/>
  <c r="K295" i="1"/>
  <c r="N295" i="1" s="1"/>
  <c r="I295" i="1"/>
  <c r="G295" i="1"/>
  <c r="E295" i="1"/>
  <c r="D295" i="1"/>
  <c r="K294" i="1"/>
  <c r="I294" i="1"/>
  <c r="G294" i="1"/>
  <c r="E294" i="1"/>
  <c r="D294" i="1"/>
  <c r="I293" i="1"/>
  <c r="K293" i="1" s="1"/>
  <c r="G293" i="1"/>
  <c r="E293" i="1"/>
  <c r="D293" i="1"/>
  <c r="I292" i="1"/>
  <c r="K292" i="1" s="1"/>
  <c r="G292" i="1"/>
  <c r="E292" i="1"/>
  <c r="D292" i="1"/>
  <c r="I291" i="1"/>
  <c r="K291" i="1" s="1"/>
  <c r="N291" i="1" s="1"/>
  <c r="G291" i="1"/>
  <c r="E291" i="1"/>
  <c r="D291" i="1"/>
  <c r="K290" i="1"/>
  <c r="I290" i="1"/>
  <c r="G290" i="1"/>
  <c r="E290" i="1"/>
  <c r="D290" i="1"/>
  <c r="K289" i="1"/>
  <c r="I289" i="1"/>
  <c r="G289" i="1"/>
  <c r="E289" i="1"/>
  <c r="D289" i="1"/>
  <c r="I288" i="1"/>
  <c r="K288" i="1" s="1"/>
  <c r="G288" i="1"/>
  <c r="E288" i="1"/>
  <c r="D288" i="1"/>
  <c r="M287" i="1"/>
  <c r="L287" i="1"/>
  <c r="K287" i="1"/>
  <c r="N287" i="1" s="1"/>
  <c r="I287" i="1"/>
  <c r="G287" i="1"/>
  <c r="E287" i="1"/>
  <c r="D287" i="1"/>
  <c r="M286" i="1"/>
  <c r="K286" i="1"/>
  <c r="N286" i="1" s="1"/>
  <c r="I286" i="1"/>
  <c r="G286" i="1"/>
  <c r="E286" i="1"/>
  <c r="D286" i="1"/>
  <c r="I285" i="1"/>
  <c r="K285" i="1" s="1"/>
  <c r="N285" i="1" s="1"/>
  <c r="G285" i="1"/>
  <c r="E285" i="1"/>
  <c r="D285" i="1"/>
  <c r="K284" i="1"/>
  <c r="I284" i="1"/>
  <c r="G284" i="1"/>
  <c r="E284" i="1"/>
  <c r="D284" i="1"/>
  <c r="I283" i="1"/>
  <c r="K283" i="1" s="1"/>
  <c r="G283" i="1"/>
  <c r="E283" i="1"/>
  <c r="D283" i="1"/>
  <c r="I282" i="1"/>
  <c r="K282" i="1" s="1"/>
  <c r="G282" i="1"/>
  <c r="E282" i="1"/>
  <c r="D282" i="1"/>
  <c r="I281" i="1"/>
  <c r="K281" i="1" s="1"/>
  <c r="G281" i="1"/>
  <c r="E281" i="1"/>
  <c r="D281" i="1"/>
  <c r="I280" i="1"/>
  <c r="K280" i="1" s="1"/>
  <c r="G280" i="1"/>
  <c r="E280" i="1"/>
  <c r="D280" i="1"/>
  <c r="M279" i="1"/>
  <c r="L279" i="1"/>
  <c r="K279" i="1"/>
  <c r="N279" i="1" s="1"/>
  <c r="I279" i="1"/>
  <c r="G279" i="1"/>
  <c r="E279" i="1"/>
  <c r="D279" i="1"/>
  <c r="M278" i="1"/>
  <c r="K278" i="1"/>
  <c r="N278" i="1" s="1"/>
  <c r="I278" i="1"/>
  <c r="G278" i="1"/>
  <c r="E278" i="1"/>
  <c r="D278" i="1"/>
  <c r="I277" i="1"/>
  <c r="K277" i="1" s="1"/>
  <c r="N277" i="1" s="1"/>
  <c r="G277" i="1"/>
  <c r="E277" i="1"/>
  <c r="D277" i="1"/>
  <c r="M276" i="1"/>
  <c r="L276" i="1"/>
  <c r="K276" i="1"/>
  <c r="N276" i="1" s="1"/>
  <c r="I276" i="1"/>
  <c r="G276" i="1"/>
  <c r="E276" i="1"/>
  <c r="D276" i="1"/>
  <c r="K275" i="1"/>
  <c r="N275" i="1" s="1"/>
  <c r="I275" i="1"/>
  <c r="G275" i="1"/>
  <c r="E275" i="1"/>
  <c r="D275" i="1"/>
  <c r="I274" i="1"/>
  <c r="K274" i="1" s="1"/>
  <c r="G274" i="1"/>
  <c r="E274" i="1"/>
  <c r="D274" i="1"/>
  <c r="I273" i="1"/>
  <c r="K273" i="1" s="1"/>
  <c r="G273" i="1"/>
  <c r="E273" i="1"/>
  <c r="D273" i="1"/>
  <c r="I272" i="1"/>
  <c r="K272" i="1" s="1"/>
  <c r="G272" i="1"/>
  <c r="E272" i="1"/>
  <c r="D272" i="1"/>
  <c r="M271" i="1"/>
  <c r="L271" i="1"/>
  <c r="K271" i="1"/>
  <c r="N271" i="1" s="1"/>
  <c r="I271" i="1"/>
  <c r="G271" i="1"/>
  <c r="E271" i="1"/>
  <c r="D271" i="1"/>
  <c r="K270" i="1"/>
  <c r="I270" i="1"/>
  <c r="G270" i="1"/>
  <c r="E270" i="1"/>
  <c r="D270" i="1"/>
  <c r="I269" i="1"/>
  <c r="K269" i="1" s="1"/>
  <c r="G269" i="1"/>
  <c r="E269" i="1"/>
  <c r="D269" i="1"/>
  <c r="I268" i="1"/>
  <c r="K268" i="1" s="1"/>
  <c r="G268" i="1"/>
  <c r="E268" i="1"/>
  <c r="D268" i="1"/>
  <c r="I267" i="1"/>
  <c r="K267" i="1" s="1"/>
  <c r="M267" i="1" s="1"/>
  <c r="G267" i="1"/>
  <c r="E267" i="1"/>
  <c r="D267" i="1"/>
  <c r="K266" i="1"/>
  <c r="I266" i="1"/>
  <c r="G266" i="1"/>
  <c r="E266" i="1"/>
  <c r="D266" i="1"/>
  <c r="I265" i="1"/>
  <c r="K265" i="1" s="1"/>
  <c r="G265" i="1"/>
  <c r="E265" i="1"/>
  <c r="D265" i="1"/>
  <c r="I264" i="1"/>
  <c r="K264" i="1" s="1"/>
  <c r="G264" i="1"/>
  <c r="E264" i="1"/>
  <c r="D264" i="1"/>
  <c r="K263" i="1"/>
  <c r="N263" i="1" s="1"/>
  <c r="I263" i="1"/>
  <c r="G263" i="1"/>
  <c r="E263" i="1"/>
  <c r="D263" i="1"/>
  <c r="M262" i="1"/>
  <c r="I262" i="1"/>
  <c r="K262" i="1" s="1"/>
  <c r="G262" i="1"/>
  <c r="E262" i="1"/>
  <c r="D262" i="1"/>
  <c r="I261" i="1"/>
  <c r="K261" i="1" s="1"/>
  <c r="G261" i="1"/>
  <c r="E261" i="1"/>
  <c r="D261" i="1"/>
  <c r="K260" i="1"/>
  <c r="N260" i="1" s="1"/>
  <c r="I260" i="1"/>
  <c r="G260" i="1"/>
  <c r="E260" i="1"/>
  <c r="D260" i="1"/>
  <c r="I259" i="1"/>
  <c r="K259" i="1" s="1"/>
  <c r="G259" i="1"/>
  <c r="E259" i="1"/>
  <c r="D259" i="1"/>
  <c r="I258" i="1"/>
  <c r="K258" i="1" s="1"/>
  <c r="G258" i="1"/>
  <c r="E258" i="1"/>
  <c r="D258" i="1"/>
  <c r="I257" i="1"/>
  <c r="K257" i="1" s="1"/>
  <c r="G257" i="1"/>
  <c r="E257" i="1"/>
  <c r="D257" i="1"/>
  <c r="N256" i="1"/>
  <c r="I256" i="1"/>
  <c r="K256" i="1" s="1"/>
  <c r="G256" i="1"/>
  <c r="E256" i="1"/>
  <c r="D256" i="1"/>
  <c r="N255" i="1"/>
  <c r="I255" i="1"/>
  <c r="K255" i="1" s="1"/>
  <c r="L255" i="1" s="1"/>
  <c r="G255" i="1"/>
  <c r="E255" i="1"/>
  <c r="D255" i="1"/>
  <c r="K254" i="1"/>
  <c r="I254" i="1"/>
  <c r="G254" i="1"/>
  <c r="E254" i="1"/>
  <c r="D254" i="1"/>
  <c r="I253" i="1"/>
  <c r="K253" i="1" s="1"/>
  <c r="G253" i="1"/>
  <c r="E253" i="1"/>
  <c r="D253" i="1"/>
  <c r="I252" i="1"/>
  <c r="K252" i="1" s="1"/>
  <c r="G252" i="1"/>
  <c r="E252" i="1"/>
  <c r="D252" i="1"/>
  <c r="I251" i="1"/>
  <c r="K251" i="1" s="1"/>
  <c r="G251" i="1"/>
  <c r="E251" i="1"/>
  <c r="D251" i="1"/>
  <c r="I250" i="1"/>
  <c r="K250" i="1" s="1"/>
  <c r="G250" i="1"/>
  <c r="E250" i="1"/>
  <c r="D250" i="1"/>
  <c r="I249" i="1"/>
  <c r="K249" i="1" s="1"/>
  <c r="G249" i="1"/>
  <c r="E249" i="1"/>
  <c r="D249" i="1"/>
  <c r="I248" i="1"/>
  <c r="K248" i="1" s="1"/>
  <c r="G248" i="1"/>
  <c r="E248" i="1"/>
  <c r="D248" i="1"/>
  <c r="N247" i="1"/>
  <c r="M247" i="1"/>
  <c r="I247" i="1"/>
  <c r="K247" i="1" s="1"/>
  <c r="L247" i="1" s="1"/>
  <c r="G247" i="1"/>
  <c r="E247" i="1"/>
  <c r="D247" i="1"/>
  <c r="K246" i="1"/>
  <c r="I246" i="1"/>
  <c r="G246" i="1"/>
  <c r="E246" i="1"/>
  <c r="D246" i="1"/>
  <c r="I245" i="1"/>
  <c r="K245" i="1" s="1"/>
  <c r="G245" i="1"/>
  <c r="E245" i="1"/>
  <c r="D245" i="1"/>
  <c r="I244" i="1"/>
  <c r="K244" i="1" s="1"/>
  <c r="G244" i="1"/>
  <c r="E244" i="1"/>
  <c r="D244" i="1"/>
  <c r="I243" i="1"/>
  <c r="K243" i="1" s="1"/>
  <c r="G243" i="1"/>
  <c r="E243" i="1"/>
  <c r="D243" i="1"/>
  <c r="I242" i="1"/>
  <c r="K242" i="1" s="1"/>
  <c r="G242" i="1"/>
  <c r="E242" i="1"/>
  <c r="D242" i="1"/>
  <c r="K241" i="1"/>
  <c r="I241" i="1"/>
  <c r="G241" i="1"/>
  <c r="E241" i="1"/>
  <c r="D241" i="1"/>
  <c r="I240" i="1"/>
  <c r="K240" i="1" s="1"/>
  <c r="N240" i="1" s="1"/>
  <c r="G240" i="1"/>
  <c r="E240" i="1"/>
  <c r="D240" i="1"/>
  <c r="I239" i="1"/>
  <c r="K239" i="1" s="1"/>
  <c r="L239" i="1" s="1"/>
  <c r="G239" i="1"/>
  <c r="E239" i="1"/>
  <c r="D239" i="1"/>
  <c r="N238" i="1"/>
  <c r="M238" i="1"/>
  <c r="K238" i="1"/>
  <c r="L238" i="1" s="1"/>
  <c r="I238" i="1"/>
  <c r="G238" i="1"/>
  <c r="E238" i="1"/>
  <c r="D238" i="1"/>
  <c r="K237" i="1"/>
  <c r="M237" i="1" s="1"/>
  <c r="I237" i="1"/>
  <c r="G237" i="1"/>
  <c r="E237" i="1"/>
  <c r="D237" i="1"/>
  <c r="I236" i="1"/>
  <c r="K236" i="1" s="1"/>
  <c r="G236" i="1"/>
  <c r="E236" i="1"/>
  <c r="D236" i="1"/>
  <c r="I235" i="1"/>
  <c r="K235" i="1" s="1"/>
  <c r="G235" i="1"/>
  <c r="E235" i="1"/>
  <c r="D235" i="1"/>
  <c r="I234" i="1"/>
  <c r="K234" i="1" s="1"/>
  <c r="G234" i="1"/>
  <c r="E234" i="1"/>
  <c r="D234" i="1"/>
  <c r="I233" i="1"/>
  <c r="K233" i="1" s="1"/>
  <c r="G233" i="1"/>
  <c r="E233" i="1"/>
  <c r="D233" i="1"/>
  <c r="I232" i="1"/>
  <c r="K232" i="1" s="1"/>
  <c r="G232" i="1"/>
  <c r="E232" i="1"/>
  <c r="D232" i="1"/>
  <c r="I231" i="1"/>
  <c r="K231" i="1" s="1"/>
  <c r="L231" i="1" s="1"/>
  <c r="G231" i="1"/>
  <c r="E231" i="1"/>
  <c r="D231" i="1"/>
  <c r="K230" i="1"/>
  <c r="L230" i="1" s="1"/>
  <c r="I230" i="1"/>
  <c r="G230" i="1"/>
  <c r="E230" i="1"/>
  <c r="D230" i="1"/>
  <c r="N229" i="1"/>
  <c r="I229" i="1"/>
  <c r="K229" i="1" s="1"/>
  <c r="G229" i="1"/>
  <c r="E229" i="1"/>
  <c r="D229" i="1"/>
  <c r="I228" i="1"/>
  <c r="K228" i="1" s="1"/>
  <c r="L228" i="1" s="1"/>
  <c r="G228" i="1"/>
  <c r="E228" i="1"/>
  <c r="D228" i="1"/>
  <c r="K227" i="1"/>
  <c r="I227" i="1"/>
  <c r="G227" i="1"/>
  <c r="E227" i="1"/>
  <c r="D227" i="1"/>
  <c r="I226" i="1"/>
  <c r="K226" i="1" s="1"/>
  <c r="G226" i="1"/>
  <c r="E226" i="1"/>
  <c r="D226" i="1"/>
  <c r="K225" i="1"/>
  <c r="I225" i="1"/>
  <c r="G225" i="1"/>
  <c r="E225" i="1"/>
  <c r="D225" i="1"/>
  <c r="N224" i="1"/>
  <c r="I224" i="1"/>
  <c r="K224" i="1" s="1"/>
  <c r="G224" i="1"/>
  <c r="E224" i="1"/>
  <c r="D224" i="1"/>
  <c r="M223" i="1"/>
  <c r="I223" i="1"/>
  <c r="K223" i="1" s="1"/>
  <c r="G223" i="1"/>
  <c r="E223" i="1"/>
  <c r="D223" i="1"/>
  <c r="K222" i="1"/>
  <c r="L222" i="1" s="1"/>
  <c r="I222" i="1"/>
  <c r="G222" i="1"/>
  <c r="E222" i="1"/>
  <c r="D222" i="1"/>
  <c r="I221" i="1"/>
  <c r="K221" i="1" s="1"/>
  <c r="G221" i="1"/>
  <c r="E221" i="1"/>
  <c r="D221" i="1"/>
  <c r="K220" i="1"/>
  <c r="L220" i="1" s="1"/>
  <c r="I220" i="1"/>
  <c r="G220" i="1"/>
  <c r="E220" i="1"/>
  <c r="D220" i="1"/>
  <c r="I219" i="1"/>
  <c r="K219" i="1" s="1"/>
  <c r="G219" i="1"/>
  <c r="E219" i="1"/>
  <c r="D219" i="1"/>
  <c r="M218" i="1"/>
  <c r="K218" i="1"/>
  <c r="I218" i="1"/>
  <c r="G218" i="1"/>
  <c r="E218" i="1"/>
  <c r="D218" i="1"/>
  <c r="I217" i="1"/>
  <c r="K217" i="1" s="1"/>
  <c r="G217" i="1"/>
  <c r="E217" i="1"/>
  <c r="D217" i="1"/>
  <c r="I216" i="1"/>
  <c r="K216" i="1" s="1"/>
  <c r="G216" i="1"/>
  <c r="E216" i="1"/>
  <c r="D216" i="1"/>
  <c r="N215" i="1"/>
  <c r="M215" i="1"/>
  <c r="I215" i="1"/>
  <c r="K215" i="1" s="1"/>
  <c r="L215" i="1" s="1"/>
  <c r="G215" i="1"/>
  <c r="E215" i="1"/>
  <c r="D215" i="1"/>
  <c r="K214" i="1"/>
  <c r="M214" i="1" s="1"/>
  <c r="I214" i="1"/>
  <c r="G214" i="1"/>
  <c r="E214" i="1"/>
  <c r="D214" i="1"/>
  <c r="I213" i="1"/>
  <c r="K213" i="1" s="1"/>
  <c r="G213" i="1"/>
  <c r="E213" i="1"/>
  <c r="D213" i="1"/>
  <c r="I212" i="1"/>
  <c r="K212" i="1" s="1"/>
  <c r="G212" i="1"/>
  <c r="E212" i="1"/>
  <c r="D212" i="1"/>
  <c r="I211" i="1"/>
  <c r="K211" i="1" s="1"/>
  <c r="G211" i="1"/>
  <c r="E211" i="1"/>
  <c r="D211" i="1"/>
  <c r="K210" i="1"/>
  <c r="N210" i="1" s="1"/>
  <c r="I210" i="1"/>
  <c r="G210" i="1"/>
  <c r="E210" i="1"/>
  <c r="D210" i="1"/>
  <c r="I209" i="1"/>
  <c r="K209" i="1" s="1"/>
  <c r="M209" i="1" s="1"/>
  <c r="G209" i="1"/>
  <c r="E209" i="1"/>
  <c r="D209" i="1"/>
  <c r="I208" i="1"/>
  <c r="K208" i="1" s="1"/>
  <c r="N208" i="1" s="1"/>
  <c r="G208" i="1"/>
  <c r="E208" i="1"/>
  <c r="D208" i="1"/>
  <c r="M207" i="1"/>
  <c r="L207" i="1"/>
  <c r="K207" i="1"/>
  <c r="N207" i="1" s="1"/>
  <c r="I207" i="1"/>
  <c r="G207" i="1"/>
  <c r="E207" i="1"/>
  <c r="D207" i="1"/>
  <c r="I206" i="1"/>
  <c r="K206" i="1" s="1"/>
  <c r="G206" i="1"/>
  <c r="E206" i="1"/>
  <c r="D206" i="1"/>
  <c r="I205" i="1"/>
  <c r="K205" i="1" s="1"/>
  <c r="G205" i="1"/>
  <c r="E205" i="1"/>
  <c r="D205" i="1"/>
  <c r="I204" i="1"/>
  <c r="K204" i="1" s="1"/>
  <c r="G204" i="1"/>
  <c r="E204" i="1"/>
  <c r="D204" i="1"/>
  <c r="I203" i="1"/>
  <c r="K203" i="1" s="1"/>
  <c r="G203" i="1"/>
  <c r="E203" i="1"/>
  <c r="D203" i="1"/>
  <c r="K202" i="1"/>
  <c r="N202" i="1" s="1"/>
  <c r="I202" i="1"/>
  <c r="G202" i="1"/>
  <c r="E202" i="1"/>
  <c r="D202" i="1"/>
  <c r="I201" i="1"/>
  <c r="K201" i="1" s="1"/>
  <c r="G201" i="1"/>
  <c r="E201" i="1"/>
  <c r="D201" i="1"/>
  <c r="I200" i="1"/>
  <c r="K200" i="1" s="1"/>
  <c r="N200" i="1" s="1"/>
  <c r="G200" i="1"/>
  <c r="E200" i="1"/>
  <c r="D200" i="1"/>
  <c r="K199" i="1"/>
  <c r="N199" i="1" s="1"/>
  <c r="I199" i="1"/>
  <c r="G199" i="1"/>
  <c r="E199" i="1"/>
  <c r="D199" i="1"/>
  <c r="I198" i="1"/>
  <c r="K198" i="1" s="1"/>
  <c r="G198" i="1"/>
  <c r="E198" i="1"/>
  <c r="D198" i="1"/>
  <c r="I197" i="1"/>
  <c r="K197" i="1" s="1"/>
  <c r="G197" i="1"/>
  <c r="E197" i="1"/>
  <c r="D197" i="1"/>
  <c r="I196" i="1"/>
  <c r="K196" i="1" s="1"/>
  <c r="G196" i="1"/>
  <c r="E196" i="1"/>
  <c r="D196" i="1"/>
  <c r="I195" i="1"/>
  <c r="K195" i="1" s="1"/>
  <c r="G195" i="1"/>
  <c r="E195" i="1"/>
  <c r="D195" i="1"/>
  <c r="K194" i="1"/>
  <c r="N194" i="1" s="1"/>
  <c r="I194" i="1"/>
  <c r="G194" i="1"/>
  <c r="E194" i="1"/>
  <c r="D194" i="1"/>
  <c r="M193" i="1"/>
  <c r="I193" i="1"/>
  <c r="K193" i="1" s="1"/>
  <c r="G193" i="1"/>
  <c r="E193" i="1"/>
  <c r="D193" i="1"/>
  <c r="I192" i="1"/>
  <c r="K192" i="1" s="1"/>
  <c r="N192" i="1" s="1"/>
  <c r="G192" i="1"/>
  <c r="E192" i="1"/>
  <c r="D192" i="1"/>
  <c r="K191" i="1"/>
  <c r="N191" i="1" s="1"/>
  <c r="I191" i="1"/>
  <c r="G191" i="1"/>
  <c r="E191" i="1"/>
  <c r="D191" i="1"/>
  <c r="I190" i="1"/>
  <c r="K190" i="1" s="1"/>
  <c r="G190" i="1"/>
  <c r="E190" i="1"/>
  <c r="D190" i="1"/>
  <c r="K189" i="1"/>
  <c r="I189" i="1"/>
  <c r="G189" i="1"/>
  <c r="E189" i="1"/>
  <c r="D189" i="1"/>
  <c r="I188" i="1"/>
  <c r="K188" i="1" s="1"/>
  <c r="G188" i="1"/>
  <c r="E188" i="1"/>
  <c r="D188" i="1"/>
  <c r="I187" i="1"/>
  <c r="K187" i="1" s="1"/>
  <c r="G187" i="1"/>
  <c r="E187" i="1"/>
  <c r="D187" i="1"/>
  <c r="K186" i="1"/>
  <c r="N186" i="1" s="1"/>
  <c r="I186" i="1"/>
  <c r="G186" i="1"/>
  <c r="E186" i="1"/>
  <c r="D186" i="1"/>
  <c r="I185" i="1"/>
  <c r="K185" i="1" s="1"/>
  <c r="G185" i="1"/>
  <c r="E185" i="1"/>
  <c r="D185" i="1"/>
  <c r="M184" i="1"/>
  <c r="L184" i="1"/>
  <c r="I184" i="1"/>
  <c r="K184" i="1" s="1"/>
  <c r="N184" i="1" s="1"/>
  <c r="G184" i="1"/>
  <c r="E184" i="1"/>
  <c r="D184" i="1"/>
  <c r="K183" i="1"/>
  <c r="N183" i="1" s="1"/>
  <c r="I183" i="1"/>
  <c r="G183" i="1"/>
  <c r="E183" i="1"/>
  <c r="D183" i="1"/>
  <c r="I182" i="1"/>
  <c r="K182" i="1" s="1"/>
  <c r="G182" i="1"/>
  <c r="E182" i="1"/>
  <c r="D182" i="1"/>
  <c r="I181" i="1"/>
  <c r="K181" i="1" s="1"/>
  <c r="G181" i="1"/>
  <c r="E181" i="1"/>
  <c r="D181" i="1"/>
  <c r="I180" i="1"/>
  <c r="K180" i="1" s="1"/>
  <c r="G180" i="1"/>
  <c r="E180" i="1"/>
  <c r="D180" i="1"/>
  <c r="I179" i="1"/>
  <c r="K179" i="1" s="1"/>
  <c r="G179" i="1"/>
  <c r="E179" i="1"/>
  <c r="D179" i="1"/>
  <c r="K178" i="1"/>
  <c r="N178" i="1" s="1"/>
  <c r="I178" i="1"/>
  <c r="G178" i="1"/>
  <c r="E178" i="1"/>
  <c r="D178" i="1"/>
  <c r="I177" i="1"/>
  <c r="K177" i="1" s="1"/>
  <c r="G177" i="1"/>
  <c r="E177" i="1"/>
  <c r="D177" i="1"/>
  <c r="I176" i="1"/>
  <c r="K176" i="1" s="1"/>
  <c r="N176" i="1" s="1"/>
  <c r="G176" i="1"/>
  <c r="E176" i="1"/>
  <c r="D176" i="1"/>
  <c r="M175" i="1"/>
  <c r="L175" i="1"/>
  <c r="K175" i="1"/>
  <c r="N175" i="1" s="1"/>
  <c r="I175" i="1"/>
  <c r="G175" i="1"/>
  <c r="E175" i="1"/>
  <c r="D175" i="1"/>
  <c r="I174" i="1"/>
  <c r="K174" i="1" s="1"/>
  <c r="G174" i="1"/>
  <c r="E174" i="1"/>
  <c r="D174" i="1"/>
  <c r="I173" i="1"/>
  <c r="K173" i="1" s="1"/>
  <c r="G173" i="1"/>
  <c r="E173" i="1"/>
  <c r="D173" i="1"/>
  <c r="I172" i="1"/>
  <c r="K172" i="1" s="1"/>
  <c r="G172" i="1"/>
  <c r="E172" i="1"/>
  <c r="D172" i="1"/>
  <c r="I171" i="1"/>
  <c r="K171" i="1" s="1"/>
  <c r="G171" i="1"/>
  <c r="E171" i="1"/>
  <c r="D171" i="1"/>
  <c r="K170" i="1"/>
  <c r="N170" i="1" s="1"/>
  <c r="I170" i="1"/>
  <c r="G170" i="1"/>
  <c r="E170" i="1"/>
  <c r="D170" i="1"/>
  <c r="I169" i="1"/>
  <c r="K169" i="1" s="1"/>
  <c r="G169" i="1"/>
  <c r="E169" i="1"/>
  <c r="D169" i="1"/>
  <c r="I168" i="1"/>
  <c r="K168" i="1" s="1"/>
  <c r="N168" i="1" s="1"/>
  <c r="G168" i="1"/>
  <c r="E168" i="1"/>
  <c r="D168" i="1"/>
  <c r="K167" i="1"/>
  <c r="N167" i="1" s="1"/>
  <c r="I167" i="1"/>
  <c r="G167" i="1"/>
  <c r="E167" i="1"/>
  <c r="D167" i="1"/>
  <c r="I166" i="1"/>
  <c r="K166" i="1" s="1"/>
  <c r="G166" i="1"/>
  <c r="E166" i="1"/>
  <c r="D166" i="1"/>
  <c r="I165" i="1"/>
  <c r="K165" i="1" s="1"/>
  <c r="G165" i="1"/>
  <c r="E165" i="1"/>
  <c r="D165" i="1"/>
  <c r="I164" i="1"/>
  <c r="K164" i="1" s="1"/>
  <c r="G164" i="1"/>
  <c r="E164" i="1"/>
  <c r="D164" i="1"/>
  <c r="I163" i="1"/>
  <c r="K163" i="1" s="1"/>
  <c r="G163" i="1"/>
  <c r="E163" i="1"/>
  <c r="D163" i="1"/>
  <c r="K162" i="1"/>
  <c r="N162" i="1" s="1"/>
  <c r="I162" i="1"/>
  <c r="G162" i="1"/>
  <c r="E162" i="1"/>
  <c r="D162" i="1"/>
  <c r="M161" i="1"/>
  <c r="I161" i="1"/>
  <c r="K161" i="1" s="1"/>
  <c r="G161" i="1"/>
  <c r="E161" i="1"/>
  <c r="D161" i="1"/>
  <c r="I160" i="1"/>
  <c r="K160" i="1" s="1"/>
  <c r="N160" i="1" s="1"/>
  <c r="G160" i="1"/>
  <c r="E160" i="1"/>
  <c r="D160" i="1"/>
  <c r="K159" i="1"/>
  <c r="N159" i="1" s="1"/>
  <c r="I159" i="1"/>
  <c r="G159" i="1"/>
  <c r="E159" i="1"/>
  <c r="D159" i="1"/>
  <c r="I158" i="1"/>
  <c r="K158" i="1" s="1"/>
  <c r="G158" i="1"/>
  <c r="E158" i="1"/>
  <c r="D158" i="1"/>
  <c r="K157" i="1"/>
  <c r="I157" i="1"/>
  <c r="G157" i="1"/>
  <c r="E157" i="1"/>
  <c r="D157" i="1"/>
  <c r="I156" i="1"/>
  <c r="K156" i="1" s="1"/>
  <c r="G156" i="1"/>
  <c r="E156" i="1"/>
  <c r="D156" i="1"/>
  <c r="I155" i="1"/>
  <c r="K155" i="1" s="1"/>
  <c r="G155" i="1"/>
  <c r="E155" i="1"/>
  <c r="D155" i="1"/>
  <c r="K154" i="1"/>
  <c r="N154" i="1" s="1"/>
  <c r="I154" i="1"/>
  <c r="G154" i="1"/>
  <c r="E154" i="1"/>
  <c r="D154" i="1"/>
  <c r="I153" i="1"/>
  <c r="K153" i="1" s="1"/>
  <c r="G153" i="1"/>
  <c r="E153" i="1"/>
  <c r="D153" i="1"/>
  <c r="M152" i="1"/>
  <c r="L152" i="1"/>
  <c r="I152" i="1"/>
  <c r="K152" i="1" s="1"/>
  <c r="N152" i="1" s="1"/>
  <c r="G152" i="1"/>
  <c r="E152" i="1"/>
  <c r="D152" i="1"/>
  <c r="K151" i="1"/>
  <c r="N151" i="1" s="1"/>
  <c r="I151" i="1"/>
  <c r="G151" i="1"/>
  <c r="E151" i="1"/>
  <c r="D151" i="1"/>
  <c r="I150" i="1"/>
  <c r="K150" i="1" s="1"/>
  <c r="G150" i="1"/>
  <c r="E150" i="1"/>
  <c r="D150" i="1"/>
  <c r="I149" i="1"/>
  <c r="K149" i="1" s="1"/>
  <c r="G149" i="1"/>
  <c r="E149" i="1"/>
  <c r="D149" i="1"/>
  <c r="I148" i="1"/>
  <c r="K148" i="1" s="1"/>
  <c r="G148" i="1"/>
  <c r="E148" i="1"/>
  <c r="D148" i="1"/>
  <c r="I147" i="1"/>
  <c r="K147" i="1" s="1"/>
  <c r="G147" i="1"/>
  <c r="E147" i="1"/>
  <c r="D147" i="1"/>
  <c r="K146" i="1"/>
  <c r="N146" i="1" s="1"/>
  <c r="I146" i="1"/>
  <c r="G146" i="1"/>
  <c r="E146" i="1"/>
  <c r="D146" i="1"/>
  <c r="I145" i="1"/>
  <c r="K145" i="1" s="1"/>
  <c r="G145" i="1"/>
  <c r="E145" i="1"/>
  <c r="D145" i="1"/>
  <c r="I144" i="1"/>
  <c r="K144" i="1" s="1"/>
  <c r="N144" i="1" s="1"/>
  <c r="G144" i="1"/>
  <c r="E144" i="1"/>
  <c r="D144" i="1"/>
  <c r="M143" i="1"/>
  <c r="L143" i="1"/>
  <c r="K143" i="1"/>
  <c r="N143" i="1" s="1"/>
  <c r="I143" i="1"/>
  <c r="G143" i="1"/>
  <c r="E143" i="1"/>
  <c r="D143" i="1"/>
  <c r="I142" i="1"/>
  <c r="K142" i="1" s="1"/>
  <c r="G142" i="1"/>
  <c r="E142" i="1"/>
  <c r="D142" i="1"/>
  <c r="I141" i="1"/>
  <c r="K141" i="1" s="1"/>
  <c r="G141" i="1"/>
  <c r="E141" i="1"/>
  <c r="D141" i="1"/>
  <c r="I140" i="1"/>
  <c r="K140" i="1" s="1"/>
  <c r="G140" i="1"/>
  <c r="E140" i="1"/>
  <c r="D140" i="1"/>
  <c r="I139" i="1"/>
  <c r="K139" i="1" s="1"/>
  <c r="G139" i="1"/>
  <c r="E139" i="1"/>
  <c r="D139" i="1"/>
  <c r="K138" i="1"/>
  <c r="N138" i="1" s="1"/>
  <c r="I138" i="1"/>
  <c r="G138" i="1"/>
  <c r="E138" i="1"/>
  <c r="D138" i="1"/>
  <c r="I137" i="1"/>
  <c r="K137" i="1" s="1"/>
  <c r="G137" i="1"/>
  <c r="E137" i="1"/>
  <c r="D137" i="1"/>
  <c r="I136" i="1"/>
  <c r="K136" i="1" s="1"/>
  <c r="N136" i="1" s="1"/>
  <c r="G136" i="1"/>
  <c r="E136" i="1"/>
  <c r="D136" i="1"/>
  <c r="K135" i="1"/>
  <c r="N135" i="1" s="1"/>
  <c r="I135" i="1"/>
  <c r="G135" i="1"/>
  <c r="E135" i="1"/>
  <c r="D135" i="1"/>
  <c r="I134" i="1"/>
  <c r="K134" i="1" s="1"/>
  <c r="G134" i="1"/>
  <c r="E134" i="1"/>
  <c r="D134" i="1"/>
  <c r="I133" i="1"/>
  <c r="K133" i="1" s="1"/>
  <c r="G133" i="1"/>
  <c r="E133" i="1"/>
  <c r="D133" i="1"/>
  <c r="I132" i="1"/>
  <c r="K132" i="1" s="1"/>
  <c r="G132" i="1"/>
  <c r="E132" i="1"/>
  <c r="D132" i="1"/>
  <c r="I131" i="1"/>
  <c r="K131" i="1" s="1"/>
  <c r="G131" i="1"/>
  <c r="E131" i="1"/>
  <c r="D131" i="1"/>
  <c r="K130" i="1"/>
  <c r="N130" i="1" s="1"/>
  <c r="I130" i="1"/>
  <c r="G130" i="1"/>
  <c r="E130" i="1"/>
  <c r="D130" i="1"/>
  <c r="M129" i="1"/>
  <c r="I129" i="1"/>
  <c r="K129" i="1" s="1"/>
  <c r="G129" i="1"/>
  <c r="E129" i="1"/>
  <c r="D129" i="1"/>
  <c r="I128" i="1"/>
  <c r="K128" i="1" s="1"/>
  <c r="N128" i="1" s="1"/>
  <c r="G128" i="1"/>
  <c r="E128" i="1"/>
  <c r="D128" i="1"/>
  <c r="K127" i="1"/>
  <c r="N127" i="1" s="1"/>
  <c r="I127" i="1"/>
  <c r="G127" i="1"/>
  <c r="E127" i="1"/>
  <c r="D127" i="1"/>
  <c r="I126" i="1"/>
  <c r="K126" i="1" s="1"/>
  <c r="G126" i="1"/>
  <c r="E126" i="1"/>
  <c r="D126" i="1"/>
  <c r="K125" i="1"/>
  <c r="I125" i="1"/>
  <c r="G125" i="1"/>
  <c r="E125" i="1"/>
  <c r="D125" i="1"/>
  <c r="I124" i="1"/>
  <c r="K124" i="1" s="1"/>
  <c r="G124" i="1"/>
  <c r="E124" i="1"/>
  <c r="D124" i="1"/>
  <c r="I123" i="1"/>
  <c r="K123" i="1" s="1"/>
  <c r="G123" i="1"/>
  <c r="E123" i="1"/>
  <c r="D123" i="1"/>
  <c r="K122" i="1"/>
  <c r="N122" i="1" s="1"/>
  <c r="I122" i="1"/>
  <c r="G122" i="1"/>
  <c r="E122" i="1"/>
  <c r="D122" i="1"/>
  <c r="I121" i="1"/>
  <c r="K121" i="1" s="1"/>
  <c r="G121" i="1"/>
  <c r="E121" i="1"/>
  <c r="D121" i="1"/>
  <c r="M120" i="1"/>
  <c r="L120" i="1"/>
  <c r="I120" i="1"/>
  <c r="K120" i="1" s="1"/>
  <c r="N120" i="1" s="1"/>
  <c r="G120" i="1"/>
  <c r="E120" i="1"/>
  <c r="D120" i="1"/>
  <c r="K119" i="1"/>
  <c r="N119" i="1" s="1"/>
  <c r="I119" i="1"/>
  <c r="G119" i="1"/>
  <c r="E119" i="1"/>
  <c r="D119" i="1"/>
  <c r="I118" i="1"/>
  <c r="K118" i="1" s="1"/>
  <c r="G118" i="1"/>
  <c r="E118" i="1"/>
  <c r="D118" i="1"/>
  <c r="I117" i="1"/>
  <c r="K117" i="1" s="1"/>
  <c r="G117" i="1"/>
  <c r="E117" i="1"/>
  <c r="D117" i="1"/>
  <c r="I116" i="1"/>
  <c r="K116" i="1" s="1"/>
  <c r="G116" i="1"/>
  <c r="E116" i="1"/>
  <c r="D116" i="1"/>
  <c r="I115" i="1"/>
  <c r="K115" i="1" s="1"/>
  <c r="G115" i="1"/>
  <c r="E115" i="1"/>
  <c r="D115" i="1"/>
  <c r="K114" i="1"/>
  <c r="N114" i="1" s="1"/>
  <c r="I114" i="1"/>
  <c r="G114" i="1"/>
  <c r="E114" i="1"/>
  <c r="D114" i="1"/>
  <c r="I113" i="1"/>
  <c r="K113" i="1" s="1"/>
  <c r="G113" i="1"/>
  <c r="E113" i="1"/>
  <c r="D113" i="1"/>
  <c r="I112" i="1"/>
  <c r="K112" i="1" s="1"/>
  <c r="N112" i="1" s="1"/>
  <c r="G112" i="1"/>
  <c r="E112" i="1"/>
  <c r="D112" i="1"/>
  <c r="M111" i="1"/>
  <c r="L111" i="1"/>
  <c r="K111" i="1"/>
  <c r="N111" i="1" s="1"/>
  <c r="I111" i="1"/>
  <c r="G111" i="1"/>
  <c r="E111" i="1"/>
  <c r="D111" i="1"/>
  <c r="I110" i="1"/>
  <c r="K110" i="1" s="1"/>
  <c r="G110" i="1"/>
  <c r="E110" i="1"/>
  <c r="D110" i="1"/>
  <c r="I109" i="1"/>
  <c r="K109" i="1" s="1"/>
  <c r="G109" i="1"/>
  <c r="E109" i="1"/>
  <c r="D109" i="1"/>
  <c r="I108" i="1"/>
  <c r="K108" i="1" s="1"/>
  <c r="G108" i="1"/>
  <c r="E108" i="1"/>
  <c r="D108" i="1"/>
  <c r="I107" i="1"/>
  <c r="K107" i="1" s="1"/>
  <c r="G107" i="1"/>
  <c r="E107" i="1"/>
  <c r="D107" i="1"/>
  <c r="K106" i="1"/>
  <c r="N106" i="1" s="1"/>
  <c r="I106" i="1"/>
  <c r="G106" i="1"/>
  <c r="E106" i="1"/>
  <c r="D106" i="1"/>
  <c r="I105" i="1"/>
  <c r="K105" i="1" s="1"/>
  <c r="G105" i="1"/>
  <c r="E105" i="1"/>
  <c r="D105" i="1"/>
  <c r="I104" i="1"/>
  <c r="K104" i="1" s="1"/>
  <c r="N104" i="1" s="1"/>
  <c r="G104" i="1"/>
  <c r="E104" i="1"/>
  <c r="D104" i="1"/>
  <c r="K103" i="1"/>
  <c r="N103" i="1" s="1"/>
  <c r="I103" i="1"/>
  <c r="G103" i="1"/>
  <c r="E103" i="1"/>
  <c r="D103" i="1"/>
  <c r="I102" i="1"/>
  <c r="K102" i="1" s="1"/>
  <c r="G102" i="1"/>
  <c r="E102" i="1"/>
  <c r="D102" i="1"/>
  <c r="I101" i="1"/>
  <c r="K101" i="1" s="1"/>
  <c r="G101" i="1"/>
  <c r="E101" i="1"/>
  <c r="D101" i="1"/>
  <c r="I100" i="1"/>
  <c r="K100" i="1" s="1"/>
  <c r="G100" i="1"/>
  <c r="E100" i="1"/>
  <c r="D100" i="1"/>
  <c r="I99" i="1"/>
  <c r="K99" i="1" s="1"/>
  <c r="G99" i="1"/>
  <c r="E99" i="1"/>
  <c r="D99" i="1"/>
  <c r="K98" i="1"/>
  <c r="N98" i="1" s="1"/>
  <c r="I98" i="1"/>
  <c r="G98" i="1"/>
  <c r="E98" i="1"/>
  <c r="D98" i="1"/>
  <c r="M97" i="1"/>
  <c r="I97" i="1"/>
  <c r="K97" i="1" s="1"/>
  <c r="G97" i="1"/>
  <c r="E97" i="1"/>
  <c r="D97" i="1"/>
  <c r="I96" i="1"/>
  <c r="K96" i="1" s="1"/>
  <c r="N96" i="1" s="1"/>
  <c r="G96" i="1"/>
  <c r="E96" i="1"/>
  <c r="D96" i="1"/>
  <c r="K95" i="1"/>
  <c r="N95" i="1" s="1"/>
  <c r="I95" i="1"/>
  <c r="G95" i="1"/>
  <c r="E95" i="1"/>
  <c r="D95" i="1"/>
  <c r="I94" i="1"/>
  <c r="K94" i="1" s="1"/>
  <c r="G94" i="1"/>
  <c r="E94" i="1"/>
  <c r="D94" i="1"/>
  <c r="K93" i="1"/>
  <c r="I93" i="1"/>
  <c r="G93" i="1"/>
  <c r="E93" i="1"/>
  <c r="D93" i="1"/>
  <c r="I92" i="1"/>
  <c r="K92" i="1" s="1"/>
  <c r="G92" i="1"/>
  <c r="E92" i="1"/>
  <c r="D92" i="1"/>
  <c r="I91" i="1"/>
  <c r="K91" i="1" s="1"/>
  <c r="G91" i="1"/>
  <c r="E91" i="1"/>
  <c r="D91" i="1"/>
  <c r="K90" i="1"/>
  <c r="N90" i="1" s="1"/>
  <c r="I90" i="1"/>
  <c r="G90" i="1"/>
  <c r="E90" i="1"/>
  <c r="D90" i="1"/>
  <c r="I89" i="1"/>
  <c r="K89" i="1" s="1"/>
  <c r="G89" i="1"/>
  <c r="E89" i="1"/>
  <c r="D89" i="1"/>
  <c r="M88" i="1"/>
  <c r="L88" i="1"/>
  <c r="I88" i="1"/>
  <c r="K88" i="1" s="1"/>
  <c r="N88" i="1" s="1"/>
  <c r="G88" i="1"/>
  <c r="E88" i="1"/>
  <c r="D88" i="1"/>
  <c r="K87" i="1"/>
  <c r="N87" i="1" s="1"/>
  <c r="I87" i="1"/>
  <c r="G87" i="1"/>
  <c r="E87" i="1"/>
  <c r="D87" i="1"/>
  <c r="I86" i="1"/>
  <c r="K86" i="1" s="1"/>
  <c r="G86" i="1"/>
  <c r="E86" i="1"/>
  <c r="D86" i="1"/>
  <c r="I85" i="1"/>
  <c r="K85" i="1" s="1"/>
  <c r="G85" i="1"/>
  <c r="E85" i="1"/>
  <c r="D85" i="1"/>
  <c r="K84" i="1"/>
  <c r="I84" i="1"/>
  <c r="G84" i="1"/>
  <c r="E84" i="1"/>
  <c r="D84" i="1"/>
  <c r="I83" i="1"/>
  <c r="K83" i="1" s="1"/>
  <c r="G83" i="1"/>
  <c r="E83" i="1"/>
  <c r="D83" i="1"/>
  <c r="I82" i="1"/>
  <c r="K82" i="1" s="1"/>
  <c r="G82" i="1"/>
  <c r="E82" i="1"/>
  <c r="D82" i="1"/>
  <c r="K81" i="1"/>
  <c r="N81" i="1" s="1"/>
  <c r="I81" i="1"/>
  <c r="G81" i="1"/>
  <c r="E81" i="1"/>
  <c r="D81" i="1"/>
  <c r="N80" i="1"/>
  <c r="K80" i="1"/>
  <c r="M80" i="1" s="1"/>
  <c r="I80" i="1"/>
  <c r="G80" i="1"/>
  <c r="E80" i="1"/>
  <c r="D80" i="1"/>
  <c r="N79" i="1"/>
  <c r="K79" i="1"/>
  <c r="M79" i="1" s="1"/>
  <c r="I79" i="1"/>
  <c r="G79" i="1"/>
  <c r="E79" i="1"/>
  <c r="D79" i="1"/>
  <c r="N78" i="1"/>
  <c r="K78" i="1"/>
  <c r="M78" i="1" s="1"/>
  <c r="I78" i="1"/>
  <c r="G78" i="1"/>
  <c r="E78" i="1"/>
  <c r="D78" i="1"/>
  <c r="N77" i="1"/>
  <c r="K77" i="1"/>
  <c r="M77" i="1" s="1"/>
  <c r="I77" i="1"/>
  <c r="G77" i="1"/>
  <c r="E77" i="1"/>
  <c r="D77" i="1"/>
  <c r="N76" i="1"/>
  <c r="K76" i="1"/>
  <c r="M76" i="1" s="1"/>
  <c r="I76" i="1"/>
  <c r="G76" i="1"/>
  <c r="E76" i="1"/>
  <c r="D76" i="1"/>
  <c r="N75" i="1"/>
  <c r="K75" i="1"/>
  <c r="M75" i="1" s="1"/>
  <c r="I75" i="1"/>
  <c r="G75" i="1"/>
  <c r="E75" i="1"/>
  <c r="D75" i="1"/>
  <c r="N74" i="1"/>
  <c r="K74" i="1"/>
  <c r="M74" i="1" s="1"/>
  <c r="I74" i="1"/>
  <c r="G74" i="1"/>
  <c r="E74" i="1"/>
  <c r="D74" i="1"/>
  <c r="N73" i="1"/>
  <c r="K73" i="1"/>
  <c r="M73" i="1" s="1"/>
  <c r="I73" i="1"/>
  <c r="G73" i="1"/>
  <c r="E73" i="1"/>
  <c r="D73" i="1"/>
  <c r="N72" i="1"/>
  <c r="K72" i="1"/>
  <c r="M72" i="1" s="1"/>
  <c r="I72" i="1"/>
  <c r="G72" i="1"/>
  <c r="E72" i="1"/>
  <c r="D72" i="1"/>
  <c r="N71" i="1"/>
  <c r="K71" i="1"/>
  <c r="M71" i="1" s="1"/>
  <c r="I71" i="1"/>
  <c r="G71" i="1"/>
  <c r="E71" i="1"/>
  <c r="D71" i="1"/>
  <c r="I70" i="1"/>
  <c r="K70" i="1" s="1"/>
  <c r="G70" i="1"/>
  <c r="E70" i="1"/>
  <c r="D70" i="1"/>
  <c r="I69" i="1"/>
  <c r="K69" i="1" s="1"/>
  <c r="G69" i="1"/>
  <c r="E69" i="1"/>
  <c r="D69" i="1"/>
  <c r="N68" i="1"/>
  <c r="I68" i="1"/>
  <c r="K68" i="1" s="1"/>
  <c r="G68" i="1"/>
  <c r="E68" i="1"/>
  <c r="D68" i="1"/>
  <c r="I67" i="1"/>
  <c r="K67" i="1" s="1"/>
  <c r="N67" i="1" s="1"/>
  <c r="G67" i="1"/>
  <c r="E67" i="1"/>
  <c r="D67" i="1"/>
  <c r="I66" i="1"/>
  <c r="K66" i="1" s="1"/>
  <c r="G66" i="1"/>
  <c r="E66" i="1"/>
  <c r="D66" i="1"/>
  <c r="I65" i="1"/>
  <c r="K65" i="1" s="1"/>
  <c r="G65" i="1"/>
  <c r="E65" i="1"/>
  <c r="D65" i="1"/>
  <c r="I64" i="1"/>
  <c r="K64" i="1" s="1"/>
  <c r="G64" i="1"/>
  <c r="E64" i="1"/>
  <c r="D64" i="1"/>
  <c r="I63" i="1"/>
  <c r="K63" i="1" s="1"/>
  <c r="G63" i="1"/>
  <c r="E63" i="1"/>
  <c r="D63" i="1"/>
  <c r="I62" i="1"/>
  <c r="K62" i="1" s="1"/>
  <c r="G62" i="1"/>
  <c r="E62" i="1"/>
  <c r="D62" i="1"/>
  <c r="I61" i="1"/>
  <c r="K61" i="1" s="1"/>
  <c r="G61" i="1"/>
  <c r="E61" i="1"/>
  <c r="D61" i="1"/>
  <c r="N60" i="1"/>
  <c r="I60" i="1"/>
  <c r="K60" i="1" s="1"/>
  <c r="G60" i="1"/>
  <c r="E60" i="1"/>
  <c r="D60" i="1"/>
  <c r="I59" i="1"/>
  <c r="K59" i="1" s="1"/>
  <c r="G59" i="1"/>
  <c r="E59" i="1"/>
  <c r="D59" i="1"/>
  <c r="I58" i="1"/>
  <c r="K58" i="1" s="1"/>
  <c r="G58" i="1"/>
  <c r="E58" i="1"/>
  <c r="D58" i="1"/>
  <c r="I57" i="1"/>
  <c r="K57" i="1" s="1"/>
  <c r="G57" i="1"/>
  <c r="E57" i="1"/>
  <c r="D57" i="1"/>
  <c r="I56" i="1"/>
  <c r="K56" i="1" s="1"/>
  <c r="G56" i="1"/>
  <c r="E56" i="1"/>
  <c r="D56" i="1"/>
  <c r="I55" i="1"/>
  <c r="K55" i="1" s="1"/>
  <c r="G55" i="1"/>
  <c r="E55" i="1"/>
  <c r="D55" i="1"/>
  <c r="I54" i="1"/>
  <c r="K54" i="1" s="1"/>
  <c r="G54" i="1"/>
  <c r="E54" i="1"/>
  <c r="D54" i="1"/>
  <c r="I53" i="1"/>
  <c r="K53" i="1" s="1"/>
  <c r="G53" i="1"/>
  <c r="E53" i="1"/>
  <c r="D53" i="1"/>
  <c r="N52" i="1"/>
  <c r="I52" i="1"/>
  <c r="K52" i="1" s="1"/>
  <c r="G52" i="1"/>
  <c r="E52" i="1"/>
  <c r="D52" i="1"/>
  <c r="I51" i="1"/>
  <c r="K51" i="1" s="1"/>
  <c r="G51" i="1"/>
  <c r="E51" i="1"/>
  <c r="D51" i="1"/>
  <c r="I50" i="1"/>
  <c r="K50" i="1" s="1"/>
  <c r="G50" i="1"/>
  <c r="E50" i="1"/>
  <c r="D50" i="1"/>
  <c r="I49" i="1"/>
  <c r="K49" i="1" s="1"/>
  <c r="G49" i="1"/>
  <c r="E49" i="1"/>
  <c r="D49" i="1"/>
  <c r="I48" i="1"/>
  <c r="K48" i="1" s="1"/>
  <c r="N48" i="1" s="1"/>
  <c r="G48" i="1"/>
  <c r="E48" i="1"/>
  <c r="D48" i="1"/>
  <c r="I47" i="1"/>
  <c r="K47" i="1" s="1"/>
  <c r="G47" i="1"/>
  <c r="E47" i="1"/>
  <c r="D47" i="1"/>
  <c r="I46" i="1"/>
  <c r="K46" i="1" s="1"/>
  <c r="G46" i="1"/>
  <c r="E46" i="1"/>
  <c r="D46" i="1"/>
  <c r="I45" i="1"/>
  <c r="K45" i="1" s="1"/>
  <c r="G45" i="1"/>
  <c r="E45" i="1"/>
  <c r="D45" i="1"/>
  <c r="N44" i="1"/>
  <c r="I44" i="1"/>
  <c r="K44" i="1" s="1"/>
  <c r="G44" i="1"/>
  <c r="E44" i="1"/>
  <c r="D44" i="1"/>
  <c r="I43" i="1"/>
  <c r="K43" i="1" s="1"/>
  <c r="N43" i="1" s="1"/>
  <c r="G43" i="1"/>
  <c r="E43" i="1"/>
  <c r="D43" i="1"/>
  <c r="I42" i="1"/>
  <c r="K42" i="1" s="1"/>
  <c r="G42" i="1"/>
  <c r="E42" i="1"/>
  <c r="D42" i="1"/>
  <c r="I41" i="1"/>
  <c r="K41" i="1" s="1"/>
  <c r="G41" i="1"/>
  <c r="E41" i="1"/>
  <c r="D41" i="1"/>
  <c r="I40" i="1"/>
  <c r="K40" i="1" s="1"/>
  <c r="G40" i="1"/>
  <c r="E40" i="1"/>
  <c r="D40" i="1"/>
  <c r="I39" i="1"/>
  <c r="K39" i="1" s="1"/>
  <c r="G39" i="1"/>
  <c r="E39" i="1"/>
  <c r="D39" i="1"/>
  <c r="I38" i="1"/>
  <c r="K38" i="1" s="1"/>
  <c r="G38" i="1"/>
  <c r="E38" i="1"/>
  <c r="D38" i="1"/>
  <c r="I37" i="1"/>
  <c r="K37" i="1" s="1"/>
  <c r="G37" i="1"/>
  <c r="E37" i="1"/>
  <c r="D37" i="1"/>
  <c r="N36" i="1"/>
  <c r="I36" i="1"/>
  <c r="K36" i="1" s="1"/>
  <c r="G36" i="1"/>
  <c r="E36" i="1"/>
  <c r="D36" i="1"/>
  <c r="I35" i="1"/>
  <c r="K35" i="1" s="1"/>
  <c r="G35" i="1"/>
  <c r="E35" i="1"/>
  <c r="D35" i="1"/>
  <c r="I34" i="1"/>
  <c r="K34" i="1" s="1"/>
  <c r="G34" i="1"/>
  <c r="E34" i="1"/>
  <c r="D34" i="1"/>
  <c r="I33" i="1"/>
  <c r="K33" i="1" s="1"/>
  <c r="N33" i="1" s="1"/>
  <c r="G33" i="1"/>
  <c r="E33" i="1"/>
  <c r="D33" i="1"/>
  <c r="I32" i="1"/>
  <c r="K32" i="1" s="1"/>
  <c r="N32" i="1" s="1"/>
  <c r="G32" i="1"/>
  <c r="E32" i="1"/>
  <c r="D32" i="1"/>
  <c r="I31" i="1"/>
  <c r="K31" i="1" s="1"/>
  <c r="G31" i="1"/>
  <c r="E31" i="1"/>
  <c r="D31" i="1"/>
  <c r="I30" i="1"/>
  <c r="K30" i="1" s="1"/>
  <c r="G30" i="1"/>
  <c r="E30" i="1"/>
  <c r="D30" i="1"/>
  <c r="I29" i="1"/>
  <c r="K29" i="1" s="1"/>
  <c r="G29" i="1"/>
  <c r="E29" i="1"/>
  <c r="D29" i="1"/>
  <c r="N28" i="1"/>
  <c r="I28" i="1"/>
  <c r="K28" i="1" s="1"/>
  <c r="G28" i="1"/>
  <c r="E28" i="1"/>
  <c r="D28" i="1"/>
  <c r="I27" i="1"/>
  <c r="K27" i="1" s="1"/>
  <c r="N27" i="1" s="1"/>
  <c r="G27" i="1"/>
  <c r="E27" i="1"/>
  <c r="D27" i="1"/>
  <c r="I26" i="1"/>
  <c r="K26" i="1" s="1"/>
  <c r="G26" i="1"/>
  <c r="E26" i="1"/>
  <c r="D26" i="1"/>
  <c r="I25" i="1"/>
  <c r="K25" i="1" s="1"/>
  <c r="N25" i="1" s="1"/>
  <c r="G25" i="1"/>
  <c r="E25" i="1"/>
  <c r="D25" i="1"/>
  <c r="I24" i="1"/>
  <c r="K24" i="1" s="1"/>
  <c r="G24" i="1"/>
  <c r="E24" i="1"/>
  <c r="D24" i="1"/>
  <c r="I23" i="1"/>
  <c r="K23" i="1" s="1"/>
  <c r="G23" i="1"/>
  <c r="E23" i="1"/>
  <c r="D23" i="1"/>
  <c r="I22" i="1"/>
  <c r="K22" i="1" s="1"/>
  <c r="G22" i="1"/>
  <c r="E22" i="1"/>
  <c r="D22" i="1"/>
  <c r="I21" i="1"/>
  <c r="K21" i="1" s="1"/>
  <c r="G21" i="1"/>
  <c r="E21" i="1"/>
  <c r="D21" i="1"/>
  <c r="N20" i="1"/>
  <c r="I20" i="1"/>
  <c r="K20" i="1" s="1"/>
  <c r="G20" i="1"/>
  <c r="E20" i="1"/>
  <c r="D20" i="1"/>
  <c r="I19" i="1"/>
  <c r="K19" i="1" s="1"/>
  <c r="N19" i="1" s="1"/>
  <c r="G19" i="1"/>
  <c r="E19" i="1"/>
  <c r="D19" i="1"/>
  <c r="I18" i="1"/>
  <c r="K18" i="1" s="1"/>
  <c r="G18" i="1"/>
  <c r="E18" i="1"/>
  <c r="D18" i="1"/>
  <c r="I17" i="1"/>
  <c r="K17" i="1" s="1"/>
  <c r="G17" i="1"/>
  <c r="E17" i="1"/>
  <c r="D17" i="1"/>
  <c r="I16" i="1"/>
  <c r="K16" i="1" s="1"/>
  <c r="N16" i="1" s="1"/>
  <c r="G16" i="1"/>
  <c r="E16" i="1"/>
  <c r="D16" i="1"/>
  <c r="I15" i="1"/>
  <c r="K15" i="1" s="1"/>
  <c r="G15" i="1"/>
  <c r="E15" i="1"/>
  <c r="D15" i="1"/>
  <c r="I14" i="1"/>
  <c r="K14" i="1" s="1"/>
  <c r="G14" i="1"/>
  <c r="E14" i="1"/>
  <c r="D14" i="1"/>
  <c r="I13" i="1"/>
  <c r="G13" i="1"/>
  <c r="E13" i="1"/>
  <c r="D13" i="1"/>
  <c r="N126" i="1" l="1"/>
  <c r="M126" i="1"/>
  <c r="L126" i="1"/>
  <c r="M85" i="1"/>
  <c r="N85" i="1"/>
  <c r="L85" i="1"/>
  <c r="N101" i="1"/>
  <c r="L101" i="1"/>
  <c r="M101" i="1"/>
  <c r="N141" i="1"/>
  <c r="L141" i="1"/>
  <c r="M141" i="1"/>
  <c r="N150" i="1"/>
  <c r="M150" i="1"/>
  <c r="L150" i="1"/>
  <c r="N166" i="1"/>
  <c r="M166" i="1"/>
  <c r="L166" i="1"/>
  <c r="N206" i="1"/>
  <c r="M206" i="1"/>
  <c r="L206" i="1"/>
  <c r="L213" i="1"/>
  <c r="M213" i="1"/>
  <c r="N213" i="1"/>
  <c r="N94" i="1"/>
  <c r="M94" i="1"/>
  <c r="L94" i="1"/>
  <c r="L236" i="1"/>
  <c r="N236" i="1"/>
  <c r="M236" i="1"/>
  <c r="N109" i="1"/>
  <c r="L109" i="1"/>
  <c r="M109" i="1"/>
  <c r="N118" i="1"/>
  <c r="M118" i="1"/>
  <c r="L118" i="1"/>
  <c r="N134" i="1"/>
  <c r="M134" i="1"/>
  <c r="L134" i="1"/>
  <c r="N174" i="1"/>
  <c r="M174" i="1"/>
  <c r="L174" i="1"/>
  <c r="N181" i="1"/>
  <c r="L181" i="1"/>
  <c r="M181" i="1"/>
  <c r="N197" i="1"/>
  <c r="L197" i="1"/>
  <c r="M197" i="1"/>
  <c r="N190" i="1"/>
  <c r="M190" i="1"/>
  <c r="L190" i="1"/>
  <c r="N86" i="1"/>
  <c r="M86" i="1"/>
  <c r="L86" i="1"/>
  <c r="N102" i="1"/>
  <c r="M102" i="1"/>
  <c r="L102" i="1"/>
  <c r="N142" i="1"/>
  <c r="M142" i="1"/>
  <c r="L142" i="1"/>
  <c r="N149" i="1"/>
  <c r="L149" i="1"/>
  <c r="M149" i="1"/>
  <c r="N165" i="1"/>
  <c r="L165" i="1"/>
  <c r="M165" i="1"/>
  <c r="N205" i="1"/>
  <c r="L205" i="1"/>
  <c r="M205" i="1"/>
  <c r="N158" i="1"/>
  <c r="M158" i="1"/>
  <c r="L158" i="1"/>
  <c r="L253" i="1"/>
  <c r="N253" i="1"/>
  <c r="M253" i="1"/>
  <c r="N110" i="1"/>
  <c r="M110" i="1"/>
  <c r="L110" i="1"/>
  <c r="N117" i="1"/>
  <c r="L117" i="1"/>
  <c r="M117" i="1"/>
  <c r="N133" i="1"/>
  <c r="L133" i="1"/>
  <c r="M133" i="1"/>
  <c r="N173" i="1"/>
  <c r="L173" i="1"/>
  <c r="M173" i="1"/>
  <c r="N182" i="1"/>
  <c r="M182" i="1"/>
  <c r="L182" i="1"/>
  <c r="N198" i="1"/>
  <c r="M198" i="1"/>
  <c r="L198" i="1"/>
  <c r="L226" i="1"/>
  <c r="N226" i="1"/>
  <c r="M226" i="1"/>
  <c r="L245" i="1"/>
  <c r="M245" i="1"/>
  <c r="N245" i="1"/>
  <c r="N125" i="1"/>
  <c r="L125" i="1"/>
  <c r="M125" i="1"/>
  <c r="N157" i="1"/>
  <c r="L157" i="1"/>
  <c r="M157" i="1"/>
  <c r="N257" i="1"/>
  <c r="L257" i="1"/>
  <c r="M257" i="1"/>
  <c r="N259" i="1"/>
  <c r="M259" i="1"/>
  <c r="L259" i="1"/>
  <c r="N284" i="1"/>
  <c r="M284" i="1"/>
  <c r="L284" i="1"/>
  <c r="N298" i="1"/>
  <c r="M298" i="1"/>
  <c r="L298" i="1"/>
  <c r="M22" i="1"/>
  <c r="L22" i="1"/>
  <c r="M38" i="1"/>
  <c r="L38" i="1"/>
  <c r="M46" i="1"/>
  <c r="L46" i="1"/>
  <c r="N105" i="1"/>
  <c r="L105" i="1"/>
  <c r="N137" i="1"/>
  <c r="L137" i="1"/>
  <c r="N169" i="1"/>
  <c r="L169" i="1"/>
  <c r="N180" i="1"/>
  <c r="M180" i="1"/>
  <c r="L180" i="1"/>
  <c r="N195" i="1"/>
  <c r="M195" i="1"/>
  <c r="L195" i="1"/>
  <c r="N201" i="1"/>
  <c r="L201" i="1"/>
  <c r="L212" i="1"/>
  <c r="N212" i="1"/>
  <c r="M212" i="1"/>
  <c r="L233" i="1"/>
  <c r="N233" i="1"/>
  <c r="M233" i="1"/>
  <c r="L235" i="1"/>
  <c r="M235" i="1"/>
  <c r="N235" i="1"/>
  <c r="L254" i="1"/>
  <c r="N254" i="1"/>
  <c r="N261" i="1"/>
  <c r="L261" i="1"/>
  <c r="M261" i="1"/>
  <c r="N292" i="1"/>
  <c r="L292" i="1"/>
  <c r="N300" i="1"/>
  <c r="M300" i="1"/>
  <c r="L300" i="1"/>
  <c r="N315" i="1"/>
  <c r="L315" i="1"/>
  <c r="L87" i="1"/>
  <c r="L96" i="1"/>
  <c r="M105" i="1"/>
  <c r="L151" i="1"/>
  <c r="L160" i="1"/>
  <c r="M169" i="1"/>
  <c r="N305" i="1"/>
  <c r="M305" i="1"/>
  <c r="L305" i="1"/>
  <c r="N307" i="1"/>
  <c r="M307" i="1"/>
  <c r="L307" i="1"/>
  <c r="M315" i="1"/>
  <c r="N383" i="1"/>
  <c r="M383" i="1"/>
  <c r="L383" i="1"/>
  <c r="N385" i="1"/>
  <c r="M385" i="1"/>
  <c r="L385" i="1"/>
  <c r="M24" i="1"/>
  <c r="L24" i="1"/>
  <c r="M40" i="1"/>
  <c r="L40" i="1"/>
  <c r="M56" i="1"/>
  <c r="L56" i="1"/>
  <c r="M64" i="1"/>
  <c r="L64" i="1"/>
  <c r="N92" i="1"/>
  <c r="M92" i="1"/>
  <c r="L92" i="1"/>
  <c r="M96" i="1"/>
  <c r="N107" i="1"/>
  <c r="M107" i="1"/>
  <c r="L107" i="1"/>
  <c r="N156" i="1"/>
  <c r="M156" i="1"/>
  <c r="L156" i="1"/>
  <c r="N177" i="1"/>
  <c r="L177" i="1"/>
  <c r="M183" i="1"/>
  <c r="N203" i="1"/>
  <c r="M203" i="1"/>
  <c r="L203" i="1"/>
  <c r="N265" i="1"/>
  <c r="L265" i="1"/>
  <c r="N283" i="1"/>
  <c r="M283" i="1"/>
  <c r="L283" i="1"/>
  <c r="M21" i="1"/>
  <c r="L21" i="1"/>
  <c r="N24" i="1"/>
  <c r="M29" i="1"/>
  <c r="L29" i="1"/>
  <c r="M37" i="1"/>
  <c r="L37" i="1"/>
  <c r="N40" i="1"/>
  <c r="M45" i="1"/>
  <c r="L45" i="1"/>
  <c r="M53" i="1"/>
  <c r="L53" i="1"/>
  <c r="N56" i="1"/>
  <c r="M61" i="1"/>
  <c r="L61" i="1"/>
  <c r="N64" i="1"/>
  <c r="M69" i="1"/>
  <c r="L69" i="1"/>
  <c r="L95" i="1"/>
  <c r="L104" i="1"/>
  <c r="L159" i="1"/>
  <c r="L168" i="1"/>
  <c r="M177" i="1"/>
  <c r="L191" i="1"/>
  <c r="L200" i="1"/>
  <c r="L219" i="1"/>
  <c r="M219" i="1"/>
  <c r="L227" i="1"/>
  <c r="N227" i="1"/>
  <c r="L244" i="1"/>
  <c r="N244" i="1"/>
  <c r="M244" i="1"/>
  <c r="N258" i="1"/>
  <c r="M258" i="1"/>
  <c r="L258" i="1"/>
  <c r="M265" i="1"/>
  <c r="N289" i="1"/>
  <c r="M289" i="1"/>
  <c r="L289" i="1"/>
  <c r="N309" i="1"/>
  <c r="L309" i="1"/>
  <c r="N324" i="1"/>
  <c r="M324" i="1"/>
  <c r="M18" i="1"/>
  <c r="L18" i="1"/>
  <c r="N21" i="1"/>
  <c r="M26" i="1"/>
  <c r="L26" i="1"/>
  <c r="N29" i="1"/>
  <c r="M34" i="1"/>
  <c r="L34" i="1"/>
  <c r="N37" i="1"/>
  <c r="M42" i="1"/>
  <c r="L42" i="1"/>
  <c r="N45" i="1"/>
  <c r="M50" i="1"/>
  <c r="L50" i="1"/>
  <c r="N53" i="1"/>
  <c r="M58" i="1"/>
  <c r="L58" i="1"/>
  <c r="N61" i="1"/>
  <c r="M66" i="1"/>
  <c r="L66" i="1"/>
  <c r="N69" i="1"/>
  <c r="N89" i="1"/>
  <c r="L89" i="1"/>
  <c r="M95" i="1"/>
  <c r="N115" i="1"/>
  <c r="M115" i="1"/>
  <c r="L115" i="1"/>
  <c r="M17" i="1"/>
  <c r="L17" i="1"/>
  <c r="M25" i="1"/>
  <c r="L25" i="1"/>
  <c r="M33" i="1"/>
  <c r="L33" i="1"/>
  <c r="M41" i="1"/>
  <c r="L41" i="1"/>
  <c r="M49" i="1"/>
  <c r="L49" i="1"/>
  <c r="M57" i="1"/>
  <c r="L57" i="1"/>
  <c r="M65" i="1"/>
  <c r="L65" i="1"/>
  <c r="N84" i="1"/>
  <c r="L84" i="1"/>
  <c r="M84" i="1"/>
  <c r="N93" i="1"/>
  <c r="L93" i="1"/>
  <c r="M93" i="1"/>
  <c r="N189" i="1"/>
  <c r="L189" i="1"/>
  <c r="M189" i="1"/>
  <c r="L241" i="1"/>
  <c r="N241" i="1"/>
  <c r="M241" i="1"/>
  <c r="L243" i="1"/>
  <c r="N243" i="1"/>
  <c r="M243" i="1"/>
  <c r="N313" i="1"/>
  <c r="M313" i="1"/>
  <c r="L313" i="1"/>
  <c r="M14" i="1"/>
  <c r="L14" i="1"/>
  <c r="N17" i="1"/>
  <c r="M30" i="1"/>
  <c r="L30" i="1"/>
  <c r="N41" i="1"/>
  <c r="N49" i="1"/>
  <c r="M54" i="1"/>
  <c r="L54" i="1"/>
  <c r="N57" i="1"/>
  <c r="M62" i="1"/>
  <c r="L62" i="1"/>
  <c r="N65" i="1"/>
  <c r="M70" i="1"/>
  <c r="L70" i="1"/>
  <c r="N99" i="1"/>
  <c r="M99" i="1"/>
  <c r="L99" i="1"/>
  <c r="N116" i="1"/>
  <c r="M116" i="1"/>
  <c r="L116" i="1"/>
  <c r="N131" i="1"/>
  <c r="M131" i="1"/>
  <c r="L131" i="1"/>
  <c r="N148" i="1"/>
  <c r="M148" i="1"/>
  <c r="L148" i="1"/>
  <c r="N163" i="1"/>
  <c r="M163" i="1"/>
  <c r="L163" i="1"/>
  <c r="N407" i="1"/>
  <c r="M407" i="1"/>
  <c r="L407" i="1"/>
  <c r="N409" i="1"/>
  <c r="M409" i="1"/>
  <c r="L409" i="1"/>
  <c r="N14" i="1"/>
  <c r="M19" i="1"/>
  <c r="L19" i="1"/>
  <c r="N22" i="1"/>
  <c r="M27" i="1"/>
  <c r="L27" i="1"/>
  <c r="N30" i="1"/>
  <c r="M35" i="1"/>
  <c r="L35" i="1"/>
  <c r="N38" i="1"/>
  <c r="M43" i="1"/>
  <c r="L43" i="1"/>
  <c r="N46" i="1"/>
  <c r="M51" i="1"/>
  <c r="L51" i="1"/>
  <c r="N54" i="1"/>
  <c r="M59" i="1"/>
  <c r="L59" i="1"/>
  <c r="N62" i="1"/>
  <c r="M67" i="1"/>
  <c r="L67" i="1"/>
  <c r="N70" i="1"/>
  <c r="L119" i="1"/>
  <c r="L128" i="1"/>
  <c r="M137" i="1"/>
  <c r="L183" i="1"/>
  <c r="L192" i="1"/>
  <c r="M201" i="1"/>
  <c r="L217" i="1"/>
  <c r="N217" i="1"/>
  <c r="M217" i="1"/>
  <c r="M228" i="1"/>
  <c r="M254" i="1"/>
  <c r="N270" i="1"/>
  <c r="M270" i="1"/>
  <c r="L270" i="1"/>
  <c r="M292" i="1"/>
  <c r="N317" i="1"/>
  <c r="M317" i="1"/>
  <c r="L317" i="1"/>
  <c r="N327" i="1"/>
  <c r="M327" i="1"/>
  <c r="N399" i="1"/>
  <c r="M399" i="1"/>
  <c r="L399" i="1"/>
  <c r="M16" i="1"/>
  <c r="L16" i="1"/>
  <c r="M32" i="1"/>
  <c r="L32" i="1"/>
  <c r="N35" i="1"/>
  <c r="M48" i="1"/>
  <c r="L48" i="1"/>
  <c r="N51" i="1"/>
  <c r="N59" i="1"/>
  <c r="N83" i="1"/>
  <c r="M83" i="1"/>
  <c r="L83" i="1"/>
  <c r="M87" i="1"/>
  <c r="N113" i="1"/>
  <c r="L113" i="1"/>
  <c r="M119" i="1"/>
  <c r="N124" i="1"/>
  <c r="M124" i="1"/>
  <c r="L124" i="1"/>
  <c r="M128" i="1"/>
  <c r="N139" i="1"/>
  <c r="M139" i="1"/>
  <c r="L139" i="1"/>
  <c r="N145" i="1"/>
  <c r="L145" i="1"/>
  <c r="M151" i="1"/>
  <c r="M160" i="1"/>
  <c r="N171" i="1"/>
  <c r="M171" i="1"/>
  <c r="L171" i="1"/>
  <c r="N188" i="1"/>
  <c r="M188" i="1"/>
  <c r="L188" i="1"/>
  <c r="M192" i="1"/>
  <c r="N209" i="1"/>
  <c r="L209" i="1"/>
  <c r="L214" i="1"/>
  <c r="N214" i="1"/>
  <c r="N228" i="1"/>
  <c r="L237" i="1"/>
  <c r="N237" i="1"/>
  <c r="L251" i="1"/>
  <c r="N251" i="1"/>
  <c r="M251" i="1"/>
  <c r="N281" i="1"/>
  <c r="M281" i="1"/>
  <c r="L281" i="1"/>
  <c r="N322" i="1"/>
  <c r="M322" i="1"/>
  <c r="L322" i="1"/>
  <c r="L327" i="1"/>
  <c r="M113" i="1"/>
  <c r="L127" i="1"/>
  <c r="L136" i="1"/>
  <c r="M145" i="1"/>
  <c r="L242" i="1"/>
  <c r="N242" i="1"/>
  <c r="M242" i="1"/>
  <c r="N100" i="1"/>
  <c r="M100" i="1"/>
  <c r="L100" i="1"/>
  <c r="M104" i="1"/>
  <c r="N121" i="1"/>
  <c r="L121" i="1"/>
  <c r="M127" i="1"/>
  <c r="N132" i="1"/>
  <c r="M132" i="1"/>
  <c r="L132" i="1"/>
  <c r="M136" i="1"/>
  <c r="N147" i="1"/>
  <c r="M147" i="1"/>
  <c r="L147" i="1"/>
  <c r="N153" i="1"/>
  <c r="L153" i="1"/>
  <c r="M159" i="1"/>
  <c r="N164" i="1"/>
  <c r="M164" i="1"/>
  <c r="L164" i="1"/>
  <c r="M168" i="1"/>
  <c r="N179" i="1"/>
  <c r="M179" i="1"/>
  <c r="L179" i="1"/>
  <c r="N185" i="1"/>
  <c r="L185" i="1"/>
  <c r="M191" i="1"/>
  <c r="N196" i="1"/>
  <c r="M196" i="1"/>
  <c r="L196" i="1"/>
  <c r="M200" i="1"/>
  <c r="L211" i="1"/>
  <c r="N211" i="1"/>
  <c r="M211" i="1"/>
  <c r="N219" i="1"/>
  <c r="M227" i="1"/>
  <c r="L232" i="1"/>
  <c r="M232" i="1"/>
  <c r="N232" i="1"/>
  <c r="L234" i="1"/>
  <c r="N234" i="1"/>
  <c r="M234" i="1"/>
  <c r="L246" i="1"/>
  <c r="M246" i="1"/>
  <c r="N246" i="1"/>
  <c r="N269" i="1"/>
  <c r="M269" i="1"/>
  <c r="L269" i="1"/>
  <c r="N274" i="1"/>
  <c r="M274" i="1"/>
  <c r="L285" i="1"/>
  <c r="M309" i="1"/>
  <c r="L324" i="1"/>
  <c r="M15" i="1"/>
  <c r="L15" i="1"/>
  <c r="N18" i="1"/>
  <c r="M23" i="1"/>
  <c r="L23" i="1"/>
  <c r="N26" i="1"/>
  <c r="M31" i="1"/>
  <c r="L31" i="1"/>
  <c r="N34" i="1"/>
  <c r="M39" i="1"/>
  <c r="L39" i="1"/>
  <c r="N42" i="1"/>
  <c r="M47" i="1"/>
  <c r="L47" i="1"/>
  <c r="N50" i="1"/>
  <c r="M55" i="1"/>
  <c r="L55" i="1"/>
  <c r="N58" i="1"/>
  <c r="M63" i="1"/>
  <c r="L63" i="1"/>
  <c r="N66" i="1"/>
  <c r="M89" i="1"/>
  <c r="L103" i="1"/>
  <c r="L112" i="1"/>
  <c r="M121" i="1"/>
  <c r="L135" i="1"/>
  <c r="L144" i="1"/>
  <c r="M153" i="1"/>
  <c r="L167" i="1"/>
  <c r="L176" i="1"/>
  <c r="M185" i="1"/>
  <c r="L199" i="1"/>
  <c r="L208" i="1"/>
  <c r="L221" i="1"/>
  <c r="B455" i="1" s="1"/>
  <c r="N221" i="1"/>
  <c r="M221" i="1"/>
  <c r="L274" i="1"/>
  <c r="M285" i="1"/>
  <c r="N15" i="1"/>
  <c r="M20" i="1"/>
  <c r="L20" i="1"/>
  <c r="N23" i="1"/>
  <c r="M28" i="1"/>
  <c r="L28" i="1"/>
  <c r="N31" i="1"/>
  <c r="M36" i="1"/>
  <c r="L36" i="1"/>
  <c r="N39" i="1"/>
  <c r="M44" i="1"/>
  <c r="L44" i="1"/>
  <c r="N47" i="1"/>
  <c r="M52" i="1"/>
  <c r="L52" i="1"/>
  <c r="N55" i="1"/>
  <c r="M60" i="1"/>
  <c r="L60" i="1"/>
  <c r="N63" i="1"/>
  <c r="M68" i="1"/>
  <c r="L68" i="1"/>
  <c r="N82" i="1"/>
  <c r="M82" i="1"/>
  <c r="L82" i="1"/>
  <c r="N91" i="1"/>
  <c r="M91" i="1"/>
  <c r="L91" i="1"/>
  <c r="N97" i="1"/>
  <c r="L97" i="1"/>
  <c r="M103" i="1"/>
  <c r="N108" i="1"/>
  <c r="M108" i="1"/>
  <c r="L108" i="1"/>
  <c r="M112" i="1"/>
  <c r="N123" i="1"/>
  <c r="M123" i="1"/>
  <c r="L123" i="1"/>
  <c r="N129" i="1"/>
  <c r="L129" i="1"/>
  <c r="M135" i="1"/>
  <c r="N140" i="1"/>
  <c r="M140" i="1"/>
  <c r="L140" i="1"/>
  <c r="M144" i="1"/>
  <c r="N155" i="1"/>
  <c r="M155" i="1"/>
  <c r="L155" i="1"/>
  <c r="N161" i="1"/>
  <c r="L161" i="1"/>
  <c r="M167" i="1"/>
  <c r="N172" i="1"/>
  <c r="M172" i="1"/>
  <c r="L172" i="1"/>
  <c r="M176" i="1"/>
  <c r="N187" i="1"/>
  <c r="M187" i="1"/>
  <c r="L187" i="1"/>
  <c r="N193" i="1"/>
  <c r="L193" i="1"/>
  <c r="M199" i="1"/>
  <c r="N204" i="1"/>
  <c r="M204" i="1"/>
  <c r="L204" i="1"/>
  <c r="M208" i="1"/>
  <c r="L218" i="1"/>
  <c r="N218" i="1"/>
  <c r="L223" i="1"/>
  <c r="N223" i="1"/>
  <c r="L229" i="1"/>
  <c r="M229" i="1"/>
  <c r="L250" i="1"/>
  <c r="N250" i="1"/>
  <c r="M250" i="1"/>
  <c r="L252" i="1"/>
  <c r="M252" i="1"/>
  <c r="N252" i="1"/>
  <c r="N264" i="1"/>
  <c r="M264" i="1"/>
  <c r="L264" i="1"/>
  <c r="N308" i="1"/>
  <c r="M308" i="1"/>
  <c r="M222" i="1"/>
  <c r="M231" i="1"/>
  <c r="L256" i="1"/>
  <c r="M256" i="1"/>
  <c r="L260" i="1"/>
  <c r="M277" i="1"/>
  <c r="M291" i="1"/>
  <c r="L301" i="1"/>
  <c r="N304" i="1"/>
  <c r="L304" i="1"/>
  <c r="M323" i="1"/>
  <c r="M337" i="1"/>
  <c r="M370" i="1"/>
  <c r="N384" i="1"/>
  <c r="M384" i="1"/>
  <c r="L384" i="1"/>
  <c r="N294" i="1"/>
  <c r="M294" i="1"/>
  <c r="L294" i="1"/>
  <c r="N329" i="1"/>
  <c r="M329" i="1"/>
  <c r="L329" i="1"/>
  <c r="N376" i="1"/>
  <c r="M376" i="1"/>
  <c r="L291" i="1"/>
  <c r="L323" i="1"/>
  <c r="L337" i="1"/>
  <c r="L370" i="1"/>
  <c r="L376" i="1"/>
  <c r="N328" i="1"/>
  <c r="L328" i="1"/>
  <c r="N334" i="1"/>
  <c r="M334" i="1"/>
  <c r="L334" i="1"/>
  <c r="N336" i="1"/>
  <c r="M336" i="1"/>
  <c r="N367" i="1"/>
  <c r="M367" i="1"/>
  <c r="L367" i="1"/>
  <c r="N424" i="1"/>
  <c r="M424" i="1"/>
  <c r="L424" i="1"/>
  <c r="L249" i="1"/>
  <c r="N249" i="1"/>
  <c r="M249" i="1"/>
  <c r="N267" i="1"/>
  <c r="L267" i="1"/>
  <c r="N273" i="1"/>
  <c r="M273" i="1"/>
  <c r="L273" i="1"/>
  <c r="N392" i="1"/>
  <c r="M392" i="1"/>
  <c r="L392" i="1"/>
  <c r="L240" i="1"/>
  <c r="M240" i="1"/>
  <c r="L277" i="1"/>
  <c r="N314" i="1"/>
  <c r="M314" i="1"/>
  <c r="N431" i="1"/>
  <c r="M431" i="1"/>
  <c r="L431" i="1"/>
  <c r="B449" i="1"/>
  <c r="K13" i="1"/>
  <c r="L216" i="1"/>
  <c r="M216" i="1"/>
  <c r="N222" i="1"/>
  <c r="L225" i="1"/>
  <c r="N225" i="1"/>
  <c r="M225" i="1"/>
  <c r="N231" i="1"/>
  <c r="L248" i="1"/>
  <c r="M248" i="1"/>
  <c r="M260" i="1"/>
  <c r="N266" i="1"/>
  <c r="M266" i="1"/>
  <c r="N272" i="1"/>
  <c r="L272" i="1"/>
  <c r="N280" i="1"/>
  <c r="L280" i="1"/>
  <c r="N290" i="1"/>
  <c r="M290" i="1"/>
  <c r="N293" i="1"/>
  <c r="M293" i="1"/>
  <c r="L293" i="1"/>
  <c r="N296" i="1"/>
  <c r="L296" i="1"/>
  <c r="M301" i="1"/>
  <c r="N316" i="1"/>
  <c r="M316" i="1"/>
  <c r="L316" i="1"/>
  <c r="L71" i="1"/>
  <c r="L72" i="1"/>
  <c r="L73" i="1"/>
  <c r="L74" i="1"/>
  <c r="L75" i="1"/>
  <c r="L76" i="1"/>
  <c r="L77" i="1"/>
  <c r="L78" i="1"/>
  <c r="L79" i="1"/>
  <c r="L80" i="1"/>
  <c r="L81" i="1"/>
  <c r="L90" i="1"/>
  <c r="L98" i="1"/>
  <c r="L106" i="1"/>
  <c r="L114" i="1"/>
  <c r="L122" i="1"/>
  <c r="L130" i="1"/>
  <c r="L138" i="1"/>
  <c r="L186" i="1"/>
  <c r="L194" i="1"/>
  <c r="L202" i="1"/>
  <c r="L210" i="1"/>
  <c r="N216" i="1"/>
  <c r="M220" i="1"/>
  <c r="M230" i="1"/>
  <c r="M239" i="1"/>
  <c r="N248" i="1"/>
  <c r="L266" i="1"/>
  <c r="M272" i="1"/>
  <c r="L275" i="1"/>
  <c r="M280" i="1"/>
  <c r="L290" i="1"/>
  <c r="M296" i="1"/>
  <c r="L299" i="1"/>
  <c r="N306" i="1"/>
  <c r="M306" i="1"/>
  <c r="L306" i="1"/>
  <c r="L310" i="1"/>
  <c r="N325" i="1"/>
  <c r="L325" i="1"/>
  <c r="M328" i="1"/>
  <c r="N330" i="1"/>
  <c r="M330" i="1"/>
  <c r="L336" i="1"/>
  <c r="N369" i="1"/>
  <c r="M369" i="1"/>
  <c r="L369" i="1"/>
  <c r="N375" i="1"/>
  <c r="M375" i="1"/>
  <c r="L375" i="1"/>
  <c r="N391" i="1"/>
  <c r="M391" i="1"/>
  <c r="L391" i="1"/>
  <c r="N402" i="1"/>
  <c r="M402" i="1"/>
  <c r="N416" i="1"/>
  <c r="M416" i="1"/>
  <c r="L146" i="1"/>
  <c r="L154" i="1"/>
  <c r="L162" i="1"/>
  <c r="L170" i="1"/>
  <c r="L178" i="1"/>
  <c r="M81" i="1"/>
  <c r="M90" i="1"/>
  <c r="M98" i="1"/>
  <c r="M106" i="1"/>
  <c r="M114" i="1"/>
  <c r="M122" i="1"/>
  <c r="M130" i="1"/>
  <c r="M138" i="1"/>
  <c r="M146" i="1"/>
  <c r="M154" i="1"/>
  <c r="M162" i="1"/>
  <c r="M170" i="1"/>
  <c r="M178" i="1"/>
  <c r="M186" i="1"/>
  <c r="M194" i="1"/>
  <c r="M202" i="1"/>
  <c r="M210" i="1"/>
  <c r="N220" i="1"/>
  <c r="L224" i="1"/>
  <c r="M224" i="1"/>
  <c r="N230" i="1"/>
  <c r="N239" i="1"/>
  <c r="M255" i="1"/>
  <c r="N262" i="1"/>
  <c r="L262" i="1"/>
  <c r="N268" i="1"/>
  <c r="M268" i="1"/>
  <c r="L268" i="1"/>
  <c r="M275" i="1"/>
  <c r="N282" i="1"/>
  <c r="M282" i="1"/>
  <c r="L282" i="1"/>
  <c r="L286" i="1"/>
  <c r="M299" i="1"/>
  <c r="M310" i="1"/>
  <c r="N318" i="1"/>
  <c r="M318" i="1"/>
  <c r="N321" i="1"/>
  <c r="M321" i="1"/>
  <c r="L321" i="1"/>
  <c r="M325" i="1"/>
  <c r="L330" i="1"/>
  <c r="L393" i="1"/>
  <c r="L402" i="1"/>
  <c r="N418" i="1"/>
  <c r="M418" i="1"/>
  <c r="L418" i="1"/>
  <c r="N312" i="1"/>
  <c r="L312" i="1"/>
  <c r="N386" i="1"/>
  <c r="M386" i="1"/>
  <c r="N432" i="1"/>
  <c r="M432" i="1"/>
  <c r="L263" i="1"/>
  <c r="N288" i="1"/>
  <c r="L288" i="1"/>
  <c r="L303" i="1"/>
  <c r="M312" i="1"/>
  <c r="L326" i="1"/>
  <c r="L377" i="1"/>
  <c r="L386" i="1"/>
  <c r="N415" i="1"/>
  <c r="M415" i="1"/>
  <c r="L415" i="1"/>
  <c r="N423" i="1"/>
  <c r="M423" i="1"/>
  <c r="L423" i="1"/>
  <c r="L432" i="1"/>
  <c r="N434" i="1"/>
  <c r="M434" i="1"/>
  <c r="M263" i="1"/>
  <c r="L278" i="1"/>
  <c r="M288" i="1"/>
  <c r="N297" i="1"/>
  <c r="M297" i="1"/>
  <c r="L297" i="1"/>
  <c r="M303" i="1"/>
  <c r="N320" i="1"/>
  <c r="L320" i="1"/>
  <c r="M326" i="1"/>
  <c r="N335" i="1"/>
  <c r="L335" i="1"/>
  <c r="M335" i="1"/>
  <c r="N368" i="1"/>
  <c r="M368" i="1"/>
  <c r="M377" i="1"/>
  <c r="N400" i="1"/>
  <c r="M400" i="1"/>
  <c r="N408" i="1"/>
  <c r="M408" i="1"/>
  <c r="L408" i="1"/>
  <c r="L425" i="1"/>
  <c r="L434" i="1"/>
  <c r="L401" i="1"/>
  <c r="L417" i="1"/>
  <c r="L433" i="1"/>
  <c r="M401" i="1"/>
  <c r="M417" i="1"/>
  <c r="M433" i="1"/>
  <c r="L366" i="1"/>
  <c r="B456" i="1" s="1"/>
  <c r="L374" i="1"/>
  <c r="L382" i="1"/>
  <c r="L390" i="1"/>
  <c r="L398" i="1"/>
  <c r="L406" i="1"/>
  <c r="L414" i="1"/>
  <c r="L422" i="1"/>
  <c r="L430" i="1"/>
  <c r="L333" i="1"/>
  <c r="L341" i="1"/>
  <c r="M366" i="1"/>
  <c r="L373" i="1"/>
  <c r="M374" i="1"/>
  <c r="L381" i="1"/>
  <c r="M382" i="1"/>
  <c r="L389" i="1"/>
  <c r="M390" i="1"/>
  <c r="L397" i="1"/>
  <c r="M398" i="1"/>
  <c r="L405" i="1"/>
  <c r="M406" i="1"/>
  <c r="L413" i="1"/>
  <c r="M414" i="1"/>
  <c r="L421" i="1"/>
  <c r="M422" i="1"/>
  <c r="L429" i="1"/>
  <c r="M430" i="1"/>
  <c r="M13" i="1" l="1"/>
  <c r="B451" i="1" s="1"/>
  <c r="L13" i="1"/>
  <c r="N13" i="1"/>
  <c r="B452" i="1" s="1"/>
  <c r="B458" i="1" l="1"/>
  <c r="B446" i="1"/>
  <c r="B445" i="1"/>
  <c r="B444" i="1"/>
  <c r="B443" i="1"/>
</calcChain>
</file>

<file path=xl/sharedStrings.xml><?xml version="1.0" encoding="utf-8"?>
<sst xmlns="http://schemas.openxmlformats.org/spreadsheetml/2006/main" count="2619" uniqueCount="1023">
  <si>
    <t>T_ROP — Integration Page (ROP Verification)</t>
  </si>
  <si>
    <t>The heart of the SAP Integration &amp; Compliance module. Clerk verifies physical stock against system Expected ROP.</t>
  </si>
  <si>
    <t>The ONLY manual input in this entire flow is the "Actual ROP" column (highlighted pale yellow). Everything else is automatic.</t>
  </si>
  <si>
    <t>Variance Logic (auto):</t>
  </si>
  <si>
    <t xml:space="preserve">   • Variance = Expected ROP − Actual ROP</t>
  </si>
  <si>
    <t xml:space="preserve">   • Variance = 0 → CLEAN (no further action)</t>
  </si>
  <si>
    <t xml:space="preserve">   • Variance &gt; 0 → SHORTAGE → POST TO DEFAULT OUTLET at depot price (creates new sale record)</t>
  </si>
  <si>
    <t xml:space="preserve">   • Variance &lt; 0 → EXCESS → ADJUST UNLOAD UPWARD (NO new sales; sales are immutable)</t>
  </si>
  <si>
    <t>Column Groups:</t>
  </si>
  <si>
    <t>Identification</t>
  </si>
  <si>
    <t>Resolved by SFA</t>
  </si>
  <si>
    <t>Expected (Auto)</t>
  </si>
  <si>
    <t>CLERK INPUT</t>
  </si>
  <si>
    <t>Computed</t>
  </si>
  <si>
    <t>Resolution</t>
  </si>
  <si>
    <t>State</t>
  </si>
  <si>
    <t>ROP ID</t>
  </si>
  <si>
    <t>Stock Key</t>
  </si>
  <si>
    <t>Salesman SAP Code</t>
  </si>
  <si>
    <t>Salesman Name</t>
  </si>
  <si>
    <t>Depot</t>
  </si>
  <si>
    <t>SKU Code</t>
  </si>
  <si>
    <t>SKU Name</t>
  </si>
  <si>
    <t>Batch Number</t>
  </si>
  <si>
    <t>Expected ROP</t>
  </si>
  <si>
    <t>Actual ROP (Clerk)</t>
  </si>
  <si>
    <t>Variance</t>
  </si>
  <si>
    <t>Resolution Action</t>
  </si>
  <si>
    <t>Default Outlet Posting Qty</t>
  </si>
  <si>
    <t>Unload Adjustment Qty</t>
  </si>
  <si>
    <t>Status</t>
  </si>
  <si>
    <t>Verified By</t>
  </si>
  <si>
    <t>Verified On</t>
  </si>
  <si>
    <t>ROP-0001</t>
  </si>
  <si>
    <t>ARS000069|FG001|CK3-33379</t>
  </si>
  <si>
    <t>ARS000069</t>
  </si>
  <si>
    <t>FG001</t>
  </si>
  <si>
    <t>CK3-33379</t>
  </si>
  <si>
    <t>Pending Verification</t>
  </si>
  <si>
    <t>ROP-0002</t>
  </si>
  <si>
    <t>ARS000069|FG002|CK3-33372</t>
  </si>
  <si>
    <t>FG002</t>
  </si>
  <si>
    <t>CK3-33372</t>
  </si>
  <si>
    <t>ROP-0003</t>
  </si>
  <si>
    <t>ARS000069|FG003|CK3-33290</t>
  </si>
  <si>
    <t>FG003</t>
  </si>
  <si>
    <t>CK3-33290</t>
  </si>
  <si>
    <t>ROP-0004</t>
  </si>
  <si>
    <t>ARS000069|FG004|CK5-33354</t>
  </si>
  <si>
    <t>FG004</t>
  </si>
  <si>
    <t>CK5-33354</t>
  </si>
  <si>
    <t>ROP-0005</t>
  </si>
  <si>
    <t>ARS000069|FG006|CK3-33306</t>
  </si>
  <si>
    <t>FG006</t>
  </si>
  <si>
    <t>CK3-33306</t>
  </si>
  <si>
    <t>ROP-0006</t>
  </si>
  <si>
    <t>ARS000069|FG009|CK3-33348</t>
  </si>
  <si>
    <t>FG009</t>
  </si>
  <si>
    <t>CK3-33348</t>
  </si>
  <si>
    <t>ROP-0007</t>
  </si>
  <si>
    <t>ARS000069|FG010|CK3-33301</t>
  </si>
  <si>
    <t>FG010</t>
  </si>
  <si>
    <t>CK3-33301</t>
  </si>
  <si>
    <t>ROP-0008</t>
  </si>
  <si>
    <t>ARS000069|FG011|CK3-33237</t>
  </si>
  <si>
    <t>FG011</t>
  </si>
  <si>
    <t>CK3-33237</t>
  </si>
  <si>
    <t>ROP-0009</t>
  </si>
  <si>
    <t>ARS000069|FG012|CK3-33126</t>
  </si>
  <si>
    <t>FG012</t>
  </si>
  <si>
    <t>CK3-33126</t>
  </si>
  <si>
    <t>ROP-0010</t>
  </si>
  <si>
    <t>ARS000069|KD001|CK4-836</t>
  </si>
  <si>
    <t>KD001</t>
  </si>
  <si>
    <t>CK4-836</t>
  </si>
  <si>
    <t>ROP-0011</t>
  </si>
  <si>
    <t>ARS000069|KD001|CK6-978</t>
  </si>
  <si>
    <t>CK6-978</t>
  </si>
  <si>
    <t>ROP-0012</t>
  </si>
  <si>
    <t>ARS000069|KD001|CK6-983</t>
  </si>
  <si>
    <t>CK6-983</t>
  </si>
  <si>
    <t>ROP-0013</t>
  </si>
  <si>
    <t>ARS000069|KD003|CK6-980</t>
  </si>
  <si>
    <t>KD003</t>
  </si>
  <si>
    <t>CK6-980</t>
  </si>
  <si>
    <t>ROP-0014</t>
  </si>
  <si>
    <t>ARS000069|KD004|CK7-895</t>
  </si>
  <si>
    <t>KD004</t>
  </si>
  <si>
    <t>CK7-895</t>
  </si>
  <si>
    <t>ROP-0015</t>
  </si>
  <si>
    <t>ARS000069|KD005|CK7-909</t>
  </si>
  <si>
    <t>KD005</t>
  </si>
  <si>
    <t>CK7-909</t>
  </si>
  <si>
    <t>ROP-0016</t>
  </si>
  <si>
    <t>ARS000069|KD005|CK7-913</t>
  </si>
  <si>
    <t>CK7-913</t>
  </si>
  <si>
    <t>ROP-0017</t>
  </si>
  <si>
    <t>ARS000069|KD006|CK7-914</t>
  </si>
  <si>
    <t>KD006</t>
  </si>
  <si>
    <t>CK7-914</t>
  </si>
  <si>
    <t>ROP-0018</t>
  </si>
  <si>
    <t>ARS000069|KD006|CK7-915</t>
  </si>
  <si>
    <t>CK7-915</t>
  </si>
  <si>
    <t>ROP-0019</t>
  </si>
  <si>
    <t>ARS000069|KD007|CK4-832</t>
  </si>
  <si>
    <t>KD007</t>
  </si>
  <si>
    <t>CK4-832</t>
  </si>
  <si>
    <t>ROP-0020</t>
  </si>
  <si>
    <t>ARS000069|PH001|CK6-33399</t>
  </si>
  <si>
    <t>PH001</t>
  </si>
  <si>
    <t>CK6-33399</t>
  </si>
  <si>
    <t>ROP-0021</t>
  </si>
  <si>
    <t>ARS000069|PH002|CK6-33362</t>
  </si>
  <si>
    <t>PH002</t>
  </si>
  <si>
    <t>CK6-33362</t>
  </si>
  <si>
    <t>ROP-0022</t>
  </si>
  <si>
    <t>ARS000069|PH003|CK5-33389</t>
  </si>
  <si>
    <t>PH003</t>
  </si>
  <si>
    <t>CK5-33389</t>
  </si>
  <si>
    <t>ROP-0023</t>
  </si>
  <si>
    <t>ARS000069|PH004|CK5-33331</t>
  </si>
  <si>
    <t>PH004</t>
  </si>
  <si>
    <t>CK5-33331</t>
  </si>
  <si>
    <t>ROP-0024</t>
  </si>
  <si>
    <t>ARS000069|PH005|CK6-33392</t>
  </si>
  <si>
    <t>PH005</t>
  </si>
  <si>
    <t>CK6-33392</t>
  </si>
  <si>
    <t>ROP-0025</t>
  </si>
  <si>
    <t>ARS000069|PH006|CK6-33333</t>
  </si>
  <si>
    <t>PH006</t>
  </si>
  <si>
    <t>CK6-33333</t>
  </si>
  <si>
    <t>ROP-0026</t>
  </si>
  <si>
    <t>ARS000069|PH007|CK6-33374</t>
  </si>
  <si>
    <t>PH007</t>
  </si>
  <si>
    <t>CK6-33374</t>
  </si>
  <si>
    <t>ROP-0027</t>
  </si>
  <si>
    <t>ARS000069|PH008|CK5-33325</t>
  </si>
  <si>
    <t>PH008</t>
  </si>
  <si>
    <t>CK5-33325</t>
  </si>
  <si>
    <t>ROP-0028</t>
  </si>
  <si>
    <t>ARS000069|PO008|CK5-33384</t>
  </si>
  <si>
    <t>PO008</t>
  </si>
  <si>
    <t>CK5-33384</t>
  </si>
  <si>
    <t>ROP-0029</t>
  </si>
  <si>
    <t>ARS000069|PO008|CK5-33386</t>
  </si>
  <si>
    <t>CK5-33386</t>
  </si>
  <si>
    <t>ROP-0030</t>
  </si>
  <si>
    <t>ARS000069|PO012|CK5-33369</t>
  </si>
  <si>
    <t>PO012</t>
  </si>
  <si>
    <t>CK5-33369</t>
  </si>
  <si>
    <t>ROP-0031</t>
  </si>
  <si>
    <t>ARS000069|PO013|CK5-33368</t>
  </si>
  <si>
    <t>PO013</t>
  </si>
  <si>
    <t>CK5-33368</t>
  </si>
  <si>
    <t>ROP-0032</t>
  </si>
  <si>
    <t>ARS000069|PO014|CK5-33336</t>
  </si>
  <si>
    <t>PO014</t>
  </si>
  <si>
    <t>CK5-33336</t>
  </si>
  <si>
    <t>ROP-0033</t>
  </si>
  <si>
    <t>ARS000069|PO015|CK5-33366</t>
  </si>
  <si>
    <t>PO015</t>
  </si>
  <si>
    <t>CK5-33366</t>
  </si>
  <si>
    <t>ROP-0034</t>
  </si>
  <si>
    <t>DSM300140|KD001|CK6-979</t>
  </si>
  <si>
    <t>DSM300140</t>
  </si>
  <si>
    <t>CK6-979</t>
  </si>
  <si>
    <t>ROP-0035</t>
  </si>
  <si>
    <t>DSM300140|KD003|CK4-823</t>
  </si>
  <si>
    <t>CK4-823</t>
  </si>
  <si>
    <t>ROP-0036</t>
  </si>
  <si>
    <t>DSM300140|KD005|CK7-909</t>
  </si>
  <si>
    <t>ROP-0037</t>
  </si>
  <si>
    <t>DSM300140|KD006|CK7-911</t>
  </si>
  <si>
    <t>CK7-911</t>
  </si>
  <si>
    <t>ROP-0038</t>
  </si>
  <si>
    <t>DSM300140|KD007|CK4-833</t>
  </si>
  <si>
    <t>CK4-833</t>
  </si>
  <si>
    <t>ROP-0039</t>
  </si>
  <si>
    <t>MOS100079|FG001|CK3-33409</t>
  </si>
  <si>
    <t>MOS100079</t>
  </si>
  <si>
    <t>CK3-33409</t>
  </si>
  <si>
    <t>ROP-0040</t>
  </si>
  <si>
    <t>MOS100079|FG002|CK3-33407</t>
  </si>
  <si>
    <t>CK3-33407</t>
  </si>
  <si>
    <t>ROP-0041</t>
  </si>
  <si>
    <t>MOS100079|FG003|CK3-33356</t>
  </si>
  <si>
    <t>CK3-33356</t>
  </si>
  <si>
    <t>ROP-0042</t>
  </si>
  <si>
    <t>MOS100079|FG004|CK3-33385</t>
  </si>
  <si>
    <t>CK3-33385</t>
  </si>
  <si>
    <t>ROP-0043</t>
  </si>
  <si>
    <t>MOS100079|FG005|CK3-33402</t>
  </si>
  <si>
    <t>FG005</t>
  </si>
  <si>
    <t>CK3-33402</t>
  </si>
  <si>
    <t>ROP-0044</t>
  </si>
  <si>
    <t>MOS100079|FG006|CK3-33414</t>
  </si>
  <si>
    <t>CK3-33414</t>
  </si>
  <si>
    <t>ROP-0045</t>
  </si>
  <si>
    <t>MOS100079|FG007|CK3-33404</t>
  </si>
  <si>
    <t>FG007</t>
  </si>
  <si>
    <t>CK3-33404</t>
  </si>
  <si>
    <t>ROP-0046</t>
  </si>
  <si>
    <t>MOS100079|FG008|CK3-33365</t>
  </si>
  <si>
    <t>FG008</t>
  </si>
  <si>
    <t>CK3-33365</t>
  </si>
  <si>
    <t>ROP-0047</t>
  </si>
  <si>
    <t>MOS100079|FG009|CK3-33348</t>
  </si>
  <si>
    <t>ROP-0048</t>
  </si>
  <si>
    <t>MOS100079|FG010|CK3-33301</t>
  </si>
  <si>
    <t>ROP-0049</t>
  </si>
  <si>
    <t>MOS100079|FG011|CK3-33347</t>
  </si>
  <si>
    <t>CK3-33347</t>
  </si>
  <si>
    <t>ROP-0050</t>
  </si>
  <si>
    <t>MOS100079|FG012|CK3-33126</t>
  </si>
  <si>
    <t>ROP-0051</t>
  </si>
  <si>
    <t>MOS100079|FG024|CK3-32758</t>
  </si>
  <si>
    <t>FG024</t>
  </si>
  <si>
    <t>CK3-32758</t>
  </si>
  <si>
    <t>ROP-0052</t>
  </si>
  <si>
    <t>MOS100079|KD001|CK6-986</t>
  </si>
  <si>
    <t>CK6-986</t>
  </si>
  <si>
    <t>ROP-0053</t>
  </si>
  <si>
    <t>MOS100079|KD003|CK4-842</t>
  </si>
  <si>
    <t>CK4-842</t>
  </si>
  <si>
    <t>ROP-0054</t>
  </si>
  <si>
    <t>MOS100079|PH001|CK6-33411</t>
  </si>
  <si>
    <t>CK6-33411</t>
  </si>
  <si>
    <t>ROP-0055</t>
  </si>
  <si>
    <t>MOS100079|PH002|CK6-33362</t>
  </si>
  <si>
    <t>ROP-0056</t>
  </si>
  <si>
    <t>MOS100079|PH003|CK6-33405</t>
  </si>
  <si>
    <t>CK6-33405</t>
  </si>
  <si>
    <t>ROP-0057</t>
  </si>
  <si>
    <t>MOS100079|PH004|CK5-33334</t>
  </si>
  <si>
    <t>CK5-33334</t>
  </si>
  <si>
    <t>ROP-0058</t>
  </si>
  <si>
    <t>MOS100079|PH007|CK6-33375</t>
  </si>
  <si>
    <t>CK6-33375</t>
  </si>
  <si>
    <t>ROP-0059</t>
  </si>
  <si>
    <t>MOS100079|PH008|CK5-33370</t>
  </si>
  <si>
    <t>CK5-33370</t>
  </si>
  <si>
    <t>ROP-0060</t>
  </si>
  <si>
    <t>MOS100079|PO010|CK5-33360</t>
  </si>
  <si>
    <t>PO010</t>
  </si>
  <si>
    <t>CK5-33360</t>
  </si>
  <si>
    <t>ROP-0061</t>
  </si>
  <si>
    <t>MOS100079|PO012|CK5-33369</t>
  </si>
  <si>
    <t>ROP-0062</t>
  </si>
  <si>
    <t>MOS100079|PO015|CK5-33366</t>
  </si>
  <si>
    <t>ROP-0063</t>
  </si>
  <si>
    <t>MOS100144|FG001|CK3-33409</t>
  </si>
  <si>
    <t>MOS100144</t>
  </si>
  <si>
    <t>ROP-0064</t>
  </si>
  <si>
    <t>MOS100144|FG002|CK3-33407</t>
  </si>
  <si>
    <t>ROP-0065</t>
  </si>
  <si>
    <t>MOS100144|FG003|CK3-33356</t>
  </si>
  <si>
    <t>ROP-0066</t>
  </si>
  <si>
    <t>MOS100144|FG004|CK3-33385</t>
  </si>
  <si>
    <t>ROP-0067</t>
  </si>
  <si>
    <t>MOS100144|FG005|CK3-33402</t>
  </si>
  <si>
    <t>ROP-0068</t>
  </si>
  <si>
    <t>MOS100144|FG006|CK3-33414</t>
  </si>
  <si>
    <t>ROP-0069</t>
  </si>
  <si>
    <t>MOS100144|FG007|CK3-33404</t>
  </si>
  <si>
    <t>ROP-0070</t>
  </si>
  <si>
    <t>MOS100144|FG008|CK3-33365</t>
  </si>
  <si>
    <t>ROP-0071</t>
  </si>
  <si>
    <t>MOS100144|FG024|CK3-32758</t>
  </si>
  <si>
    <t>ROP-0072</t>
  </si>
  <si>
    <t>MOS100144|KD001|CK6-986</t>
  </si>
  <si>
    <t>ROP-0073</t>
  </si>
  <si>
    <t>MOS100144|KD003|CK4-842</t>
  </si>
  <si>
    <t>ROP-0074</t>
  </si>
  <si>
    <t>MOS100144|PH001|CK6-33411</t>
  </si>
  <si>
    <t>ROP-0075</t>
  </si>
  <si>
    <t>MOS100144|PH002|CK6-33362</t>
  </si>
  <si>
    <t>ROP-0076</t>
  </si>
  <si>
    <t>MOS100144|PH003|CK6-33405</t>
  </si>
  <si>
    <t>ROP-0077</t>
  </si>
  <si>
    <t>MOS100144|PH004|CK5-33334</t>
  </si>
  <si>
    <t>ROP-0078</t>
  </si>
  <si>
    <t>MOS100144|PH006|CK6-33334</t>
  </si>
  <si>
    <t>CK6-33334</t>
  </si>
  <si>
    <t>ROP-0079</t>
  </si>
  <si>
    <t>MOS100144|PH007|CK6-33375</t>
  </si>
  <si>
    <t>ROP-0080</t>
  </si>
  <si>
    <t>MOS100180|FG001|CK3-33409</t>
  </si>
  <si>
    <t>MOS100180</t>
  </si>
  <si>
    <t>ROP-0081</t>
  </si>
  <si>
    <t>MOS100180|FG002|CK3-33407</t>
  </si>
  <si>
    <t>ROP-0082</t>
  </si>
  <si>
    <t>MOS100180|FG003|CK3-33356</t>
  </si>
  <si>
    <t>ROP-0083</t>
  </si>
  <si>
    <t>MOS100180|FG004|CK3-33385</t>
  </si>
  <si>
    <t>ROP-0084</t>
  </si>
  <si>
    <t>MOS100180|FG005|CK3-33402</t>
  </si>
  <si>
    <t>ROP-0085</t>
  </si>
  <si>
    <t>MOS100180|FG006|CK3-33414</t>
  </si>
  <si>
    <t>ROP-0086</t>
  </si>
  <si>
    <t>MOS100180|FG007|CK3-33404</t>
  </si>
  <si>
    <t>ROP-0087</t>
  </si>
  <si>
    <t>MOS100180|FG008|CK3-33365</t>
  </si>
  <si>
    <t>ROP-0088</t>
  </si>
  <si>
    <t>MOS100180|FG009|CK3-33348</t>
  </si>
  <si>
    <t>ROP-0089</t>
  </si>
  <si>
    <t>MOS100180|FG010|CK3-33301</t>
  </si>
  <si>
    <t>ROP-0090</t>
  </si>
  <si>
    <t>MOS100180|FG011|CK3-33347</t>
  </si>
  <si>
    <t>ROP-0091</t>
  </si>
  <si>
    <t>MOS100180|FG012|CK3-33126</t>
  </si>
  <si>
    <t>ROP-0092</t>
  </si>
  <si>
    <t>MOS100180|FG024|CK3-32758</t>
  </si>
  <si>
    <t>ROP-0093</t>
  </si>
  <si>
    <t>MOS100180|KD001|CK6-986</t>
  </si>
  <si>
    <t>ROP-0094</t>
  </si>
  <si>
    <t>MOS100180|KD003|CK4-842</t>
  </si>
  <si>
    <t>ROP-0095</t>
  </si>
  <si>
    <t>MOS100180|PH001|CK6-33411</t>
  </si>
  <si>
    <t>ROP-0096</t>
  </si>
  <si>
    <t>MOS100180|PH002|CK6-33362</t>
  </si>
  <si>
    <t>ROP-0097</t>
  </si>
  <si>
    <t>MOS100180|PH003|CK6-33405</t>
  </si>
  <si>
    <t>ROP-0098</t>
  </si>
  <si>
    <t>MOS100180|PH004|CK5-33334</t>
  </si>
  <si>
    <t>ROP-0099</t>
  </si>
  <si>
    <t>MOS100180|PH006|CK6-33333</t>
  </si>
  <si>
    <t>ROP-0100</t>
  </si>
  <si>
    <t>MOS100180|PH006|CK6-33334</t>
  </si>
  <si>
    <t>ROP-0101</t>
  </si>
  <si>
    <t>MOS100180|PH007|CK6-33375</t>
  </si>
  <si>
    <t>ROP-0102</t>
  </si>
  <si>
    <t>MOS100180|PH008|CK5-33370</t>
  </si>
  <si>
    <t>ROP-0103</t>
  </si>
  <si>
    <t>MOS100180|PH009|CK6-33241</t>
  </si>
  <si>
    <t>PH009</t>
  </si>
  <si>
    <t>CK6-33241</t>
  </si>
  <si>
    <t>ROP-0104</t>
  </si>
  <si>
    <t>MOS100180|PO010|CK5-33360</t>
  </si>
  <si>
    <t>ROP-0105</t>
  </si>
  <si>
    <t>MOS100180|PO012|CK5-33369</t>
  </si>
  <si>
    <t>ROP-0106</t>
  </si>
  <si>
    <t>MOS100180|PO013|CK5-33368</t>
  </si>
  <si>
    <t>ROP-0107</t>
  </si>
  <si>
    <t>MOS100180|PO015|CK5-33366</t>
  </si>
  <si>
    <t>ROP-0108</t>
  </si>
  <si>
    <t>MOS100200|FG001|CK3-33410</t>
  </si>
  <si>
    <t>MOS100200</t>
  </si>
  <si>
    <t>CK3-33410</t>
  </si>
  <si>
    <t>ROP-0109</t>
  </si>
  <si>
    <t>MOS100200|FG002|CK3-33407</t>
  </si>
  <si>
    <t>ROP-0110</t>
  </si>
  <si>
    <t>MOS100200|FG003|CK3-33356</t>
  </si>
  <si>
    <t>ROP-0111</t>
  </si>
  <si>
    <t>MOS100200|FG004|CK3-33385</t>
  </si>
  <si>
    <t>ROP-0112</t>
  </si>
  <si>
    <t>MOS100200|FG005|CK3-33402</t>
  </si>
  <si>
    <t>ROP-0113</t>
  </si>
  <si>
    <t>MOS100200|FG006|CK3-33414</t>
  </si>
  <si>
    <t>ROP-0114</t>
  </si>
  <si>
    <t>MOS100200|FG007|CK3-33404</t>
  </si>
  <si>
    <t>ROP-0115</t>
  </si>
  <si>
    <t>MOS100200|FG008|CK3-33365</t>
  </si>
  <si>
    <t>ROP-0116</t>
  </si>
  <si>
    <t>MOS100200|FG009|CK3-33348</t>
  </si>
  <si>
    <t>ROP-0117</t>
  </si>
  <si>
    <t>MOS100200|FG010|CK3-33301</t>
  </si>
  <si>
    <t>ROP-0118</t>
  </si>
  <si>
    <t>MOS100200|FG011|CK3-33347</t>
  </si>
  <si>
    <t>ROP-0119</t>
  </si>
  <si>
    <t>MOS100200|FG012|CK3-33126</t>
  </si>
  <si>
    <t>ROP-0120</t>
  </si>
  <si>
    <t>MOS100200|FG024|CK3-32758</t>
  </si>
  <si>
    <t>ROP-0121</t>
  </si>
  <si>
    <t>MOS100200|KD001|CK6-986</t>
  </si>
  <si>
    <t>ROP-0122</t>
  </si>
  <si>
    <t>MOS100200|KD003|CK4-842</t>
  </si>
  <si>
    <t>ROP-0123</t>
  </si>
  <si>
    <t>MOS100200|PH001|CK6-33411</t>
  </si>
  <si>
    <t>ROP-0124</t>
  </si>
  <si>
    <t>MOS100200|PH002|CK6-33362</t>
  </si>
  <si>
    <t>ROP-0125</t>
  </si>
  <si>
    <t>MOS100200|PH003|CK6-33405</t>
  </si>
  <si>
    <t>ROP-0126</t>
  </si>
  <si>
    <t>MOS100200|PH004|CK5-33334</t>
  </si>
  <si>
    <t>ROP-0127</t>
  </si>
  <si>
    <t>MOS100200|PH007|CK6-33375</t>
  </si>
  <si>
    <t>ROP-0128</t>
  </si>
  <si>
    <t>MOS100200|PH008|CK5-33370</t>
  </si>
  <si>
    <t>ROP-0129</t>
  </si>
  <si>
    <t>MOS100200|PO010|CK5-33360</t>
  </si>
  <si>
    <t>ROP-0130</t>
  </si>
  <si>
    <t>MOS100200|PO012|CK5-33369</t>
  </si>
  <si>
    <t>ROP-0131</t>
  </si>
  <si>
    <t>MOS100209|FG001|CK3-33409</t>
  </si>
  <si>
    <t>MOS100209</t>
  </si>
  <si>
    <t>ROP-0132</t>
  </si>
  <si>
    <t>MOS100209|FG002|CK3-33407</t>
  </si>
  <si>
    <t>ROP-0133</t>
  </si>
  <si>
    <t>MOS100209|FG003|CK3-33356</t>
  </si>
  <si>
    <t>ROP-0134</t>
  </si>
  <si>
    <t>MOS100209|FG004|CK3-33385</t>
  </si>
  <si>
    <t>ROP-0135</t>
  </si>
  <si>
    <t>MOS100209|FG005|CK3-33402</t>
  </si>
  <si>
    <t>ROP-0136</t>
  </si>
  <si>
    <t>MOS100209|FG006|CK3-33414</t>
  </si>
  <si>
    <t>ROP-0137</t>
  </si>
  <si>
    <t>MOS100209|FG007|CK3-33404</t>
  </si>
  <si>
    <t>ROP-0138</t>
  </si>
  <si>
    <t>MOS100209|FG008|CK3-33367</t>
  </si>
  <si>
    <t>CK3-33367</t>
  </si>
  <si>
    <t>ROP-0139</t>
  </si>
  <si>
    <t>MOS100209|FG009|CK3-33348</t>
  </si>
  <si>
    <t>ROP-0140</t>
  </si>
  <si>
    <t>MOS100209|FG010|CK3-33301</t>
  </si>
  <si>
    <t>ROP-0141</t>
  </si>
  <si>
    <t>MOS100209|FG011|CK3-33347</t>
  </si>
  <si>
    <t>ROP-0142</t>
  </si>
  <si>
    <t>MOS100209|FG012|CK3-33126</t>
  </si>
  <si>
    <t>ROP-0143</t>
  </si>
  <si>
    <t>MOS100209|FG024|CK3-32758</t>
  </si>
  <si>
    <t>ROP-0144</t>
  </si>
  <si>
    <t>MOS100209|KD001|CK6-986</t>
  </si>
  <si>
    <t>ROP-0145</t>
  </si>
  <si>
    <t>MOS100209|KD003|CK4-842</t>
  </si>
  <si>
    <t>ROP-0146</t>
  </si>
  <si>
    <t>MOS100209|PH001|CK6-33411</t>
  </si>
  <si>
    <t>ROP-0147</t>
  </si>
  <si>
    <t>MOS100209|PH002|CK6-33362</t>
  </si>
  <si>
    <t>ROP-0148</t>
  </si>
  <si>
    <t>MOS100209|PH003|CK6-33405</t>
  </si>
  <si>
    <t>ROP-0149</t>
  </si>
  <si>
    <t>MOS100209|PH004|CK5-33334</t>
  </si>
  <si>
    <t>ROP-0150</t>
  </si>
  <si>
    <t>MOS100209|PH006|CK6-33334</t>
  </si>
  <si>
    <t>ROP-0151</t>
  </si>
  <si>
    <t>MOS100209|PH007|CK6-33375</t>
  </si>
  <si>
    <t>ROP-0152</t>
  </si>
  <si>
    <t>MOS100209|PH008|CK5-33370</t>
  </si>
  <si>
    <t>ROP-0153</t>
  </si>
  <si>
    <t>MOS100209|PH009|CK6-33241</t>
  </si>
  <si>
    <t>ROP-0154</t>
  </si>
  <si>
    <t>MOS100209|PO010|CK5-33360</t>
  </si>
  <si>
    <t>ROP-0155</t>
  </si>
  <si>
    <t>MOS100209|PO012|CK5-33369</t>
  </si>
  <si>
    <t>ROP-0156</t>
  </si>
  <si>
    <t>MOS100209|PO015|CK5-33366</t>
  </si>
  <si>
    <t>ROP-0157</t>
  </si>
  <si>
    <t>MOS100501|FG001|CK3-33409</t>
  </si>
  <si>
    <t>MOS100501</t>
  </si>
  <si>
    <t>ROP-0158</t>
  </si>
  <si>
    <t>MOS100501|FG002|CK3-33407</t>
  </si>
  <si>
    <t>ROP-0159</t>
  </si>
  <si>
    <t>MOS100501|FG003|CK3-33356</t>
  </si>
  <si>
    <t>ROP-0160</t>
  </si>
  <si>
    <t>MOS100501|FG004|CK3-33385</t>
  </si>
  <si>
    <t>ROP-0161</t>
  </si>
  <si>
    <t>MOS100501|FG005|CK3-33402</t>
  </si>
  <si>
    <t>ROP-0162</t>
  </si>
  <si>
    <t>MOS100501|FG006|CK3-33414</t>
  </si>
  <si>
    <t>ROP-0163</t>
  </si>
  <si>
    <t>MOS100501|FG007|CK3-33404</t>
  </si>
  <si>
    <t>ROP-0164</t>
  </si>
  <si>
    <t>MOS100501|FG008|CK3-33365</t>
  </si>
  <si>
    <t>ROP-0165</t>
  </si>
  <si>
    <t>MOS100501|FG009|CK3-33348</t>
  </si>
  <si>
    <t>ROP-0166</t>
  </si>
  <si>
    <t>MOS100501|FG010|CK3-33301</t>
  </si>
  <si>
    <t>ROP-0167</t>
  </si>
  <si>
    <t>MOS100501|FG011|CK3-33347</t>
  </si>
  <si>
    <t>ROP-0168</t>
  </si>
  <si>
    <t>MOS100501|FG012|CK3-33126</t>
  </si>
  <si>
    <t>ROP-0169</t>
  </si>
  <si>
    <t>MOS100501|FG024|CK3-32758</t>
  </si>
  <si>
    <t>ROP-0170</t>
  </si>
  <si>
    <t>MOS100501|KD001|CK6-986</t>
  </si>
  <si>
    <t>ROP-0171</t>
  </si>
  <si>
    <t>MOS100501|KD003|CK4-842</t>
  </si>
  <si>
    <t>ROP-0172</t>
  </si>
  <si>
    <t>MOS100501|PH001|CK6-33411</t>
  </si>
  <si>
    <t>ROP-0173</t>
  </si>
  <si>
    <t>MOS100501|PH002|CK6-33362</t>
  </si>
  <si>
    <t>ROP-0174</t>
  </si>
  <si>
    <t>MOS100501|PH003|CK6-33405</t>
  </si>
  <si>
    <t>ROP-0175</t>
  </si>
  <si>
    <t>MOS100501|PH004|CK5-33334</t>
  </si>
  <si>
    <t>ROP-0176</t>
  </si>
  <si>
    <t>MOS100501|PH007|CK6-33375</t>
  </si>
  <si>
    <t>ROP-0177</t>
  </si>
  <si>
    <t>MOS100501|PH008|CK5-33370</t>
  </si>
  <si>
    <t>ROP-0178</t>
  </si>
  <si>
    <t>MOS100501|PO010|CK5-33360</t>
  </si>
  <si>
    <t>ROP-0179</t>
  </si>
  <si>
    <t>MOS100501|PO012|CK5-33369</t>
  </si>
  <si>
    <t>ROP-0180</t>
  </si>
  <si>
    <t>MOS100501|PO013|CK5-33368</t>
  </si>
  <si>
    <t>ROP-0181</t>
  </si>
  <si>
    <t>MOS100501|PO015|CK5-33366</t>
  </si>
  <si>
    <t>ROP-0182</t>
  </si>
  <si>
    <t>MOS100624|FG001|CK3-33409</t>
  </si>
  <si>
    <t>MOS100624</t>
  </si>
  <si>
    <t>ROP-0183</t>
  </si>
  <si>
    <t>MOS100624|FG002|CK3-33407</t>
  </si>
  <si>
    <t>ROP-0184</t>
  </si>
  <si>
    <t>MOS100624|FG003|CK3-33356</t>
  </si>
  <si>
    <t>ROP-0185</t>
  </si>
  <si>
    <t>MOS100624|FG004|CK3-33385</t>
  </si>
  <si>
    <t>ROP-0186</t>
  </si>
  <si>
    <t>MOS100624|FG005|CK3-33402</t>
  </si>
  <si>
    <t>ROP-0187</t>
  </si>
  <si>
    <t>MOS100624|FG006|CK3-33414</t>
  </si>
  <si>
    <t>ROP-0188</t>
  </si>
  <si>
    <t>MOS100624|FG007|CK3-33404</t>
  </si>
  <si>
    <t>ROP-0189</t>
  </si>
  <si>
    <t>MOS100624|FG008|CK3-33365</t>
  </si>
  <si>
    <t>ROP-0190</t>
  </si>
  <si>
    <t>MOS100624|FG009|CK3-33348</t>
  </si>
  <si>
    <t>ROP-0191</t>
  </si>
  <si>
    <t>MOS100624|FG010|CK3-33301</t>
  </si>
  <si>
    <t>ROP-0192</t>
  </si>
  <si>
    <t>MOS100624|FG011|CK3-33347</t>
  </si>
  <si>
    <t>ROP-0193</t>
  </si>
  <si>
    <t>MOS100624|FG012|CK3-33126</t>
  </si>
  <si>
    <t>ROP-0194</t>
  </si>
  <si>
    <t>MOS100624|FG024|CK3-32758</t>
  </si>
  <si>
    <t>ROP-0195</t>
  </si>
  <si>
    <t>MOS100624|KD001|CK6-986</t>
  </si>
  <si>
    <t>ROP-0196</t>
  </si>
  <si>
    <t>MOS100624|KD003|CK4-842</t>
  </si>
  <si>
    <t>ROP-0197</t>
  </si>
  <si>
    <t>MOS100624|KD004|CK7-806</t>
  </si>
  <si>
    <t>CK7-806</t>
  </si>
  <si>
    <t>ROP-0198</t>
  </si>
  <si>
    <t>MOS100624|KD006|CK7-915</t>
  </si>
  <si>
    <t>ROP-0199</t>
  </si>
  <si>
    <t>MOS100624|PH001|CK6-33411</t>
  </si>
  <si>
    <t>ROP-0200</t>
  </si>
  <si>
    <t>MOS100624|PH002|CK6-33362</t>
  </si>
  <si>
    <t>ROP-0201</t>
  </si>
  <si>
    <t>MOS100624|PH003|CK6-33405</t>
  </si>
  <si>
    <t>ROP-0202</t>
  </si>
  <si>
    <t>MOS100624|PH004|CK5-33334</t>
  </si>
  <si>
    <t>ROP-0203</t>
  </si>
  <si>
    <t>MOS100624|PH007|CK6-33375</t>
  </si>
  <si>
    <t>ROP-0204</t>
  </si>
  <si>
    <t>MOS100624|PH008|CK5-33370</t>
  </si>
  <si>
    <t>ROP-0205</t>
  </si>
  <si>
    <t>MOS100624|PO010|CK5-33360</t>
  </si>
  <si>
    <t>ROP-0206</t>
  </si>
  <si>
    <t>MOS100624|PO012|CK5-33369</t>
  </si>
  <si>
    <t>ROP-0207</t>
  </si>
  <si>
    <t>MOS100624|PO015|CK5-33366</t>
  </si>
  <si>
    <t>ROP-0208</t>
  </si>
  <si>
    <t>MOS100645|FG001|CK3-33408</t>
  </si>
  <si>
    <t>MOS100645</t>
  </si>
  <si>
    <t>CK3-33408</t>
  </si>
  <si>
    <t>ROP-0209</t>
  </si>
  <si>
    <t>MOS100645|FG001|CK3-33409</t>
  </si>
  <si>
    <t>ROP-0210</t>
  </si>
  <si>
    <t>MOS100645|FG002|CK3-33407</t>
  </si>
  <si>
    <t>ROP-0211</t>
  </si>
  <si>
    <t>MOS100645|FG003|CK3-33387</t>
  </si>
  <si>
    <t>CK3-33387</t>
  </si>
  <si>
    <t>ROP-0212</t>
  </si>
  <si>
    <t>MOS100645|FG004|CK3-33385</t>
  </si>
  <si>
    <t>ROP-0213</t>
  </si>
  <si>
    <t>MOS100645|FG005|CK3-33402</t>
  </si>
  <si>
    <t>ROP-0214</t>
  </si>
  <si>
    <t>MOS100645|FG006|CK3-33414</t>
  </si>
  <si>
    <t>ROP-0215</t>
  </si>
  <si>
    <t>MOS100645|FG007|CK3-33404</t>
  </si>
  <si>
    <t>ROP-0216</t>
  </si>
  <si>
    <t>MOS100645|FG008|CK3-33365</t>
  </si>
  <si>
    <t>ROP-0217</t>
  </si>
  <si>
    <t>MOS100645|FG009|CK3-33348</t>
  </si>
  <si>
    <t>ROP-0218</t>
  </si>
  <si>
    <t>MOS100645|FG010|CK3-33301</t>
  </si>
  <si>
    <t>ROP-0219</t>
  </si>
  <si>
    <t>MOS100645|FG011|CK3-33347</t>
  </si>
  <si>
    <t>ROP-0220</t>
  </si>
  <si>
    <t>MOS100645|FG012|CK3-33126</t>
  </si>
  <si>
    <t>ROP-0221</t>
  </si>
  <si>
    <t>MOS100645|FG024|CK3-32758</t>
  </si>
  <si>
    <t>ROP-0222</t>
  </si>
  <si>
    <t>MOS100645|KD001|CK6-986</t>
  </si>
  <si>
    <t>ROP-0223</t>
  </si>
  <si>
    <t>MOS100645|KD003|CK4-841</t>
  </si>
  <si>
    <t>CK4-841</t>
  </si>
  <si>
    <t>ROP-0224</t>
  </si>
  <si>
    <t>MOS100645|PH001|CK6-33411</t>
  </si>
  <si>
    <t>ROP-0225</t>
  </si>
  <si>
    <t>MOS100645|PH002|CK6-33362</t>
  </si>
  <si>
    <t>ROP-0226</t>
  </si>
  <si>
    <t>MOS100645|PH003|CK6-33405</t>
  </si>
  <si>
    <t>ROP-0227</t>
  </si>
  <si>
    <t>MOS100645|PH004|CK5-33334</t>
  </si>
  <si>
    <t>ROP-0228</t>
  </si>
  <si>
    <t>MOS100645|PH007|CK6-33375</t>
  </si>
  <si>
    <t>ROP-0229</t>
  </si>
  <si>
    <t>MOS100645|PH008|CK5-33370</t>
  </si>
  <si>
    <t>ROP-0230</t>
  </si>
  <si>
    <t>MOS100645|PO010|CK5-33360</t>
  </si>
  <si>
    <t>ROP-0231</t>
  </si>
  <si>
    <t>MOS100645|PO012|CK5-33369</t>
  </si>
  <si>
    <t>ROP-0232</t>
  </si>
  <si>
    <t>MOS100645|PO015|CK5-33366</t>
  </si>
  <si>
    <t>ROP-0233</t>
  </si>
  <si>
    <t>MOS100654|FG001|CK3-33409</t>
  </si>
  <si>
    <t>MOS100654</t>
  </si>
  <si>
    <t>ROP-0234</t>
  </si>
  <si>
    <t>MOS100654|FG002|CK3-33407</t>
  </si>
  <si>
    <t>ROP-0235</t>
  </si>
  <si>
    <t>MOS100654|FG003|CK3-33356</t>
  </si>
  <si>
    <t>ROP-0236</t>
  </si>
  <si>
    <t>MOS100654|FG004|CK3-33385</t>
  </si>
  <si>
    <t>ROP-0237</t>
  </si>
  <si>
    <t>MOS100654|FG005|CK3-33402</t>
  </si>
  <si>
    <t>ROP-0238</t>
  </si>
  <si>
    <t>MOS100654|FG006|CK3-33414</t>
  </si>
  <si>
    <t>ROP-0239</t>
  </si>
  <si>
    <t>MOS100654|FG007|CK3-33404</t>
  </si>
  <si>
    <t>ROP-0240</t>
  </si>
  <si>
    <t>MOS100654|FG008|CK3-33365</t>
  </si>
  <si>
    <t>ROP-0241</t>
  </si>
  <si>
    <t>MOS100654|FG010|CK3-33301</t>
  </si>
  <si>
    <t>ROP-0242</t>
  </si>
  <si>
    <t>MOS100654|FG011|CK3-33347</t>
  </si>
  <si>
    <t>ROP-0243</t>
  </si>
  <si>
    <t>MOS100654|FG012|CK3-33126</t>
  </si>
  <si>
    <t>ROP-0244</t>
  </si>
  <si>
    <t>MOS100654|FG024|CK3-32758</t>
  </si>
  <si>
    <t>ROP-0245</t>
  </si>
  <si>
    <t>MOS100654|KD001|CK6-986</t>
  </si>
  <si>
    <t>ROP-0246</t>
  </si>
  <si>
    <t>MOS100654|KD003|CK4-842</t>
  </si>
  <si>
    <t>ROP-0247</t>
  </si>
  <si>
    <t>MOS100654|KD005|CK7-913</t>
  </si>
  <si>
    <t>ROP-0248</t>
  </si>
  <si>
    <t>MOS100654|KD006|CK7-918</t>
  </si>
  <si>
    <t>CK7-918</t>
  </si>
  <si>
    <t>ROP-0249</t>
  </si>
  <si>
    <t>MOS100654|PH001|CK6-33411</t>
  </si>
  <si>
    <t>ROP-0250</t>
  </si>
  <si>
    <t>MOS100654|PH002|CK6-33362</t>
  </si>
  <si>
    <t>ROP-0251</t>
  </si>
  <si>
    <t>MOS100654|PH003|CK6-33405</t>
  </si>
  <si>
    <t>ROP-0252</t>
  </si>
  <si>
    <t>MOS100654|PH004|CK5-33334</t>
  </si>
  <si>
    <t>ROP-0253</t>
  </si>
  <si>
    <t>MOS100654|PH007|CK6-33375</t>
  </si>
  <si>
    <t>ROP-0254</t>
  </si>
  <si>
    <t>MOS100654|PH008|CK5-33370</t>
  </si>
  <si>
    <t>ROP-0255</t>
  </si>
  <si>
    <t>MOS100716|FG001|CK3-33409</t>
  </si>
  <si>
    <t>MOS100716</t>
  </si>
  <si>
    <t>ROP-0256</t>
  </si>
  <si>
    <t>MOS100716|FG002|CK3-33407</t>
  </si>
  <si>
    <t>ROP-0257</t>
  </si>
  <si>
    <t>MOS100716|FG003|CK3-33356</t>
  </si>
  <si>
    <t>ROP-0258</t>
  </si>
  <si>
    <t>MOS100716|FG004|CK3-33385</t>
  </si>
  <si>
    <t>ROP-0259</t>
  </si>
  <si>
    <t>MOS100716|FG005|CK3-33402</t>
  </si>
  <si>
    <t>ROP-0260</t>
  </si>
  <si>
    <t>MOS100716|FG006|CK3-33383</t>
  </si>
  <si>
    <t>CK3-33383</t>
  </si>
  <si>
    <t>ROP-0261</t>
  </si>
  <si>
    <t>MOS100716|FG007|CK3-33404</t>
  </si>
  <si>
    <t>ROP-0262</t>
  </si>
  <si>
    <t>MOS100716|FG008|CK3-33365</t>
  </si>
  <si>
    <t>ROP-0263</t>
  </si>
  <si>
    <t>MOS100716|FG009|CK3-33348</t>
  </si>
  <si>
    <t>ROP-0264</t>
  </si>
  <si>
    <t>MOS100716|FG010|CK3-33301</t>
  </si>
  <si>
    <t>ROP-0265</t>
  </si>
  <si>
    <t>MOS100716|FG011|CK3-33347</t>
  </si>
  <si>
    <t>ROP-0266</t>
  </si>
  <si>
    <t>MOS100716|FG012|CK3-33126</t>
  </si>
  <si>
    <t>ROP-0267</t>
  </si>
  <si>
    <t>MOS100716|FG024|CK3-32758</t>
  </si>
  <si>
    <t>ROP-0268</t>
  </si>
  <si>
    <t>MOS100716|KD001|CK6-986</t>
  </si>
  <si>
    <t>ROP-0269</t>
  </si>
  <si>
    <t>MOS100716|KD003|CK4-842</t>
  </si>
  <si>
    <t>ROP-0270</t>
  </si>
  <si>
    <t>MOS100716|PH001|CK6-33411</t>
  </si>
  <si>
    <t>ROP-0271</t>
  </si>
  <si>
    <t>MOS100716|PH002|CK6-33362</t>
  </si>
  <si>
    <t>ROP-0272</t>
  </si>
  <si>
    <t>MOS100716|PH003|CK6-33405</t>
  </si>
  <si>
    <t>ROP-0273</t>
  </si>
  <si>
    <t>MOS100716|PH004|CK5-33334</t>
  </si>
  <si>
    <t>ROP-0274</t>
  </si>
  <si>
    <t>MOS100716|PH007|CK6-33375</t>
  </si>
  <si>
    <t>ROP-0275</t>
  </si>
  <si>
    <t>MOS100716|PH008|CK5-33370</t>
  </si>
  <si>
    <t>ROP-0276</t>
  </si>
  <si>
    <t>MOS100716|PO010|CK5-33360</t>
  </si>
  <si>
    <t>ROP-0277</t>
  </si>
  <si>
    <t>MOS100716|PO012|CK5-33369</t>
  </si>
  <si>
    <t>ROP-0278</t>
  </si>
  <si>
    <t>MOS100716|PO015|CK5-33366</t>
  </si>
  <si>
    <t>ROP-0279</t>
  </si>
  <si>
    <t>MOS100744|FG001|CK3-33409</t>
  </si>
  <si>
    <t>MOS100744</t>
  </si>
  <si>
    <t>ROP-0280</t>
  </si>
  <si>
    <t>MOS100744|FG002|CK3-33407</t>
  </si>
  <si>
    <t>ROP-0281</t>
  </si>
  <si>
    <t>MOS100744|FG003|CK3-33356</t>
  </si>
  <si>
    <t>ROP-0282</t>
  </si>
  <si>
    <t>MOS100744|FG004|CK3-33385</t>
  </si>
  <si>
    <t>ROP-0283</t>
  </si>
  <si>
    <t>MOS100744|FG005|CK3-33402</t>
  </si>
  <si>
    <t>ROP-0284</t>
  </si>
  <si>
    <t>MOS100744|FG006|CK3-33414</t>
  </si>
  <si>
    <t>ROP-0285</t>
  </si>
  <si>
    <t>MOS100744|FG007|CK3-33404</t>
  </si>
  <si>
    <t>ROP-0286</t>
  </si>
  <si>
    <t>MOS100744|FG008|CK3-33365</t>
  </si>
  <si>
    <t>ROP-0287</t>
  </si>
  <si>
    <t>MOS100744|FG009|CK3-33348</t>
  </si>
  <si>
    <t>ROP-0288</t>
  </si>
  <si>
    <t>MOS100744|FG010|CK3-33301</t>
  </si>
  <si>
    <t>ROP-0289</t>
  </si>
  <si>
    <t>MOS100744|FG011|CK3-33347</t>
  </si>
  <si>
    <t>ROP-0290</t>
  </si>
  <si>
    <t>MOS100744|FG012|CK3-33126</t>
  </si>
  <si>
    <t>ROP-0291</t>
  </si>
  <si>
    <t>MOS100744|FG024|CK3-32758</t>
  </si>
  <si>
    <t>ROP-0292</t>
  </si>
  <si>
    <t>MOS100744|KD001|CK6-986</t>
  </si>
  <si>
    <t>ROP-0293</t>
  </si>
  <si>
    <t>MOS100744|KD003|CK4-842</t>
  </si>
  <si>
    <t>ROP-0294</t>
  </si>
  <si>
    <t>MOS100744|KD005|CK7-913</t>
  </si>
  <si>
    <t>ROP-0295</t>
  </si>
  <si>
    <t>MOS100744|KD006|CK7-915</t>
  </si>
  <si>
    <t>ROP-0296</t>
  </si>
  <si>
    <t>MOS100744|PH001|CK6-33411</t>
  </si>
  <si>
    <t>ROP-0297</t>
  </si>
  <si>
    <t>MOS100744|PH002|CK6-33362</t>
  </si>
  <si>
    <t>ROP-0298</t>
  </si>
  <si>
    <t>MOS100744|PH003|CK6-33405</t>
  </si>
  <si>
    <t>ROP-0299</t>
  </si>
  <si>
    <t>MOS100744|PH004|CK5-33334</t>
  </si>
  <si>
    <t>ROP-0300</t>
  </si>
  <si>
    <t>MOS100744|PH007|CK6-33375</t>
  </si>
  <si>
    <t>ROP-0301</t>
  </si>
  <si>
    <t>MOS100744|PH008|CK5-33370</t>
  </si>
  <si>
    <t>ROP-0302</t>
  </si>
  <si>
    <t>MOS100744|PO010|CK5-33360</t>
  </si>
  <si>
    <t>ROP-0303</t>
  </si>
  <si>
    <t>MOS100744|PO012|CK5-33369</t>
  </si>
  <si>
    <t>ROP-0304</t>
  </si>
  <si>
    <t>MOS100744|PO015|CK5-33366</t>
  </si>
  <si>
    <t>ROP-0305</t>
  </si>
  <si>
    <t>MOS100788|FG001|CK3-33408</t>
  </si>
  <si>
    <t>MOS100788</t>
  </si>
  <si>
    <t>ROP-0306</t>
  </si>
  <si>
    <t>MOS100788|FG001|CK3-33410</t>
  </si>
  <si>
    <t>ROP-0307</t>
  </si>
  <si>
    <t>MOS100788|FG002|CK3-33407</t>
  </si>
  <si>
    <t>ROP-0308</t>
  </si>
  <si>
    <t>MOS100788|FG003|CK3-33356</t>
  </si>
  <si>
    <t>ROP-0309</t>
  </si>
  <si>
    <t>MOS100788|FG004|CK3-33385</t>
  </si>
  <si>
    <t>ROP-0310</t>
  </si>
  <si>
    <t>MOS100788|FG005|CK3-33402</t>
  </si>
  <si>
    <t>ROP-0311</t>
  </si>
  <si>
    <t>MOS100788|FG006|CK3-33414</t>
  </si>
  <si>
    <t>ROP-0312</t>
  </si>
  <si>
    <t>MOS100788|FG007|CK3-33404</t>
  </si>
  <si>
    <t>ROP-0313</t>
  </si>
  <si>
    <t>MOS100788|FG008|CK3-33365</t>
  </si>
  <si>
    <t>ROP-0314</t>
  </si>
  <si>
    <t>MOS100788|FG009|CK3-33348</t>
  </si>
  <si>
    <t>ROP-0315</t>
  </si>
  <si>
    <t>MOS100788|FG010|CK3-33301</t>
  </si>
  <si>
    <t>ROP-0316</t>
  </si>
  <si>
    <t>MOS100788|FG011|CK3-33347</t>
  </si>
  <si>
    <t>ROP-0317</t>
  </si>
  <si>
    <t>MOS100788|FG012|CK3-33126</t>
  </si>
  <si>
    <t>ROP-0318</t>
  </si>
  <si>
    <t>MOS100788|FG024|CK3-32758</t>
  </si>
  <si>
    <t>ROP-0319</t>
  </si>
  <si>
    <t>MOS100788|KD001|CK6-986</t>
  </si>
  <si>
    <t>ROP-0320</t>
  </si>
  <si>
    <t>MOS100788|KD003|CK4-842</t>
  </si>
  <si>
    <t>ROP-0321</t>
  </si>
  <si>
    <t>MOS100788|PH001|CK6-33411</t>
  </si>
  <si>
    <t>ROP-0322</t>
  </si>
  <si>
    <t>MOS100788|PH002|CK6-33362</t>
  </si>
  <si>
    <t>ROP-0323</t>
  </si>
  <si>
    <t>MOS100788|PH003|CK6-33405</t>
  </si>
  <si>
    <t>ROP-0324</t>
  </si>
  <si>
    <t>MOS100788|PH004|CK5-33334</t>
  </si>
  <si>
    <t>ROP-0325</t>
  </si>
  <si>
    <t>MOS100788|PH007|CK6-33375</t>
  </si>
  <si>
    <t>ROP-0326</t>
  </si>
  <si>
    <t>MOS100788|PH008|CK5-33370</t>
  </si>
  <si>
    <t>ROP-0327</t>
  </si>
  <si>
    <t>MOS100788|PO010|CK5-33360</t>
  </si>
  <si>
    <t>ROP-0328</t>
  </si>
  <si>
    <t>MOS100788|PO012|CK5-33369</t>
  </si>
  <si>
    <t>ROP-0329</t>
  </si>
  <si>
    <t>MOS100788|PO015|CK5-33366</t>
  </si>
  <si>
    <t>ROP-0330</t>
  </si>
  <si>
    <t>MOS100801|FG001|CK3-33409</t>
  </si>
  <si>
    <t>MOS100801</t>
  </si>
  <si>
    <t>Awaiting Force-Push</t>
  </si>
  <si>
    <t>Blocked - Force-Push Required</t>
  </si>
  <si>
    <t>ROP-0331</t>
  </si>
  <si>
    <t>MOS100801|FG002|CK3-33407</t>
  </si>
  <si>
    <t>ROP-0332</t>
  </si>
  <si>
    <t>MOS100801|FG003|CK3-33356</t>
  </si>
  <si>
    <t>ROP-0333</t>
  </si>
  <si>
    <t>MOS100801|FG004|CK3-33385</t>
  </si>
  <si>
    <t>ROP-0334</t>
  </si>
  <si>
    <t>MOS100801|FG005|CK3-33402</t>
  </si>
  <si>
    <t>ROP-0335</t>
  </si>
  <si>
    <t>MOS100801|FG006|CK3-33414</t>
  </si>
  <si>
    <t>ROP-0336</t>
  </si>
  <si>
    <t>MOS100801|FG007|CK3-33404</t>
  </si>
  <si>
    <t>ROP-0337</t>
  </si>
  <si>
    <t>MOS100801|FG008|CK3-33365</t>
  </si>
  <si>
    <t>ROP-0338</t>
  </si>
  <si>
    <t>MOS100801|FG009|CK3-33348</t>
  </si>
  <si>
    <t>ROP-0339</t>
  </si>
  <si>
    <t>MOS100801|FG010|CK3-33301</t>
  </si>
  <si>
    <t>ROP-0340</t>
  </si>
  <si>
    <t>MOS100801|FG011|CK3-33347</t>
  </si>
  <si>
    <t>ROP-0341</t>
  </si>
  <si>
    <t>MOS100801|FG012|CK3-33126</t>
  </si>
  <si>
    <t>ROP-0342</t>
  </si>
  <si>
    <t>MOS100801|FG024|CK3-32758</t>
  </si>
  <si>
    <t>ROP-0343</t>
  </si>
  <si>
    <t>MOS100801|KD001|CK6-986</t>
  </si>
  <si>
    <t>ROP-0344</t>
  </si>
  <si>
    <t>MOS100801|KD003|CK4-842</t>
  </si>
  <si>
    <t>ROP-0345</t>
  </si>
  <si>
    <t>MOS100801|PH001|CK6-33411</t>
  </si>
  <si>
    <t>ROP-0346</t>
  </si>
  <si>
    <t>MOS100801|PH002|CK6-33362</t>
  </si>
  <si>
    <t>ROP-0347</t>
  </si>
  <si>
    <t>MOS100801|PH003|CK6-33405</t>
  </si>
  <si>
    <t>ROP-0348</t>
  </si>
  <si>
    <t>MOS100801|PH004|CK5-33334</t>
  </si>
  <si>
    <t>ROP-0349</t>
  </si>
  <si>
    <t>MOS100801|PH007|CK6-33375</t>
  </si>
  <si>
    <t>ROP-0350</t>
  </si>
  <si>
    <t>MOS100801|PH008|CK5-33370</t>
  </si>
  <si>
    <t>ROP-0351</t>
  </si>
  <si>
    <t>MOS100801|PO010|CK5-33360</t>
  </si>
  <si>
    <t>ROP-0352</t>
  </si>
  <si>
    <t>MOS100801|PO013|CK5-33368</t>
  </si>
  <si>
    <t>ROP-0353</t>
  </si>
  <si>
    <t>MOS100801|PO015|CK5-33366</t>
  </si>
  <si>
    <t>ROP-0354</t>
  </si>
  <si>
    <t>MOS100802|FG001|CK3-33410</t>
  </si>
  <si>
    <t>MOS100802</t>
  </si>
  <si>
    <t>ROP-0355</t>
  </si>
  <si>
    <t>MOS100802|FG002|CK3-33407</t>
  </si>
  <si>
    <t>ROP-0356</t>
  </si>
  <si>
    <t>MOS100802|FG003|CK3-33356</t>
  </si>
  <si>
    <t>ROP-0357</t>
  </si>
  <si>
    <t>MOS100802|FG004|CK3-33385</t>
  </si>
  <si>
    <t>ROP-0358</t>
  </si>
  <si>
    <t>MOS100802|FG005|CK3-33402</t>
  </si>
  <si>
    <t>ROP-0359</t>
  </si>
  <si>
    <t>MOS100802|FG006|CK3-33414</t>
  </si>
  <si>
    <t>ROP-0360</t>
  </si>
  <si>
    <t>MOS100802|FG007|CK3-33404</t>
  </si>
  <si>
    <t>ROP-0361</t>
  </si>
  <si>
    <t>MOS100802|FG008|CK3-33365</t>
  </si>
  <si>
    <t>ROP-0362</t>
  </si>
  <si>
    <t>MOS100802|FG009|CK3-33348</t>
  </si>
  <si>
    <t>ROP-0363</t>
  </si>
  <si>
    <t>MOS100802|FG010|CK3-33301</t>
  </si>
  <si>
    <t>ROP-0364</t>
  </si>
  <si>
    <t>MOS100802|FG011|CK3-33347</t>
  </si>
  <si>
    <t>ROP-0365</t>
  </si>
  <si>
    <t>MOS100802|FG012|CK3-33126</t>
  </si>
  <si>
    <t>ROP-0366</t>
  </si>
  <si>
    <t>MOS100802|KD001|CK6-986</t>
  </si>
  <si>
    <t>ROP-0367</t>
  </si>
  <si>
    <t>MOS100802|KD003|CK4-842</t>
  </si>
  <si>
    <t>ROP-0368</t>
  </si>
  <si>
    <t>MOS100802|PH001|CK6-33411</t>
  </si>
  <si>
    <t>ROP-0369</t>
  </si>
  <si>
    <t>MOS100802|PH002|CK6-33362</t>
  </si>
  <si>
    <t>ROP-0370</t>
  </si>
  <si>
    <t>MOS100802|PH003|CK6-33405</t>
  </si>
  <si>
    <t>ROP-0371</t>
  </si>
  <si>
    <t>MOS100802|PH004|CK5-33334</t>
  </si>
  <si>
    <t>ROP-0372</t>
  </si>
  <si>
    <t>MOS100802|PH007|CK6-33375</t>
  </si>
  <si>
    <t>ROP-0373</t>
  </si>
  <si>
    <t>MOS100802|PH008|CK5-33370</t>
  </si>
  <si>
    <t>ROP-0374</t>
  </si>
  <si>
    <t>MOS100802|PO010|CK5-33360</t>
  </si>
  <si>
    <t>ROP-0375</t>
  </si>
  <si>
    <t>MOS100802|PO012|CK5-33369</t>
  </si>
  <si>
    <t>ROP-0376</t>
  </si>
  <si>
    <t>MOS100802|PO015|CK5-33366</t>
  </si>
  <si>
    <t>ROP-0377</t>
  </si>
  <si>
    <t>MOS100823|FG001|CK3-33409</t>
  </si>
  <si>
    <t>MOS100823</t>
  </si>
  <si>
    <t>ROP-0378</t>
  </si>
  <si>
    <t>MOS100823|FG002|CK3-33407</t>
  </si>
  <si>
    <t>ROP-0379</t>
  </si>
  <si>
    <t>MOS100823|FG003|CK3-33356</t>
  </si>
  <si>
    <t>ROP-0380</t>
  </si>
  <si>
    <t>MOS100823|FG004|CK3-33385</t>
  </si>
  <si>
    <t>ROP-0381</t>
  </si>
  <si>
    <t>MOS100823|FG005|CK3-33402</t>
  </si>
  <si>
    <t>ROP-0382</t>
  </si>
  <si>
    <t>MOS100823|FG006|CK3-33414</t>
  </si>
  <si>
    <t>ROP-0383</t>
  </si>
  <si>
    <t>MOS100823|FG007|CK3-33404</t>
  </si>
  <si>
    <t>ROP-0384</t>
  </si>
  <si>
    <t>MOS100823|FG008|CK3-33365</t>
  </si>
  <si>
    <t>ROP-0385</t>
  </si>
  <si>
    <t>MOS100823|FG024|CK3-32758</t>
  </si>
  <si>
    <t>ROP-0386</t>
  </si>
  <si>
    <t>MOS100823|KD001|CK6-986</t>
  </si>
  <si>
    <t>ROP-0387</t>
  </si>
  <si>
    <t>MOS100823|KD003|CK4-842</t>
  </si>
  <si>
    <t>ROP-0388</t>
  </si>
  <si>
    <t>MOS100823|KD005|CK7-913</t>
  </si>
  <si>
    <t>ROP-0389</t>
  </si>
  <si>
    <t>MOS100823|KD006|CK7-915</t>
  </si>
  <si>
    <t>ROP-0390</t>
  </si>
  <si>
    <t>MOS100823|PH001|CK6-33411</t>
  </si>
  <si>
    <t>ROP-0391</t>
  </si>
  <si>
    <t>MOS100823|PH002|CK6-33362</t>
  </si>
  <si>
    <t>ROP-0392</t>
  </si>
  <si>
    <t>MOS100823|PH003|CK6-33405</t>
  </si>
  <si>
    <t>ROP-0393</t>
  </si>
  <si>
    <t>MOS100823|PH004|CK5-33334</t>
  </si>
  <si>
    <t>ROP-0394</t>
  </si>
  <si>
    <t>MOS100823|PH007|CK6-33375</t>
  </si>
  <si>
    <t>ROP-0395</t>
  </si>
  <si>
    <t>MOS100823|PH008|CK5-33370</t>
  </si>
  <si>
    <t>ROP-0396</t>
  </si>
  <si>
    <t>MOS100842|FG001|CK3-33409</t>
  </si>
  <si>
    <t>MOS100842</t>
  </si>
  <si>
    <t>ROP-0397</t>
  </si>
  <si>
    <t>MOS100842|FG001|CK3-33410</t>
  </si>
  <si>
    <t>ROP-0398</t>
  </si>
  <si>
    <t>MOS100842|FG002|CK3-33406</t>
  </si>
  <si>
    <t>CK3-33406</t>
  </si>
  <si>
    <t>ROP-0399</t>
  </si>
  <si>
    <t>MOS100842|FG002|CK3-33407</t>
  </si>
  <si>
    <t>ROP-0400</t>
  </si>
  <si>
    <t>MOS100842|FG003|CK3-33356</t>
  </si>
  <si>
    <t>ROP-0401</t>
  </si>
  <si>
    <t>MOS100842|FG003|CK3-33387</t>
  </si>
  <si>
    <t>ROP-0402</t>
  </si>
  <si>
    <t>MOS100842|FG004|CK3-33385</t>
  </si>
  <si>
    <t>ROP-0403</t>
  </si>
  <si>
    <t>MOS100842|FG005|CK3-33402</t>
  </si>
  <si>
    <t>ROP-0404</t>
  </si>
  <si>
    <t>MOS100842|FG006|CK3-33414</t>
  </si>
  <si>
    <t>ROP-0405</t>
  </si>
  <si>
    <t>MOS100842|FG007|CK3-33404</t>
  </si>
  <si>
    <t>ROP-0406</t>
  </si>
  <si>
    <t>MOS100842|FG008|CK3-33261</t>
  </si>
  <si>
    <t>CK3-33261</t>
  </si>
  <si>
    <t>ROP-0407</t>
  </si>
  <si>
    <t>MOS100842|FG008|CK3-33367</t>
  </si>
  <si>
    <t>ROP-0408</t>
  </si>
  <si>
    <t>MOS100842|FG009|CK3-33348</t>
  </si>
  <si>
    <t>ROP-0409</t>
  </si>
  <si>
    <t>MOS100842|FG010|CK3-33070</t>
  </si>
  <si>
    <t>CK3-33070</t>
  </si>
  <si>
    <t>ROP-0410</t>
  </si>
  <si>
    <t>MOS100842|FG010|CK3-33301</t>
  </si>
  <si>
    <t>ROP-0411</t>
  </si>
  <si>
    <t>MOS100842|FG011|CK3-33347</t>
  </si>
  <si>
    <t>ROP-0412</t>
  </si>
  <si>
    <t>MOS100842|FG012|CK3-33126</t>
  </si>
  <si>
    <t>ROP-0413</t>
  </si>
  <si>
    <t>MOS100842|FG024|CK3-32758</t>
  </si>
  <si>
    <t>ROP-0414</t>
  </si>
  <si>
    <t>MOS100842|KD001|CK6-984</t>
  </si>
  <si>
    <t>CK6-984</t>
  </si>
  <si>
    <t>ROP-0415</t>
  </si>
  <si>
    <t>MOS100842|KD001|CK6-986</t>
  </si>
  <si>
    <t>ROP-0416</t>
  </si>
  <si>
    <t>MOS100842|KD003|CK4-842</t>
  </si>
  <si>
    <t>ROP-0417</t>
  </si>
  <si>
    <t>MOS100842|KD006|CK7-915</t>
  </si>
  <si>
    <t>ROP-0418</t>
  </si>
  <si>
    <t>MOS100842|PH001|CK6-33411</t>
  </si>
  <si>
    <t>ROP-0419</t>
  </si>
  <si>
    <t>MOS100842|PH002|CK6-33362</t>
  </si>
  <si>
    <t>ROP-0420</t>
  </si>
  <si>
    <t>MOS100842|PH003|CK6-33405</t>
  </si>
  <si>
    <t>ROP-0421</t>
  </si>
  <si>
    <t>MOS100842|PH004|CK5-33334</t>
  </si>
  <si>
    <t>ROP-0422</t>
  </si>
  <si>
    <t>MOS100842|PH007|CK6-33375</t>
  </si>
  <si>
    <t>ROP-0423</t>
  </si>
  <si>
    <t>MOS100842|PH008|CK5-33370</t>
  </si>
  <si>
    <t>ROP-0424</t>
  </si>
  <si>
    <t>MOS100842|PO015|CK5-33366</t>
  </si>
  <si>
    <t>SUMMARY</t>
  </si>
  <si>
    <t>Total ROP Rows:</t>
  </si>
  <si>
    <t>Resolution Action Breakdown:</t>
  </si>
  <si>
    <t xml:space="preserve">   CLEAN (no action):</t>
  </si>
  <si>
    <t xml:space="preserve">   Post to Default Outlet (shortage):</t>
  </si>
  <si>
    <t xml:space="preserve">   Adjust Unload Upward (excess):</t>
  </si>
  <si>
    <t xml:space="preserve">   Awaiting Force-Push:</t>
  </si>
  <si>
    <t>Quantity Totals:</t>
  </si>
  <si>
    <t xml:space="preserve">   Total Expected ROP:</t>
  </si>
  <si>
    <t xml:space="preserve">   Total Actual ROP:</t>
  </si>
  <si>
    <t xml:space="preserve">   Total Default Outlet Posting:</t>
  </si>
  <si>
    <t xml:space="preserve">   Total Unload Adjustment:</t>
  </si>
  <si>
    <t>Scenario Verification:</t>
  </si>
  <si>
    <t xml:space="preserve">   Riziki (MOS100645) - SHORTAGE - rows with Default Outlet Posting:</t>
  </si>
  <si>
    <t xml:space="preserve">   Joyline (MOS100802) - EXCESS - rows with Unload Adjustment:</t>
  </si>
  <si>
    <t xml:space="preserve">   James (MOS100801) - UNMAPPED - rows awaiting Force-Push:</t>
  </si>
  <si>
    <t xml:space="preserve">   All other salesmen - CLEAN matches:</t>
  </si>
  <si>
    <t>Note: Default Outlet postings will be priced at depot default price in T_DefaultOutletPosting (next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</si>
</sst>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0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i/>
      <sz val="10"/>
      <color rgb="FF595959"/>
      <name val="Calibri"/>
      <charset val="1"/>
    </font>
    <font>
      <b/>
      <i/>
      <sz val="10"/>
      <color rgb="FF1F4E79"/>
      <name val="Calibri"/>
      <charset val="1"/>
    </font>
    <font>
      <b/>
      <sz val="10"/>
      <color rgb="FF1F4E79"/>
      <name val="Calibri"/>
      <charset val="1"/>
    </font>
    <font>
      <b/>
      <sz val="11"/>
      <color rgb="FF1F4E79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262626"/>
      <name val="Calibri"/>
      <charset val="1"/>
    </font>
    <font>
      <sz val="10"/>
      <color rgb="FF262626"/>
      <name val="Calibri"/>
      <charset val="1"/>
    </font>
    <font>
      <sz val="10"/>
      <name val="Calibri"/>
      <charset val="1"/>
    </font>
    <font>
      <i/>
      <sz val="10"/>
      <color rgb="FF2E75B6"/>
      <name val="Calibri"/>
      <charset val="1"/>
    </font>
    <font>
      <b/>
      <sz val="10"/>
      <color rgb="FF0000FF"/>
      <name val="Calibri"/>
      <charset val="1"/>
    </font>
    <font>
      <b/>
      <sz val="10"/>
      <color rgb="FFC00000"/>
      <name val="Calibri"/>
      <charset val="1"/>
    </font>
    <font>
      <b/>
      <sz val="10"/>
      <color rgb="FFBF8F00"/>
      <name val="Calibri"/>
      <charset val="1"/>
    </font>
    <font>
      <b/>
      <sz val="12"/>
      <color rgb="FF1F4E79"/>
      <name val="Cambria"/>
      <charset val="1"/>
    </font>
    <font>
      <b/>
      <sz val="11"/>
      <name val="Calibri"/>
      <charset val="1"/>
    </font>
    <font>
      <b/>
      <sz val="11"/>
      <color rgb="FF548235"/>
      <name val="Calibri"/>
      <charset val="1"/>
    </font>
    <font>
      <b/>
      <sz val="11"/>
      <color rgb="FFC00000"/>
      <name val="Calibri"/>
      <charset val="1"/>
    </font>
    <font>
      <b/>
      <sz val="11"/>
      <color rgb="FFBF8F00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7F7F7F"/>
        <bgColor rgb="FF808080"/>
      </patternFill>
    </fill>
    <fill>
      <patternFill patternType="solid">
        <fgColor rgb="FF70AD47"/>
        <bgColor rgb="FF548235"/>
      </patternFill>
    </fill>
    <fill>
      <patternFill patternType="solid">
        <fgColor rgb="FF5B9BD5"/>
        <bgColor rgb="FF2E75B6"/>
      </patternFill>
    </fill>
    <fill>
      <patternFill patternType="solid">
        <fgColor rgb="FFFFC000"/>
        <bgColor rgb="FFF4B084"/>
      </patternFill>
    </fill>
    <fill>
      <patternFill patternType="solid">
        <fgColor rgb="FF8064A2"/>
        <bgColor rgb="FF7F7F7F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595959"/>
      </patternFill>
    </fill>
    <fill>
      <patternFill patternType="solid">
        <fgColor rgb="FFFFF2CC"/>
        <bgColor rgb="FFFFE6CC"/>
      </patternFill>
    </fill>
    <fill>
      <patternFill patternType="solid">
        <fgColor rgb="FFF2F2F2"/>
        <bgColor rgb="FFFAFAF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E4D8EC"/>
        <bgColor rgb="FFDDEBF7"/>
      </patternFill>
    </fill>
    <fill>
      <patternFill patternType="solid">
        <fgColor rgb="FFF4CCCC"/>
        <bgColor rgb="FFE4D8EC"/>
      </patternFill>
    </fill>
    <fill>
      <patternFill patternType="solid">
        <fgColor rgb="FFC6EFCE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right" vertical="center"/>
    </xf>
    <xf numFmtId="164" fontId="12" fillId="9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164" fontId="11" fillId="12" borderId="1" xfId="0" applyNumberFormat="1" applyFont="1" applyFill="1" applyBorder="1" applyAlignment="1">
      <alignment horizontal="right" vertical="center"/>
    </xf>
    <xf numFmtId="164" fontId="4" fillId="13" borderId="1" xfId="0" applyNumberFormat="1" applyFont="1" applyFill="1" applyBorder="1" applyAlignment="1">
      <alignment horizontal="right" vertical="center"/>
    </xf>
    <xf numFmtId="0" fontId="13" fillId="14" borderId="1" xfId="0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right" vertical="center"/>
    </xf>
    <xf numFmtId="0" fontId="14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14" fontId="10" fillId="15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right" vertical="center"/>
    </xf>
    <xf numFmtId="0" fontId="10" fillId="14" borderId="1" xfId="0" applyFont="1" applyFill="1" applyBorder="1" applyAlignment="1">
      <alignment horizontal="right" vertical="center"/>
    </xf>
    <xf numFmtId="0" fontId="13" fillId="1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5" fillId="0" borderId="0" xfId="0" applyFont="1"/>
    <xf numFmtId="0" fontId="16" fillId="0" borderId="0" xfId="0" applyFont="1"/>
    <xf numFmtId="0" fontId="10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4" fontId="5" fillId="0" borderId="0" xfId="0" applyNumberFormat="1" applyFont="1"/>
    <xf numFmtId="4" fontId="18" fillId="0" borderId="0" xfId="0" applyNumberFormat="1" applyFont="1"/>
    <xf numFmtId="4" fontId="19" fillId="0" borderId="0" xfId="0" applyNumberFormat="1" applyFont="1"/>
  </cellXfs>
  <cellStyles count="1">
    <cellStyle name="Normal" xfId="0" builtinId="0"/>
  </cellStyles>
  <dxfs count="8">
    <dxf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ont>
        <b/>
        <sz val="10"/>
        <color rgb="FFBF8F00"/>
        <name val="Calibri"/>
        <charset val="1"/>
      </font>
      <fill>
        <patternFill>
          <bgColor rgb="FFFFE699"/>
        </patternFill>
      </fill>
    </dxf>
    <dxf>
      <font>
        <b/>
        <sz val="10"/>
        <color rgb="FFC00000"/>
        <name val="Calibri"/>
        <charset val="1"/>
      </font>
      <fill>
        <patternFill>
          <bgColor rgb="FFFCE4D6"/>
        </patternFill>
      </fill>
    </dxf>
    <dxf>
      <font>
        <b/>
        <sz val="10"/>
        <color rgb="FF548235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ashok/AppData/Local/Microsoft/Windows/INetCache/Content.Outlook/A3TWZ7FH/SAP_Integration_Compliance_v1_5.xlsx" TargetMode="External"/><Relationship Id="rId2" Type="http://schemas.openxmlformats.org/officeDocument/2006/relationships/externalLinkPath" Target="file:///C:\Users\ashok\AppData\Local\Microsoft\Windows\INetCache\Content.Outlook\A3TWZ7FH\SAP_Integration_Compliance_v1_5.xlsx" TargetMode="External"/><Relationship Id="rId1" Type="http://schemas.openxmlformats.org/officeDocument/2006/relationships/externalLinkPath" Target="/Users/ashok/AppData/Local/Microsoft/Windows/INetCache/Content.Outlook/A3TWZ7FH/SAP_Integration_Compliance_v1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README"/>
      <sheetName val="M_Depot"/>
      <sheetName val="M_SKU"/>
      <sheetName val="M_DepotPrice"/>
      <sheetName val="M_User"/>
      <sheetName val="M_Config"/>
      <sheetName val="T_Load"/>
      <sheetName val="T_Sales"/>
      <sheetName val="T_Unload"/>
      <sheetName val="T_ROP"/>
      <sheetName val="T_DefaultOutletPosting"/>
      <sheetName val="T_VarianceReasons"/>
      <sheetName val="R_IntegrationPage"/>
      <sheetName val="R_SettlementSheet"/>
      <sheetName val="R_VarianceReport"/>
      <sheetName val="R_AgingView"/>
    </sheetNames>
    <sheetDataSet>
      <sheetData sheetId="0"/>
      <sheetData sheetId="1"/>
      <sheetData sheetId="2">
        <row r="18">
          <cell r="A18" t="str">
            <v>Coke RGB 350ml</v>
          </cell>
          <cell r="B18" t="str">
            <v>FG001</v>
          </cell>
          <cell r="C18" t="str">
            <v>Carbonated Soda Drink (CSD)</v>
          </cell>
          <cell r="D18" t="str">
            <v>RETURNABLE GLASS BOTTLES (RGB)</v>
          </cell>
          <cell r="E18" t="str">
            <v>COKE</v>
          </cell>
          <cell r="F18" t="str">
            <v>Crates</v>
          </cell>
          <cell r="G18" t="str">
            <v>Bottles</v>
          </cell>
          <cell r="H18">
            <v>24</v>
          </cell>
          <cell r="I18" t="str">
            <v>Y</v>
          </cell>
          <cell r="J18" t="str">
            <v>Yes</v>
          </cell>
        </row>
        <row r="19">
          <cell r="A19" t="str">
            <v>Fanta Orange RGB 350ml</v>
          </cell>
          <cell r="B19" t="str">
            <v>FG002</v>
          </cell>
          <cell r="C19" t="str">
            <v>Carbonated Soda Drink (CSD)</v>
          </cell>
          <cell r="D19" t="str">
            <v>RETURNABLE GLASS BOTTLES (RGB)</v>
          </cell>
          <cell r="E19" t="str">
            <v>FANTA</v>
          </cell>
          <cell r="F19" t="str">
            <v>Crates</v>
          </cell>
          <cell r="G19" t="str">
            <v>Bottles</v>
          </cell>
          <cell r="H19">
            <v>24</v>
          </cell>
          <cell r="I19" t="str">
            <v>Y</v>
          </cell>
          <cell r="J19" t="str">
            <v>Yes</v>
          </cell>
        </row>
        <row r="20">
          <cell r="A20" t="str">
            <v>Fanta Passion RGB 350ml</v>
          </cell>
          <cell r="B20" t="str">
            <v>FG003</v>
          </cell>
          <cell r="C20" t="str">
            <v>Carbonated Soda Drink (CSD)</v>
          </cell>
          <cell r="D20" t="str">
            <v>RETURNABLE GLASS BOTTLES (RGB)</v>
          </cell>
          <cell r="E20" t="str">
            <v>FANTA</v>
          </cell>
          <cell r="F20" t="str">
            <v>Crates</v>
          </cell>
          <cell r="G20" t="str">
            <v>Bottles</v>
          </cell>
          <cell r="H20">
            <v>24</v>
          </cell>
          <cell r="I20" t="str">
            <v>Y</v>
          </cell>
          <cell r="J20" t="str">
            <v>Yes</v>
          </cell>
        </row>
        <row r="21">
          <cell r="A21" t="str">
            <v>Fanta Pineapple RGB 350ml</v>
          </cell>
          <cell r="B21" t="str">
            <v>FG004</v>
          </cell>
          <cell r="C21" t="str">
            <v>Carbonated Soda Drink (CSD)</v>
          </cell>
          <cell r="D21" t="str">
            <v>RETURNABLE GLASS BOTTLES (RGB)</v>
          </cell>
          <cell r="E21" t="str">
            <v>FANTA</v>
          </cell>
          <cell r="F21" t="str">
            <v>Crates</v>
          </cell>
          <cell r="G21" t="str">
            <v>Bottles</v>
          </cell>
          <cell r="H21">
            <v>24</v>
          </cell>
          <cell r="I21" t="str">
            <v>Y</v>
          </cell>
          <cell r="J21" t="str">
            <v>Yes</v>
          </cell>
        </row>
        <row r="22">
          <cell r="A22" t="str">
            <v>Fanta Fruit Blast RGB 350 ml</v>
          </cell>
          <cell r="B22" t="str">
            <v>FG005</v>
          </cell>
          <cell r="C22" t="str">
            <v>Carbonated Soda Drink (CSD)</v>
          </cell>
          <cell r="D22" t="str">
            <v>RETURNABLE GLASS BOTTLES (RGB)</v>
          </cell>
          <cell r="E22" t="str">
            <v>FANTA</v>
          </cell>
          <cell r="F22" t="str">
            <v>Crates</v>
          </cell>
          <cell r="G22" t="str">
            <v>Bottles</v>
          </cell>
          <cell r="H22">
            <v>24</v>
          </cell>
          <cell r="I22" t="str">
            <v>Y</v>
          </cell>
          <cell r="J22" t="str">
            <v>Yes</v>
          </cell>
        </row>
        <row r="23">
          <cell r="A23" t="str">
            <v>Sprite 350ml</v>
          </cell>
          <cell r="B23" t="str">
            <v>FG006</v>
          </cell>
          <cell r="C23" t="str">
            <v>Carbonated Soda Drink (CSD)</v>
          </cell>
          <cell r="D23" t="str">
            <v>RETURNABLE GLASS BOTTLES (RGB)</v>
          </cell>
          <cell r="E23" t="str">
            <v>SPRITE</v>
          </cell>
          <cell r="F23" t="str">
            <v>Crates</v>
          </cell>
          <cell r="G23" t="str">
            <v>Bottles</v>
          </cell>
          <cell r="H23">
            <v>24</v>
          </cell>
          <cell r="I23" t="str">
            <v>Y</v>
          </cell>
          <cell r="J23" t="str">
            <v>Yes</v>
          </cell>
        </row>
        <row r="24">
          <cell r="A24" t="str">
            <v>Stoney Tangawizi RGB 350ml</v>
          </cell>
          <cell r="B24" t="str">
            <v>FG007</v>
          </cell>
          <cell r="C24" t="str">
            <v>Carbonated Soda Drink (CSD)</v>
          </cell>
          <cell r="D24" t="str">
            <v>RETURNABLE GLASS BOTTLES (RGB)</v>
          </cell>
          <cell r="E24" t="str">
            <v>STONEY</v>
          </cell>
          <cell r="F24" t="str">
            <v>Crates</v>
          </cell>
          <cell r="G24" t="str">
            <v>Bottles</v>
          </cell>
          <cell r="H24">
            <v>24</v>
          </cell>
          <cell r="I24" t="str">
            <v>Y</v>
          </cell>
          <cell r="J24" t="str">
            <v>Yes</v>
          </cell>
        </row>
        <row r="25">
          <cell r="A25" t="str">
            <v>Sparletta Pinenut RGB 350ml</v>
          </cell>
          <cell r="B25" t="str">
            <v>FG008</v>
          </cell>
          <cell r="C25" t="str">
            <v>Carbonated Soda Drink (CSD)</v>
          </cell>
          <cell r="D25" t="str">
            <v>RETURNABLE GLASS BOTTLES (RGB)</v>
          </cell>
          <cell r="E25" t="str">
            <v>SPARLETTA</v>
          </cell>
          <cell r="F25" t="str">
            <v>Crates</v>
          </cell>
          <cell r="G25" t="str">
            <v>Bottles</v>
          </cell>
          <cell r="H25">
            <v>24</v>
          </cell>
          <cell r="I25" t="str">
            <v>Y</v>
          </cell>
          <cell r="J25" t="str">
            <v>Yes</v>
          </cell>
        </row>
        <row r="26">
          <cell r="A26" t="str">
            <v>Krest Bitter Lemon RGB 300ml</v>
          </cell>
          <cell r="B26" t="str">
            <v>FG009</v>
          </cell>
          <cell r="C26" t="str">
            <v>Carbonated Soda Drink (CSD)</v>
          </cell>
          <cell r="D26" t="str">
            <v>RETURNABLE GLASS BOTTLES (RGB)</v>
          </cell>
          <cell r="E26" t="str">
            <v>KREST</v>
          </cell>
          <cell r="F26" t="str">
            <v>Crates</v>
          </cell>
          <cell r="G26" t="str">
            <v>Bottles</v>
          </cell>
          <cell r="H26">
            <v>24</v>
          </cell>
          <cell r="I26" t="str">
            <v>Y</v>
          </cell>
          <cell r="J26" t="str">
            <v>Yes</v>
          </cell>
        </row>
        <row r="27">
          <cell r="A27" t="str">
            <v>Krest Club Soda RGB 300ml</v>
          </cell>
          <cell r="B27" t="str">
            <v>FG010</v>
          </cell>
          <cell r="C27" t="str">
            <v>Carbonated Soda Drink (CSD)</v>
          </cell>
          <cell r="D27" t="str">
            <v>RETURNABLE GLASS BOTTLES (RGB)</v>
          </cell>
          <cell r="E27" t="str">
            <v>KREST</v>
          </cell>
          <cell r="F27" t="str">
            <v>Crates</v>
          </cell>
          <cell r="G27" t="str">
            <v>Bottles</v>
          </cell>
          <cell r="H27">
            <v>24</v>
          </cell>
          <cell r="I27" t="str">
            <v>Y</v>
          </cell>
          <cell r="J27" t="str">
            <v>Yes</v>
          </cell>
        </row>
        <row r="28">
          <cell r="A28" t="str">
            <v>Krest Tonic Water RGB 300ml</v>
          </cell>
          <cell r="B28" t="str">
            <v>FG011</v>
          </cell>
          <cell r="C28" t="str">
            <v>Carbonated Soda Drink (CSD)</v>
          </cell>
          <cell r="D28" t="str">
            <v>RETURNABLE GLASS BOTTLES (RGB)</v>
          </cell>
          <cell r="E28" t="str">
            <v>KREST</v>
          </cell>
          <cell r="F28" t="str">
            <v>Crates</v>
          </cell>
          <cell r="G28" t="str">
            <v>Bottles</v>
          </cell>
          <cell r="H28">
            <v>24</v>
          </cell>
          <cell r="I28" t="str">
            <v>Y</v>
          </cell>
          <cell r="J28" t="str">
            <v>Yes</v>
          </cell>
        </row>
        <row r="29">
          <cell r="A29" t="str">
            <v>Krest Ginger Ale RGB 300ml</v>
          </cell>
          <cell r="B29" t="str">
            <v>FG012</v>
          </cell>
          <cell r="C29" t="str">
            <v>Carbonated Soda Drink (CSD)</v>
          </cell>
          <cell r="D29" t="str">
            <v>RETURNABLE GLASS BOTTLES (RGB)</v>
          </cell>
          <cell r="E29" t="str">
            <v>KREST</v>
          </cell>
          <cell r="F29" t="str">
            <v>Crates</v>
          </cell>
          <cell r="G29" t="str">
            <v>Bottles</v>
          </cell>
          <cell r="H29">
            <v>24</v>
          </cell>
          <cell r="I29" t="str">
            <v>Y</v>
          </cell>
          <cell r="J29" t="str">
            <v>Yes</v>
          </cell>
        </row>
        <row r="30">
          <cell r="A30" t="str">
            <v>Coke RGB 250ml</v>
          </cell>
          <cell r="B30" t="str">
            <v>FG013</v>
          </cell>
          <cell r="C30" t="str">
            <v>Carbonated Soda Drink (CSD)</v>
          </cell>
          <cell r="D30" t="str">
            <v>RETURNABLE GLASS BOTTLES (RGB)</v>
          </cell>
          <cell r="E30" t="str">
            <v>COKE</v>
          </cell>
          <cell r="F30" t="str">
            <v>Crates</v>
          </cell>
          <cell r="G30" t="str">
            <v>Bottles</v>
          </cell>
          <cell r="H30">
            <v>24</v>
          </cell>
          <cell r="I30" t="str">
            <v>Y</v>
          </cell>
          <cell r="J30" t="str">
            <v>Yes</v>
          </cell>
        </row>
        <row r="31">
          <cell r="A31" t="str">
            <v>Fanta Orange RGB 250ml</v>
          </cell>
          <cell r="B31" t="str">
            <v>FG014</v>
          </cell>
          <cell r="C31" t="str">
            <v>Carbonated Soda Drink (CSD)</v>
          </cell>
          <cell r="D31" t="str">
            <v>RETURNABLE GLASS BOTTLES (RGB)</v>
          </cell>
          <cell r="E31" t="str">
            <v>FANTA</v>
          </cell>
          <cell r="F31" t="str">
            <v>Crates</v>
          </cell>
          <cell r="G31" t="str">
            <v>Bottles</v>
          </cell>
          <cell r="H31">
            <v>24</v>
          </cell>
          <cell r="I31" t="str">
            <v>Y</v>
          </cell>
          <cell r="J31" t="str">
            <v>Yes</v>
          </cell>
        </row>
        <row r="32">
          <cell r="A32" t="str">
            <v>Sparletta Red Apple RGB 350ml</v>
          </cell>
          <cell r="B32" t="str">
            <v>FG024</v>
          </cell>
          <cell r="C32" t="str">
            <v>Carbonated Soda Drink (CSD)</v>
          </cell>
          <cell r="D32" t="str">
            <v>RETURNABLE GLASS BOTTLES (RGB)</v>
          </cell>
          <cell r="E32" t="str">
            <v>SPARLETTA</v>
          </cell>
          <cell r="F32" t="str">
            <v>Crates</v>
          </cell>
          <cell r="G32" t="str">
            <v>Bottles</v>
          </cell>
          <cell r="H32">
            <v>24</v>
          </cell>
          <cell r="I32" t="str">
            <v>Y</v>
          </cell>
          <cell r="J32" t="str">
            <v>Yes</v>
          </cell>
        </row>
        <row r="33">
          <cell r="A33" t="str">
            <v>KNMW 500ml</v>
          </cell>
          <cell r="B33" t="str">
            <v>KD001</v>
          </cell>
          <cell r="C33" t="str">
            <v>KILIMANJARO NATURAL MINERAL WATER</v>
          </cell>
          <cell r="D33" t="str">
            <v>PET KNMW</v>
          </cell>
          <cell r="E33" t="str">
            <v>KNMW</v>
          </cell>
          <cell r="F33" t="str">
            <v>Cases</v>
          </cell>
          <cell r="G33" t="str">
            <v>Cases</v>
          </cell>
          <cell r="H33">
            <v>1</v>
          </cell>
          <cell r="I33" t="str">
            <v>Y</v>
          </cell>
          <cell r="J33" t="str">
            <v>No</v>
          </cell>
        </row>
        <row r="34">
          <cell r="A34" t="str">
            <v>KNMW 1500ml</v>
          </cell>
          <cell r="B34" t="str">
            <v>KD003</v>
          </cell>
          <cell r="C34" t="str">
            <v>KILIMANJARO NATURAL MINERAL WATER</v>
          </cell>
          <cell r="D34" t="str">
            <v>PET KNMW</v>
          </cell>
          <cell r="E34" t="str">
            <v>KNMW</v>
          </cell>
          <cell r="F34" t="str">
            <v>Cases</v>
          </cell>
          <cell r="G34" t="str">
            <v>Cases</v>
          </cell>
          <cell r="H34">
            <v>1</v>
          </cell>
          <cell r="I34" t="str">
            <v>Y</v>
          </cell>
          <cell r="J34" t="str">
            <v>No</v>
          </cell>
        </row>
        <row r="35">
          <cell r="A35" t="str">
            <v>Kilimanjaro Drinking Water 6000 ML</v>
          </cell>
          <cell r="B35" t="str">
            <v>KD004</v>
          </cell>
          <cell r="C35" t="str">
            <v>KILIMANJARO NATURAL MINERAL WATER</v>
          </cell>
          <cell r="D35" t="str">
            <v>BULK KNMW</v>
          </cell>
          <cell r="E35" t="str">
            <v>KNMW</v>
          </cell>
          <cell r="F35" t="str">
            <v>Cases</v>
          </cell>
          <cell r="G35" t="str">
            <v>Cases</v>
          </cell>
          <cell r="H35">
            <v>1</v>
          </cell>
          <cell r="I35" t="str">
            <v>Y</v>
          </cell>
          <cell r="J35" t="str">
            <v>No</v>
          </cell>
        </row>
        <row r="36">
          <cell r="A36" t="str">
            <v>Kilimanjaro Drinking Water 12000 ML</v>
          </cell>
          <cell r="B36" t="str">
            <v>KD005</v>
          </cell>
          <cell r="C36" t="str">
            <v>KILIMANJARO NATURAL MINERAL WATER</v>
          </cell>
          <cell r="D36" t="str">
            <v>BULK KNMW</v>
          </cell>
          <cell r="E36" t="str">
            <v>KNMW</v>
          </cell>
          <cell r="F36" t="str">
            <v>Pcs</v>
          </cell>
          <cell r="G36" t="str">
            <v>Pcs</v>
          </cell>
          <cell r="H36">
            <v>1</v>
          </cell>
          <cell r="I36" t="str">
            <v>Y</v>
          </cell>
          <cell r="J36" t="str">
            <v>No</v>
          </cell>
        </row>
        <row r="37">
          <cell r="A37" t="str">
            <v>Kilimanjaro Drinking Water 18900 ML</v>
          </cell>
          <cell r="B37" t="str">
            <v>KD006</v>
          </cell>
          <cell r="C37" t="str">
            <v>KILIMANJARO NATURAL MINERAL WATER</v>
          </cell>
          <cell r="D37" t="str">
            <v>BULK KNMW</v>
          </cell>
          <cell r="E37" t="str">
            <v>KNMW</v>
          </cell>
          <cell r="F37" t="str">
            <v>Pcs</v>
          </cell>
          <cell r="G37" t="str">
            <v>Pcs</v>
          </cell>
          <cell r="H37">
            <v>1</v>
          </cell>
          <cell r="I37" t="str">
            <v>Y</v>
          </cell>
          <cell r="J37" t="str">
            <v>No</v>
          </cell>
        </row>
        <row r="38">
          <cell r="A38" t="str">
            <v>KNMW 1000ml(6 Pack)</v>
          </cell>
          <cell r="B38" t="str">
            <v>KD007</v>
          </cell>
          <cell r="C38" t="str">
            <v>KILIMANJARO NATURAL MINERAL WATER</v>
          </cell>
          <cell r="D38" t="str">
            <v>PET KNMW</v>
          </cell>
          <cell r="E38" t="str">
            <v>KNMW</v>
          </cell>
          <cell r="F38" t="str">
            <v>Pcs</v>
          </cell>
          <cell r="G38" t="str">
            <v>Pcs</v>
          </cell>
          <cell r="H38">
            <v>1</v>
          </cell>
          <cell r="I38" t="str">
            <v>Y</v>
          </cell>
          <cell r="J38" t="str">
            <v>No</v>
          </cell>
        </row>
        <row r="39">
          <cell r="A39" t="str">
            <v>Coke Pet 500ML ( x12)</v>
          </cell>
          <cell r="B39" t="str">
            <v>PH001</v>
          </cell>
          <cell r="C39" t="str">
            <v>Carbonated Soda Drink (CSD)</v>
          </cell>
          <cell r="D39" t="str">
            <v>PET CSD</v>
          </cell>
          <cell r="E39" t="str">
            <v>COKE</v>
          </cell>
          <cell r="F39" t="str">
            <v>Cases</v>
          </cell>
          <cell r="G39" t="str">
            <v>Cases</v>
          </cell>
          <cell r="H39">
            <v>1</v>
          </cell>
          <cell r="I39" t="str">
            <v>Y</v>
          </cell>
          <cell r="J39" t="str">
            <v>No</v>
          </cell>
        </row>
        <row r="40">
          <cell r="A40" t="str">
            <v>Sprite Pet 500ML (x 12)</v>
          </cell>
          <cell r="B40" t="str">
            <v>PH002</v>
          </cell>
          <cell r="C40" t="str">
            <v>Carbonated Soda Drink (CSD)</v>
          </cell>
          <cell r="D40" t="str">
            <v>PET CSD</v>
          </cell>
          <cell r="E40" t="str">
            <v>SPRITE</v>
          </cell>
          <cell r="F40" t="str">
            <v>Cases</v>
          </cell>
          <cell r="G40" t="str">
            <v>Cases</v>
          </cell>
          <cell r="H40">
            <v>1</v>
          </cell>
          <cell r="I40" t="str">
            <v>Y</v>
          </cell>
          <cell r="J40" t="str">
            <v>No</v>
          </cell>
        </row>
        <row r="41">
          <cell r="A41" t="str">
            <v>Fanta Orange Pet 500ML ( x 12)</v>
          </cell>
          <cell r="B41" t="str">
            <v>PH003</v>
          </cell>
          <cell r="C41" t="str">
            <v>Carbonated Soda Drink (CSD)</v>
          </cell>
          <cell r="D41" t="str">
            <v>PET CSD</v>
          </cell>
          <cell r="E41" t="str">
            <v>FANTA</v>
          </cell>
          <cell r="F41" t="str">
            <v>Cases</v>
          </cell>
          <cell r="G41" t="str">
            <v>Cases</v>
          </cell>
          <cell r="H41">
            <v>1</v>
          </cell>
          <cell r="I41" t="str">
            <v>Y</v>
          </cell>
          <cell r="J41" t="str">
            <v>No</v>
          </cell>
        </row>
        <row r="42">
          <cell r="A42" t="str">
            <v>Fanta Passion Pet 500ML ( x12)</v>
          </cell>
          <cell r="B42" t="str">
            <v>PH004</v>
          </cell>
          <cell r="C42" t="str">
            <v>Carbonated Soda Drink (CSD)</v>
          </cell>
          <cell r="D42" t="str">
            <v>PET CSD</v>
          </cell>
          <cell r="E42" t="str">
            <v>FANTA</v>
          </cell>
          <cell r="F42" t="str">
            <v>Cases</v>
          </cell>
          <cell r="G42" t="str">
            <v>Cases</v>
          </cell>
          <cell r="H42">
            <v>1</v>
          </cell>
          <cell r="I42" t="str">
            <v>Y</v>
          </cell>
          <cell r="J42" t="str">
            <v>No</v>
          </cell>
        </row>
        <row r="43">
          <cell r="A43" t="str">
            <v>Fanta Pineapple Pet 500ml ( x12)</v>
          </cell>
          <cell r="B43" t="str">
            <v>PH005</v>
          </cell>
          <cell r="C43" t="str">
            <v>Carbonated Soda Drink (CSD)</v>
          </cell>
          <cell r="D43" t="str">
            <v>PET CSD</v>
          </cell>
          <cell r="E43" t="str">
            <v>FANTA</v>
          </cell>
          <cell r="F43" t="str">
            <v>Cases</v>
          </cell>
          <cell r="G43" t="str">
            <v>Cases</v>
          </cell>
          <cell r="H43">
            <v>1</v>
          </cell>
          <cell r="I43" t="str">
            <v>Y</v>
          </cell>
          <cell r="J43" t="str">
            <v>No</v>
          </cell>
        </row>
        <row r="44">
          <cell r="A44" t="str">
            <v>Fanta Fruit Blast Pet 500ML (x12)</v>
          </cell>
          <cell r="B44" t="str">
            <v>PH006</v>
          </cell>
          <cell r="C44" t="str">
            <v>Carbonated Soda Drink (CSD)</v>
          </cell>
          <cell r="D44" t="str">
            <v>PET CSD</v>
          </cell>
          <cell r="E44" t="str">
            <v>FANTA</v>
          </cell>
          <cell r="F44" t="str">
            <v>Cases</v>
          </cell>
          <cell r="G44" t="str">
            <v>Cases</v>
          </cell>
          <cell r="H44">
            <v>1</v>
          </cell>
          <cell r="I44" t="str">
            <v>Y</v>
          </cell>
          <cell r="J44" t="str">
            <v>No</v>
          </cell>
        </row>
        <row r="45">
          <cell r="A45" t="str">
            <v>Stoney Tangawizi Pet 500 ml ( x12)</v>
          </cell>
          <cell r="B45" t="str">
            <v>PH007</v>
          </cell>
          <cell r="C45" t="str">
            <v>Carbonated Soda Drink (CSD)</v>
          </cell>
          <cell r="D45" t="str">
            <v>PET CSD</v>
          </cell>
          <cell r="E45" t="str">
            <v>STONEY</v>
          </cell>
          <cell r="F45" t="str">
            <v>Cases</v>
          </cell>
          <cell r="G45" t="str">
            <v>Cases</v>
          </cell>
          <cell r="H45">
            <v>1</v>
          </cell>
          <cell r="I45" t="str">
            <v>Y</v>
          </cell>
          <cell r="J45" t="str">
            <v>No</v>
          </cell>
        </row>
        <row r="46">
          <cell r="A46" t="str">
            <v>Sparletta Pinenut Pet 500 ml ( x12)</v>
          </cell>
          <cell r="B46" t="str">
            <v>PH008</v>
          </cell>
          <cell r="C46" t="str">
            <v>Carbonated Soda Drink (CSD)</v>
          </cell>
          <cell r="D46" t="str">
            <v>PET CSD</v>
          </cell>
          <cell r="E46" t="str">
            <v>SPARLETTA</v>
          </cell>
          <cell r="F46" t="str">
            <v>Cases</v>
          </cell>
          <cell r="G46" t="str">
            <v>Cases</v>
          </cell>
          <cell r="H46">
            <v>1</v>
          </cell>
          <cell r="I46" t="str">
            <v>Y</v>
          </cell>
          <cell r="J46" t="str">
            <v>No</v>
          </cell>
        </row>
        <row r="47">
          <cell r="A47" t="str">
            <v>Coke Zero Pet 500ML ( X 12)</v>
          </cell>
          <cell r="B47" t="str">
            <v>PH009</v>
          </cell>
          <cell r="C47" t="str">
            <v>Carbonated Soda Drink (CSD)</v>
          </cell>
          <cell r="D47" t="str">
            <v>PET CSD</v>
          </cell>
          <cell r="E47" t="str">
            <v>COKE</v>
          </cell>
          <cell r="F47" t="str">
            <v>Cases</v>
          </cell>
          <cell r="G47" t="str">
            <v>Cases</v>
          </cell>
          <cell r="H47">
            <v>1</v>
          </cell>
          <cell r="I47" t="str">
            <v>Y</v>
          </cell>
          <cell r="J47" t="str">
            <v>No</v>
          </cell>
        </row>
        <row r="48">
          <cell r="A48" t="str">
            <v>Coke Pet 300ML(x 12)</v>
          </cell>
          <cell r="B48" t="str">
            <v>PO008</v>
          </cell>
          <cell r="C48" t="str">
            <v>Carbonated Soda Drink (CSD)</v>
          </cell>
          <cell r="D48" t="str">
            <v>PET CSD</v>
          </cell>
          <cell r="E48" t="str">
            <v>COKE</v>
          </cell>
          <cell r="F48" t="str">
            <v>Cases</v>
          </cell>
          <cell r="G48" t="str">
            <v>Cases</v>
          </cell>
          <cell r="H48">
            <v>1</v>
          </cell>
          <cell r="I48" t="str">
            <v>Y</v>
          </cell>
          <cell r="J48" t="str">
            <v>No</v>
          </cell>
        </row>
        <row r="49">
          <cell r="A49" t="str">
            <v>Coke Zero Pet 300ML (x 12)</v>
          </cell>
          <cell r="B49" t="str">
            <v>PO009</v>
          </cell>
          <cell r="C49" t="str">
            <v>Carbonated Soda Drink (CSD)</v>
          </cell>
          <cell r="D49" t="str">
            <v>PET CSD</v>
          </cell>
          <cell r="E49" t="str">
            <v>COKE</v>
          </cell>
          <cell r="F49" t="str">
            <v>Cases</v>
          </cell>
          <cell r="G49" t="str">
            <v>Cases</v>
          </cell>
          <cell r="H49">
            <v>1</v>
          </cell>
          <cell r="I49" t="str">
            <v>Y</v>
          </cell>
          <cell r="J49" t="str">
            <v>No</v>
          </cell>
        </row>
        <row r="50">
          <cell r="A50" t="str">
            <v>Sprite Zero Pet 300ML (x 12)</v>
          </cell>
          <cell r="B50" t="str">
            <v>PO010</v>
          </cell>
          <cell r="C50" t="str">
            <v>Carbonated Soda Drink (CSD)</v>
          </cell>
          <cell r="D50" t="str">
            <v>PET CSD</v>
          </cell>
          <cell r="E50" t="str">
            <v>SPRITE</v>
          </cell>
          <cell r="F50" t="str">
            <v>Cases</v>
          </cell>
          <cell r="G50" t="str">
            <v>Cases</v>
          </cell>
          <cell r="H50">
            <v>1</v>
          </cell>
          <cell r="I50" t="str">
            <v>Y</v>
          </cell>
          <cell r="J50" t="str">
            <v>No</v>
          </cell>
        </row>
        <row r="51">
          <cell r="A51" t="str">
            <v>Fanta Zero Pet 300ML (x 12)</v>
          </cell>
          <cell r="B51" t="str">
            <v>PO012</v>
          </cell>
          <cell r="C51" t="str">
            <v>Carbonated Soda Drink (CSD)</v>
          </cell>
          <cell r="D51" t="str">
            <v>PET CSD</v>
          </cell>
          <cell r="E51" t="str">
            <v>FANTA</v>
          </cell>
          <cell r="F51" t="str">
            <v>Cases</v>
          </cell>
          <cell r="G51" t="str">
            <v>Cases</v>
          </cell>
          <cell r="H51">
            <v>1</v>
          </cell>
          <cell r="I51" t="str">
            <v>Y</v>
          </cell>
          <cell r="J51" t="str">
            <v>No</v>
          </cell>
        </row>
        <row r="52">
          <cell r="A52" t="str">
            <v>Sparletta Red Apple Pet 300ML(x 12)</v>
          </cell>
          <cell r="B52" t="str">
            <v>PO013</v>
          </cell>
          <cell r="C52" t="str">
            <v>Carbonated Soda Drink (CSD)</v>
          </cell>
          <cell r="D52" t="str">
            <v>PET CSD</v>
          </cell>
          <cell r="E52" t="str">
            <v>SPARLETTA</v>
          </cell>
          <cell r="F52" t="str">
            <v>Cases</v>
          </cell>
          <cell r="G52" t="str">
            <v>Cases</v>
          </cell>
          <cell r="H52">
            <v>1</v>
          </cell>
          <cell r="I52" t="str">
            <v>Y</v>
          </cell>
          <cell r="J52" t="str">
            <v>No</v>
          </cell>
        </row>
        <row r="53">
          <cell r="A53" t="str">
            <v>Novida Pineapple 300ML (x 12)</v>
          </cell>
          <cell r="B53" t="str">
            <v>PO014</v>
          </cell>
          <cell r="C53" t="str">
            <v>Carbonated Soda Drink (CSD)</v>
          </cell>
          <cell r="D53" t="str">
            <v>PET CSD</v>
          </cell>
          <cell r="E53" t="str">
            <v>SCHWEPPES PREMIUM</v>
          </cell>
          <cell r="F53" t="str">
            <v>Cases</v>
          </cell>
          <cell r="G53" t="str">
            <v>Cases</v>
          </cell>
          <cell r="H53">
            <v>1</v>
          </cell>
          <cell r="I53" t="str">
            <v>Y</v>
          </cell>
          <cell r="J53" t="str">
            <v>No</v>
          </cell>
        </row>
        <row r="54">
          <cell r="A54" t="str">
            <v>Sparletta Pine Apple Pet 300ML (x 12)</v>
          </cell>
          <cell r="B54" t="str">
            <v>PO015</v>
          </cell>
          <cell r="C54" t="str">
            <v>Carbonated Soda Drink (CSD)</v>
          </cell>
          <cell r="D54" t="str">
            <v>PET CSD</v>
          </cell>
          <cell r="E54" t="str">
            <v>SPARLETTA</v>
          </cell>
          <cell r="F54" t="str">
            <v>Cases</v>
          </cell>
          <cell r="G54" t="str">
            <v>Cases</v>
          </cell>
          <cell r="H54">
            <v>1</v>
          </cell>
          <cell r="I54" t="str">
            <v>Y</v>
          </cell>
          <cell r="J54" t="str">
            <v>No</v>
          </cell>
        </row>
        <row r="55">
          <cell r="A55" t="str">
            <v>Coke 1250 Pet ML</v>
          </cell>
          <cell r="B55" t="str">
            <v>PT005</v>
          </cell>
          <cell r="C55" t="str">
            <v>Carbonated Soda Drink (CSD)</v>
          </cell>
          <cell r="D55" t="str">
            <v>PET CSD</v>
          </cell>
          <cell r="E55" t="str">
            <v>COKE</v>
          </cell>
          <cell r="F55" t="str">
            <v>Cases</v>
          </cell>
          <cell r="G55" t="str">
            <v>Cases</v>
          </cell>
          <cell r="H55">
            <v>1</v>
          </cell>
          <cell r="I55" t="str">
            <v>Y</v>
          </cell>
          <cell r="J55" t="str">
            <v>No</v>
          </cell>
        </row>
        <row r="56">
          <cell r="A56" t="str">
            <v>Sprite Pet 1250 ML</v>
          </cell>
          <cell r="B56" t="str">
            <v>PT006</v>
          </cell>
          <cell r="C56" t="str">
            <v>Carbonated Soda Drink (CSD)</v>
          </cell>
          <cell r="D56" t="str">
            <v>PET CSD</v>
          </cell>
          <cell r="E56" t="str">
            <v>SPRITE</v>
          </cell>
          <cell r="F56" t="str">
            <v>Cases</v>
          </cell>
          <cell r="G56" t="str">
            <v>Cases</v>
          </cell>
          <cell r="H56">
            <v>1</v>
          </cell>
          <cell r="I56" t="str">
            <v>Y</v>
          </cell>
          <cell r="J56" t="str">
            <v>No</v>
          </cell>
        </row>
        <row r="57">
          <cell r="A57" t="str">
            <v>Fanta Orange Pet 1250 ML</v>
          </cell>
          <cell r="B57" t="str">
            <v>PT007</v>
          </cell>
          <cell r="C57" t="str">
            <v>Carbonated Soda Drink (CSD)</v>
          </cell>
          <cell r="D57" t="str">
            <v>PET CSD</v>
          </cell>
          <cell r="E57" t="str">
            <v>FANTA</v>
          </cell>
          <cell r="F57" t="str">
            <v>Cases</v>
          </cell>
          <cell r="G57" t="str">
            <v>Cases</v>
          </cell>
          <cell r="H57">
            <v>1</v>
          </cell>
          <cell r="I57" t="str">
            <v>Y</v>
          </cell>
          <cell r="J57" t="str">
            <v>No</v>
          </cell>
        </row>
      </sheetData>
      <sheetData sheetId="3"/>
      <sheetData sheetId="4">
        <row r="12">
          <cell r="A12">
            <v>89</v>
          </cell>
          <cell r="B12" t="str">
            <v>BBL2211</v>
          </cell>
          <cell r="C12" t="str">
            <v>Omary O. Seif</v>
          </cell>
          <cell r="D12" t="str">
            <v>DSM300140</v>
          </cell>
          <cell r="E12" t="str">
            <v>DAR</v>
          </cell>
          <cell r="F12" t="str">
            <v>Salesman</v>
          </cell>
          <cell r="G12" t="str">
            <v>Rose Meshack Kambey</v>
          </cell>
          <cell r="H12">
            <v>86</v>
          </cell>
          <cell r="I12" t="str">
            <v>Rose.Meshack@bbl.co.tz</v>
          </cell>
          <cell r="J12" t="str">
            <v>Y</v>
          </cell>
        </row>
        <row r="13">
          <cell r="A13">
            <v>88</v>
          </cell>
          <cell r="B13" t="str">
            <v>BBL2446</v>
          </cell>
          <cell r="C13" t="str">
            <v>Doglas E. Shirima</v>
          </cell>
          <cell r="D13" t="str">
            <v>ARS000069</v>
          </cell>
          <cell r="E13" t="str">
            <v>ARS</v>
          </cell>
          <cell r="F13" t="str">
            <v>Salesman</v>
          </cell>
          <cell r="G13" t="str">
            <v>Kelvin V. Kuwese</v>
          </cell>
          <cell r="H13">
            <v>79</v>
          </cell>
          <cell r="I13" t="str">
            <v>Kelvin.Kuwese@bbl.co.tz</v>
          </cell>
          <cell r="J13" t="str">
            <v>Y</v>
          </cell>
        </row>
        <row r="14">
          <cell r="A14">
            <v>76</v>
          </cell>
          <cell r="B14" t="str">
            <v>BBL2769</v>
          </cell>
          <cell r="C14" t="str">
            <v>Gloria Florence Temba</v>
          </cell>
          <cell r="D14" t="str">
            <v>MOS100535</v>
          </cell>
          <cell r="E14" t="str">
            <v>MOS</v>
          </cell>
          <cell r="F14" t="str">
            <v>Salesman</v>
          </cell>
          <cell r="G14" t="str">
            <v>Rachel Emanuel Kissota</v>
          </cell>
          <cell r="H14">
            <v>57</v>
          </cell>
          <cell r="I14" t="str">
            <v>Rachel.Kissota@bbl.co.tz</v>
          </cell>
          <cell r="J14" t="str">
            <v>Y</v>
          </cell>
        </row>
        <row r="15">
          <cell r="A15">
            <v>75</v>
          </cell>
          <cell r="B15" t="str">
            <v>BBL2916</v>
          </cell>
          <cell r="C15" t="str">
            <v>Nickson Zakaria Soingei</v>
          </cell>
          <cell r="D15" t="str">
            <v>MOS100658</v>
          </cell>
          <cell r="E15" t="str">
            <v>MOS</v>
          </cell>
          <cell r="F15" t="str">
            <v>Salesman</v>
          </cell>
          <cell r="G15" t="str">
            <v>Rachel Emanuel Kissota</v>
          </cell>
          <cell r="H15">
            <v>57</v>
          </cell>
          <cell r="I15" t="str">
            <v>Rachel.Kissota@bbl.co.tz</v>
          </cell>
          <cell r="J15" t="str">
            <v>Y</v>
          </cell>
        </row>
        <row r="16">
          <cell r="A16">
            <v>74</v>
          </cell>
          <cell r="B16" t="str">
            <v>MSL960</v>
          </cell>
          <cell r="C16" t="str">
            <v>Ritha Nemes Sambaya</v>
          </cell>
          <cell r="D16" t="str">
            <v>MOS100639</v>
          </cell>
          <cell r="E16" t="str">
            <v>MOS</v>
          </cell>
          <cell r="F16" t="str">
            <v>Salesman</v>
          </cell>
          <cell r="G16" t="str">
            <v>Rachel Emanuel Kissota</v>
          </cell>
          <cell r="H16">
            <v>57</v>
          </cell>
          <cell r="I16" t="str">
            <v>Rachel.Kissota@bbl.co.tz</v>
          </cell>
          <cell r="J16" t="str">
            <v>Y</v>
          </cell>
        </row>
        <row r="17">
          <cell r="A17">
            <v>73</v>
          </cell>
          <cell r="B17" t="str">
            <v>BBL1959</v>
          </cell>
          <cell r="C17" t="str">
            <v>George Gibson Mmary</v>
          </cell>
          <cell r="D17" t="str">
            <v>MOS100200</v>
          </cell>
          <cell r="E17" t="str">
            <v>MOS</v>
          </cell>
          <cell r="F17" t="str">
            <v>Salesman</v>
          </cell>
          <cell r="G17" t="str">
            <v>Rachel Emanuel Kissota</v>
          </cell>
          <cell r="H17">
            <v>57</v>
          </cell>
          <cell r="I17" t="str">
            <v>Rachel.Kissota@bbl.co.tz</v>
          </cell>
          <cell r="J17" t="str">
            <v>Y</v>
          </cell>
        </row>
        <row r="18">
          <cell r="A18">
            <v>72</v>
          </cell>
          <cell r="B18" t="str">
            <v>BBL1183</v>
          </cell>
          <cell r="C18" t="str">
            <v>Erick K. Mkama</v>
          </cell>
          <cell r="D18" t="str">
            <v>MOS100209</v>
          </cell>
          <cell r="E18" t="str">
            <v>MOS</v>
          </cell>
          <cell r="F18" t="str">
            <v>Salesman</v>
          </cell>
          <cell r="G18" t="str">
            <v>Rachel Emanuel Kissota</v>
          </cell>
          <cell r="H18">
            <v>57</v>
          </cell>
          <cell r="I18" t="str">
            <v>Rachel.Kissota@bbl.co.tz</v>
          </cell>
          <cell r="J18" t="str">
            <v>Y</v>
          </cell>
        </row>
        <row r="19">
          <cell r="A19">
            <v>71</v>
          </cell>
          <cell r="B19" t="str">
            <v>BBL1723</v>
          </cell>
          <cell r="C19" t="str">
            <v>Frank Samwel Kahewanga</v>
          </cell>
          <cell r="D19" t="str">
            <v>MOS100215</v>
          </cell>
          <cell r="E19" t="str">
            <v>MOS</v>
          </cell>
          <cell r="F19" t="str">
            <v>Salesman</v>
          </cell>
          <cell r="G19" t="str">
            <v>Rachel Emanuel Kissota</v>
          </cell>
          <cell r="H19">
            <v>57</v>
          </cell>
          <cell r="I19" t="str">
            <v>Rachel.Kissota@bbl.co.tz</v>
          </cell>
          <cell r="J19" t="str">
            <v>Y</v>
          </cell>
        </row>
        <row r="20">
          <cell r="A20">
            <v>70</v>
          </cell>
          <cell r="B20" t="str">
            <v>BBL1759</v>
          </cell>
          <cell r="C20" t="str">
            <v>Seleman Abdalah Mshana</v>
          </cell>
          <cell r="D20" t="str">
            <v>MOS100171</v>
          </cell>
          <cell r="E20" t="str">
            <v>MOS</v>
          </cell>
          <cell r="F20" t="str">
            <v>Salesman</v>
          </cell>
          <cell r="G20" t="str">
            <v>Moses Titus Shija</v>
          </cell>
          <cell r="H20">
            <v>56</v>
          </cell>
          <cell r="I20" t="str">
            <v>Moses.Shija@bbl.co.tz</v>
          </cell>
          <cell r="J20" t="str">
            <v>Y</v>
          </cell>
        </row>
        <row r="21">
          <cell r="A21">
            <v>69</v>
          </cell>
          <cell r="B21" t="str">
            <v>MSL1118</v>
          </cell>
          <cell r="C21" t="str">
            <v>Samson Felix Ngowi</v>
          </cell>
          <cell r="D21" t="str">
            <v>MOS100842</v>
          </cell>
          <cell r="E21" t="str">
            <v>MOS</v>
          </cell>
          <cell r="F21" t="str">
            <v>Salesman</v>
          </cell>
          <cell r="G21" t="str">
            <v>Moses Titus Shija</v>
          </cell>
          <cell r="H21">
            <v>56</v>
          </cell>
          <cell r="I21" t="str">
            <v>Moses.Shija@bbl.co.tz</v>
          </cell>
          <cell r="J21" t="str">
            <v>Y</v>
          </cell>
        </row>
        <row r="22">
          <cell r="A22">
            <v>68</v>
          </cell>
          <cell r="B22" t="str">
            <v>BBL2732</v>
          </cell>
          <cell r="C22" t="str">
            <v>Emmanueli Steven John</v>
          </cell>
          <cell r="D22" t="str">
            <v>MOS100633</v>
          </cell>
          <cell r="E22" t="str">
            <v>MOS</v>
          </cell>
          <cell r="F22" t="str">
            <v>Salesman</v>
          </cell>
          <cell r="G22" t="str">
            <v>Maria M. Mchagi</v>
          </cell>
          <cell r="H22">
            <v>55</v>
          </cell>
          <cell r="I22" t="str">
            <v>Maria.Mchagi@bbl.co.tz</v>
          </cell>
          <cell r="J22" t="str">
            <v>Y</v>
          </cell>
        </row>
        <row r="23">
          <cell r="A23">
            <v>67</v>
          </cell>
          <cell r="B23" t="str">
            <v>BBL1963</v>
          </cell>
          <cell r="C23" t="str">
            <v>Priscus J Justine</v>
          </cell>
          <cell r="D23" t="str">
            <v>MOS100022</v>
          </cell>
          <cell r="E23" t="str">
            <v>MOS</v>
          </cell>
          <cell r="F23" t="str">
            <v>Salesman</v>
          </cell>
          <cell r="G23" t="str">
            <v>Moses Titus Shija</v>
          </cell>
          <cell r="H23">
            <v>56</v>
          </cell>
          <cell r="I23" t="str">
            <v>Moses.Shija@bbl.co.tz</v>
          </cell>
          <cell r="J23" t="str">
            <v>Y</v>
          </cell>
        </row>
        <row r="24">
          <cell r="A24">
            <v>66</v>
          </cell>
          <cell r="B24" t="str">
            <v>MSL1067</v>
          </cell>
          <cell r="C24" t="str">
            <v>Masunga Mwala Ramadhani</v>
          </cell>
          <cell r="D24" t="str">
            <v>MOS100788</v>
          </cell>
          <cell r="E24" t="str">
            <v>MOS</v>
          </cell>
          <cell r="F24" t="str">
            <v>Salesman</v>
          </cell>
          <cell r="G24" t="str">
            <v>Maria M. Mchagi</v>
          </cell>
          <cell r="H24">
            <v>55</v>
          </cell>
          <cell r="I24" t="str">
            <v>Maria.Mchagi@bbl.co.tz</v>
          </cell>
          <cell r="J24" t="str">
            <v>Y</v>
          </cell>
        </row>
        <row r="25">
          <cell r="A25">
            <v>65</v>
          </cell>
          <cell r="B25" t="str">
            <v>BBL2849</v>
          </cell>
          <cell r="C25" t="str">
            <v>Joseph Mkinga Msulwa</v>
          </cell>
          <cell r="D25" t="str">
            <v>MOS100655</v>
          </cell>
          <cell r="E25" t="str">
            <v>MOS</v>
          </cell>
          <cell r="F25" t="str">
            <v>Salesman</v>
          </cell>
          <cell r="G25" t="str">
            <v>Maria M. Mchagi</v>
          </cell>
          <cell r="H25">
            <v>55</v>
          </cell>
          <cell r="I25" t="str">
            <v>Maria.Mchagi@bbl.co.tz</v>
          </cell>
          <cell r="J25" t="str">
            <v>Y</v>
          </cell>
        </row>
        <row r="26">
          <cell r="A26">
            <v>64</v>
          </cell>
          <cell r="B26" t="str">
            <v>BBL1377</v>
          </cell>
          <cell r="C26" t="str">
            <v>Harold F. Mlay</v>
          </cell>
          <cell r="D26" t="str">
            <v>MOS100275</v>
          </cell>
          <cell r="E26" t="str">
            <v>MOS</v>
          </cell>
          <cell r="F26" t="str">
            <v>Salesman</v>
          </cell>
          <cell r="G26" t="str">
            <v>Maria M. Mchagi</v>
          </cell>
          <cell r="H26">
            <v>55</v>
          </cell>
          <cell r="I26" t="str">
            <v>Maria.Mchagi@bbl.co.tz</v>
          </cell>
          <cell r="J26" t="str">
            <v>Y</v>
          </cell>
        </row>
        <row r="27">
          <cell r="A27">
            <v>63</v>
          </cell>
          <cell r="B27" t="str">
            <v>BBL2919</v>
          </cell>
          <cell r="C27" t="str">
            <v>Zawadi Jastin Laizer</v>
          </cell>
          <cell r="D27" t="str">
            <v>MOS100744</v>
          </cell>
          <cell r="E27" t="str">
            <v>MOS</v>
          </cell>
          <cell r="F27" t="str">
            <v>Salesman</v>
          </cell>
          <cell r="G27" t="str">
            <v>Maria M. Mchagi</v>
          </cell>
          <cell r="H27">
            <v>55</v>
          </cell>
          <cell r="I27" t="str">
            <v>Maria.Mchagi@bbl.co.tz</v>
          </cell>
          <cell r="J27" t="str">
            <v>Y</v>
          </cell>
        </row>
        <row r="28">
          <cell r="A28">
            <v>62</v>
          </cell>
          <cell r="B28" t="str">
            <v>MSL1072</v>
          </cell>
          <cell r="C28" t="str">
            <v>John Regnald Mlay</v>
          </cell>
          <cell r="D28" t="str">
            <v>MOS100800</v>
          </cell>
          <cell r="E28" t="str">
            <v>MOS</v>
          </cell>
          <cell r="F28" t="str">
            <v>Salesman</v>
          </cell>
          <cell r="G28" t="str">
            <v>Maria M. Mchagi</v>
          </cell>
          <cell r="H28">
            <v>55</v>
          </cell>
          <cell r="I28" t="str">
            <v>Maria.Mchagi@bbl.co.tz</v>
          </cell>
          <cell r="J28" t="str">
            <v>Y</v>
          </cell>
        </row>
        <row r="29">
          <cell r="A29">
            <v>61</v>
          </cell>
          <cell r="B29" t="str">
            <v>BBL2886</v>
          </cell>
          <cell r="C29" t="str">
            <v>Zefania Julius Ngoma</v>
          </cell>
          <cell r="D29" t="str">
            <v>MOS100144</v>
          </cell>
          <cell r="E29" t="str">
            <v>MOS</v>
          </cell>
          <cell r="F29" t="str">
            <v>Salesman</v>
          </cell>
          <cell r="G29" t="str">
            <v>Stephen F. Njama</v>
          </cell>
          <cell r="H29">
            <v>47</v>
          </cell>
          <cell r="I29" t="str">
            <v>Stephen.Njama@bbl.co.tz</v>
          </cell>
          <cell r="J29" t="str">
            <v>Y</v>
          </cell>
        </row>
        <row r="30">
          <cell r="A30">
            <v>60</v>
          </cell>
          <cell r="B30" t="str">
            <v>MSL1031</v>
          </cell>
          <cell r="C30" t="str">
            <v>Ester Lawrence Rasi</v>
          </cell>
          <cell r="D30" t="str">
            <v>MOS100217</v>
          </cell>
          <cell r="E30" t="str">
            <v>MOS</v>
          </cell>
          <cell r="F30" t="str">
            <v>Salesman</v>
          </cell>
          <cell r="G30" t="str">
            <v>Stephen F. Njama</v>
          </cell>
          <cell r="H30">
            <v>47</v>
          </cell>
          <cell r="I30" t="str">
            <v>Stephen.Njama@bbl.co.tz</v>
          </cell>
          <cell r="J30" t="str">
            <v>Y</v>
          </cell>
        </row>
        <row r="31">
          <cell r="A31">
            <v>59</v>
          </cell>
          <cell r="B31" t="str">
            <v>BBL1091</v>
          </cell>
          <cell r="C31" t="str">
            <v>Gastory S Msaki</v>
          </cell>
          <cell r="D31" t="str">
            <v>MOS100624</v>
          </cell>
          <cell r="E31" t="str">
            <v>MOS</v>
          </cell>
          <cell r="F31" t="str">
            <v>Salesman</v>
          </cell>
          <cell r="G31" t="str">
            <v>Stephen F. Njama</v>
          </cell>
          <cell r="H31">
            <v>47</v>
          </cell>
          <cell r="I31" t="str">
            <v>Stephen.Njama@bbl.co.tz</v>
          </cell>
          <cell r="J31" t="str">
            <v>Y</v>
          </cell>
        </row>
        <row r="32">
          <cell r="A32">
            <v>58</v>
          </cell>
          <cell r="B32" t="str">
            <v>BBL2879</v>
          </cell>
          <cell r="C32" t="str">
            <v>Allen Freeback Meena</v>
          </cell>
          <cell r="D32" t="str">
            <v>MOS100656</v>
          </cell>
          <cell r="E32" t="str">
            <v>MOS</v>
          </cell>
          <cell r="F32" t="str">
            <v>Salesman</v>
          </cell>
          <cell r="G32" t="str">
            <v>Stephen F. Njama</v>
          </cell>
          <cell r="H32">
            <v>47</v>
          </cell>
          <cell r="I32" t="str">
            <v>Stephen.Njama@bbl.co.tz</v>
          </cell>
          <cell r="J32" t="str">
            <v>Y</v>
          </cell>
        </row>
        <row r="33">
          <cell r="A33">
            <v>54</v>
          </cell>
          <cell r="B33" t="str">
            <v>BBL2884</v>
          </cell>
          <cell r="C33" t="str">
            <v>Neema Muivan Lukumay</v>
          </cell>
          <cell r="D33" t="str">
            <v>MOS100717</v>
          </cell>
          <cell r="E33" t="str">
            <v>MOS</v>
          </cell>
          <cell r="F33" t="str">
            <v>Salesman</v>
          </cell>
          <cell r="G33" t="str">
            <v>Beatrice Urio</v>
          </cell>
          <cell r="H33">
            <v>46</v>
          </cell>
          <cell r="I33" t="str">
            <v>Beatrice.Urio@bbl.co.tz</v>
          </cell>
          <cell r="J33" t="str">
            <v>Y</v>
          </cell>
        </row>
        <row r="34">
          <cell r="A34">
            <v>53</v>
          </cell>
          <cell r="B34" t="str">
            <v>BBL1724</v>
          </cell>
          <cell r="C34" t="str">
            <v>Meshack  Jeremiah</v>
          </cell>
          <cell r="D34" t="str">
            <v>MOS100079</v>
          </cell>
          <cell r="E34" t="str">
            <v>MOS</v>
          </cell>
          <cell r="F34" t="str">
            <v>Salesman</v>
          </cell>
          <cell r="G34" t="str">
            <v>Beatrice Urio</v>
          </cell>
          <cell r="H34">
            <v>46</v>
          </cell>
          <cell r="I34" t="str">
            <v>Beatrice.Urio@bbl.co.tz</v>
          </cell>
          <cell r="J34" t="str">
            <v>Y</v>
          </cell>
        </row>
        <row r="35">
          <cell r="A35">
            <v>52</v>
          </cell>
          <cell r="B35" t="str">
            <v>MSL1073</v>
          </cell>
          <cell r="C35" t="str">
            <v>Grace Wenseslausi Silayo</v>
          </cell>
          <cell r="D35" t="str">
            <v>MOS100793</v>
          </cell>
          <cell r="E35" t="str">
            <v>MOS</v>
          </cell>
          <cell r="F35" t="str">
            <v>Salesman</v>
          </cell>
          <cell r="G35" t="str">
            <v>Beatrice Urio</v>
          </cell>
          <cell r="H35">
            <v>46</v>
          </cell>
          <cell r="I35" t="str">
            <v>Beatrice.Urio@bbl.co.tz</v>
          </cell>
          <cell r="J35" t="str">
            <v>Y</v>
          </cell>
        </row>
        <row r="36">
          <cell r="A36">
            <v>51</v>
          </cell>
          <cell r="B36" t="str">
            <v>MSL1075</v>
          </cell>
          <cell r="C36" t="str">
            <v>Alice Jonathan Mfuru</v>
          </cell>
          <cell r="D36" t="str">
            <v>MOS100823</v>
          </cell>
          <cell r="E36" t="str">
            <v>MOS</v>
          </cell>
          <cell r="F36" t="str">
            <v>Salesman</v>
          </cell>
          <cell r="G36" t="str">
            <v>Beatrice Urio</v>
          </cell>
          <cell r="H36">
            <v>46</v>
          </cell>
          <cell r="I36" t="str">
            <v>Beatrice.Urio@bbl.co.tz</v>
          </cell>
          <cell r="J36" t="str">
            <v>Y</v>
          </cell>
        </row>
        <row r="37">
          <cell r="A37">
            <v>50</v>
          </cell>
          <cell r="B37" t="str">
            <v>MSL963</v>
          </cell>
          <cell r="C37" t="str">
            <v>Riziki Rajabu Mghamba</v>
          </cell>
          <cell r="D37" t="str">
            <v>MOS100645</v>
          </cell>
          <cell r="E37" t="str">
            <v>MOS</v>
          </cell>
          <cell r="F37" t="str">
            <v>Salesman</v>
          </cell>
          <cell r="G37" t="str">
            <v>Beatrice Urio</v>
          </cell>
          <cell r="H37">
            <v>46</v>
          </cell>
          <cell r="I37" t="str">
            <v>Beatrice.Urio@bbl.co.tz</v>
          </cell>
          <cell r="J37" t="str">
            <v>Y</v>
          </cell>
        </row>
        <row r="38">
          <cell r="A38">
            <v>49</v>
          </cell>
          <cell r="B38" t="str">
            <v>MSL952</v>
          </cell>
          <cell r="C38" t="str">
            <v>Saidi Mustafa Mohamed</v>
          </cell>
          <cell r="D38" t="str">
            <v>MOS100772</v>
          </cell>
          <cell r="E38" t="str">
            <v>MOS</v>
          </cell>
          <cell r="F38" t="str">
            <v>Salesman</v>
          </cell>
          <cell r="G38" t="str">
            <v>Steven Olais Kivuyo</v>
          </cell>
          <cell r="H38">
            <v>28</v>
          </cell>
          <cell r="I38" t="str">
            <v>stephen.kivuyo@bbl.co.tz</v>
          </cell>
          <cell r="J38" t="str">
            <v>Y</v>
          </cell>
        </row>
        <row r="39">
          <cell r="A39">
            <v>48</v>
          </cell>
          <cell r="B39" t="str">
            <v>BB2914</v>
          </cell>
          <cell r="C39" t="str">
            <v>Jonas Steven Michael</v>
          </cell>
          <cell r="D39" t="str">
            <v>MOS100501</v>
          </cell>
          <cell r="E39" t="str">
            <v>MOS</v>
          </cell>
          <cell r="F39" t="str">
            <v>Salesman</v>
          </cell>
          <cell r="G39" t="str">
            <v>Steven Olais Kivuyo</v>
          </cell>
          <cell r="H39">
            <v>28</v>
          </cell>
          <cell r="I39" t="str">
            <v>stephen.kivuyo@bbl.co.tz</v>
          </cell>
          <cell r="J39" t="str">
            <v>Y</v>
          </cell>
        </row>
        <row r="40">
          <cell r="A40">
            <v>45</v>
          </cell>
          <cell r="B40" t="str">
            <v>MSL14173</v>
          </cell>
          <cell r="C40" t="str">
            <v>Joyline J Lyimo</v>
          </cell>
          <cell r="D40" t="str">
            <v>MOS100802</v>
          </cell>
          <cell r="E40" t="str">
            <v>MOS</v>
          </cell>
          <cell r="F40" t="str">
            <v>Salesman</v>
          </cell>
          <cell r="G40" t="str">
            <v>Steven Olais Kivuyo</v>
          </cell>
          <cell r="H40">
            <v>28</v>
          </cell>
          <cell r="I40" t="str">
            <v>stephen.kivuyo@bbl.co.tz</v>
          </cell>
          <cell r="J40" t="str">
            <v>Y</v>
          </cell>
        </row>
        <row r="41">
          <cell r="A41">
            <v>44</v>
          </cell>
          <cell r="B41" t="str">
            <v>MSL1065</v>
          </cell>
          <cell r="C41" t="str">
            <v>Joseph Donald Msele</v>
          </cell>
          <cell r="D41" t="str">
            <v>MOS100754</v>
          </cell>
          <cell r="E41" t="str">
            <v>MOS</v>
          </cell>
          <cell r="F41" t="str">
            <v>Salesman</v>
          </cell>
          <cell r="G41" t="str">
            <v>Steven Olais Kivuyo</v>
          </cell>
          <cell r="H41">
            <v>28</v>
          </cell>
          <cell r="I41" t="str">
            <v>stephen.kivuyo@bbl.co.tz</v>
          </cell>
          <cell r="J41" t="str">
            <v>Y</v>
          </cell>
        </row>
        <row r="42">
          <cell r="A42">
            <v>42</v>
          </cell>
          <cell r="B42" t="str">
            <v>BBL1309</v>
          </cell>
          <cell r="C42" t="str">
            <v>Deodat Francis Materu</v>
          </cell>
          <cell r="D42" t="str">
            <v>MOS100180</v>
          </cell>
          <cell r="E42" t="str">
            <v>MOS</v>
          </cell>
          <cell r="F42" t="str">
            <v>Salesman</v>
          </cell>
          <cell r="G42" t="str">
            <v>Steven Olais Kivuyo</v>
          </cell>
          <cell r="H42">
            <v>28</v>
          </cell>
          <cell r="I42" t="str">
            <v>stephen.kivuyo@bbl.co.tz</v>
          </cell>
          <cell r="J42" t="str">
            <v>Y</v>
          </cell>
        </row>
        <row r="43">
          <cell r="A43">
            <v>33</v>
          </cell>
          <cell r="B43" t="str">
            <v>BBL2188</v>
          </cell>
          <cell r="C43" t="str">
            <v>Raymond P Sangawe</v>
          </cell>
          <cell r="D43" t="str">
            <v>MOS100716</v>
          </cell>
          <cell r="E43" t="str">
            <v>MOS</v>
          </cell>
          <cell r="F43" t="str">
            <v>Salesman</v>
          </cell>
          <cell r="G43" t="str">
            <v>Moses Titus Shija</v>
          </cell>
          <cell r="H43">
            <v>56</v>
          </cell>
          <cell r="I43" t="str">
            <v>Moses.Shija@bbl.co.tz</v>
          </cell>
          <cell r="J43" t="str">
            <v>Y</v>
          </cell>
        </row>
        <row r="44">
          <cell r="A44">
            <v>29</v>
          </cell>
          <cell r="B44" t="str">
            <v>BBL2285</v>
          </cell>
          <cell r="C44" t="str">
            <v>Piniel Julius Singo</v>
          </cell>
          <cell r="D44" t="str">
            <v>MOS100654</v>
          </cell>
          <cell r="E44" t="str">
            <v>MOS</v>
          </cell>
          <cell r="F44" t="str">
            <v>Salesman</v>
          </cell>
          <cell r="G44" t="str">
            <v>Steven Olais Kivuyo</v>
          </cell>
          <cell r="H44">
            <v>28</v>
          </cell>
          <cell r="I44" t="str">
            <v>stephen.kivuyo@bbl.co.tz</v>
          </cell>
          <cell r="J44" t="str">
            <v>Y</v>
          </cell>
        </row>
        <row r="45">
          <cell r="A45">
            <v>28</v>
          </cell>
          <cell r="B45" t="str">
            <v>BBL_SUP_028</v>
          </cell>
          <cell r="C45" t="str">
            <v>Steven Olais Kivuyo</v>
          </cell>
          <cell r="E45" t="str">
            <v>MOS</v>
          </cell>
          <cell r="F45" t="str">
            <v>Sales Supervisor</v>
          </cell>
          <cell r="I45" t="str">
            <v>stephen.kivuyo@bbl.co.tz</v>
          </cell>
          <cell r="J45" t="str">
            <v>Y</v>
          </cell>
        </row>
        <row r="46">
          <cell r="A46">
            <v>46</v>
          </cell>
          <cell r="B46" t="str">
            <v>BBL_SUP_046</v>
          </cell>
          <cell r="C46" t="str">
            <v>Beatrice Urio</v>
          </cell>
          <cell r="E46" t="str">
            <v>MOS</v>
          </cell>
          <cell r="F46" t="str">
            <v>Sales Supervisor</v>
          </cell>
          <cell r="I46" t="str">
            <v>Beatrice.Urio@bbl.co.tz</v>
          </cell>
          <cell r="J46" t="str">
            <v>Y</v>
          </cell>
        </row>
        <row r="47">
          <cell r="A47">
            <v>47</v>
          </cell>
          <cell r="B47" t="str">
            <v>BBL_SUP_047</v>
          </cell>
          <cell r="C47" t="str">
            <v>Stephen F. Njama</v>
          </cell>
          <cell r="E47" t="str">
            <v>MOS</v>
          </cell>
          <cell r="F47" t="str">
            <v>Sales Supervisor</v>
          </cell>
          <cell r="I47" t="str">
            <v>Stephen.Njama@bbl.co.tz</v>
          </cell>
          <cell r="J47" t="str">
            <v>Y</v>
          </cell>
        </row>
        <row r="48">
          <cell r="A48">
            <v>55</v>
          </cell>
          <cell r="B48" t="str">
            <v>BBL_SUP_055</v>
          </cell>
          <cell r="C48" t="str">
            <v>Maria M. Mchagi</v>
          </cell>
          <cell r="E48" t="str">
            <v>MOS</v>
          </cell>
          <cell r="F48" t="str">
            <v>Sales Supervisor</v>
          </cell>
          <cell r="I48" t="str">
            <v>Maria.Mchagi@bbl.co.tz</v>
          </cell>
          <cell r="J48" t="str">
            <v>Y</v>
          </cell>
        </row>
        <row r="49">
          <cell r="A49">
            <v>56</v>
          </cell>
          <cell r="B49" t="str">
            <v>BBL_SUP_056</v>
          </cell>
          <cell r="C49" t="str">
            <v>Moses Titus Shija</v>
          </cell>
          <cell r="E49" t="str">
            <v>MOS</v>
          </cell>
          <cell r="F49" t="str">
            <v>Sales Supervisor</v>
          </cell>
          <cell r="I49" t="str">
            <v>Moses.Shija@bbl.co.tz</v>
          </cell>
          <cell r="J49" t="str">
            <v>Y</v>
          </cell>
        </row>
        <row r="50">
          <cell r="A50">
            <v>57</v>
          </cell>
          <cell r="B50" t="str">
            <v>BBL_SUP_057</v>
          </cell>
          <cell r="C50" t="str">
            <v>Rachel Emanuel Kissota</v>
          </cell>
          <cell r="E50" t="str">
            <v>MOS</v>
          </cell>
          <cell r="F50" t="str">
            <v>Sales Supervisor</v>
          </cell>
          <cell r="I50" t="str">
            <v>Rachel.Kissota@bbl.co.tz</v>
          </cell>
          <cell r="J50" t="str">
            <v>Y</v>
          </cell>
        </row>
        <row r="51">
          <cell r="A51">
            <v>79</v>
          </cell>
          <cell r="B51" t="str">
            <v>BBL_SUP_079</v>
          </cell>
          <cell r="C51" t="str">
            <v>Kelvin V. Kuwese</v>
          </cell>
          <cell r="E51" t="str">
            <v>ARS</v>
          </cell>
          <cell r="F51" t="str">
            <v>Sales Supervisor</v>
          </cell>
          <cell r="I51" t="str">
            <v>Kelvin.Kuwese@bbl.co.tz</v>
          </cell>
          <cell r="J51" t="str">
            <v>Y</v>
          </cell>
        </row>
        <row r="52">
          <cell r="A52">
            <v>86</v>
          </cell>
          <cell r="B52" t="str">
            <v>BBL_SUP_086</v>
          </cell>
          <cell r="C52" t="str">
            <v>Rose Meshack Kambey</v>
          </cell>
          <cell r="E52" t="str">
            <v>DAR</v>
          </cell>
          <cell r="F52" t="str">
            <v>Sales Supervisor</v>
          </cell>
          <cell r="I52" t="str">
            <v>Rose.Meshack@bbl.co.tz</v>
          </cell>
          <cell r="J52" t="str">
            <v>Y</v>
          </cell>
        </row>
        <row r="53">
          <cell r="A53" t="str">
            <v>C001</v>
          </cell>
          <cell r="B53" t="str">
            <v>BBL_CLK_001</v>
          </cell>
          <cell r="C53" t="str">
            <v>Clerk — Dar Es Salaam</v>
          </cell>
          <cell r="E53" t="str">
            <v>DAR</v>
          </cell>
          <cell r="F53" t="str">
            <v>Clerk</v>
          </cell>
          <cell r="J53" t="str">
            <v>Y</v>
          </cell>
        </row>
        <row r="54">
          <cell r="A54" t="str">
            <v>C002</v>
          </cell>
          <cell r="B54" t="str">
            <v>BBL_CLK_002</v>
          </cell>
          <cell r="C54" t="str">
            <v>Clerk — Arusha</v>
          </cell>
          <cell r="E54" t="str">
            <v>ARS</v>
          </cell>
          <cell r="F54" t="str">
            <v>Clerk</v>
          </cell>
          <cell r="J54" t="str">
            <v>Y</v>
          </cell>
        </row>
        <row r="55">
          <cell r="A55" t="str">
            <v>C003</v>
          </cell>
          <cell r="B55" t="str">
            <v>BBL_CLK_003</v>
          </cell>
          <cell r="C55" t="str">
            <v>Clerk — Moshi</v>
          </cell>
          <cell r="E55" t="str">
            <v>MOS</v>
          </cell>
          <cell r="F55" t="str">
            <v>Clerk</v>
          </cell>
          <cell r="J55" t="str">
            <v>Y</v>
          </cell>
        </row>
        <row r="57">
          <cell r="A57" t="str">
            <v>Total Users:</v>
          </cell>
          <cell r="C57">
            <v>44</v>
          </cell>
        </row>
        <row r="58">
          <cell r="A58" t="str">
            <v xml:space="preserve">   - Salesmen:</v>
          </cell>
          <cell r="C58">
            <v>33</v>
          </cell>
        </row>
        <row r="59">
          <cell r="A59" t="str">
            <v xml:space="preserve">   - Sales Supervisors:</v>
          </cell>
          <cell r="C59">
            <v>8</v>
          </cell>
        </row>
        <row r="60">
          <cell r="A60" t="str">
            <v xml:space="preserve">   - Clerks:</v>
          </cell>
          <cell r="C60">
            <v>3</v>
          </cell>
        </row>
        <row r="62">
          <cell r="A62" t="str">
            <v>Active Users:</v>
          </cell>
          <cell r="C62">
            <v>44</v>
          </cell>
        </row>
        <row r="64">
          <cell r="A64" t="str">
            <v>Data Integrity Checks</v>
          </cell>
        </row>
        <row r="65">
          <cell r="A65" t="str">
            <v>Duplicate SAP Codes:</v>
          </cell>
          <cell r="C65">
            <v>0</v>
          </cell>
        </row>
        <row r="66">
          <cell r="A66" t="str">
            <v>Duplicate User IDs:</v>
          </cell>
          <cell r="C66">
            <v>0</v>
          </cell>
        </row>
        <row r="67">
          <cell r="A67" t="str">
            <v>Salesmen with no SAP Code:</v>
          </cell>
          <cell r="C67">
            <v>0</v>
          </cell>
        </row>
      </sheetData>
      <sheetData sheetId="5"/>
      <sheetData sheetId="6"/>
      <sheetData sheetId="7"/>
      <sheetData sheetId="8">
        <row r="10">
          <cell r="B10" t="str">
            <v>ARS000069|FG001|CK3-33379</v>
          </cell>
          <cell r="K10">
            <v>2.5674503820861503</v>
          </cell>
        </row>
        <row r="11">
          <cell r="B11" t="str">
            <v>ARS000069|FG002|CK3-33372</v>
          </cell>
          <cell r="K11">
            <v>1.0164625706281605</v>
          </cell>
        </row>
        <row r="12">
          <cell r="B12" t="str">
            <v>ARS000069|FG003|CK3-33290</v>
          </cell>
          <cell r="K12">
            <v>0.48106918064670201</v>
          </cell>
        </row>
        <row r="13">
          <cell r="B13" t="str">
            <v>ARS000069|FG004|CK5-33354</v>
          </cell>
          <cell r="K13">
            <v>0.577564349435157</v>
          </cell>
        </row>
        <row r="14">
          <cell r="B14" t="str">
            <v>ARS000069|FG006|CK3-33306</v>
          </cell>
          <cell r="K14">
            <v>0.45829999999999993</v>
          </cell>
        </row>
        <row r="15">
          <cell r="B15" t="str">
            <v>ARS000069|FG009|CK3-33348</v>
          </cell>
          <cell r="K15">
            <v>0.58792761169210017</v>
          </cell>
        </row>
        <row r="16">
          <cell r="B16" t="str">
            <v>ARS000069|FG010|CK3-33301</v>
          </cell>
          <cell r="K16">
            <v>0.74296987768941669</v>
          </cell>
        </row>
        <row r="17">
          <cell r="B17" t="str">
            <v>ARS000069|FG011|CK3-33237</v>
          </cell>
          <cell r="K17">
            <v>0.68668832551726577</v>
          </cell>
        </row>
        <row r="18">
          <cell r="B18" t="str">
            <v>ARS000069|FG012|CK3-33126</v>
          </cell>
          <cell r="K18">
            <v>0.25</v>
          </cell>
        </row>
        <row r="19">
          <cell r="B19" t="str">
            <v>ARS000069|KD001|CK4-836</v>
          </cell>
          <cell r="K19">
            <v>46</v>
          </cell>
        </row>
        <row r="20">
          <cell r="B20" t="str">
            <v>ARS000069|KD001|CK6-978</v>
          </cell>
          <cell r="K20">
            <v>39</v>
          </cell>
        </row>
        <row r="21">
          <cell r="B21" t="str">
            <v>ARS000069|KD001|CK6-983</v>
          </cell>
          <cell r="K21">
            <v>0</v>
          </cell>
        </row>
        <row r="22">
          <cell r="B22" t="str">
            <v>ARS000069|KD003|CK6-980</v>
          </cell>
          <cell r="K22">
            <v>10</v>
          </cell>
        </row>
        <row r="23">
          <cell r="B23" t="str">
            <v>ARS000069|KD004|CK7-895</v>
          </cell>
          <cell r="K23">
            <v>10</v>
          </cell>
        </row>
        <row r="24">
          <cell r="B24" t="str">
            <v>ARS000069|KD005|CK7-909</v>
          </cell>
          <cell r="K24">
            <v>1</v>
          </cell>
        </row>
        <row r="25">
          <cell r="B25" t="str">
            <v>ARS000069|KD005|CK7-913</v>
          </cell>
          <cell r="K25">
            <v>6</v>
          </cell>
        </row>
        <row r="26">
          <cell r="B26" t="str">
            <v>ARS000069|KD006|CK7-914</v>
          </cell>
          <cell r="K26">
            <v>1</v>
          </cell>
        </row>
        <row r="27">
          <cell r="B27" t="str">
            <v>ARS000069|KD006|CK7-915</v>
          </cell>
          <cell r="K27">
            <v>11</v>
          </cell>
        </row>
        <row r="28">
          <cell r="B28" t="str">
            <v>ARS000069|KD007|CK4-832</v>
          </cell>
          <cell r="K28">
            <v>4</v>
          </cell>
        </row>
        <row r="29">
          <cell r="B29" t="str">
            <v>ARS000069|PH001|CK6-33399</v>
          </cell>
          <cell r="K29">
            <v>7</v>
          </cell>
        </row>
        <row r="30">
          <cell r="B30" t="str">
            <v>ARS000069|PH002|CK6-33362</v>
          </cell>
          <cell r="K30">
            <v>3</v>
          </cell>
        </row>
        <row r="31">
          <cell r="B31" t="str">
            <v>ARS000069|PH003|CK5-33389</v>
          </cell>
          <cell r="K31">
            <v>1</v>
          </cell>
        </row>
        <row r="32">
          <cell r="B32" t="str">
            <v>ARS000069|PH004|CK5-33331</v>
          </cell>
          <cell r="K32">
            <v>0</v>
          </cell>
        </row>
        <row r="33">
          <cell r="B33" t="str">
            <v>ARS000069|PH005|CK6-33392</v>
          </cell>
          <cell r="K33">
            <v>1</v>
          </cell>
        </row>
        <row r="34">
          <cell r="B34" t="str">
            <v>ARS000069|PH006|CK6-33333</v>
          </cell>
          <cell r="K34">
            <v>0</v>
          </cell>
        </row>
        <row r="35">
          <cell r="B35" t="str">
            <v>ARS000069|PH007|CK6-33374</v>
          </cell>
          <cell r="K35">
            <v>2</v>
          </cell>
        </row>
        <row r="36">
          <cell r="B36" t="str">
            <v>ARS000069|PH008|CK5-33325</v>
          </cell>
          <cell r="K36">
            <v>1</v>
          </cell>
        </row>
        <row r="37">
          <cell r="B37" t="str">
            <v>ARS000069|PO008|CK5-33384</v>
          </cell>
          <cell r="K37">
            <v>0</v>
          </cell>
        </row>
        <row r="38">
          <cell r="B38" t="str">
            <v>ARS000069|PO008|CK5-33386</v>
          </cell>
          <cell r="K38">
            <v>2</v>
          </cell>
        </row>
        <row r="39">
          <cell r="B39" t="str">
            <v>ARS000069|PO012|CK5-33369</v>
          </cell>
          <cell r="K39">
            <v>0</v>
          </cell>
        </row>
        <row r="40">
          <cell r="B40" t="str">
            <v>ARS000069|PO013|CK5-33368</v>
          </cell>
          <cell r="K40">
            <v>0</v>
          </cell>
        </row>
        <row r="41">
          <cell r="B41" t="str">
            <v>ARS000069|PO014|CK5-33336</v>
          </cell>
          <cell r="K41">
            <v>0</v>
          </cell>
        </row>
        <row r="42">
          <cell r="B42" t="str">
            <v>ARS000069|PO015|CK5-33366</v>
          </cell>
          <cell r="K42">
            <v>1</v>
          </cell>
        </row>
        <row r="43">
          <cell r="B43" t="str">
            <v>DSM300140|KD001|CK6-979</v>
          </cell>
          <cell r="K43">
            <v>18</v>
          </cell>
        </row>
        <row r="44">
          <cell r="B44" t="str">
            <v>DSM300140|KD003|CK4-823</v>
          </cell>
          <cell r="K44">
            <v>5</v>
          </cell>
        </row>
        <row r="45">
          <cell r="B45" t="str">
            <v>DSM300140|KD005|CK7-909</v>
          </cell>
          <cell r="K45">
            <v>3</v>
          </cell>
        </row>
        <row r="46">
          <cell r="B46" t="str">
            <v>DSM300140|KD006|CK7-911</v>
          </cell>
          <cell r="K46">
            <v>6</v>
          </cell>
        </row>
        <row r="47">
          <cell r="B47" t="str">
            <v>DSM300140|KD007|CK4-833</v>
          </cell>
          <cell r="K47">
            <v>29</v>
          </cell>
        </row>
        <row r="48">
          <cell r="B48" t="str">
            <v>MOS100079|FG001|CK3-33409</v>
          </cell>
          <cell r="K48">
            <v>9.4260419724479974</v>
          </cell>
        </row>
        <row r="49">
          <cell r="B49" t="str">
            <v>MOS100079|FG002|CK3-33407</v>
          </cell>
          <cell r="K49">
            <v>2.1413449316438395</v>
          </cell>
        </row>
        <row r="50">
          <cell r="B50" t="str">
            <v>MOS100079|FG003|CK3-33356</v>
          </cell>
          <cell r="K50">
            <v>1.4069830491663096</v>
          </cell>
        </row>
        <row r="51">
          <cell r="B51" t="str">
            <v>MOS100079|FG004|CK3-33385</v>
          </cell>
          <cell r="K51">
            <v>1.7400438606030795</v>
          </cell>
        </row>
        <row r="52">
          <cell r="B52" t="str">
            <v>MOS100079|FG005|CK3-33402</v>
          </cell>
          <cell r="K52">
            <v>0.83245685952361015</v>
          </cell>
        </row>
        <row r="53">
          <cell r="B53" t="str">
            <v>MOS100079|FG006|CK3-33414</v>
          </cell>
          <cell r="K53">
            <v>1.7069125463592192</v>
          </cell>
        </row>
        <row r="54">
          <cell r="B54" t="str">
            <v>MOS100079|FG007|CK3-33404</v>
          </cell>
          <cell r="K54">
            <v>0.94407045760539399</v>
          </cell>
        </row>
        <row r="55">
          <cell r="B55" t="str">
            <v>MOS100079|FG008|CK3-33365</v>
          </cell>
          <cell r="K55">
            <v>0.70239421228589505</v>
          </cell>
        </row>
        <row r="56">
          <cell r="B56" t="str">
            <v>MOS100079|FG009|CK3-33348</v>
          </cell>
          <cell r="K56">
            <v>0.23263027590489593</v>
          </cell>
        </row>
        <row r="57">
          <cell r="B57" t="str">
            <v>MOS100079|FG010|CK3-33301</v>
          </cell>
          <cell r="K57">
            <v>0.20663778572245106</v>
          </cell>
        </row>
        <row r="58">
          <cell r="B58" t="str">
            <v>MOS100079|FG011|CK3-33347</v>
          </cell>
          <cell r="K58">
            <v>0.44739902590846103</v>
          </cell>
        </row>
        <row r="59">
          <cell r="B59" t="str">
            <v>MOS100079|FG012|CK3-33126</v>
          </cell>
          <cell r="K59">
            <v>0.23533385279526597</v>
          </cell>
        </row>
        <row r="60">
          <cell r="B60" t="str">
            <v>MOS100079|FG024|CK3-32758</v>
          </cell>
          <cell r="K60">
            <v>0.34047773802358083</v>
          </cell>
        </row>
        <row r="61">
          <cell r="B61" t="str">
            <v>MOS100079|KD001|CK6-986</v>
          </cell>
          <cell r="K61">
            <v>6</v>
          </cell>
        </row>
        <row r="62">
          <cell r="B62" t="str">
            <v>MOS100079|KD003|CK4-842</v>
          </cell>
          <cell r="K62">
            <v>19</v>
          </cell>
        </row>
        <row r="63">
          <cell r="B63" t="str">
            <v>MOS100079|PH001|CK6-33411</v>
          </cell>
          <cell r="K63">
            <v>8</v>
          </cell>
        </row>
        <row r="64">
          <cell r="B64" t="str">
            <v>MOS100079|PH002|CK6-33362</v>
          </cell>
          <cell r="K64">
            <v>1</v>
          </cell>
        </row>
        <row r="65">
          <cell r="B65" t="str">
            <v>MOS100079|PH003|CK6-33405</v>
          </cell>
          <cell r="K65">
            <v>5</v>
          </cell>
        </row>
        <row r="66">
          <cell r="B66" t="str">
            <v>MOS100079|PH004|CK5-33334</v>
          </cell>
          <cell r="K66">
            <v>2</v>
          </cell>
        </row>
        <row r="67">
          <cell r="B67" t="str">
            <v>MOS100079|PH007|CK6-33375</v>
          </cell>
          <cell r="K67">
            <v>1</v>
          </cell>
        </row>
        <row r="68">
          <cell r="B68" t="str">
            <v>MOS100079|PH008|CK5-33370</v>
          </cell>
          <cell r="K68">
            <v>0</v>
          </cell>
        </row>
        <row r="69">
          <cell r="B69" t="str">
            <v>MOS100079|PO010|CK5-33360</v>
          </cell>
          <cell r="K69">
            <v>1</v>
          </cell>
        </row>
        <row r="70">
          <cell r="B70" t="str">
            <v>MOS100079|PO012|CK5-33369</v>
          </cell>
          <cell r="K70">
            <v>1</v>
          </cell>
        </row>
        <row r="71">
          <cell r="B71" t="str">
            <v>MOS100079|PO015|CK5-33366</v>
          </cell>
          <cell r="K71">
            <v>1</v>
          </cell>
        </row>
        <row r="72">
          <cell r="B72" t="str">
            <v>MOS100144|FG001|CK3-33409</v>
          </cell>
          <cell r="K72">
            <v>4.6269772791369945</v>
          </cell>
        </row>
        <row r="73">
          <cell r="B73" t="str">
            <v>MOS100144|FG002|CK3-33407</v>
          </cell>
          <cell r="K73">
            <v>1.4651407136145504</v>
          </cell>
        </row>
        <row r="74">
          <cell r="B74" t="str">
            <v>MOS100144|FG003|CK3-33356</v>
          </cell>
          <cell r="K74">
            <v>1.0465054067095503</v>
          </cell>
        </row>
        <row r="75">
          <cell r="B75" t="str">
            <v>MOS100144|FG004|CK3-33385</v>
          </cell>
          <cell r="K75">
            <v>1.6031459237547914</v>
          </cell>
        </row>
        <row r="76">
          <cell r="B76" t="str">
            <v>MOS100144|FG005|CK3-33402</v>
          </cell>
          <cell r="K76">
            <v>0.52433526580482059</v>
          </cell>
        </row>
        <row r="77">
          <cell r="B77" t="str">
            <v>MOS100144|FG006|CK3-33414</v>
          </cell>
          <cell r="K77">
            <v>1.122669237985729</v>
          </cell>
        </row>
        <row r="78">
          <cell r="B78" t="str">
            <v>MOS100144|FG007|CK3-33404</v>
          </cell>
          <cell r="K78">
            <v>0.4195123231002702</v>
          </cell>
        </row>
        <row r="79">
          <cell r="B79" t="str">
            <v>MOS100144|FG008|CK3-33365</v>
          </cell>
          <cell r="K79">
            <v>0.40510742953635059</v>
          </cell>
        </row>
        <row r="80">
          <cell r="B80" t="str">
            <v>MOS100144|FG024|CK3-32758</v>
          </cell>
          <cell r="K80">
            <v>0.20690373718064614</v>
          </cell>
        </row>
        <row r="81">
          <cell r="B81" t="str">
            <v>MOS100144|KD001|CK6-986</v>
          </cell>
          <cell r="K81">
            <v>3</v>
          </cell>
        </row>
        <row r="82">
          <cell r="B82" t="str">
            <v>MOS100144|KD003|CK4-842</v>
          </cell>
          <cell r="K82">
            <v>16</v>
          </cell>
        </row>
        <row r="83">
          <cell r="B83" t="str">
            <v>MOS100144|PH001|CK6-33411</v>
          </cell>
          <cell r="K83">
            <v>5</v>
          </cell>
        </row>
        <row r="84">
          <cell r="B84" t="str">
            <v>MOS100144|PH002|CK6-33362</v>
          </cell>
          <cell r="K84">
            <v>1</v>
          </cell>
        </row>
        <row r="85">
          <cell r="B85" t="str">
            <v>MOS100144|PH003|CK6-33405</v>
          </cell>
          <cell r="K85">
            <v>1</v>
          </cell>
        </row>
        <row r="86">
          <cell r="B86" t="str">
            <v>MOS100144|PH004|CK5-33334</v>
          </cell>
          <cell r="K86">
            <v>1</v>
          </cell>
        </row>
        <row r="87">
          <cell r="B87" t="str">
            <v>MOS100144|PH006|CK6-33334</v>
          </cell>
          <cell r="K87">
            <v>0</v>
          </cell>
        </row>
        <row r="88">
          <cell r="B88" t="str">
            <v>MOS100144|PH007|CK6-33375</v>
          </cell>
          <cell r="K88">
            <v>0</v>
          </cell>
        </row>
        <row r="89">
          <cell r="B89" t="str">
            <v>MOS100180|FG001|CK3-33409</v>
          </cell>
          <cell r="K89">
            <v>11.052566285592903</v>
          </cell>
        </row>
        <row r="90">
          <cell r="B90" t="str">
            <v>MOS100180|FG002|CK3-33407</v>
          </cell>
          <cell r="K90">
            <v>7.2208738846469309</v>
          </cell>
        </row>
        <row r="91">
          <cell r="B91" t="str">
            <v>MOS100180|FG003|CK3-33356</v>
          </cell>
          <cell r="K91">
            <v>2.9230781440552391</v>
          </cell>
        </row>
        <row r="92">
          <cell r="B92" t="str">
            <v>MOS100180|FG004|CK3-33385</v>
          </cell>
          <cell r="K92">
            <v>1.2320751647645611</v>
          </cell>
        </row>
        <row r="93">
          <cell r="B93" t="str">
            <v>MOS100180|FG005|CK3-33402</v>
          </cell>
          <cell r="K93">
            <v>0.48548783693096009</v>
          </cell>
        </row>
        <row r="94">
          <cell r="B94" t="str">
            <v>MOS100180|FG006|CK3-33414</v>
          </cell>
          <cell r="K94">
            <v>3.1213350871950212</v>
          </cell>
        </row>
        <row r="95">
          <cell r="B95" t="str">
            <v>MOS100180|FG007|CK3-33404</v>
          </cell>
          <cell r="K95">
            <v>0.99851186892785027</v>
          </cell>
        </row>
        <row r="96">
          <cell r="B96" t="str">
            <v>MOS100180|FG008|CK3-33365</v>
          </cell>
          <cell r="K96">
            <v>0.94324817493140678</v>
          </cell>
        </row>
        <row r="97">
          <cell r="B97" t="str">
            <v>MOS100180|FG009|CK3-33348</v>
          </cell>
          <cell r="K97">
            <v>0.98745196877274033</v>
          </cell>
        </row>
        <row r="98">
          <cell r="B98" t="str">
            <v>MOS100180|FG010|CK3-33301</v>
          </cell>
          <cell r="K98">
            <v>0.53130117424927281</v>
          </cell>
        </row>
        <row r="99">
          <cell r="B99" t="str">
            <v>MOS100180|FG011|CK3-33347</v>
          </cell>
          <cell r="K99">
            <v>0.77082252986423949</v>
          </cell>
        </row>
        <row r="100">
          <cell r="B100" t="str">
            <v>MOS100180|FG012|CK3-33126</v>
          </cell>
          <cell r="K100">
            <v>0.54115339755356606</v>
          </cell>
        </row>
        <row r="101">
          <cell r="B101" t="str">
            <v>MOS100180|FG024|CK3-32758</v>
          </cell>
          <cell r="K101">
            <v>0.44276400835720797</v>
          </cell>
        </row>
        <row r="102">
          <cell r="B102" t="str">
            <v>MOS100180|KD001|CK6-986</v>
          </cell>
          <cell r="K102">
            <v>14</v>
          </cell>
        </row>
        <row r="103">
          <cell r="B103" t="str">
            <v>MOS100180|KD003|CK4-842</v>
          </cell>
          <cell r="K103">
            <v>21</v>
          </cell>
        </row>
        <row r="104">
          <cell r="B104" t="str">
            <v>MOS100180|PH001|CK6-33411</v>
          </cell>
          <cell r="K104">
            <v>9</v>
          </cell>
        </row>
        <row r="105">
          <cell r="B105" t="str">
            <v>MOS100180|PH002|CK6-33362</v>
          </cell>
          <cell r="K105">
            <v>3</v>
          </cell>
        </row>
        <row r="106">
          <cell r="B106" t="str">
            <v>MOS100180|PH003|CK6-33405</v>
          </cell>
          <cell r="K106">
            <v>3</v>
          </cell>
        </row>
        <row r="107">
          <cell r="B107" t="str">
            <v>MOS100180|PH004|CK5-33334</v>
          </cell>
          <cell r="K107">
            <v>1</v>
          </cell>
        </row>
        <row r="108">
          <cell r="B108" t="str">
            <v>MOS100180|PH006|CK6-33333</v>
          </cell>
          <cell r="K108">
            <v>1</v>
          </cell>
        </row>
        <row r="109">
          <cell r="B109" t="str">
            <v>MOS100180|PH006|CK6-33334</v>
          </cell>
          <cell r="K109">
            <v>0</v>
          </cell>
        </row>
        <row r="110">
          <cell r="B110" t="str">
            <v>MOS100180|PH007|CK6-33375</v>
          </cell>
          <cell r="K110">
            <v>0</v>
          </cell>
        </row>
        <row r="111">
          <cell r="B111" t="str">
            <v>MOS100180|PH008|CK5-33370</v>
          </cell>
          <cell r="K111">
            <v>0</v>
          </cell>
        </row>
        <row r="112">
          <cell r="B112" t="str">
            <v>MOS100180|PH009|CK6-33241</v>
          </cell>
          <cell r="K112">
            <v>1</v>
          </cell>
        </row>
        <row r="113">
          <cell r="B113" t="str">
            <v>MOS100180|PO010|CK5-33360</v>
          </cell>
          <cell r="K113">
            <v>1</v>
          </cell>
        </row>
        <row r="114">
          <cell r="B114" t="str">
            <v>MOS100180|PO012|CK5-33369</v>
          </cell>
          <cell r="K114">
            <v>1</v>
          </cell>
        </row>
        <row r="115">
          <cell r="B115" t="str">
            <v>MOS100180|PO013|CK5-33368</v>
          </cell>
          <cell r="K115">
            <v>1</v>
          </cell>
        </row>
        <row r="116">
          <cell r="B116" t="str">
            <v>MOS100180|PO015|CK5-33366</v>
          </cell>
          <cell r="K116">
            <v>1</v>
          </cell>
        </row>
        <row r="117">
          <cell r="B117" t="str">
            <v>MOS100200|FG001|CK3-33410</v>
          </cell>
          <cell r="K117">
            <v>19.315713600711902</v>
          </cell>
        </row>
        <row r="118">
          <cell r="B118" t="str">
            <v>MOS100200|FG002|CK3-33407</v>
          </cell>
          <cell r="K118">
            <v>6.6168932420414421</v>
          </cell>
        </row>
        <row r="119">
          <cell r="B119" t="str">
            <v>MOS100200|FG003|CK3-33356</v>
          </cell>
          <cell r="K119">
            <v>3.7342364434444093</v>
          </cell>
        </row>
        <row r="120">
          <cell r="B120" t="str">
            <v>MOS100200|FG004|CK3-33385</v>
          </cell>
          <cell r="K120">
            <v>1.5904763643869497</v>
          </cell>
        </row>
        <row r="121">
          <cell r="B121" t="str">
            <v>MOS100200|FG005|CK3-33402</v>
          </cell>
          <cell r="K121">
            <v>1.0522880739493856</v>
          </cell>
        </row>
        <row r="122">
          <cell r="B122" t="str">
            <v>MOS100200|FG006|CK3-33414</v>
          </cell>
          <cell r="K122">
            <v>5.5350848151756793</v>
          </cell>
        </row>
        <row r="123">
          <cell r="B123" t="str">
            <v>MOS100200|FG007|CK3-33404</v>
          </cell>
          <cell r="K123">
            <v>1.0817259117987001</v>
          </cell>
        </row>
        <row r="124">
          <cell r="B124" t="str">
            <v>MOS100200|FG008|CK3-33365</v>
          </cell>
          <cell r="K124">
            <v>0.86114833275745983</v>
          </cell>
        </row>
        <row r="125">
          <cell r="B125" t="str">
            <v>MOS100200|FG009|CK3-33348</v>
          </cell>
          <cell r="K125">
            <v>0.65049887160674214</v>
          </cell>
        </row>
        <row r="126">
          <cell r="B126" t="str">
            <v>MOS100200|FG010|CK3-33301</v>
          </cell>
          <cell r="K126">
            <v>0.38994892022298</v>
          </cell>
        </row>
        <row r="127">
          <cell r="B127" t="str">
            <v>MOS100200|FG011|CK3-33347</v>
          </cell>
          <cell r="K127">
            <v>0.41805018854929221</v>
          </cell>
        </row>
        <row r="128">
          <cell r="B128" t="str">
            <v>MOS100200|FG012|CK3-33126</v>
          </cell>
          <cell r="K128">
            <v>0.52939954021457991</v>
          </cell>
        </row>
        <row r="129">
          <cell r="B129" t="str">
            <v>MOS100200|FG024|CK3-32758</v>
          </cell>
          <cell r="K129">
            <v>0.28187584999027981</v>
          </cell>
        </row>
        <row r="130">
          <cell r="B130" t="str">
            <v>MOS100200|KD001|CK6-986</v>
          </cell>
          <cell r="K130">
            <v>11</v>
          </cell>
        </row>
        <row r="131">
          <cell r="B131" t="str">
            <v>MOS100200|KD003|CK4-842</v>
          </cell>
          <cell r="K131">
            <v>22</v>
          </cell>
        </row>
        <row r="132">
          <cell r="B132" t="str">
            <v>MOS100200|PH001|CK6-33411</v>
          </cell>
          <cell r="K132">
            <v>11</v>
          </cell>
        </row>
        <row r="133">
          <cell r="B133" t="str">
            <v>MOS100200|PH002|CK6-33362</v>
          </cell>
          <cell r="K133">
            <v>2</v>
          </cell>
        </row>
        <row r="134">
          <cell r="B134" t="str">
            <v>MOS100200|PH003|CK6-33405</v>
          </cell>
          <cell r="K134">
            <v>7</v>
          </cell>
        </row>
        <row r="135">
          <cell r="B135" t="str">
            <v>MOS100200|PH004|CK5-33334</v>
          </cell>
          <cell r="K135">
            <v>2</v>
          </cell>
        </row>
        <row r="136">
          <cell r="B136" t="str">
            <v>MOS100200|PH007|CK6-33375</v>
          </cell>
          <cell r="K136">
            <v>2</v>
          </cell>
        </row>
        <row r="137">
          <cell r="B137" t="str">
            <v>MOS100200|PH008|CK5-33370</v>
          </cell>
          <cell r="K137">
            <v>1</v>
          </cell>
        </row>
        <row r="138">
          <cell r="B138" t="str">
            <v>MOS100200|PO010|CK5-33360</v>
          </cell>
          <cell r="K138">
            <v>1</v>
          </cell>
        </row>
        <row r="139">
          <cell r="B139" t="str">
            <v>MOS100200|PO012|CK5-33369</v>
          </cell>
          <cell r="K139">
            <v>1</v>
          </cell>
        </row>
        <row r="140">
          <cell r="B140" t="str">
            <v>MOS100209|FG001|CK3-33409</v>
          </cell>
          <cell r="K140">
            <v>3.239851966180801</v>
          </cell>
        </row>
        <row r="141">
          <cell r="B141" t="str">
            <v>MOS100209|FG002|CK3-33407</v>
          </cell>
          <cell r="K141">
            <v>3.6010213285305497</v>
          </cell>
        </row>
        <row r="142">
          <cell r="B142" t="str">
            <v>MOS100209|FG003|CK3-33356</v>
          </cell>
          <cell r="K142">
            <v>1.1701939151480598</v>
          </cell>
        </row>
        <row r="143">
          <cell r="B143" t="str">
            <v>MOS100209|FG004|CK3-33385</v>
          </cell>
          <cell r="K143">
            <v>1.5267254751039099</v>
          </cell>
        </row>
        <row r="144">
          <cell r="B144" t="str">
            <v>MOS100209|FG005|CK3-33402</v>
          </cell>
          <cell r="K144">
            <v>0.72907156778032967</v>
          </cell>
        </row>
        <row r="145">
          <cell r="B145" t="str">
            <v>MOS100209|FG006|CK3-33414</v>
          </cell>
          <cell r="K145">
            <v>1.5917093329301899</v>
          </cell>
        </row>
        <row r="146">
          <cell r="B146" t="str">
            <v>MOS100209|FG007|CK3-33404</v>
          </cell>
          <cell r="K146">
            <v>0.70761743569170221</v>
          </cell>
        </row>
        <row r="147">
          <cell r="B147" t="str">
            <v>MOS100209|FG008|CK3-33367</v>
          </cell>
          <cell r="K147">
            <v>0.72752115841200604</v>
          </cell>
        </row>
        <row r="148">
          <cell r="B148" t="str">
            <v>MOS100209|FG009|CK3-33348</v>
          </cell>
          <cell r="K148">
            <v>0.61261642120881321</v>
          </cell>
        </row>
        <row r="149">
          <cell r="B149" t="str">
            <v>MOS100209|FG010|CK3-33301</v>
          </cell>
          <cell r="K149">
            <v>0.2932692603861029</v>
          </cell>
        </row>
        <row r="150">
          <cell r="B150" t="str">
            <v>MOS100209|FG011|CK3-33347</v>
          </cell>
          <cell r="K150">
            <v>0.60137916300284289</v>
          </cell>
        </row>
        <row r="151">
          <cell r="B151" t="str">
            <v>MOS100209|FG012|CK3-33126</v>
          </cell>
          <cell r="K151">
            <v>0.26887616323463992</v>
          </cell>
        </row>
        <row r="152">
          <cell r="B152" t="str">
            <v>MOS100209|FG024|CK3-32758</v>
          </cell>
          <cell r="K152">
            <v>0.22811595053250411</v>
          </cell>
        </row>
        <row r="153">
          <cell r="B153" t="str">
            <v>MOS100209|KD001|CK6-986</v>
          </cell>
          <cell r="K153">
            <v>11</v>
          </cell>
        </row>
        <row r="154">
          <cell r="B154" t="str">
            <v>MOS100209|KD003|CK4-842</v>
          </cell>
          <cell r="K154">
            <v>9</v>
          </cell>
        </row>
        <row r="155">
          <cell r="B155" t="str">
            <v>MOS100209|PH001|CK6-33411</v>
          </cell>
          <cell r="K155">
            <v>5</v>
          </cell>
        </row>
        <row r="156">
          <cell r="B156" t="str">
            <v>MOS100209|PH002|CK6-33362</v>
          </cell>
          <cell r="K156">
            <v>2</v>
          </cell>
        </row>
        <row r="157">
          <cell r="B157" t="str">
            <v>MOS100209|PH003|CK6-33405</v>
          </cell>
          <cell r="K157">
            <v>6</v>
          </cell>
        </row>
        <row r="158">
          <cell r="B158" t="str">
            <v>MOS100209|PH004|CK5-33334</v>
          </cell>
          <cell r="K158">
            <v>1</v>
          </cell>
        </row>
        <row r="159">
          <cell r="B159" t="str">
            <v>MOS100209|PH006|CK6-33334</v>
          </cell>
          <cell r="K159">
            <v>1</v>
          </cell>
        </row>
        <row r="160">
          <cell r="B160" t="str">
            <v>MOS100209|PH007|CK6-33375</v>
          </cell>
          <cell r="K160">
            <v>1</v>
          </cell>
        </row>
        <row r="161">
          <cell r="B161" t="str">
            <v>MOS100209|PH008|CK5-33370</v>
          </cell>
          <cell r="K161">
            <v>0</v>
          </cell>
        </row>
        <row r="162">
          <cell r="B162" t="str">
            <v>MOS100209|PH009|CK6-33241</v>
          </cell>
          <cell r="K162">
            <v>1</v>
          </cell>
        </row>
        <row r="163">
          <cell r="B163" t="str">
            <v>MOS100209|PO010|CK5-33360</v>
          </cell>
          <cell r="K163">
            <v>2</v>
          </cell>
        </row>
        <row r="164">
          <cell r="B164" t="str">
            <v>MOS100209|PO012|CK5-33369</v>
          </cell>
          <cell r="K164">
            <v>2</v>
          </cell>
        </row>
        <row r="165">
          <cell r="B165" t="str">
            <v>MOS100209|PO015|CK5-33366</v>
          </cell>
          <cell r="K165">
            <v>4</v>
          </cell>
        </row>
        <row r="166">
          <cell r="B166" t="str">
            <v>MOS100501|FG001|CK3-33409</v>
          </cell>
          <cell r="K166">
            <v>17.145535174950844</v>
          </cell>
        </row>
        <row r="167">
          <cell r="B167" t="str">
            <v>MOS100501|FG002|CK3-33407</v>
          </cell>
          <cell r="K167">
            <v>2.7890735448973523</v>
          </cell>
        </row>
        <row r="168">
          <cell r="B168" t="str">
            <v>MOS100501|FG003|CK3-33356</v>
          </cell>
          <cell r="K168">
            <v>1.0152304159724004</v>
          </cell>
        </row>
        <row r="169">
          <cell r="B169" t="str">
            <v>MOS100501|FG004|CK3-33385</v>
          </cell>
          <cell r="K169">
            <v>1.2663159816965113</v>
          </cell>
        </row>
        <row r="170">
          <cell r="B170" t="str">
            <v>MOS100501|FG005|CK3-33402</v>
          </cell>
          <cell r="K170">
            <v>1.0555518403609696</v>
          </cell>
        </row>
        <row r="171">
          <cell r="B171" t="str">
            <v>MOS100501|FG006|CK3-33414</v>
          </cell>
          <cell r="K171">
            <v>1.366293711960612</v>
          </cell>
        </row>
        <row r="172">
          <cell r="B172" t="str">
            <v>MOS100501|FG007|CK3-33404</v>
          </cell>
          <cell r="K172">
            <v>1.2277491423116196</v>
          </cell>
        </row>
        <row r="173">
          <cell r="B173" t="str">
            <v>MOS100501|FG008|CK3-33365</v>
          </cell>
          <cell r="K173">
            <v>0.90424666842110035</v>
          </cell>
        </row>
        <row r="174">
          <cell r="B174" t="str">
            <v>MOS100501|FG009|CK3-33348</v>
          </cell>
          <cell r="K174">
            <v>0.71749901363029611</v>
          </cell>
        </row>
        <row r="175">
          <cell r="B175" t="str">
            <v>MOS100501|FG010|CK3-33301</v>
          </cell>
          <cell r="K175">
            <v>0.71722825330980022</v>
          </cell>
        </row>
        <row r="176">
          <cell r="B176" t="str">
            <v>MOS100501|FG011|CK3-33347</v>
          </cell>
          <cell r="K176">
            <v>0.42810817856611516</v>
          </cell>
        </row>
        <row r="177">
          <cell r="B177" t="str">
            <v>MOS100501|FG012|CK3-33126</v>
          </cell>
          <cell r="K177">
            <v>0.16897712316879021</v>
          </cell>
        </row>
        <row r="178">
          <cell r="B178" t="str">
            <v>MOS100501|FG024|CK3-32758</v>
          </cell>
          <cell r="K178">
            <v>0.17881263659293989</v>
          </cell>
        </row>
        <row r="179">
          <cell r="B179" t="str">
            <v>MOS100501|KD001|CK6-986</v>
          </cell>
          <cell r="K179">
            <v>30</v>
          </cell>
        </row>
        <row r="180">
          <cell r="B180" t="str">
            <v>MOS100501|KD003|CK4-842</v>
          </cell>
          <cell r="K180">
            <v>7</v>
          </cell>
        </row>
        <row r="181">
          <cell r="B181" t="str">
            <v>MOS100501|PH001|CK6-33411</v>
          </cell>
          <cell r="K181">
            <v>4</v>
          </cell>
        </row>
        <row r="182">
          <cell r="B182" t="str">
            <v>MOS100501|PH002|CK6-33362</v>
          </cell>
          <cell r="K182">
            <v>1</v>
          </cell>
        </row>
        <row r="183">
          <cell r="B183" t="str">
            <v>MOS100501|PH003|CK6-33405</v>
          </cell>
          <cell r="K183">
            <v>4</v>
          </cell>
        </row>
        <row r="184">
          <cell r="B184" t="str">
            <v>MOS100501|PH004|CK5-33334</v>
          </cell>
          <cell r="K184">
            <v>1</v>
          </cell>
        </row>
        <row r="185">
          <cell r="B185" t="str">
            <v>MOS100501|PH007|CK6-33375</v>
          </cell>
          <cell r="K185">
            <v>1</v>
          </cell>
        </row>
        <row r="186">
          <cell r="B186" t="str">
            <v>MOS100501|PH008|CK5-33370</v>
          </cell>
          <cell r="K186">
            <v>1</v>
          </cell>
        </row>
        <row r="187">
          <cell r="B187" t="str">
            <v>MOS100501|PO010|CK5-33360</v>
          </cell>
          <cell r="K187">
            <v>1</v>
          </cell>
        </row>
        <row r="188">
          <cell r="B188" t="str">
            <v>MOS100501|PO012|CK5-33369</v>
          </cell>
          <cell r="K188">
            <v>0</v>
          </cell>
        </row>
        <row r="189">
          <cell r="B189" t="str">
            <v>MOS100501|PO013|CK5-33368</v>
          </cell>
          <cell r="K189">
            <v>0</v>
          </cell>
        </row>
        <row r="190">
          <cell r="B190" t="str">
            <v>MOS100501|PO015|CK5-33366</v>
          </cell>
          <cell r="K190">
            <v>2</v>
          </cell>
        </row>
        <row r="191">
          <cell r="B191" t="str">
            <v>MOS100624|FG001|CK3-33409</v>
          </cell>
          <cell r="K191">
            <v>8.7235482308155952</v>
          </cell>
        </row>
        <row r="192">
          <cell r="B192" t="str">
            <v>MOS100624|FG002|CK3-33407</v>
          </cell>
          <cell r="K192">
            <v>1.7897517482047611</v>
          </cell>
        </row>
        <row r="193">
          <cell r="B193" t="str">
            <v>MOS100624|FG003|CK3-33356</v>
          </cell>
          <cell r="K193">
            <v>1.3887341588443505</v>
          </cell>
        </row>
        <row r="194">
          <cell r="B194" t="str">
            <v>MOS100624|FG004|CK3-33385</v>
          </cell>
          <cell r="K194">
            <v>3.5408413736479698</v>
          </cell>
        </row>
        <row r="195">
          <cell r="B195" t="str">
            <v>MOS100624|FG005|CK3-33402</v>
          </cell>
          <cell r="K195">
            <v>0.54865710429351022</v>
          </cell>
        </row>
        <row r="196">
          <cell r="B196" t="str">
            <v>MOS100624|FG006|CK3-33414</v>
          </cell>
          <cell r="K196">
            <v>1.8226427930387104</v>
          </cell>
        </row>
        <row r="197">
          <cell r="B197" t="str">
            <v>MOS100624|FG007|CK3-33404</v>
          </cell>
          <cell r="K197">
            <v>0.6319028096838295</v>
          </cell>
        </row>
        <row r="198">
          <cell r="B198" t="str">
            <v>MOS100624|FG008|CK3-33365</v>
          </cell>
          <cell r="K198">
            <v>0.93640934572117018</v>
          </cell>
        </row>
        <row r="199">
          <cell r="B199" t="str">
            <v>MOS100624|FG009|CK3-33348</v>
          </cell>
          <cell r="K199">
            <v>0.39812158721860813</v>
          </cell>
        </row>
        <row r="200">
          <cell r="B200" t="str">
            <v>MOS100624|FG010|CK3-33301</v>
          </cell>
          <cell r="K200">
            <v>0.1215700727012009</v>
          </cell>
        </row>
        <row r="201">
          <cell r="B201" t="str">
            <v>MOS100624|FG011|CK3-33347</v>
          </cell>
          <cell r="K201">
            <v>9.2936463119206891E-2</v>
          </cell>
        </row>
        <row r="202">
          <cell r="B202" t="str">
            <v>MOS100624|FG012|CK3-33126</v>
          </cell>
          <cell r="K202">
            <v>0.33177471599601294</v>
          </cell>
        </row>
        <row r="203">
          <cell r="B203" t="str">
            <v>MOS100624|FG024|CK3-32758</v>
          </cell>
          <cell r="K203">
            <v>0.28604540647086885</v>
          </cell>
        </row>
        <row r="204">
          <cell r="B204" t="str">
            <v>MOS100624|KD001|CK6-986</v>
          </cell>
          <cell r="K204">
            <v>2</v>
          </cell>
        </row>
        <row r="205">
          <cell r="B205" t="str">
            <v>MOS100624|KD003|CK4-842</v>
          </cell>
          <cell r="K205">
            <v>20</v>
          </cell>
        </row>
        <row r="206">
          <cell r="B206" t="str">
            <v>MOS100624|KD004|CK7-806</v>
          </cell>
          <cell r="K206">
            <v>2</v>
          </cell>
        </row>
        <row r="207">
          <cell r="B207" t="str">
            <v>MOS100624|KD006|CK7-915</v>
          </cell>
          <cell r="K207">
            <v>1</v>
          </cell>
        </row>
        <row r="208">
          <cell r="B208" t="str">
            <v>MOS100624|PH001|CK6-33411</v>
          </cell>
          <cell r="K208">
            <v>14</v>
          </cell>
        </row>
        <row r="209">
          <cell r="B209" t="str">
            <v>MOS100624|PH002|CK6-33362</v>
          </cell>
          <cell r="K209">
            <v>9</v>
          </cell>
        </row>
        <row r="210">
          <cell r="B210" t="str">
            <v>MOS100624|PH003|CK6-33405</v>
          </cell>
          <cell r="K210">
            <v>7</v>
          </cell>
        </row>
        <row r="211">
          <cell r="B211" t="str">
            <v>MOS100624|PH004|CK5-33334</v>
          </cell>
          <cell r="K211">
            <v>3</v>
          </cell>
        </row>
        <row r="212">
          <cell r="B212" t="str">
            <v>MOS100624|PH007|CK6-33375</v>
          </cell>
          <cell r="K212">
            <v>2</v>
          </cell>
        </row>
        <row r="213">
          <cell r="B213" t="str">
            <v>MOS100624|PH008|CK5-33370</v>
          </cell>
          <cell r="K213">
            <v>2</v>
          </cell>
        </row>
        <row r="214">
          <cell r="B214" t="str">
            <v>MOS100624|PO010|CK5-33360</v>
          </cell>
          <cell r="K214">
            <v>1</v>
          </cell>
        </row>
        <row r="215">
          <cell r="B215" t="str">
            <v>MOS100624|PO012|CK5-33369</v>
          </cell>
          <cell r="K215">
            <v>1</v>
          </cell>
        </row>
        <row r="216">
          <cell r="B216" t="str">
            <v>MOS100624|PO015|CK5-33366</v>
          </cell>
          <cell r="K216">
            <v>5</v>
          </cell>
        </row>
        <row r="217">
          <cell r="B217" t="str">
            <v>MOS100645|FG001|CK3-33408</v>
          </cell>
          <cell r="K217">
            <v>3.9248219807673213</v>
          </cell>
        </row>
        <row r="218">
          <cell r="B218" t="str">
            <v>MOS100645|FG001|CK3-33409</v>
          </cell>
          <cell r="K218">
            <v>15.233291046114502</v>
          </cell>
        </row>
        <row r="219">
          <cell r="B219" t="str">
            <v>MOS100645|FG002|CK3-33407</v>
          </cell>
          <cell r="K219">
            <v>6.530374953667291</v>
          </cell>
        </row>
        <row r="220">
          <cell r="B220" t="str">
            <v>MOS100645|FG003|CK3-33387</v>
          </cell>
          <cell r="K220">
            <v>3.1270046833093197</v>
          </cell>
        </row>
        <row r="221">
          <cell r="B221" t="str">
            <v>MOS100645|FG004|CK3-33385</v>
          </cell>
          <cell r="K221">
            <v>5.0966004677901893</v>
          </cell>
        </row>
        <row r="222">
          <cell r="B222" t="str">
            <v>MOS100645|FG005|CK3-33402</v>
          </cell>
          <cell r="K222">
            <v>3.7713308171044204</v>
          </cell>
        </row>
        <row r="223">
          <cell r="B223" t="str">
            <v>MOS100645|FG006|CK3-33414</v>
          </cell>
          <cell r="K223">
            <v>4.1627012206522096</v>
          </cell>
        </row>
        <row r="224">
          <cell r="B224" t="str">
            <v>MOS100645|FG007|CK3-33404</v>
          </cell>
          <cell r="K224">
            <v>1.1670088952211199</v>
          </cell>
        </row>
        <row r="225">
          <cell r="B225" t="str">
            <v>MOS100645|FG008|CK3-33365</v>
          </cell>
          <cell r="K225">
            <v>1.1199455650791199</v>
          </cell>
        </row>
        <row r="226">
          <cell r="B226" t="str">
            <v>MOS100645|FG009|CK3-33348</v>
          </cell>
          <cell r="K226">
            <v>0.49184497334207089</v>
          </cell>
        </row>
        <row r="227">
          <cell r="B227" t="str">
            <v>MOS100645|FG010|CK3-33301</v>
          </cell>
          <cell r="K227">
            <v>0.48905054242649282</v>
          </cell>
        </row>
        <row r="228">
          <cell r="B228" t="str">
            <v>MOS100645|FG011|CK3-33347</v>
          </cell>
          <cell r="K228">
            <v>0.65712728600862214</v>
          </cell>
        </row>
        <row r="229">
          <cell r="B229" t="str">
            <v>MOS100645|FG012|CK3-33126</v>
          </cell>
          <cell r="K229">
            <v>0.301871175184111</v>
          </cell>
        </row>
        <row r="230">
          <cell r="B230" t="str">
            <v>MOS100645|FG024|CK3-32758</v>
          </cell>
          <cell r="K230">
            <v>0.42927541038174999</v>
          </cell>
        </row>
        <row r="231">
          <cell r="B231" t="str">
            <v>MOS100645|KD001|CK6-986</v>
          </cell>
          <cell r="K231">
            <v>32</v>
          </cell>
        </row>
        <row r="232">
          <cell r="B232" t="str">
            <v>MOS100645|KD003|CK4-841</v>
          </cell>
          <cell r="K232">
            <v>31</v>
          </cell>
        </row>
        <row r="233">
          <cell r="B233" t="str">
            <v>MOS100645|PH001|CK6-33411</v>
          </cell>
          <cell r="K233">
            <v>24</v>
          </cell>
        </row>
        <row r="234">
          <cell r="B234" t="str">
            <v>MOS100645|PH002|CK6-33362</v>
          </cell>
          <cell r="K234">
            <v>8</v>
          </cell>
        </row>
        <row r="235">
          <cell r="B235" t="str">
            <v>MOS100645|PH003|CK6-33405</v>
          </cell>
          <cell r="K235">
            <v>14</v>
          </cell>
        </row>
        <row r="236">
          <cell r="B236" t="str">
            <v>MOS100645|PH004|CK5-33334</v>
          </cell>
          <cell r="K236">
            <v>14</v>
          </cell>
        </row>
        <row r="237">
          <cell r="B237" t="str">
            <v>MOS100645|PH007|CK6-33375</v>
          </cell>
          <cell r="K237">
            <v>3</v>
          </cell>
        </row>
        <row r="238">
          <cell r="B238" t="str">
            <v>MOS100645|PH008|CK5-33370</v>
          </cell>
          <cell r="K238">
            <v>2</v>
          </cell>
        </row>
        <row r="239">
          <cell r="B239" t="str">
            <v>MOS100645|PO010|CK5-33360</v>
          </cell>
          <cell r="K239">
            <v>6</v>
          </cell>
        </row>
        <row r="240">
          <cell r="B240" t="str">
            <v>MOS100645|PO012|CK5-33369</v>
          </cell>
          <cell r="K240">
            <v>2</v>
          </cell>
        </row>
        <row r="241">
          <cell r="B241" t="str">
            <v>MOS100645|PO015|CK5-33366</v>
          </cell>
          <cell r="K241">
            <v>5</v>
          </cell>
        </row>
        <row r="242">
          <cell r="B242" t="str">
            <v>MOS100654|FG001|CK3-33409</v>
          </cell>
          <cell r="K242">
            <v>4.111092282109297</v>
          </cell>
        </row>
        <row r="243">
          <cell r="B243" t="str">
            <v>MOS100654|FG002|CK3-33407</v>
          </cell>
          <cell r="K243">
            <v>2.9908209840028093</v>
          </cell>
        </row>
        <row r="244">
          <cell r="B244" t="str">
            <v>MOS100654|FG003|CK3-33356</v>
          </cell>
          <cell r="K244">
            <v>1.2286301627450493</v>
          </cell>
        </row>
        <row r="245">
          <cell r="B245" t="str">
            <v>MOS100654|FG004|CK3-33385</v>
          </cell>
          <cell r="K245">
            <v>0.9980391600426497</v>
          </cell>
        </row>
        <row r="246">
          <cell r="B246" t="str">
            <v>MOS100654|FG005|CK3-33402</v>
          </cell>
          <cell r="K246">
            <v>0.61905102985668581</v>
          </cell>
        </row>
        <row r="247">
          <cell r="B247" t="str">
            <v>MOS100654|FG006|CK3-33414</v>
          </cell>
          <cell r="K247">
            <v>1.1394540761921901</v>
          </cell>
        </row>
        <row r="248">
          <cell r="B248" t="str">
            <v>MOS100654|FG007|CK3-33404</v>
          </cell>
          <cell r="K248">
            <v>0.81468075958622022</v>
          </cell>
        </row>
        <row r="249">
          <cell r="B249" t="str">
            <v>MOS100654|FG008|CK3-33365</v>
          </cell>
          <cell r="K249">
            <v>0.74784407619051674</v>
          </cell>
        </row>
        <row r="250">
          <cell r="B250" t="str">
            <v>MOS100654|FG010|CK3-33301</v>
          </cell>
          <cell r="K250">
            <v>0.23005047584384997</v>
          </cell>
        </row>
        <row r="251">
          <cell r="B251" t="str">
            <v>MOS100654|FG011|CK3-33347</v>
          </cell>
          <cell r="K251">
            <v>0.7983028431080097</v>
          </cell>
        </row>
        <row r="252">
          <cell r="B252" t="str">
            <v>MOS100654|FG012|CK3-33126</v>
          </cell>
          <cell r="K252">
            <v>0.50493960025141993</v>
          </cell>
        </row>
        <row r="253">
          <cell r="B253" t="str">
            <v>MOS100654|FG024|CK3-32758</v>
          </cell>
          <cell r="K253">
            <v>0.20687932441203505</v>
          </cell>
        </row>
        <row r="254">
          <cell r="B254" t="str">
            <v>MOS100654|KD001|CK6-986</v>
          </cell>
          <cell r="K254">
            <v>7</v>
          </cell>
        </row>
        <row r="255">
          <cell r="B255" t="str">
            <v>MOS100654|KD003|CK4-842</v>
          </cell>
          <cell r="K255">
            <v>19</v>
          </cell>
        </row>
        <row r="256">
          <cell r="B256" t="str">
            <v>MOS100654|KD005|CK7-913</v>
          </cell>
          <cell r="K256">
            <v>1</v>
          </cell>
        </row>
        <row r="257">
          <cell r="B257" t="str">
            <v>MOS100654|KD006|CK7-918</v>
          </cell>
          <cell r="K257">
            <v>1</v>
          </cell>
        </row>
        <row r="258">
          <cell r="B258" t="str">
            <v>MOS100654|PH001|CK6-33411</v>
          </cell>
          <cell r="K258">
            <v>2</v>
          </cell>
        </row>
        <row r="259">
          <cell r="B259" t="str">
            <v>MOS100654|PH002|CK6-33362</v>
          </cell>
          <cell r="K259">
            <v>0</v>
          </cell>
        </row>
        <row r="260">
          <cell r="B260" t="str">
            <v>MOS100654|PH003|CK6-33405</v>
          </cell>
          <cell r="K260">
            <v>1</v>
          </cell>
        </row>
        <row r="261">
          <cell r="B261" t="str">
            <v>MOS100654|PH004|CK5-33334</v>
          </cell>
          <cell r="K261">
            <v>1</v>
          </cell>
        </row>
        <row r="262">
          <cell r="B262" t="str">
            <v>MOS100654|PH007|CK6-33375</v>
          </cell>
          <cell r="K262">
            <v>0</v>
          </cell>
        </row>
        <row r="263">
          <cell r="B263" t="str">
            <v>MOS100654|PH008|CK5-33370</v>
          </cell>
          <cell r="K263">
            <v>0</v>
          </cell>
        </row>
        <row r="264">
          <cell r="B264" t="str">
            <v>MOS100716|FG001|CK3-33409</v>
          </cell>
          <cell r="K264">
            <v>10.792612934986195</v>
          </cell>
        </row>
        <row r="265">
          <cell r="B265" t="str">
            <v>MOS100716|FG002|CK3-33407</v>
          </cell>
          <cell r="K265">
            <v>3.4846550723706997</v>
          </cell>
        </row>
        <row r="266">
          <cell r="B266" t="str">
            <v>MOS100716|FG003|CK3-33356</v>
          </cell>
          <cell r="K266">
            <v>1.3001014268956794</v>
          </cell>
        </row>
        <row r="267">
          <cell r="B267" t="str">
            <v>MOS100716|FG004|CK3-33385</v>
          </cell>
          <cell r="K267">
            <v>1.7643569747067112</v>
          </cell>
        </row>
        <row r="268">
          <cell r="B268" t="str">
            <v>MOS100716|FG005|CK3-33402</v>
          </cell>
          <cell r="K268">
            <v>0.31098526066227006</v>
          </cell>
        </row>
        <row r="269">
          <cell r="B269" t="str">
            <v>MOS100716|FG006|CK3-33383</v>
          </cell>
          <cell r="K269">
            <v>1.4775418349739606</v>
          </cell>
        </row>
        <row r="270">
          <cell r="B270" t="str">
            <v>MOS100716|FG007|CK3-33404</v>
          </cell>
          <cell r="K270">
            <v>0.25369226143960022</v>
          </cell>
        </row>
        <row r="271">
          <cell r="B271" t="str">
            <v>MOS100716|FG008|CK3-33365</v>
          </cell>
          <cell r="K271">
            <v>0.72229033952053623</v>
          </cell>
        </row>
        <row r="272">
          <cell r="B272" t="str">
            <v>MOS100716|FG009|CK3-33348</v>
          </cell>
          <cell r="K272">
            <v>0.39623283877204907</v>
          </cell>
        </row>
        <row r="273">
          <cell r="B273" t="str">
            <v>MOS100716|FG010|CK3-33301</v>
          </cell>
          <cell r="K273">
            <v>0.41727950704083394</v>
          </cell>
        </row>
        <row r="274">
          <cell r="B274" t="str">
            <v>MOS100716|FG011|CK3-33347</v>
          </cell>
          <cell r="K274">
            <v>0.27603239936279511</v>
          </cell>
        </row>
        <row r="275">
          <cell r="B275" t="str">
            <v>MOS100716|FG012|CK3-33126</v>
          </cell>
          <cell r="K275">
            <v>0.27447486145900024</v>
          </cell>
        </row>
        <row r="276">
          <cell r="B276" t="str">
            <v>MOS100716|FG024|CK3-32758</v>
          </cell>
          <cell r="K276">
            <v>0.40817839684587698</v>
          </cell>
        </row>
        <row r="277">
          <cell r="B277" t="str">
            <v>MOS100716|KD001|CK6-986</v>
          </cell>
          <cell r="K277">
            <v>6</v>
          </cell>
        </row>
        <row r="278">
          <cell r="B278" t="str">
            <v>MOS100716|KD003|CK4-842</v>
          </cell>
          <cell r="K278">
            <v>22</v>
          </cell>
        </row>
        <row r="279">
          <cell r="B279" t="str">
            <v>MOS100716|PH001|CK6-33411</v>
          </cell>
          <cell r="K279">
            <v>4</v>
          </cell>
        </row>
        <row r="280">
          <cell r="B280" t="str">
            <v>MOS100716|PH002|CK6-33362</v>
          </cell>
          <cell r="K280">
            <v>1</v>
          </cell>
        </row>
        <row r="281">
          <cell r="B281" t="str">
            <v>MOS100716|PH003|CK6-33405</v>
          </cell>
          <cell r="K281">
            <v>2</v>
          </cell>
        </row>
        <row r="282">
          <cell r="B282" t="str">
            <v>MOS100716|PH004|CK5-33334</v>
          </cell>
          <cell r="K282">
            <v>1</v>
          </cell>
        </row>
        <row r="283">
          <cell r="B283" t="str">
            <v>MOS100716|PH007|CK6-33375</v>
          </cell>
          <cell r="K283">
            <v>0</v>
          </cell>
        </row>
        <row r="284">
          <cell r="B284" t="str">
            <v>MOS100716|PH008|CK5-33370</v>
          </cell>
          <cell r="K284">
            <v>0</v>
          </cell>
        </row>
        <row r="285">
          <cell r="B285" t="str">
            <v>MOS100716|PO010|CK5-33360</v>
          </cell>
          <cell r="K285">
            <v>0</v>
          </cell>
        </row>
        <row r="286">
          <cell r="B286" t="str">
            <v>MOS100716|PO012|CK5-33369</v>
          </cell>
          <cell r="K286">
            <v>0</v>
          </cell>
        </row>
        <row r="287">
          <cell r="B287" t="str">
            <v>MOS100716|PO015|CK5-33366</v>
          </cell>
          <cell r="K287">
            <v>0</v>
          </cell>
        </row>
        <row r="288">
          <cell r="B288" t="str">
            <v>MOS100744|FG001|CK3-33409</v>
          </cell>
          <cell r="K288">
            <v>18.856412843292205</v>
          </cell>
        </row>
        <row r="289">
          <cell r="B289" t="str">
            <v>MOS100744|FG002|CK3-33407</v>
          </cell>
          <cell r="K289">
            <v>5.6607072550333015</v>
          </cell>
        </row>
        <row r="290">
          <cell r="B290" t="str">
            <v>MOS100744|FG003|CK3-33356</v>
          </cell>
          <cell r="K290">
            <v>1.5840427254948608</v>
          </cell>
        </row>
        <row r="291">
          <cell r="B291" t="str">
            <v>MOS100744|FG004|CK3-33385</v>
          </cell>
          <cell r="K291">
            <v>3.4041023449725394</v>
          </cell>
        </row>
        <row r="292">
          <cell r="B292" t="str">
            <v>MOS100744|FG005|CK3-33402</v>
          </cell>
          <cell r="K292">
            <v>1.1301437195141899</v>
          </cell>
        </row>
        <row r="293">
          <cell r="B293" t="str">
            <v>MOS100744|FG006|CK3-33414</v>
          </cell>
          <cell r="K293">
            <v>3.3842523884126585</v>
          </cell>
        </row>
        <row r="294">
          <cell r="B294" t="str">
            <v>MOS100744|FG007|CK3-33404</v>
          </cell>
          <cell r="K294">
            <v>0.82245389661185531</v>
          </cell>
        </row>
        <row r="295">
          <cell r="B295" t="str">
            <v>MOS100744|FG008|CK3-33365</v>
          </cell>
          <cell r="K295">
            <v>0.76820012403362004</v>
          </cell>
        </row>
        <row r="296">
          <cell r="B296" t="str">
            <v>MOS100744|FG009|CK3-33348</v>
          </cell>
          <cell r="K296">
            <v>0.55569628012374084</v>
          </cell>
        </row>
        <row r="297">
          <cell r="B297" t="str">
            <v>MOS100744|FG010|CK3-33301</v>
          </cell>
          <cell r="K297">
            <v>0.67693838912336979</v>
          </cell>
        </row>
        <row r="298">
          <cell r="B298" t="str">
            <v>MOS100744|FG011|CK3-33347</v>
          </cell>
          <cell r="K298">
            <v>0.50927121465729686</v>
          </cell>
        </row>
        <row r="299">
          <cell r="B299" t="str">
            <v>MOS100744|FG012|CK3-33126</v>
          </cell>
          <cell r="K299">
            <v>0.4771569344867741</v>
          </cell>
        </row>
        <row r="300">
          <cell r="B300" t="str">
            <v>MOS100744|FG024|CK3-32758</v>
          </cell>
          <cell r="K300">
            <v>0.36503193694441993</v>
          </cell>
        </row>
        <row r="301">
          <cell r="B301" t="str">
            <v>MOS100744|KD001|CK6-986</v>
          </cell>
          <cell r="K301">
            <v>8</v>
          </cell>
        </row>
        <row r="302">
          <cell r="B302" t="str">
            <v>MOS100744|KD003|CK4-842</v>
          </cell>
          <cell r="K302">
            <v>19</v>
          </cell>
        </row>
        <row r="303">
          <cell r="B303" t="str">
            <v>MOS100744|KD005|CK7-913</v>
          </cell>
          <cell r="K303">
            <v>1</v>
          </cell>
        </row>
        <row r="304">
          <cell r="B304" t="str">
            <v>MOS100744|KD006|CK7-915</v>
          </cell>
          <cell r="K304">
            <v>2</v>
          </cell>
        </row>
        <row r="305">
          <cell r="B305" t="str">
            <v>MOS100744|PH001|CK6-33411</v>
          </cell>
          <cell r="K305">
            <v>2</v>
          </cell>
        </row>
        <row r="306">
          <cell r="B306" t="str">
            <v>MOS100744|PH002|CK6-33362</v>
          </cell>
          <cell r="K306">
            <v>1</v>
          </cell>
        </row>
        <row r="307">
          <cell r="B307" t="str">
            <v>MOS100744|PH003|CK6-33405</v>
          </cell>
          <cell r="K307">
            <v>4</v>
          </cell>
        </row>
        <row r="308">
          <cell r="B308" t="str">
            <v>MOS100744|PH004|CK5-33334</v>
          </cell>
          <cell r="K308">
            <v>1</v>
          </cell>
        </row>
        <row r="309">
          <cell r="B309" t="str">
            <v>MOS100744|PH007|CK6-33375</v>
          </cell>
          <cell r="K309">
            <v>0</v>
          </cell>
        </row>
        <row r="310">
          <cell r="B310" t="str">
            <v>MOS100744|PH008|CK5-33370</v>
          </cell>
          <cell r="K310">
            <v>1</v>
          </cell>
        </row>
        <row r="311">
          <cell r="B311" t="str">
            <v>MOS100744|PO010|CK5-33360</v>
          </cell>
          <cell r="K311">
            <v>0</v>
          </cell>
        </row>
        <row r="312">
          <cell r="B312" t="str">
            <v>MOS100744|PO012|CK5-33369</v>
          </cell>
          <cell r="K312">
            <v>0</v>
          </cell>
        </row>
        <row r="313">
          <cell r="B313" t="str">
            <v>MOS100744|PO015|CK5-33366</v>
          </cell>
          <cell r="K313">
            <v>1</v>
          </cell>
        </row>
        <row r="314">
          <cell r="B314" t="str">
            <v>MOS100788|FG001|CK3-33408</v>
          </cell>
          <cell r="K314">
            <v>1.1562929978906205</v>
          </cell>
        </row>
        <row r="315">
          <cell r="B315" t="str">
            <v>MOS100788|FG001|CK3-33410</v>
          </cell>
          <cell r="K315">
            <v>10.453069529529195</v>
          </cell>
        </row>
        <row r="316">
          <cell r="B316" t="str">
            <v>MOS100788|FG002|CK3-33407</v>
          </cell>
          <cell r="K316">
            <v>5.2562031323890004</v>
          </cell>
        </row>
        <row r="317">
          <cell r="B317" t="str">
            <v>MOS100788|FG003|CK3-33356</v>
          </cell>
          <cell r="K317">
            <v>0.92259230746848964</v>
          </cell>
        </row>
        <row r="318">
          <cell r="B318" t="str">
            <v>MOS100788|FG004|CK3-33385</v>
          </cell>
          <cell r="K318">
            <v>2.4536650319059294</v>
          </cell>
        </row>
        <row r="319">
          <cell r="B319" t="str">
            <v>MOS100788|FG005|CK3-33402</v>
          </cell>
          <cell r="K319">
            <v>0.60952900502740981</v>
          </cell>
        </row>
        <row r="320">
          <cell r="B320" t="str">
            <v>MOS100788|FG006|CK3-33414</v>
          </cell>
          <cell r="K320">
            <v>2.0208396097597401</v>
          </cell>
        </row>
        <row r="321">
          <cell r="B321" t="str">
            <v>MOS100788|FG007|CK3-33404</v>
          </cell>
          <cell r="K321">
            <v>1.0486707677969491</v>
          </cell>
        </row>
        <row r="322">
          <cell r="B322" t="str">
            <v>MOS100788|FG008|CK3-33365</v>
          </cell>
          <cell r="K322">
            <v>1.0717758042589303</v>
          </cell>
        </row>
        <row r="323">
          <cell r="B323" t="str">
            <v>MOS100788|FG009|CK3-33348</v>
          </cell>
          <cell r="K323">
            <v>0.54676949403909969</v>
          </cell>
        </row>
        <row r="324">
          <cell r="B324" t="str">
            <v>MOS100788|FG010|CK3-33301</v>
          </cell>
          <cell r="K324">
            <v>0.87163043137378793</v>
          </cell>
        </row>
        <row r="325">
          <cell r="B325" t="str">
            <v>MOS100788|FG011|CK3-33347</v>
          </cell>
          <cell r="K325">
            <v>0.58590440599534066</v>
          </cell>
        </row>
        <row r="326">
          <cell r="B326" t="str">
            <v>MOS100788|FG012|CK3-33126</v>
          </cell>
          <cell r="K326">
            <v>0.69605159089369018</v>
          </cell>
        </row>
        <row r="327">
          <cell r="B327" t="str">
            <v>MOS100788|FG024|CK3-32758</v>
          </cell>
          <cell r="K327">
            <v>0.25769793094867</v>
          </cell>
        </row>
        <row r="328">
          <cell r="B328" t="str">
            <v>MOS100788|KD001|CK6-986</v>
          </cell>
          <cell r="K328">
            <v>9</v>
          </cell>
        </row>
        <row r="329">
          <cell r="B329" t="str">
            <v>MOS100788|KD003|CK4-842</v>
          </cell>
          <cell r="K329">
            <v>45</v>
          </cell>
        </row>
        <row r="330">
          <cell r="B330" t="str">
            <v>MOS100788|PH001|CK6-33411</v>
          </cell>
          <cell r="K330">
            <v>11</v>
          </cell>
        </row>
        <row r="331">
          <cell r="B331" t="str">
            <v>MOS100788|PH002|CK6-33362</v>
          </cell>
          <cell r="K331">
            <v>2</v>
          </cell>
        </row>
        <row r="332">
          <cell r="B332" t="str">
            <v>MOS100788|PH003|CK6-33405</v>
          </cell>
          <cell r="K332">
            <v>3</v>
          </cell>
        </row>
        <row r="333">
          <cell r="B333" t="str">
            <v>MOS100788|PH004|CK5-33334</v>
          </cell>
          <cell r="K333">
            <v>2</v>
          </cell>
        </row>
        <row r="334">
          <cell r="B334" t="str">
            <v>MOS100788|PH007|CK6-33375</v>
          </cell>
          <cell r="K334">
            <v>1</v>
          </cell>
        </row>
        <row r="335">
          <cell r="B335" t="str">
            <v>MOS100788|PH008|CK5-33370</v>
          </cell>
          <cell r="K335">
            <v>1</v>
          </cell>
        </row>
        <row r="336">
          <cell r="B336" t="str">
            <v>MOS100788|PO010|CK5-33360</v>
          </cell>
          <cell r="K336">
            <v>0</v>
          </cell>
        </row>
        <row r="337">
          <cell r="B337" t="str">
            <v>MOS100788|PO012|CK5-33369</v>
          </cell>
          <cell r="K337">
            <v>1</v>
          </cell>
        </row>
        <row r="338">
          <cell r="B338" t="str">
            <v>MOS100788|PO015|CK5-33366</v>
          </cell>
          <cell r="K338">
            <v>2</v>
          </cell>
        </row>
        <row r="339">
          <cell r="B339" t="str">
            <v>MOS100801|FG001|CK3-33409</v>
          </cell>
          <cell r="K339">
            <v>40</v>
          </cell>
        </row>
        <row r="340">
          <cell r="B340" t="str">
            <v>MOS100801|FG002|CK3-33407</v>
          </cell>
          <cell r="K340">
            <v>15</v>
          </cell>
        </row>
        <row r="341">
          <cell r="B341" t="str">
            <v>MOS100801|FG003|CK3-33356</v>
          </cell>
          <cell r="K341">
            <v>7</v>
          </cell>
        </row>
        <row r="342">
          <cell r="B342" t="str">
            <v>MOS100801|FG004|CK3-33385</v>
          </cell>
          <cell r="K342">
            <v>7</v>
          </cell>
        </row>
        <row r="343">
          <cell r="B343" t="str">
            <v>MOS100801|FG005|CK3-33402</v>
          </cell>
          <cell r="K343">
            <v>5</v>
          </cell>
        </row>
        <row r="344">
          <cell r="B344" t="str">
            <v>MOS100801|FG006|CK3-33414</v>
          </cell>
          <cell r="K344">
            <v>7</v>
          </cell>
        </row>
        <row r="345">
          <cell r="B345" t="str">
            <v>MOS100801|FG007|CK3-33404</v>
          </cell>
          <cell r="K345">
            <v>5</v>
          </cell>
        </row>
        <row r="346">
          <cell r="B346" t="str">
            <v>MOS100801|FG008|CK3-33365</v>
          </cell>
          <cell r="K346">
            <v>5</v>
          </cell>
        </row>
        <row r="347">
          <cell r="B347" t="str">
            <v>MOS100801|FG009|CK3-33348</v>
          </cell>
          <cell r="K347">
            <v>3</v>
          </cell>
        </row>
        <row r="348">
          <cell r="B348" t="str">
            <v>MOS100801|FG010|CK3-33301</v>
          </cell>
          <cell r="K348">
            <v>3</v>
          </cell>
        </row>
        <row r="349">
          <cell r="B349" t="str">
            <v>MOS100801|FG011|CK3-33347</v>
          </cell>
          <cell r="K349">
            <v>3</v>
          </cell>
        </row>
        <row r="350">
          <cell r="B350" t="str">
            <v>MOS100801|FG012|CK3-33126</v>
          </cell>
          <cell r="K350">
            <v>3</v>
          </cell>
        </row>
        <row r="351">
          <cell r="B351" t="str">
            <v>MOS100801|FG024|CK3-32758</v>
          </cell>
          <cell r="K351">
            <v>2</v>
          </cell>
        </row>
        <row r="352">
          <cell r="B352" t="str">
            <v>MOS100801|KD001|CK6-986</v>
          </cell>
          <cell r="K352">
            <v>50</v>
          </cell>
        </row>
        <row r="353">
          <cell r="B353" t="str">
            <v>MOS100801|KD003|CK4-842</v>
          </cell>
          <cell r="K353">
            <v>90</v>
          </cell>
        </row>
        <row r="354">
          <cell r="B354" t="str">
            <v>MOS100801|PH001|CK6-33411</v>
          </cell>
          <cell r="K354">
            <v>20</v>
          </cell>
        </row>
        <row r="355">
          <cell r="B355" t="str">
            <v>MOS100801|PH002|CK6-33362</v>
          </cell>
          <cell r="K355">
            <v>10</v>
          </cell>
        </row>
        <row r="356">
          <cell r="B356" t="str">
            <v>MOS100801|PH003|CK6-33405</v>
          </cell>
          <cell r="K356">
            <v>10</v>
          </cell>
        </row>
        <row r="357">
          <cell r="B357" t="str">
            <v>MOS100801|PH004|CK5-33334</v>
          </cell>
          <cell r="K357">
            <v>10</v>
          </cell>
        </row>
        <row r="358">
          <cell r="B358" t="str">
            <v>MOS100801|PH007|CK6-33375</v>
          </cell>
          <cell r="K358">
            <v>5</v>
          </cell>
        </row>
        <row r="359">
          <cell r="B359" t="str">
            <v>MOS100801|PH008|CK5-33370</v>
          </cell>
          <cell r="K359">
            <v>5</v>
          </cell>
        </row>
        <row r="360">
          <cell r="B360" t="str">
            <v>MOS100801|PO010|CK5-33360</v>
          </cell>
          <cell r="K360">
            <v>5</v>
          </cell>
        </row>
        <row r="361">
          <cell r="B361" t="str">
            <v>MOS100801|PO013|CK5-33368</v>
          </cell>
          <cell r="K361">
            <v>5</v>
          </cell>
        </row>
        <row r="362">
          <cell r="B362" t="str">
            <v>MOS100801|PO015|CK5-33366</v>
          </cell>
          <cell r="K362">
            <v>5</v>
          </cell>
        </row>
        <row r="363">
          <cell r="B363" t="str">
            <v>MOS100802|FG001|CK3-33410</v>
          </cell>
          <cell r="K363">
            <v>1.6546747661119952</v>
          </cell>
        </row>
        <row r="364">
          <cell r="B364" t="str">
            <v>MOS100802|FG002|CK3-33407</v>
          </cell>
          <cell r="K364">
            <v>-0.62874905232670031</v>
          </cell>
        </row>
        <row r="365">
          <cell r="B365" t="str">
            <v>MOS100802|FG003|CK3-33356</v>
          </cell>
          <cell r="K365">
            <v>0.26136294147338024</v>
          </cell>
        </row>
        <row r="366">
          <cell r="B366" t="str">
            <v>MOS100802|FG004|CK3-33385</v>
          </cell>
          <cell r="K366">
            <v>-0.5202421853070085</v>
          </cell>
        </row>
        <row r="367">
          <cell r="B367" t="str">
            <v>MOS100802|FG005|CK3-33402</v>
          </cell>
          <cell r="K367">
            <v>1.2526006246500465E-2</v>
          </cell>
        </row>
        <row r="368">
          <cell r="B368" t="str">
            <v>MOS100802|FG006|CK3-33414</v>
          </cell>
          <cell r="K368">
            <v>-0.32368994558122921</v>
          </cell>
        </row>
        <row r="369">
          <cell r="B369" t="str">
            <v>MOS100802|FG007|CK3-33404</v>
          </cell>
          <cell r="K369">
            <v>6.4297058832420095E-2</v>
          </cell>
        </row>
        <row r="370">
          <cell r="B370" t="str">
            <v>MOS100802|FG008|CK3-33365</v>
          </cell>
          <cell r="K370">
            <v>7.7674220484090117E-2</v>
          </cell>
        </row>
        <row r="371">
          <cell r="B371" t="str">
            <v>MOS100802|FG009|CK3-33348</v>
          </cell>
          <cell r="K371">
            <v>6.5510554578827929E-2</v>
          </cell>
        </row>
        <row r="372">
          <cell r="B372" t="str">
            <v>MOS100802|FG010|CK3-33301</v>
          </cell>
          <cell r="K372">
            <v>9.5763908530339892E-2</v>
          </cell>
        </row>
        <row r="373">
          <cell r="B373" t="str">
            <v>MOS100802|FG011|CK3-33347</v>
          </cell>
          <cell r="K373">
            <v>3.3375304079718005E-2</v>
          </cell>
        </row>
        <row r="374">
          <cell r="B374" t="str">
            <v>MOS100802|FG012|CK3-33126</v>
          </cell>
          <cell r="K374">
            <v>3.67374600326551E-2</v>
          </cell>
        </row>
        <row r="375">
          <cell r="B375" t="str">
            <v>MOS100802|KD001|CK6-986</v>
          </cell>
          <cell r="K375">
            <v>2</v>
          </cell>
        </row>
        <row r="376">
          <cell r="B376" t="str">
            <v>MOS100802|KD003|CK4-842</v>
          </cell>
          <cell r="K376">
            <v>-3</v>
          </cell>
        </row>
        <row r="377">
          <cell r="B377" t="str">
            <v>MOS100802|PH001|CK6-33411</v>
          </cell>
          <cell r="K377">
            <v>-3</v>
          </cell>
        </row>
        <row r="378">
          <cell r="B378" t="str">
            <v>MOS100802|PH002|CK6-33362</v>
          </cell>
          <cell r="K378">
            <v>0</v>
          </cell>
        </row>
        <row r="379">
          <cell r="B379" t="str">
            <v>MOS100802|PH003|CK6-33405</v>
          </cell>
          <cell r="K379">
            <v>2</v>
          </cell>
        </row>
        <row r="380">
          <cell r="B380" t="str">
            <v>MOS100802|PH004|CK5-33334</v>
          </cell>
          <cell r="K380">
            <v>0</v>
          </cell>
        </row>
        <row r="381">
          <cell r="B381" t="str">
            <v>MOS100802|PH007|CK6-33375</v>
          </cell>
          <cell r="K381">
            <v>0</v>
          </cell>
        </row>
        <row r="382">
          <cell r="B382" t="str">
            <v>MOS100802|PH008|CK5-33370</v>
          </cell>
          <cell r="K382">
            <v>0</v>
          </cell>
        </row>
        <row r="383">
          <cell r="B383" t="str">
            <v>MOS100802|PO010|CK5-33360</v>
          </cell>
          <cell r="K383">
            <v>0</v>
          </cell>
        </row>
        <row r="384">
          <cell r="B384" t="str">
            <v>MOS100802|PO012|CK5-33369</v>
          </cell>
          <cell r="K384">
            <v>0</v>
          </cell>
        </row>
        <row r="385">
          <cell r="B385" t="str">
            <v>MOS100802|PO015|CK5-33366</v>
          </cell>
          <cell r="K385">
            <v>0</v>
          </cell>
        </row>
        <row r="386">
          <cell r="B386" t="str">
            <v>MOS100823|FG001|CK3-33409</v>
          </cell>
          <cell r="K386">
            <v>6.4299090006428941</v>
          </cell>
        </row>
        <row r="387">
          <cell r="B387" t="str">
            <v>MOS100823|FG002|CK3-33407</v>
          </cell>
          <cell r="K387">
            <v>1.358660722555431</v>
          </cell>
        </row>
        <row r="388">
          <cell r="B388" t="str">
            <v>MOS100823|FG003|CK3-33356</v>
          </cell>
          <cell r="K388">
            <v>1.4730125046582394</v>
          </cell>
        </row>
        <row r="389">
          <cell r="B389" t="str">
            <v>MOS100823|FG004|CK3-33385</v>
          </cell>
          <cell r="K389">
            <v>1.2534311924598303</v>
          </cell>
        </row>
        <row r="390">
          <cell r="B390" t="str">
            <v>MOS100823|FG005|CK3-33402</v>
          </cell>
          <cell r="K390">
            <v>0.3921107167399609</v>
          </cell>
        </row>
        <row r="391">
          <cell r="B391" t="str">
            <v>MOS100823|FG006|CK3-33414</v>
          </cell>
          <cell r="K391">
            <v>1.1092311507082506</v>
          </cell>
        </row>
        <row r="392">
          <cell r="B392" t="str">
            <v>MOS100823|FG007|CK3-33404</v>
          </cell>
          <cell r="K392">
            <v>0.41898964544019979</v>
          </cell>
        </row>
        <row r="393">
          <cell r="B393" t="str">
            <v>MOS100823|FG008|CK3-33365</v>
          </cell>
          <cell r="K393">
            <v>0.19262888238287723</v>
          </cell>
        </row>
        <row r="394">
          <cell r="B394" t="str">
            <v>MOS100823|FG024|CK3-32758</v>
          </cell>
          <cell r="K394">
            <v>0.31825785338051715</v>
          </cell>
        </row>
        <row r="395">
          <cell r="B395" t="str">
            <v>MOS100823|KD001|CK6-986</v>
          </cell>
          <cell r="K395">
            <v>2</v>
          </cell>
        </row>
        <row r="396">
          <cell r="B396" t="str">
            <v>MOS100823|KD003|CK4-842</v>
          </cell>
          <cell r="K396">
            <v>21</v>
          </cell>
        </row>
        <row r="397">
          <cell r="B397" t="str">
            <v>MOS100823|KD005|CK7-913</v>
          </cell>
          <cell r="K397">
            <v>1</v>
          </cell>
        </row>
        <row r="398">
          <cell r="B398" t="str">
            <v>MOS100823|KD006|CK7-915</v>
          </cell>
          <cell r="K398">
            <v>1</v>
          </cell>
        </row>
        <row r="399">
          <cell r="B399" t="str">
            <v>MOS100823|PH001|CK6-33411</v>
          </cell>
          <cell r="K399">
            <v>12</v>
          </cell>
        </row>
        <row r="400">
          <cell r="B400" t="str">
            <v>MOS100823|PH002|CK6-33362</v>
          </cell>
          <cell r="K400">
            <v>3</v>
          </cell>
        </row>
        <row r="401">
          <cell r="B401" t="str">
            <v>MOS100823|PH003|CK6-33405</v>
          </cell>
          <cell r="K401">
            <v>6</v>
          </cell>
        </row>
        <row r="402">
          <cell r="B402" t="str">
            <v>MOS100823|PH004|CK5-33334</v>
          </cell>
          <cell r="K402">
            <v>1</v>
          </cell>
        </row>
        <row r="403">
          <cell r="B403" t="str">
            <v>MOS100823|PH007|CK6-33375</v>
          </cell>
          <cell r="K403">
            <v>1</v>
          </cell>
        </row>
        <row r="404">
          <cell r="B404" t="str">
            <v>MOS100823|PH008|CK5-33370</v>
          </cell>
          <cell r="K404">
            <v>0</v>
          </cell>
        </row>
        <row r="405">
          <cell r="B405" t="str">
            <v>MOS100842|FG001|CK3-33409</v>
          </cell>
          <cell r="K405">
            <v>7.6790697581331315</v>
          </cell>
        </row>
        <row r="406">
          <cell r="B406" t="str">
            <v>MOS100842|FG001|CK3-33410</v>
          </cell>
          <cell r="K406">
            <v>0.73140578875404927</v>
          </cell>
        </row>
        <row r="407">
          <cell r="B407" t="str">
            <v>MOS100842|FG002|CK3-33406</v>
          </cell>
          <cell r="K407">
            <v>0.24370074511783102</v>
          </cell>
        </row>
        <row r="408">
          <cell r="B408" t="str">
            <v>MOS100842|FG002|CK3-33407</v>
          </cell>
          <cell r="K408">
            <v>2.6461316408451605</v>
          </cell>
        </row>
        <row r="409">
          <cell r="B409" t="str">
            <v>MOS100842|FG003|CK3-33356</v>
          </cell>
          <cell r="K409">
            <v>1.4938243551809105</v>
          </cell>
        </row>
        <row r="410">
          <cell r="B410" t="str">
            <v>MOS100842|FG003|CK3-33387</v>
          </cell>
          <cell r="K410">
            <v>0.16708048675457499</v>
          </cell>
        </row>
        <row r="411">
          <cell r="B411" t="str">
            <v>MOS100842|FG004|CK3-33385</v>
          </cell>
          <cell r="K411">
            <v>1.8330468657928325</v>
          </cell>
        </row>
        <row r="412">
          <cell r="B412" t="str">
            <v>MOS100842|FG005|CK3-33402</v>
          </cell>
          <cell r="K412">
            <v>0.32371397120891698</v>
          </cell>
        </row>
        <row r="413">
          <cell r="B413" t="str">
            <v>MOS100842|FG006|CK3-33414</v>
          </cell>
          <cell r="K413">
            <v>1.4516773534690213</v>
          </cell>
        </row>
        <row r="414">
          <cell r="B414" t="str">
            <v>MOS100842|FG007|CK3-33404</v>
          </cell>
          <cell r="K414">
            <v>0.78240277222094523</v>
          </cell>
        </row>
        <row r="415">
          <cell r="B415" t="str">
            <v>MOS100842|FG008|CK3-33261</v>
          </cell>
          <cell r="K415">
            <v>0.23015610017441201</v>
          </cell>
        </row>
        <row r="416">
          <cell r="B416" t="str">
            <v>MOS100842|FG008|CK3-33367</v>
          </cell>
          <cell r="K416">
            <v>0.29818450893886084</v>
          </cell>
        </row>
        <row r="417">
          <cell r="B417" t="str">
            <v>MOS100842|FG009|CK3-33348</v>
          </cell>
          <cell r="K417">
            <v>0.64032234513542807</v>
          </cell>
        </row>
        <row r="418">
          <cell r="B418" t="str">
            <v>MOS100842|FG010|CK3-33070</v>
          </cell>
          <cell r="K418">
            <v>0.16195098477514602</v>
          </cell>
        </row>
        <row r="419">
          <cell r="B419" t="str">
            <v>MOS100842|FG010|CK3-33301</v>
          </cell>
          <cell r="K419">
            <v>0.28255133302749114</v>
          </cell>
        </row>
        <row r="420">
          <cell r="B420" t="str">
            <v>MOS100842|FG011|CK3-33347</v>
          </cell>
          <cell r="K420">
            <v>0.32559931937561482</v>
          </cell>
        </row>
        <row r="421">
          <cell r="B421" t="str">
            <v>MOS100842|FG012|CK3-33126</v>
          </cell>
          <cell r="K421">
            <v>0.42624938357706021</v>
          </cell>
        </row>
        <row r="422">
          <cell r="B422" t="str">
            <v>MOS100842|FG024|CK3-32758</v>
          </cell>
          <cell r="K422">
            <v>0.30041942809417788</v>
          </cell>
        </row>
        <row r="423">
          <cell r="B423" t="str">
            <v>MOS100842|KD001|CK6-984</v>
          </cell>
          <cell r="K423">
            <v>7</v>
          </cell>
        </row>
        <row r="424">
          <cell r="B424" t="str">
            <v>MOS100842|KD001|CK6-986</v>
          </cell>
          <cell r="K424">
            <v>9</v>
          </cell>
        </row>
        <row r="425">
          <cell r="B425" t="str">
            <v>MOS100842|KD003|CK4-842</v>
          </cell>
          <cell r="K425">
            <v>21</v>
          </cell>
        </row>
        <row r="426">
          <cell r="B426" t="str">
            <v>MOS100842|KD006|CK7-915</v>
          </cell>
          <cell r="K426">
            <v>2</v>
          </cell>
        </row>
        <row r="427">
          <cell r="B427" t="str">
            <v>MOS100842|PH001|CK6-33411</v>
          </cell>
          <cell r="K427">
            <v>6</v>
          </cell>
        </row>
        <row r="428">
          <cell r="B428" t="str">
            <v>MOS100842|PH002|CK6-33362</v>
          </cell>
          <cell r="K428">
            <v>1</v>
          </cell>
        </row>
        <row r="429">
          <cell r="B429" t="str">
            <v>MOS100842|PH003|CK6-33405</v>
          </cell>
          <cell r="K429">
            <v>4</v>
          </cell>
        </row>
        <row r="430">
          <cell r="B430" t="str">
            <v>MOS100842|PH004|CK5-33334</v>
          </cell>
          <cell r="K430">
            <v>2</v>
          </cell>
        </row>
        <row r="431">
          <cell r="B431" t="str">
            <v>MOS100842|PH007|CK6-33375</v>
          </cell>
          <cell r="K431">
            <v>1</v>
          </cell>
        </row>
        <row r="432">
          <cell r="B432" t="str">
            <v>MOS100842|PH008|CK5-33370</v>
          </cell>
          <cell r="K432">
            <v>1</v>
          </cell>
        </row>
        <row r="433">
          <cell r="B433" t="str">
            <v>MOS100842|PO015|CK5-33366</v>
          </cell>
          <cell r="K433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218A-EB5B-4854-8678-952FBC945069}">
  <dimension ref="A1:Q460"/>
  <sheetViews>
    <sheetView showGridLines="0" tabSelected="1" zoomScaleNormal="100" workbookViewId="0">
      <selection activeCell="D13" sqref="D13"/>
    </sheetView>
  </sheetViews>
  <sheetFormatPr defaultColWidth="8.5703125" defaultRowHeight="14.45"/>
  <cols>
    <col min="1" max="1" width="14.5703125" bestFit="1" customWidth="1"/>
    <col min="2" max="2" width="28" customWidth="1"/>
    <col min="3" max="3" width="12" customWidth="1"/>
    <col min="4" max="4" width="24" customWidth="1"/>
    <col min="5" max="5" width="9" customWidth="1"/>
    <col min="6" max="6" width="13.5703125" bestFit="1" customWidth="1"/>
    <col min="7" max="7" width="32" customWidth="1"/>
    <col min="8" max="9" width="12" customWidth="1"/>
    <col min="10" max="10" width="14" customWidth="1"/>
    <col min="11" max="11" width="10" customWidth="1"/>
    <col min="12" max="12" width="22" customWidth="1"/>
    <col min="13" max="14" width="14" customWidth="1"/>
    <col min="15" max="15" width="25.42578125" bestFit="1" customWidth="1"/>
    <col min="16" max="16" width="10" customWidth="1"/>
    <col min="17" max="17" width="12" customWidth="1"/>
  </cols>
  <sheetData>
    <row r="1" spans="1:17" ht="19.5" customHeight="1">
      <c r="A1" s="1" t="s">
        <v>0</v>
      </c>
    </row>
    <row r="2" spans="1:17" ht="15" customHeight="1">
      <c r="A2" s="2" t="s">
        <v>1</v>
      </c>
    </row>
    <row r="3" spans="1:17" ht="15" customHeight="1">
      <c r="A3" s="3" t="s">
        <v>2</v>
      </c>
    </row>
    <row r="4" spans="1:17" ht="15" customHeight="1">
      <c r="A4" s="4" t="s">
        <v>3</v>
      </c>
    </row>
    <row r="5" spans="1:17" ht="15" customHeight="1">
      <c r="A5" s="2" t="s">
        <v>4</v>
      </c>
    </row>
    <row r="6" spans="1:17" ht="15" customHeight="1">
      <c r="A6" s="2" t="s">
        <v>5</v>
      </c>
    </row>
    <row r="7" spans="1:17" ht="15" customHeight="1">
      <c r="A7" s="2" t="s">
        <v>6</v>
      </c>
    </row>
    <row r="8" spans="1:17" ht="15" customHeight="1">
      <c r="A8" s="2" t="s">
        <v>7</v>
      </c>
    </row>
    <row r="10" spans="1:17" ht="15" customHeight="1">
      <c r="A10" s="5" t="s">
        <v>8</v>
      </c>
      <c r="B10" s="6" t="s">
        <v>9</v>
      </c>
      <c r="D10" s="7" t="s">
        <v>10</v>
      </c>
      <c r="F10" s="8" t="s">
        <v>11</v>
      </c>
      <c r="H10" s="9" t="s">
        <v>12</v>
      </c>
      <c r="J10" s="10" t="s">
        <v>13</v>
      </c>
      <c r="L10" s="11" t="s">
        <v>14</v>
      </c>
      <c r="N10" s="12" t="s">
        <v>15</v>
      </c>
    </row>
    <row r="12" spans="1:17" ht="42" customHeight="1">
      <c r="A12" s="13" t="s">
        <v>16</v>
      </c>
      <c r="B12" s="13" t="s">
        <v>17</v>
      </c>
      <c r="C12" s="13" t="s">
        <v>18</v>
      </c>
      <c r="D12" s="14" t="s">
        <v>19</v>
      </c>
      <c r="E12" s="14" t="s">
        <v>20</v>
      </c>
      <c r="F12" s="13" t="s">
        <v>21</v>
      </c>
      <c r="G12" s="14" t="s">
        <v>22</v>
      </c>
      <c r="H12" s="13" t="s">
        <v>23</v>
      </c>
      <c r="I12" s="15" t="s">
        <v>24</v>
      </c>
      <c r="J12" s="16" t="s">
        <v>25</v>
      </c>
      <c r="K12" s="17" t="s">
        <v>26</v>
      </c>
      <c r="L12" s="18" t="s">
        <v>27</v>
      </c>
      <c r="M12" s="18" t="s">
        <v>28</v>
      </c>
      <c r="N12" s="18" t="s">
        <v>29</v>
      </c>
      <c r="O12" s="19" t="s">
        <v>30</v>
      </c>
      <c r="P12" s="19" t="s">
        <v>31</v>
      </c>
      <c r="Q12" s="19" t="s">
        <v>32</v>
      </c>
    </row>
    <row r="13" spans="1:17" ht="15" customHeight="1">
      <c r="A13" s="20" t="s">
        <v>33</v>
      </c>
      <c r="B13" s="21" t="s">
        <v>34</v>
      </c>
      <c r="C13" s="22" t="s">
        <v>35</v>
      </c>
      <c r="D13" s="23" t="str">
        <f>IFERROR(INDEX([1]M_User!$A$12:$J$67,MATCH(C13,[1]M_User!$D$12:$D$67,0),3),"UNMAPPED")</f>
        <v>Doglas E. Shirima</v>
      </c>
      <c r="E13" s="24" t="str">
        <f>IFERROR(INDEX([1]M_User!$A$12:$J$67,MATCH(C13,[1]M_User!$D$12:$D$67,0),5),"UNMAPPED")</f>
        <v>ARS</v>
      </c>
      <c r="F13" s="22" t="s">
        <v>36</v>
      </c>
      <c r="G13" s="23" t="str">
        <f>IFERROR(INDEX([1]M_SKU!$A$18:$J$57,MATCH(F13,[1]M_SKU!$B$18:$B$57,0),1),"UNKNOWN SKU")</f>
        <v>Coke RGB 350ml</v>
      </c>
      <c r="H13" s="22" t="s">
        <v>37</v>
      </c>
      <c r="I13" s="25">
        <f>IFERROR(INDEX([1]T_Unload!$K$10:$K$433,MATCH(B13,[1]T_Unload!$B$10:$B$433,0)),0)</f>
        <v>2.5674503820861503</v>
      </c>
      <c r="J13" s="26">
        <v>2.5674999999999999</v>
      </c>
      <c r="K13" s="27">
        <f t="shared" ref="K13:K76" si="0">IF(ISBLANK(J13),"",I13-J13)</f>
        <v>-4.9617913849608897E-5</v>
      </c>
      <c r="L13" s="28" t="str">
        <f t="shared" ref="L13:L76" si="1">IF(K13="","Awaiting Verification",IF(ABS(K13)&lt;0.0001,"CLEAN",IF(K13&gt;0,"Post to Default Outlet","Adjust Unload Upward")))</f>
        <v>CLEAN</v>
      </c>
      <c r="M13" s="29">
        <f t="shared" ref="M13:M76" si="2">IF(AND(ISNUMBER(K13),K13&gt;0.0001),K13,0)</f>
        <v>0</v>
      </c>
      <c r="N13" s="29">
        <f t="shared" ref="N13:N76" si="3">IF(AND(ISNUMBER(K13),K13&lt;-0.0001),-K13,0)</f>
        <v>0</v>
      </c>
      <c r="O13" s="30" t="s">
        <v>38</v>
      </c>
      <c r="P13" s="22"/>
      <c r="Q13" s="31"/>
    </row>
    <row r="14" spans="1:17" ht="15" customHeight="1">
      <c r="A14" s="32" t="s">
        <v>39</v>
      </c>
      <c r="B14" s="33" t="s">
        <v>40</v>
      </c>
      <c r="C14" s="34" t="s">
        <v>35</v>
      </c>
      <c r="D14" s="35" t="str">
        <f>IFERROR(INDEX([1]M_User!$A$12:$J$67,MATCH(C14,[1]M_User!$D$12:$D$67,0),3),"UNMAPPED")</f>
        <v>Doglas E. Shirima</v>
      </c>
      <c r="E14" s="36" t="str">
        <f>IFERROR(INDEX([1]M_User!$A$12:$J$67,MATCH(C14,[1]M_User!$D$12:$D$67,0),5),"UNMAPPED")</f>
        <v>ARS</v>
      </c>
      <c r="F14" s="34" t="s">
        <v>41</v>
      </c>
      <c r="G14" s="35" t="str">
        <f>IFERROR(INDEX([1]M_SKU!$A$18:$J$57,MATCH(F14,[1]M_SKU!$B$18:$B$57,0),1),"UNKNOWN SKU")</f>
        <v>Fanta Orange RGB 350ml</v>
      </c>
      <c r="H14" s="34" t="s">
        <v>42</v>
      </c>
      <c r="I14" s="37">
        <f>IFERROR(INDEX([1]T_Unload!$K$10:$K$433,MATCH(B14,[1]T_Unload!$B$10:$B$433,0)),0)</f>
        <v>1.0164625706281605</v>
      </c>
      <c r="J14" s="26">
        <v>1.0165</v>
      </c>
      <c r="K14" s="38">
        <f t="shared" si="0"/>
        <v>-3.7429371839481362E-5</v>
      </c>
      <c r="L14" s="39" t="str">
        <f t="shared" si="1"/>
        <v>CLEAN</v>
      </c>
      <c r="M14" s="40">
        <f t="shared" si="2"/>
        <v>0</v>
      </c>
      <c r="N14" s="40">
        <f t="shared" si="3"/>
        <v>0</v>
      </c>
      <c r="O14" s="41" t="s">
        <v>38</v>
      </c>
      <c r="P14" s="42"/>
      <c r="Q14" s="43"/>
    </row>
    <row r="15" spans="1:17" ht="15" customHeight="1">
      <c r="A15" s="20" t="s">
        <v>43</v>
      </c>
      <c r="B15" s="21" t="s">
        <v>44</v>
      </c>
      <c r="C15" s="22" t="s">
        <v>35</v>
      </c>
      <c r="D15" s="23" t="str">
        <f>IFERROR(INDEX([1]M_User!$A$12:$J$67,MATCH(C15,[1]M_User!$D$12:$D$67,0),3),"UNMAPPED")</f>
        <v>Doglas E. Shirima</v>
      </c>
      <c r="E15" s="24" t="str">
        <f>IFERROR(INDEX([1]M_User!$A$12:$J$67,MATCH(C15,[1]M_User!$D$12:$D$67,0),5),"UNMAPPED")</f>
        <v>ARS</v>
      </c>
      <c r="F15" s="22" t="s">
        <v>45</v>
      </c>
      <c r="G15" s="23" t="str">
        <f>IFERROR(INDEX([1]M_SKU!$A$18:$J$57,MATCH(F15,[1]M_SKU!$B$18:$B$57,0),1),"UNKNOWN SKU")</f>
        <v>Fanta Passion RGB 350ml</v>
      </c>
      <c r="H15" s="22" t="s">
        <v>46</v>
      </c>
      <c r="I15" s="25">
        <f>IFERROR(INDEX([1]T_Unload!$K$10:$K$433,MATCH(B15,[1]T_Unload!$B$10:$B$433,0)),0)</f>
        <v>0.48106918064670201</v>
      </c>
      <c r="J15" s="26">
        <v>0.48110000000000003</v>
      </c>
      <c r="K15" s="27">
        <f t="shared" si="0"/>
        <v>-3.0819353298017216E-5</v>
      </c>
      <c r="L15" s="28" t="str">
        <f t="shared" si="1"/>
        <v>CLEAN</v>
      </c>
      <c r="M15" s="29">
        <f t="shared" si="2"/>
        <v>0</v>
      </c>
      <c r="N15" s="29">
        <f t="shared" si="3"/>
        <v>0</v>
      </c>
      <c r="O15" s="30" t="s">
        <v>38</v>
      </c>
      <c r="P15" s="22"/>
      <c r="Q15" s="31"/>
    </row>
    <row r="16" spans="1:17" ht="15" customHeight="1">
      <c r="A16" s="32" t="s">
        <v>47</v>
      </c>
      <c r="B16" s="33" t="s">
        <v>48</v>
      </c>
      <c r="C16" s="34" t="s">
        <v>35</v>
      </c>
      <c r="D16" s="35" t="str">
        <f>IFERROR(INDEX([1]M_User!$A$12:$J$67,MATCH(C16,[1]M_User!$D$12:$D$67,0),3),"UNMAPPED")</f>
        <v>Doglas E. Shirima</v>
      </c>
      <c r="E16" s="36" t="str">
        <f>IFERROR(INDEX([1]M_User!$A$12:$J$67,MATCH(C16,[1]M_User!$D$12:$D$67,0),5),"UNMAPPED")</f>
        <v>ARS</v>
      </c>
      <c r="F16" s="34" t="s">
        <v>49</v>
      </c>
      <c r="G16" s="35" t="str">
        <f>IFERROR(INDEX([1]M_SKU!$A$18:$J$57,MATCH(F16,[1]M_SKU!$B$18:$B$57,0),1),"UNKNOWN SKU")</f>
        <v>Fanta Pineapple RGB 350ml</v>
      </c>
      <c r="H16" s="34" t="s">
        <v>50</v>
      </c>
      <c r="I16" s="37">
        <f>IFERROR(INDEX([1]T_Unload!$K$10:$K$433,MATCH(B16,[1]T_Unload!$B$10:$B$433,0)),0)</f>
        <v>0.577564349435157</v>
      </c>
      <c r="J16" s="26">
        <v>0.5776</v>
      </c>
      <c r="K16" s="38">
        <f t="shared" si="0"/>
        <v>-3.5650564843003885E-5</v>
      </c>
      <c r="L16" s="39" t="str">
        <f t="shared" si="1"/>
        <v>CLEAN</v>
      </c>
      <c r="M16" s="40">
        <f t="shared" si="2"/>
        <v>0</v>
      </c>
      <c r="N16" s="40">
        <f t="shared" si="3"/>
        <v>0</v>
      </c>
      <c r="O16" s="41" t="s">
        <v>38</v>
      </c>
      <c r="P16" s="42"/>
      <c r="Q16" s="43"/>
    </row>
    <row r="17" spans="1:17" ht="15" customHeight="1">
      <c r="A17" s="20" t="s">
        <v>51</v>
      </c>
      <c r="B17" s="21" t="s">
        <v>52</v>
      </c>
      <c r="C17" s="22" t="s">
        <v>35</v>
      </c>
      <c r="D17" s="23" t="str">
        <f>IFERROR(INDEX([1]M_User!$A$12:$J$67,MATCH(C17,[1]M_User!$D$12:$D$67,0),3),"UNMAPPED")</f>
        <v>Doglas E. Shirima</v>
      </c>
      <c r="E17" s="24" t="str">
        <f>IFERROR(INDEX([1]M_User!$A$12:$J$67,MATCH(C17,[1]M_User!$D$12:$D$67,0),5),"UNMAPPED")</f>
        <v>ARS</v>
      </c>
      <c r="F17" s="22" t="s">
        <v>53</v>
      </c>
      <c r="G17" s="23" t="str">
        <f>IFERROR(INDEX([1]M_SKU!$A$18:$J$57,MATCH(F17,[1]M_SKU!$B$18:$B$57,0),1),"UNKNOWN SKU")</f>
        <v>Sprite 350ml</v>
      </c>
      <c r="H17" s="22" t="s">
        <v>54</v>
      </c>
      <c r="I17" s="25">
        <f>IFERROR(INDEX([1]T_Unload!$K$10:$K$433,MATCH(B17,[1]T_Unload!$B$10:$B$433,0)),0)</f>
        <v>0.45829999999999993</v>
      </c>
      <c r="J17" s="26">
        <v>0.45829999999999999</v>
      </c>
      <c r="K17" s="27">
        <f t="shared" si="0"/>
        <v>-5.5511151231257827E-17</v>
      </c>
      <c r="L17" s="28" t="str">
        <f t="shared" si="1"/>
        <v>CLEAN</v>
      </c>
      <c r="M17" s="29">
        <f t="shared" si="2"/>
        <v>0</v>
      </c>
      <c r="N17" s="29">
        <f t="shared" si="3"/>
        <v>0</v>
      </c>
      <c r="O17" s="30" t="s">
        <v>38</v>
      </c>
      <c r="P17" s="22"/>
      <c r="Q17" s="31"/>
    </row>
    <row r="18" spans="1:17" ht="15" customHeight="1">
      <c r="A18" s="32" t="s">
        <v>55</v>
      </c>
      <c r="B18" s="33" t="s">
        <v>56</v>
      </c>
      <c r="C18" s="34" t="s">
        <v>35</v>
      </c>
      <c r="D18" s="35" t="str">
        <f>IFERROR(INDEX([1]M_User!$A$12:$J$67,MATCH(C18,[1]M_User!$D$12:$D$67,0),3),"UNMAPPED")</f>
        <v>Doglas E. Shirima</v>
      </c>
      <c r="E18" s="36" t="str">
        <f>IFERROR(INDEX([1]M_User!$A$12:$J$67,MATCH(C18,[1]M_User!$D$12:$D$67,0),5),"UNMAPPED")</f>
        <v>ARS</v>
      </c>
      <c r="F18" s="34" t="s">
        <v>57</v>
      </c>
      <c r="G18" s="35" t="str">
        <f>IFERROR(INDEX([1]M_SKU!$A$18:$J$57,MATCH(F18,[1]M_SKU!$B$18:$B$57,0),1),"UNKNOWN SKU")</f>
        <v>Krest Bitter Lemon RGB 300ml</v>
      </c>
      <c r="H18" s="34" t="s">
        <v>58</v>
      </c>
      <c r="I18" s="37">
        <f>IFERROR(INDEX([1]T_Unload!$K$10:$K$433,MATCH(B18,[1]T_Unload!$B$10:$B$433,0)),0)</f>
        <v>0.58792761169210017</v>
      </c>
      <c r="J18" s="26">
        <v>0.58789999999999998</v>
      </c>
      <c r="K18" s="38">
        <f t="shared" si="0"/>
        <v>2.761169210019343E-5</v>
      </c>
      <c r="L18" s="39" t="str">
        <f t="shared" si="1"/>
        <v>CLEAN</v>
      </c>
      <c r="M18" s="40">
        <f t="shared" si="2"/>
        <v>0</v>
      </c>
      <c r="N18" s="40">
        <f t="shared" si="3"/>
        <v>0</v>
      </c>
      <c r="O18" s="41" t="s">
        <v>38</v>
      </c>
      <c r="P18" s="42"/>
      <c r="Q18" s="43"/>
    </row>
    <row r="19" spans="1:17" ht="15" customHeight="1">
      <c r="A19" s="20" t="s">
        <v>59</v>
      </c>
      <c r="B19" s="21" t="s">
        <v>60</v>
      </c>
      <c r="C19" s="22" t="s">
        <v>35</v>
      </c>
      <c r="D19" s="23" t="str">
        <f>IFERROR(INDEX([1]M_User!$A$12:$J$67,MATCH(C19,[1]M_User!$D$12:$D$67,0),3),"UNMAPPED")</f>
        <v>Doglas E. Shirima</v>
      </c>
      <c r="E19" s="24" t="str">
        <f>IFERROR(INDEX([1]M_User!$A$12:$J$67,MATCH(C19,[1]M_User!$D$12:$D$67,0),5),"UNMAPPED")</f>
        <v>ARS</v>
      </c>
      <c r="F19" s="22" t="s">
        <v>61</v>
      </c>
      <c r="G19" s="23" t="str">
        <f>IFERROR(INDEX([1]M_SKU!$A$18:$J$57,MATCH(F19,[1]M_SKU!$B$18:$B$57,0),1),"UNKNOWN SKU")</f>
        <v>Krest Club Soda RGB 300ml</v>
      </c>
      <c r="H19" s="22" t="s">
        <v>62</v>
      </c>
      <c r="I19" s="25">
        <f>IFERROR(INDEX([1]T_Unload!$K$10:$K$433,MATCH(B19,[1]T_Unload!$B$10:$B$433,0)),0)</f>
        <v>0.74296987768941669</v>
      </c>
      <c r="J19" s="26">
        <v>0.74299999999999999</v>
      </c>
      <c r="K19" s="27">
        <f t="shared" si="0"/>
        <v>-3.0122310583302614E-5</v>
      </c>
      <c r="L19" s="28" t="str">
        <f t="shared" si="1"/>
        <v>CLEAN</v>
      </c>
      <c r="M19" s="29">
        <f t="shared" si="2"/>
        <v>0</v>
      </c>
      <c r="N19" s="29">
        <f t="shared" si="3"/>
        <v>0</v>
      </c>
      <c r="O19" s="30" t="s">
        <v>38</v>
      </c>
      <c r="P19" s="22"/>
      <c r="Q19" s="31"/>
    </row>
    <row r="20" spans="1:17" ht="15" customHeight="1">
      <c r="A20" s="32" t="s">
        <v>63</v>
      </c>
      <c r="B20" s="33" t="s">
        <v>64</v>
      </c>
      <c r="C20" s="34" t="s">
        <v>35</v>
      </c>
      <c r="D20" s="35" t="str">
        <f>IFERROR(INDEX([1]M_User!$A$12:$J$67,MATCH(C20,[1]M_User!$D$12:$D$67,0),3),"UNMAPPED")</f>
        <v>Doglas E. Shirima</v>
      </c>
      <c r="E20" s="36" t="str">
        <f>IFERROR(INDEX([1]M_User!$A$12:$J$67,MATCH(C20,[1]M_User!$D$12:$D$67,0),5),"UNMAPPED")</f>
        <v>ARS</v>
      </c>
      <c r="F20" s="34" t="s">
        <v>65</v>
      </c>
      <c r="G20" s="35" t="str">
        <f>IFERROR(INDEX([1]M_SKU!$A$18:$J$57,MATCH(F20,[1]M_SKU!$B$18:$B$57,0),1),"UNKNOWN SKU")</f>
        <v>Krest Tonic Water RGB 300ml</v>
      </c>
      <c r="H20" s="34" t="s">
        <v>66</v>
      </c>
      <c r="I20" s="37">
        <f>IFERROR(INDEX([1]T_Unload!$K$10:$K$433,MATCH(B20,[1]T_Unload!$B$10:$B$433,0)),0)</f>
        <v>0.68668832551726577</v>
      </c>
      <c r="J20" s="26">
        <v>0.68669999999999998</v>
      </c>
      <c r="K20" s="38">
        <f t="shared" si="0"/>
        <v>-1.1674482734203018E-5</v>
      </c>
      <c r="L20" s="39" t="str">
        <f t="shared" si="1"/>
        <v>CLEAN</v>
      </c>
      <c r="M20" s="40">
        <f t="shared" si="2"/>
        <v>0</v>
      </c>
      <c r="N20" s="40">
        <f t="shared" si="3"/>
        <v>0</v>
      </c>
      <c r="O20" s="41" t="s">
        <v>38</v>
      </c>
      <c r="P20" s="42"/>
      <c r="Q20" s="43"/>
    </row>
    <row r="21" spans="1:17" ht="15" customHeight="1">
      <c r="A21" s="20" t="s">
        <v>67</v>
      </c>
      <c r="B21" s="21" t="s">
        <v>68</v>
      </c>
      <c r="C21" s="22" t="s">
        <v>35</v>
      </c>
      <c r="D21" s="23" t="str">
        <f>IFERROR(INDEX([1]M_User!$A$12:$J$67,MATCH(C21,[1]M_User!$D$12:$D$67,0),3),"UNMAPPED")</f>
        <v>Doglas E. Shirima</v>
      </c>
      <c r="E21" s="24" t="str">
        <f>IFERROR(INDEX([1]M_User!$A$12:$J$67,MATCH(C21,[1]M_User!$D$12:$D$67,0),5),"UNMAPPED")</f>
        <v>ARS</v>
      </c>
      <c r="F21" s="22" t="s">
        <v>69</v>
      </c>
      <c r="G21" s="23" t="str">
        <f>IFERROR(INDEX([1]M_SKU!$A$18:$J$57,MATCH(F21,[1]M_SKU!$B$18:$B$57,0),1),"UNKNOWN SKU")</f>
        <v>Krest Ginger Ale RGB 300ml</v>
      </c>
      <c r="H21" s="22" t="s">
        <v>70</v>
      </c>
      <c r="I21" s="25">
        <f>IFERROR(INDEX([1]T_Unload!$K$10:$K$433,MATCH(B21,[1]T_Unload!$B$10:$B$433,0)),0)</f>
        <v>0.25</v>
      </c>
      <c r="J21" s="26">
        <v>0.25</v>
      </c>
      <c r="K21" s="27">
        <f t="shared" si="0"/>
        <v>0</v>
      </c>
      <c r="L21" s="28" t="str">
        <f t="shared" si="1"/>
        <v>CLEAN</v>
      </c>
      <c r="M21" s="29">
        <f t="shared" si="2"/>
        <v>0</v>
      </c>
      <c r="N21" s="29">
        <f t="shared" si="3"/>
        <v>0</v>
      </c>
      <c r="O21" s="30" t="s">
        <v>38</v>
      </c>
      <c r="P21" s="22"/>
      <c r="Q21" s="31"/>
    </row>
    <row r="22" spans="1:17" ht="15" customHeight="1">
      <c r="A22" s="32" t="s">
        <v>71</v>
      </c>
      <c r="B22" s="33" t="s">
        <v>72</v>
      </c>
      <c r="C22" s="34" t="s">
        <v>35</v>
      </c>
      <c r="D22" s="35" t="str">
        <f>IFERROR(INDEX([1]M_User!$A$12:$J$67,MATCH(C22,[1]M_User!$D$12:$D$67,0),3),"UNMAPPED")</f>
        <v>Doglas E. Shirima</v>
      </c>
      <c r="E22" s="36" t="str">
        <f>IFERROR(INDEX([1]M_User!$A$12:$J$67,MATCH(C22,[1]M_User!$D$12:$D$67,0),5),"UNMAPPED")</f>
        <v>ARS</v>
      </c>
      <c r="F22" s="34" t="s">
        <v>73</v>
      </c>
      <c r="G22" s="35" t="str">
        <f>IFERROR(INDEX([1]M_SKU!$A$18:$J$57,MATCH(F22,[1]M_SKU!$B$18:$B$57,0),1),"UNKNOWN SKU")</f>
        <v>KNMW 500ml</v>
      </c>
      <c r="H22" s="34" t="s">
        <v>74</v>
      </c>
      <c r="I22" s="37">
        <f>IFERROR(INDEX([1]T_Unload!$K$10:$K$433,MATCH(B22,[1]T_Unload!$B$10:$B$433,0)),0)</f>
        <v>46</v>
      </c>
      <c r="J22" s="26">
        <v>46</v>
      </c>
      <c r="K22" s="38">
        <f t="shared" si="0"/>
        <v>0</v>
      </c>
      <c r="L22" s="39" t="str">
        <f t="shared" si="1"/>
        <v>CLEAN</v>
      </c>
      <c r="M22" s="40">
        <f t="shared" si="2"/>
        <v>0</v>
      </c>
      <c r="N22" s="40">
        <f t="shared" si="3"/>
        <v>0</v>
      </c>
      <c r="O22" s="41" t="s">
        <v>38</v>
      </c>
      <c r="P22" s="42"/>
      <c r="Q22" s="43"/>
    </row>
    <row r="23" spans="1:17" ht="15" customHeight="1">
      <c r="A23" s="20" t="s">
        <v>75</v>
      </c>
      <c r="B23" s="21" t="s">
        <v>76</v>
      </c>
      <c r="C23" s="22" t="s">
        <v>35</v>
      </c>
      <c r="D23" s="23" t="str">
        <f>IFERROR(INDEX([1]M_User!$A$12:$J$67,MATCH(C23,[1]M_User!$D$12:$D$67,0),3),"UNMAPPED")</f>
        <v>Doglas E. Shirima</v>
      </c>
      <c r="E23" s="24" t="str">
        <f>IFERROR(INDEX([1]M_User!$A$12:$J$67,MATCH(C23,[1]M_User!$D$12:$D$67,0),5),"UNMAPPED")</f>
        <v>ARS</v>
      </c>
      <c r="F23" s="22" t="s">
        <v>73</v>
      </c>
      <c r="G23" s="23" t="str">
        <f>IFERROR(INDEX([1]M_SKU!$A$18:$J$57,MATCH(F23,[1]M_SKU!$B$18:$B$57,0),1),"UNKNOWN SKU")</f>
        <v>KNMW 500ml</v>
      </c>
      <c r="H23" s="22" t="s">
        <v>77</v>
      </c>
      <c r="I23" s="25">
        <f>IFERROR(INDEX([1]T_Unload!$K$10:$K$433,MATCH(B23,[1]T_Unload!$B$10:$B$433,0)),0)</f>
        <v>39</v>
      </c>
      <c r="J23" s="26">
        <v>39</v>
      </c>
      <c r="K23" s="27">
        <f t="shared" si="0"/>
        <v>0</v>
      </c>
      <c r="L23" s="28" t="str">
        <f t="shared" si="1"/>
        <v>CLEAN</v>
      </c>
      <c r="M23" s="29">
        <f t="shared" si="2"/>
        <v>0</v>
      </c>
      <c r="N23" s="29">
        <f t="shared" si="3"/>
        <v>0</v>
      </c>
      <c r="O23" s="30" t="s">
        <v>38</v>
      </c>
      <c r="P23" s="22"/>
      <c r="Q23" s="31"/>
    </row>
    <row r="24" spans="1:17" ht="15" customHeight="1">
      <c r="A24" s="32" t="s">
        <v>78</v>
      </c>
      <c r="B24" s="33" t="s">
        <v>79</v>
      </c>
      <c r="C24" s="34" t="s">
        <v>35</v>
      </c>
      <c r="D24" s="35" t="str">
        <f>IFERROR(INDEX([1]M_User!$A$12:$J$67,MATCH(C24,[1]M_User!$D$12:$D$67,0),3),"UNMAPPED")</f>
        <v>Doglas E. Shirima</v>
      </c>
      <c r="E24" s="36" t="str">
        <f>IFERROR(INDEX([1]M_User!$A$12:$J$67,MATCH(C24,[1]M_User!$D$12:$D$67,0),5),"UNMAPPED")</f>
        <v>ARS</v>
      </c>
      <c r="F24" s="34" t="s">
        <v>73</v>
      </c>
      <c r="G24" s="35" t="str">
        <f>IFERROR(INDEX([1]M_SKU!$A$18:$J$57,MATCH(F24,[1]M_SKU!$B$18:$B$57,0),1),"UNKNOWN SKU")</f>
        <v>KNMW 500ml</v>
      </c>
      <c r="H24" s="34" t="s">
        <v>80</v>
      </c>
      <c r="I24" s="37">
        <f>IFERROR(INDEX([1]T_Unload!$K$10:$K$433,MATCH(B24,[1]T_Unload!$B$10:$B$433,0)),0)</f>
        <v>0</v>
      </c>
      <c r="J24" s="26">
        <v>0</v>
      </c>
      <c r="K24" s="38">
        <f t="shared" si="0"/>
        <v>0</v>
      </c>
      <c r="L24" s="39" t="str">
        <f t="shared" si="1"/>
        <v>CLEAN</v>
      </c>
      <c r="M24" s="40">
        <f t="shared" si="2"/>
        <v>0</v>
      </c>
      <c r="N24" s="40">
        <f t="shared" si="3"/>
        <v>0</v>
      </c>
      <c r="O24" s="41" t="s">
        <v>38</v>
      </c>
      <c r="P24" s="42"/>
      <c r="Q24" s="43"/>
    </row>
    <row r="25" spans="1:17" ht="15" customHeight="1">
      <c r="A25" s="20" t="s">
        <v>81</v>
      </c>
      <c r="B25" s="21" t="s">
        <v>82</v>
      </c>
      <c r="C25" s="22" t="s">
        <v>35</v>
      </c>
      <c r="D25" s="23" t="str">
        <f>IFERROR(INDEX([1]M_User!$A$12:$J$67,MATCH(C25,[1]M_User!$D$12:$D$67,0),3),"UNMAPPED")</f>
        <v>Doglas E. Shirima</v>
      </c>
      <c r="E25" s="24" t="str">
        <f>IFERROR(INDEX([1]M_User!$A$12:$J$67,MATCH(C25,[1]M_User!$D$12:$D$67,0),5),"UNMAPPED")</f>
        <v>ARS</v>
      </c>
      <c r="F25" s="22" t="s">
        <v>83</v>
      </c>
      <c r="G25" s="23" t="str">
        <f>IFERROR(INDEX([1]M_SKU!$A$18:$J$57,MATCH(F25,[1]M_SKU!$B$18:$B$57,0),1),"UNKNOWN SKU")</f>
        <v>KNMW 1500ml</v>
      </c>
      <c r="H25" s="22" t="s">
        <v>84</v>
      </c>
      <c r="I25" s="25">
        <f>IFERROR(INDEX([1]T_Unload!$K$10:$K$433,MATCH(B25,[1]T_Unload!$B$10:$B$433,0)),0)</f>
        <v>10</v>
      </c>
      <c r="J25" s="26">
        <v>10</v>
      </c>
      <c r="K25" s="27">
        <f t="shared" si="0"/>
        <v>0</v>
      </c>
      <c r="L25" s="28" t="str">
        <f t="shared" si="1"/>
        <v>CLEAN</v>
      </c>
      <c r="M25" s="29">
        <f t="shared" si="2"/>
        <v>0</v>
      </c>
      <c r="N25" s="29">
        <f t="shared" si="3"/>
        <v>0</v>
      </c>
      <c r="O25" s="30" t="s">
        <v>38</v>
      </c>
      <c r="P25" s="22"/>
      <c r="Q25" s="31"/>
    </row>
    <row r="26" spans="1:17" ht="15" customHeight="1">
      <c r="A26" s="32" t="s">
        <v>85</v>
      </c>
      <c r="B26" s="33" t="s">
        <v>86</v>
      </c>
      <c r="C26" s="34" t="s">
        <v>35</v>
      </c>
      <c r="D26" s="35" t="str">
        <f>IFERROR(INDEX([1]M_User!$A$12:$J$67,MATCH(C26,[1]M_User!$D$12:$D$67,0),3),"UNMAPPED")</f>
        <v>Doglas E. Shirima</v>
      </c>
      <c r="E26" s="36" t="str">
        <f>IFERROR(INDEX([1]M_User!$A$12:$J$67,MATCH(C26,[1]M_User!$D$12:$D$67,0),5),"UNMAPPED")</f>
        <v>ARS</v>
      </c>
      <c r="F26" s="34" t="s">
        <v>87</v>
      </c>
      <c r="G26" s="35" t="str">
        <f>IFERROR(INDEX([1]M_SKU!$A$18:$J$57,MATCH(F26,[1]M_SKU!$B$18:$B$57,0),1),"UNKNOWN SKU")</f>
        <v>Kilimanjaro Drinking Water 6000 ML</v>
      </c>
      <c r="H26" s="34" t="s">
        <v>88</v>
      </c>
      <c r="I26" s="37">
        <f>IFERROR(INDEX([1]T_Unload!$K$10:$K$433,MATCH(B26,[1]T_Unload!$B$10:$B$433,0)),0)</f>
        <v>10</v>
      </c>
      <c r="J26" s="26">
        <v>10</v>
      </c>
      <c r="K26" s="38">
        <f t="shared" si="0"/>
        <v>0</v>
      </c>
      <c r="L26" s="39" t="str">
        <f t="shared" si="1"/>
        <v>CLEAN</v>
      </c>
      <c r="M26" s="40">
        <f t="shared" si="2"/>
        <v>0</v>
      </c>
      <c r="N26" s="40">
        <f t="shared" si="3"/>
        <v>0</v>
      </c>
      <c r="O26" s="41" t="s">
        <v>38</v>
      </c>
      <c r="P26" s="42"/>
      <c r="Q26" s="43"/>
    </row>
    <row r="27" spans="1:17" ht="15" customHeight="1">
      <c r="A27" s="20" t="s">
        <v>89</v>
      </c>
      <c r="B27" s="21" t="s">
        <v>90</v>
      </c>
      <c r="C27" s="22" t="s">
        <v>35</v>
      </c>
      <c r="D27" s="23" t="str">
        <f>IFERROR(INDEX([1]M_User!$A$12:$J$67,MATCH(C27,[1]M_User!$D$12:$D$67,0),3),"UNMAPPED")</f>
        <v>Doglas E. Shirima</v>
      </c>
      <c r="E27" s="24" t="str">
        <f>IFERROR(INDEX([1]M_User!$A$12:$J$67,MATCH(C27,[1]M_User!$D$12:$D$67,0),5),"UNMAPPED")</f>
        <v>ARS</v>
      </c>
      <c r="F27" s="22" t="s">
        <v>91</v>
      </c>
      <c r="G27" s="23" t="str">
        <f>IFERROR(INDEX([1]M_SKU!$A$18:$J$57,MATCH(F27,[1]M_SKU!$B$18:$B$57,0),1),"UNKNOWN SKU")</f>
        <v>Kilimanjaro Drinking Water 12000 ML</v>
      </c>
      <c r="H27" s="22" t="s">
        <v>92</v>
      </c>
      <c r="I27" s="25">
        <f>IFERROR(INDEX([1]T_Unload!$K$10:$K$433,MATCH(B27,[1]T_Unload!$B$10:$B$433,0)),0)</f>
        <v>1</v>
      </c>
      <c r="J27" s="26">
        <v>1</v>
      </c>
      <c r="K27" s="27">
        <f t="shared" si="0"/>
        <v>0</v>
      </c>
      <c r="L27" s="28" t="str">
        <f t="shared" si="1"/>
        <v>CLEAN</v>
      </c>
      <c r="M27" s="29">
        <f t="shared" si="2"/>
        <v>0</v>
      </c>
      <c r="N27" s="29">
        <f t="shared" si="3"/>
        <v>0</v>
      </c>
      <c r="O27" s="30" t="s">
        <v>38</v>
      </c>
      <c r="P27" s="22"/>
      <c r="Q27" s="31"/>
    </row>
    <row r="28" spans="1:17" ht="15" customHeight="1">
      <c r="A28" s="32" t="s">
        <v>93</v>
      </c>
      <c r="B28" s="33" t="s">
        <v>94</v>
      </c>
      <c r="C28" s="34" t="s">
        <v>35</v>
      </c>
      <c r="D28" s="35" t="str">
        <f>IFERROR(INDEX([1]M_User!$A$12:$J$67,MATCH(C28,[1]M_User!$D$12:$D$67,0),3),"UNMAPPED")</f>
        <v>Doglas E. Shirima</v>
      </c>
      <c r="E28" s="36" t="str">
        <f>IFERROR(INDEX([1]M_User!$A$12:$J$67,MATCH(C28,[1]M_User!$D$12:$D$67,0),5),"UNMAPPED")</f>
        <v>ARS</v>
      </c>
      <c r="F28" s="34" t="s">
        <v>91</v>
      </c>
      <c r="G28" s="35" t="str">
        <f>IFERROR(INDEX([1]M_SKU!$A$18:$J$57,MATCH(F28,[1]M_SKU!$B$18:$B$57,0),1),"UNKNOWN SKU")</f>
        <v>Kilimanjaro Drinking Water 12000 ML</v>
      </c>
      <c r="H28" s="34" t="s">
        <v>95</v>
      </c>
      <c r="I28" s="37">
        <f>IFERROR(INDEX([1]T_Unload!$K$10:$K$433,MATCH(B28,[1]T_Unload!$B$10:$B$433,0)),0)</f>
        <v>6</v>
      </c>
      <c r="J28" s="26">
        <v>6</v>
      </c>
      <c r="K28" s="38">
        <f t="shared" si="0"/>
        <v>0</v>
      </c>
      <c r="L28" s="39" t="str">
        <f t="shared" si="1"/>
        <v>CLEAN</v>
      </c>
      <c r="M28" s="40">
        <f t="shared" si="2"/>
        <v>0</v>
      </c>
      <c r="N28" s="40">
        <f t="shared" si="3"/>
        <v>0</v>
      </c>
      <c r="O28" s="41" t="s">
        <v>38</v>
      </c>
      <c r="P28" s="42"/>
      <c r="Q28" s="43"/>
    </row>
    <row r="29" spans="1:17" ht="15" customHeight="1">
      <c r="A29" s="20" t="s">
        <v>96</v>
      </c>
      <c r="B29" s="21" t="s">
        <v>97</v>
      </c>
      <c r="C29" s="22" t="s">
        <v>35</v>
      </c>
      <c r="D29" s="23" t="str">
        <f>IFERROR(INDEX([1]M_User!$A$12:$J$67,MATCH(C29,[1]M_User!$D$12:$D$67,0),3),"UNMAPPED")</f>
        <v>Doglas E. Shirima</v>
      </c>
      <c r="E29" s="24" t="str">
        <f>IFERROR(INDEX([1]M_User!$A$12:$J$67,MATCH(C29,[1]M_User!$D$12:$D$67,0),5),"UNMAPPED")</f>
        <v>ARS</v>
      </c>
      <c r="F29" s="22" t="s">
        <v>98</v>
      </c>
      <c r="G29" s="23" t="str">
        <f>IFERROR(INDEX([1]M_SKU!$A$18:$J$57,MATCH(F29,[1]M_SKU!$B$18:$B$57,0),1),"UNKNOWN SKU")</f>
        <v>Kilimanjaro Drinking Water 18900 ML</v>
      </c>
      <c r="H29" s="22" t="s">
        <v>99</v>
      </c>
      <c r="I29" s="25">
        <f>IFERROR(INDEX([1]T_Unload!$K$10:$K$433,MATCH(B29,[1]T_Unload!$B$10:$B$433,0)),0)</f>
        <v>1</v>
      </c>
      <c r="J29" s="26">
        <v>1</v>
      </c>
      <c r="K29" s="27">
        <f t="shared" si="0"/>
        <v>0</v>
      </c>
      <c r="L29" s="28" t="str">
        <f t="shared" si="1"/>
        <v>CLEAN</v>
      </c>
      <c r="M29" s="29">
        <f t="shared" si="2"/>
        <v>0</v>
      </c>
      <c r="N29" s="29">
        <f t="shared" si="3"/>
        <v>0</v>
      </c>
      <c r="O29" s="30" t="s">
        <v>38</v>
      </c>
      <c r="P29" s="22"/>
      <c r="Q29" s="31"/>
    </row>
    <row r="30" spans="1:17" ht="15" customHeight="1">
      <c r="A30" s="32" t="s">
        <v>100</v>
      </c>
      <c r="B30" s="33" t="s">
        <v>101</v>
      </c>
      <c r="C30" s="34" t="s">
        <v>35</v>
      </c>
      <c r="D30" s="35" t="str">
        <f>IFERROR(INDEX([1]M_User!$A$12:$J$67,MATCH(C30,[1]M_User!$D$12:$D$67,0),3),"UNMAPPED")</f>
        <v>Doglas E. Shirima</v>
      </c>
      <c r="E30" s="36" t="str">
        <f>IFERROR(INDEX([1]M_User!$A$12:$J$67,MATCH(C30,[1]M_User!$D$12:$D$67,0),5),"UNMAPPED")</f>
        <v>ARS</v>
      </c>
      <c r="F30" s="34" t="s">
        <v>98</v>
      </c>
      <c r="G30" s="35" t="str">
        <f>IFERROR(INDEX([1]M_SKU!$A$18:$J$57,MATCH(F30,[1]M_SKU!$B$18:$B$57,0),1),"UNKNOWN SKU")</f>
        <v>Kilimanjaro Drinking Water 18900 ML</v>
      </c>
      <c r="H30" s="34" t="s">
        <v>102</v>
      </c>
      <c r="I30" s="37">
        <f>IFERROR(INDEX([1]T_Unload!$K$10:$K$433,MATCH(B30,[1]T_Unload!$B$10:$B$433,0)),0)</f>
        <v>11</v>
      </c>
      <c r="J30" s="26">
        <v>11</v>
      </c>
      <c r="K30" s="38">
        <f t="shared" si="0"/>
        <v>0</v>
      </c>
      <c r="L30" s="39" t="str">
        <f t="shared" si="1"/>
        <v>CLEAN</v>
      </c>
      <c r="M30" s="40">
        <f t="shared" si="2"/>
        <v>0</v>
      </c>
      <c r="N30" s="40">
        <f t="shared" si="3"/>
        <v>0</v>
      </c>
      <c r="O30" s="41" t="s">
        <v>38</v>
      </c>
      <c r="P30" s="42"/>
      <c r="Q30" s="43"/>
    </row>
    <row r="31" spans="1:17" ht="15" customHeight="1">
      <c r="A31" s="20" t="s">
        <v>103</v>
      </c>
      <c r="B31" s="21" t="s">
        <v>104</v>
      </c>
      <c r="C31" s="22" t="s">
        <v>35</v>
      </c>
      <c r="D31" s="23" t="str">
        <f>IFERROR(INDEX([1]M_User!$A$12:$J$67,MATCH(C31,[1]M_User!$D$12:$D$67,0),3),"UNMAPPED")</f>
        <v>Doglas E. Shirima</v>
      </c>
      <c r="E31" s="24" t="str">
        <f>IFERROR(INDEX([1]M_User!$A$12:$J$67,MATCH(C31,[1]M_User!$D$12:$D$67,0),5),"UNMAPPED")</f>
        <v>ARS</v>
      </c>
      <c r="F31" s="22" t="s">
        <v>105</v>
      </c>
      <c r="G31" s="23" t="str">
        <f>IFERROR(INDEX([1]M_SKU!$A$18:$J$57,MATCH(F31,[1]M_SKU!$B$18:$B$57,0),1),"UNKNOWN SKU")</f>
        <v>KNMW 1000ml(6 Pack)</v>
      </c>
      <c r="H31" s="22" t="s">
        <v>106</v>
      </c>
      <c r="I31" s="25">
        <f>IFERROR(INDEX([1]T_Unload!$K$10:$K$433,MATCH(B31,[1]T_Unload!$B$10:$B$433,0)),0)</f>
        <v>4</v>
      </c>
      <c r="J31" s="26">
        <v>4</v>
      </c>
      <c r="K31" s="27">
        <f t="shared" si="0"/>
        <v>0</v>
      </c>
      <c r="L31" s="28" t="str">
        <f t="shared" si="1"/>
        <v>CLEAN</v>
      </c>
      <c r="M31" s="29">
        <f t="shared" si="2"/>
        <v>0</v>
      </c>
      <c r="N31" s="29">
        <f t="shared" si="3"/>
        <v>0</v>
      </c>
      <c r="O31" s="30" t="s">
        <v>38</v>
      </c>
      <c r="P31" s="22"/>
      <c r="Q31" s="31"/>
    </row>
    <row r="32" spans="1:17" ht="15" customHeight="1">
      <c r="A32" s="32" t="s">
        <v>107</v>
      </c>
      <c r="B32" s="33" t="s">
        <v>108</v>
      </c>
      <c r="C32" s="34" t="s">
        <v>35</v>
      </c>
      <c r="D32" s="35" t="str">
        <f>IFERROR(INDEX([1]M_User!$A$12:$J$67,MATCH(C32,[1]M_User!$D$12:$D$67,0),3),"UNMAPPED")</f>
        <v>Doglas E. Shirima</v>
      </c>
      <c r="E32" s="36" t="str">
        <f>IFERROR(INDEX([1]M_User!$A$12:$J$67,MATCH(C32,[1]M_User!$D$12:$D$67,0),5),"UNMAPPED")</f>
        <v>ARS</v>
      </c>
      <c r="F32" s="34" t="s">
        <v>109</v>
      </c>
      <c r="G32" s="35" t="str">
        <f>IFERROR(INDEX([1]M_SKU!$A$18:$J$57,MATCH(F32,[1]M_SKU!$B$18:$B$57,0),1),"UNKNOWN SKU")</f>
        <v>Coke Pet 500ML ( x12)</v>
      </c>
      <c r="H32" s="34" t="s">
        <v>110</v>
      </c>
      <c r="I32" s="37">
        <f>IFERROR(INDEX([1]T_Unload!$K$10:$K$433,MATCH(B32,[1]T_Unload!$B$10:$B$433,0)),0)</f>
        <v>7</v>
      </c>
      <c r="J32" s="26">
        <v>7</v>
      </c>
      <c r="K32" s="38">
        <f t="shared" si="0"/>
        <v>0</v>
      </c>
      <c r="L32" s="39" t="str">
        <f t="shared" si="1"/>
        <v>CLEAN</v>
      </c>
      <c r="M32" s="40">
        <f t="shared" si="2"/>
        <v>0</v>
      </c>
      <c r="N32" s="40">
        <f t="shared" si="3"/>
        <v>0</v>
      </c>
      <c r="O32" s="41" t="s">
        <v>38</v>
      </c>
      <c r="P32" s="42"/>
      <c r="Q32" s="43"/>
    </row>
    <row r="33" spans="1:17" ht="15" customHeight="1">
      <c r="A33" s="20" t="s">
        <v>111</v>
      </c>
      <c r="B33" s="21" t="s">
        <v>112</v>
      </c>
      <c r="C33" s="22" t="s">
        <v>35</v>
      </c>
      <c r="D33" s="23" t="str">
        <f>IFERROR(INDEX([1]M_User!$A$12:$J$67,MATCH(C33,[1]M_User!$D$12:$D$67,0),3),"UNMAPPED")</f>
        <v>Doglas E. Shirima</v>
      </c>
      <c r="E33" s="24" t="str">
        <f>IFERROR(INDEX([1]M_User!$A$12:$J$67,MATCH(C33,[1]M_User!$D$12:$D$67,0),5),"UNMAPPED")</f>
        <v>ARS</v>
      </c>
      <c r="F33" s="22" t="s">
        <v>113</v>
      </c>
      <c r="G33" s="23" t="str">
        <f>IFERROR(INDEX([1]M_SKU!$A$18:$J$57,MATCH(F33,[1]M_SKU!$B$18:$B$57,0),1),"UNKNOWN SKU")</f>
        <v>Sprite Pet 500ML (x 12)</v>
      </c>
      <c r="H33" s="22" t="s">
        <v>114</v>
      </c>
      <c r="I33" s="25">
        <f>IFERROR(INDEX([1]T_Unload!$K$10:$K$433,MATCH(B33,[1]T_Unload!$B$10:$B$433,0)),0)</f>
        <v>3</v>
      </c>
      <c r="J33" s="26">
        <v>3</v>
      </c>
      <c r="K33" s="27">
        <f t="shared" si="0"/>
        <v>0</v>
      </c>
      <c r="L33" s="28" t="str">
        <f t="shared" si="1"/>
        <v>CLEAN</v>
      </c>
      <c r="M33" s="29">
        <f t="shared" si="2"/>
        <v>0</v>
      </c>
      <c r="N33" s="29">
        <f t="shared" si="3"/>
        <v>0</v>
      </c>
      <c r="O33" s="30" t="s">
        <v>38</v>
      </c>
      <c r="P33" s="22"/>
      <c r="Q33" s="31"/>
    </row>
    <row r="34" spans="1:17" ht="15" customHeight="1">
      <c r="A34" s="32" t="s">
        <v>115</v>
      </c>
      <c r="B34" s="33" t="s">
        <v>116</v>
      </c>
      <c r="C34" s="34" t="s">
        <v>35</v>
      </c>
      <c r="D34" s="35" t="str">
        <f>IFERROR(INDEX([1]M_User!$A$12:$J$67,MATCH(C34,[1]M_User!$D$12:$D$67,0),3),"UNMAPPED")</f>
        <v>Doglas E. Shirima</v>
      </c>
      <c r="E34" s="36" t="str">
        <f>IFERROR(INDEX([1]M_User!$A$12:$J$67,MATCH(C34,[1]M_User!$D$12:$D$67,0),5),"UNMAPPED")</f>
        <v>ARS</v>
      </c>
      <c r="F34" s="34" t="s">
        <v>117</v>
      </c>
      <c r="G34" s="35" t="str">
        <f>IFERROR(INDEX([1]M_SKU!$A$18:$J$57,MATCH(F34,[1]M_SKU!$B$18:$B$57,0),1),"UNKNOWN SKU")</f>
        <v>Fanta Orange Pet 500ML ( x 12)</v>
      </c>
      <c r="H34" s="34" t="s">
        <v>118</v>
      </c>
      <c r="I34" s="37">
        <f>IFERROR(INDEX([1]T_Unload!$K$10:$K$433,MATCH(B34,[1]T_Unload!$B$10:$B$433,0)),0)</f>
        <v>1</v>
      </c>
      <c r="J34" s="26">
        <v>1</v>
      </c>
      <c r="K34" s="38">
        <f t="shared" si="0"/>
        <v>0</v>
      </c>
      <c r="L34" s="39" t="str">
        <f t="shared" si="1"/>
        <v>CLEAN</v>
      </c>
      <c r="M34" s="40">
        <f t="shared" si="2"/>
        <v>0</v>
      </c>
      <c r="N34" s="40">
        <f t="shared" si="3"/>
        <v>0</v>
      </c>
      <c r="O34" s="41" t="s">
        <v>38</v>
      </c>
      <c r="P34" s="42"/>
      <c r="Q34" s="43"/>
    </row>
    <row r="35" spans="1:17" ht="15" customHeight="1">
      <c r="A35" s="20" t="s">
        <v>119</v>
      </c>
      <c r="B35" s="21" t="s">
        <v>120</v>
      </c>
      <c r="C35" s="22" t="s">
        <v>35</v>
      </c>
      <c r="D35" s="23" t="str">
        <f>IFERROR(INDEX([1]M_User!$A$12:$J$67,MATCH(C35,[1]M_User!$D$12:$D$67,0),3),"UNMAPPED")</f>
        <v>Doglas E. Shirima</v>
      </c>
      <c r="E35" s="24" t="str">
        <f>IFERROR(INDEX([1]M_User!$A$12:$J$67,MATCH(C35,[1]M_User!$D$12:$D$67,0),5),"UNMAPPED")</f>
        <v>ARS</v>
      </c>
      <c r="F35" s="22" t="s">
        <v>121</v>
      </c>
      <c r="G35" s="23" t="str">
        <f>IFERROR(INDEX([1]M_SKU!$A$18:$J$57,MATCH(F35,[1]M_SKU!$B$18:$B$57,0),1),"UNKNOWN SKU")</f>
        <v>Fanta Passion Pet 500ML ( x12)</v>
      </c>
      <c r="H35" s="22" t="s">
        <v>122</v>
      </c>
      <c r="I35" s="25">
        <f>IFERROR(INDEX([1]T_Unload!$K$10:$K$433,MATCH(B35,[1]T_Unload!$B$10:$B$433,0)),0)</f>
        <v>0</v>
      </c>
      <c r="J35" s="26">
        <v>0</v>
      </c>
      <c r="K35" s="27">
        <f t="shared" si="0"/>
        <v>0</v>
      </c>
      <c r="L35" s="28" t="str">
        <f t="shared" si="1"/>
        <v>CLEAN</v>
      </c>
      <c r="M35" s="29">
        <f t="shared" si="2"/>
        <v>0</v>
      </c>
      <c r="N35" s="29">
        <f t="shared" si="3"/>
        <v>0</v>
      </c>
      <c r="O35" s="30" t="s">
        <v>38</v>
      </c>
      <c r="P35" s="22"/>
      <c r="Q35" s="31"/>
    </row>
    <row r="36" spans="1:17" ht="15" customHeight="1">
      <c r="A36" s="32" t="s">
        <v>123</v>
      </c>
      <c r="B36" s="33" t="s">
        <v>124</v>
      </c>
      <c r="C36" s="34" t="s">
        <v>35</v>
      </c>
      <c r="D36" s="35" t="str">
        <f>IFERROR(INDEX([1]M_User!$A$12:$J$67,MATCH(C36,[1]M_User!$D$12:$D$67,0),3),"UNMAPPED")</f>
        <v>Doglas E. Shirima</v>
      </c>
      <c r="E36" s="36" t="str">
        <f>IFERROR(INDEX([1]M_User!$A$12:$J$67,MATCH(C36,[1]M_User!$D$12:$D$67,0),5),"UNMAPPED")</f>
        <v>ARS</v>
      </c>
      <c r="F36" s="34" t="s">
        <v>125</v>
      </c>
      <c r="G36" s="35" t="str">
        <f>IFERROR(INDEX([1]M_SKU!$A$18:$J$57,MATCH(F36,[1]M_SKU!$B$18:$B$57,0),1),"UNKNOWN SKU")</f>
        <v>Fanta Pineapple Pet 500ml ( x12)</v>
      </c>
      <c r="H36" s="34" t="s">
        <v>126</v>
      </c>
      <c r="I36" s="37">
        <f>IFERROR(INDEX([1]T_Unload!$K$10:$K$433,MATCH(B36,[1]T_Unload!$B$10:$B$433,0)),0)</f>
        <v>1</v>
      </c>
      <c r="J36" s="26">
        <v>1</v>
      </c>
      <c r="K36" s="38">
        <f t="shared" si="0"/>
        <v>0</v>
      </c>
      <c r="L36" s="39" t="str">
        <f t="shared" si="1"/>
        <v>CLEAN</v>
      </c>
      <c r="M36" s="40">
        <f t="shared" si="2"/>
        <v>0</v>
      </c>
      <c r="N36" s="40">
        <f t="shared" si="3"/>
        <v>0</v>
      </c>
      <c r="O36" s="41" t="s">
        <v>38</v>
      </c>
      <c r="P36" s="42"/>
      <c r="Q36" s="43"/>
    </row>
    <row r="37" spans="1:17" ht="15" customHeight="1">
      <c r="A37" s="20" t="s">
        <v>127</v>
      </c>
      <c r="B37" s="21" t="s">
        <v>128</v>
      </c>
      <c r="C37" s="22" t="s">
        <v>35</v>
      </c>
      <c r="D37" s="23" t="str">
        <f>IFERROR(INDEX([1]M_User!$A$12:$J$67,MATCH(C37,[1]M_User!$D$12:$D$67,0),3),"UNMAPPED")</f>
        <v>Doglas E. Shirima</v>
      </c>
      <c r="E37" s="24" t="str">
        <f>IFERROR(INDEX([1]M_User!$A$12:$J$67,MATCH(C37,[1]M_User!$D$12:$D$67,0),5),"UNMAPPED")</f>
        <v>ARS</v>
      </c>
      <c r="F37" s="22" t="s">
        <v>129</v>
      </c>
      <c r="G37" s="23" t="str">
        <f>IFERROR(INDEX([1]M_SKU!$A$18:$J$57,MATCH(F37,[1]M_SKU!$B$18:$B$57,0),1),"UNKNOWN SKU")</f>
        <v>Fanta Fruit Blast Pet 500ML (x12)</v>
      </c>
      <c r="H37" s="22" t="s">
        <v>130</v>
      </c>
      <c r="I37" s="25">
        <f>IFERROR(INDEX([1]T_Unload!$K$10:$K$433,MATCH(B37,[1]T_Unload!$B$10:$B$433,0)),0)</f>
        <v>0</v>
      </c>
      <c r="J37" s="26">
        <v>0</v>
      </c>
      <c r="K37" s="27">
        <f t="shared" si="0"/>
        <v>0</v>
      </c>
      <c r="L37" s="28" t="str">
        <f t="shared" si="1"/>
        <v>CLEAN</v>
      </c>
      <c r="M37" s="29">
        <f t="shared" si="2"/>
        <v>0</v>
      </c>
      <c r="N37" s="29">
        <f t="shared" si="3"/>
        <v>0</v>
      </c>
      <c r="O37" s="30" t="s">
        <v>38</v>
      </c>
      <c r="P37" s="22"/>
      <c r="Q37" s="31"/>
    </row>
    <row r="38" spans="1:17" ht="15" customHeight="1">
      <c r="A38" s="32" t="s">
        <v>131</v>
      </c>
      <c r="B38" s="33" t="s">
        <v>132</v>
      </c>
      <c r="C38" s="34" t="s">
        <v>35</v>
      </c>
      <c r="D38" s="35" t="str">
        <f>IFERROR(INDEX([1]M_User!$A$12:$J$67,MATCH(C38,[1]M_User!$D$12:$D$67,0),3),"UNMAPPED")</f>
        <v>Doglas E. Shirima</v>
      </c>
      <c r="E38" s="36" t="str">
        <f>IFERROR(INDEX([1]M_User!$A$12:$J$67,MATCH(C38,[1]M_User!$D$12:$D$67,0),5),"UNMAPPED")</f>
        <v>ARS</v>
      </c>
      <c r="F38" s="34" t="s">
        <v>133</v>
      </c>
      <c r="G38" s="35" t="str">
        <f>IFERROR(INDEX([1]M_SKU!$A$18:$J$57,MATCH(F38,[1]M_SKU!$B$18:$B$57,0),1),"UNKNOWN SKU")</f>
        <v>Stoney Tangawizi Pet 500 ml ( x12)</v>
      </c>
      <c r="H38" s="34" t="s">
        <v>134</v>
      </c>
      <c r="I38" s="37">
        <f>IFERROR(INDEX([1]T_Unload!$K$10:$K$433,MATCH(B38,[1]T_Unload!$B$10:$B$433,0)),0)</f>
        <v>2</v>
      </c>
      <c r="J38" s="26">
        <v>2</v>
      </c>
      <c r="K38" s="38">
        <f t="shared" si="0"/>
        <v>0</v>
      </c>
      <c r="L38" s="39" t="str">
        <f t="shared" si="1"/>
        <v>CLEAN</v>
      </c>
      <c r="M38" s="40">
        <f t="shared" si="2"/>
        <v>0</v>
      </c>
      <c r="N38" s="40">
        <f t="shared" si="3"/>
        <v>0</v>
      </c>
      <c r="O38" s="41" t="s">
        <v>38</v>
      </c>
      <c r="P38" s="42"/>
      <c r="Q38" s="43"/>
    </row>
    <row r="39" spans="1:17" ht="15" customHeight="1">
      <c r="A39" s="20" t="s">
        <v>135</v>
      </c>
      <c r="B39" s="21" t="s">
        <v>136</v>
      </c>
      <c r="C39" s="22" t="s">
        <v>35</v>
      </c>
      <c r="D39" s="23" t="str">
        <f>IFERROR(INDEX([1]M_User!$A$12:$J$67,MATCH(C39,[1]M_User!$D$12:$D$67,0),3),"UNMAPPED")</f>
        <v>Doglas E. Shirima</v>
      </c>
      <c r="E39" s="24" t="str">
        <f>IFERROR(INDEX([1]M_User!$A$12:$J$67,MATCH(C39,[1]M_User!$D$12:$D$67,0),5),"UNMAPPED")</f>
        <v>ARS</v>
      </c>
      <c r="F39" s="22" t="s">
        <v>137</v>
      </c>
      <c r="G39" s="23" t="str">
        <f>IFERROR(INDEX([1]M_SKU!$A$18:$J$57,MATCH(F39,[1]M_SKU!$B$18:$B$57,0),1),"UNKNOWN SKU")</f>
        <v>Sparletta Pinenut Pet 500 ml ( x12)</v>
      </c>
      <c r="H39" s="22" t="s">
        <v>138</v>
      </c>
      <c r="I39" s="25">
        <f>IFERROR(INDEX([1]T_Unload!$K$10:$K$433,MATCH(B39,[1]T_Unload!$B$10:$B$433,0)),0)</f>
        <v>1</v>
      </c>
      <c r="J39" s="26">
        <v>1</v>
      </c>
      <c r="K39" s="27">
        <f t="shared" si="0"/>
        <v>0</v>
      </c>
      <c r="L39" s="28" t="str">
        <f t="shared" si="1"/>
        <v>CLEAN</v>
      </c>
      <c r="M39" s="29">
        <f t="shared" si="2"/>
        <v>0</v>
      </c>
      <c r="N39" s="29">
        <f t="shared" si="3"/>
        <v>0</v>
      </c>
      <c r="O39" s="30" t="s">
        <v>38</v>
      </c>
      <c r="P39" s="22"/>
      <c r="Q39" s="31"/>
    </row>
    <row r="40" spans="1:17" ht="15" customHeight="1">
      <c r="A40" s="32" t="s">
        <v>139</v>
      </c>
      <c r="B40" s="33" t="s">
        <v>140</v>
      </c>
      <c r="C40" s="34" t="s">
        <v>35</v>
      </c>
      <c r="D40" s="35" t="str">
        <f>IFERROR(INDEX([1]M_User!$A$12:$J$67,MATCH(C40,[1]M_User!$D$12:$D$67,0),3),"UNMAPPED")</f>
        <v>Doglas E. Shirima</v>
      </c>
      <c r="E40" s="36" t="str">
        <f>IFERROR(INDEX([1]M_User!$A$12:$J$67,MATCH(C40,[1]M_User!$D$12:$D$67,0),5),"UNMAPPED")</f>
        <v>ARS</v>
      </c>
      <c r="F40" s="34" t="s">
        <v>141</v>
      </c>
      <c r="G40" s="35" t="str">
        <f>IFERROR(INDEX([1]M_SKU!$A$18:$J$57,MATCH(F40,[1]M_SKU!$B$18:$B$57,0),1),"UNKNOWN SKU")</f>
        <v>Coke Pet 300ML(x 12)</v>
      </c>
      <c r="H40" s="34" t="s">
        <v>142</v>
      </c>
      <c r="I40" s="37">
        <f>IFERROR(INDEX([1]T_Unload!$K$10:$K$433,MATCH(B40,[1]T_Unload!$B$10:$B$433,0)),0)</f>
        <v>0</v>
      </c>
      <c r="J40" s="26">
        <v>0</v>
      </c>
      <c r="K40" s="38">
        <f t="shared" si="0"/>
        <v>0</v>
      </c>
      <c r="L40" s="39" t="str">
        <f t="shared" si="1"/>
        <v>CLEAN</v>
      </c>
      <c r="M40" s="40">
        <f t="shared" si="2"/>
        <v>0</v>
      </c>
      <c r="N40" s="40">
        <f t="shared" si="3"/>
        <v>0</v>
      </c>
      <c r="O40" s="41" t="s">
        <v>38</v>
      </c>
      <c r="P40" s="42"/>
      <c r="Q40" s="43"/>
    </row>
    <row r="41" spans="1:17" ht="15" customHeight="1">
      <c r="A41" s="20" t="s">
        <v>143</v>
      </c>
      <c r="B41" s="21" t="s">
        <v>144</v>
      </c>
      <c r="C41" s="22" t="s">
        <v>35</v>
      </c>
      <c r="D41" s="23" t="str">
        <f>IFERROR(INDEX([1]M_User!$A$12:$J$67,MATCH(C41,[1]M_User!$D$12:$D$67,0),3),"UNMAPPED")</f>
        <v>Doglas E. Shirima</v>
      </c>
      <c r="E41" s="24" t="str">
        <f>IFERROR(INDEX([1]M_User!$A$12:$J$67,MATCH(C41,[1]M_User!$D$12:$D$67,0),5),"UNMAPPED")</f>
        <v>ARS</v>
      </c>
      <c r="F41" s="22" t="s">
        <v>141</v>
      </c>
      <c r="G41" s="23" t="str">
        <f>IFERROR(INDEX([1]M_SKU!$A$18:$J$57,MATCH(F41,[1]M_SKU!$B$18:$B$57,0),1),"UNKNOWN SKU")</f>
        <v>Coke Pet 300ML(x 12)</v>
      </c>
      <c r="H41" s="22" t="s">
        <v>145</v>
      </c>
      <c r="I41" s="25">
        <f>IFERROR(INDEX([1]T_Unload!$K$10:$K$433,MATCH(B41,[1]T_Unload!$B$10:$B$433,0)),0)</f>
        <v>2</v>
      </c>
      <c r="J41" s="26">
        <v>2</v>
      </c>
      <c r="K41" s="27">
        <f t="shared" si="0"/>
        <v>0</v>
      </c>
      <c r="L41" s="28" t="str">
        <f t="shared" si="1"/>
        <v>CLEAN</v>
      </c>
      <c r="M41" s="29">
        <f t="shared" si="2"/>
        <v>0</v>
      </c>
      <c r="N41" s="29">
        <f t="shared" si="3"/>
        <v>0</v>
      </c>
      <c r="O41" s="30" t="s">
        <v>38</v>
      </c>
      <c r="P41" s="22"/>
      <c r="Q41" s="31"/>
    </row>
    <row r="42" spans="1:17" ht="15" customHeight="1">
      <c r="A42" s="32" t="s">
        <v>146</v>
      </c>
      <c r="B42" s="33" t="s">
        <v>147</v>
      </c>
      <c r="C42" s="34" t="s">
        <v>35</v>
      </c>
      <c r="D42" s="35" t="str">
        <f>IFERROR(INDEX([1]M_User!$A$12:$J$67,MATCH(C42,[1]M_User!$D$12:$D$67,0),3),"UNMAPPED")</f>
        <v>Doglas E. Shirima</v>
      </c>
      <c r="E42" s="36" t="str">
        <f>IFERROR(INDEX([1]M_User!$A$12:$J$67,MATCH(C42,[1]M_User!$D$12:$D$67,0),5),"UNMAPPED")</f>
        <v>ARS</v>
      </c>
      <c r="F42" s="34" t="s">
        <v>148</v>
      </c>
      <c r="G42" s="35" t="str">
        <f>IFERROR(INDEX([1]M_SKU!$A$18:$J$57,MATCH(F42,[1]M_SKU!$B$18:$B$57,0),1),"UNKNOWN SKU")</f>
        <v>Fanta Zero Pet 300ML (x 12)</v>
      </c>
      <c r="H42" s="34" t="s">
        <v>149</v>
      </c>
      <c r="I42" s="37">
        <f>IFERROR(INDEX([1]T_Unload!$K$10:$K$433,MATCH(B42,[1]T_Unload!$B$10:$B$433,0)),0)</f>
        <v>0</v>
      </c>
      <c r="J42" s="26">
        <v>0</v>
      </c>
      <c r="K42" s="38">
        <f t="shared" si="0"/>
        <v>0</v>
      </c>
      <c r="L42" s="39" t="str">
        <f t="shared" si="1"/>
        <v>CLEAN</v>
      </c>
      <c r="M42" s="40">
        <f t="shared" si="2"/>
        <v>0</v>
      </c>
      <c r="N42" s="40">
        <f t="shared" si="3"/>
        <v>0</v>
      </c>
      <c r="O42" s="41" t="s">
        <v>38</v>
      </c>
      <c r="P42" s="42"/>
      <c r="Q42" s="43"/>
    </row>
    <row r="43" spans="1:17" ht="15" customHeight="1">
      <c r="A43" s="20" t="s">
        <v>150</v>
      </c>
      <c r="B43" s="21" t="s">
        <v>151</v>
      </c>
      <c r="C43" s="22" t="s">
        <v>35</v>
      </c>
      <c r="D43" s="23" t="str">
        <f>IFERROR(INDEX([1]M_User!$A$12:$J$67,MATCH(C43,[1]M_User!$D$12:$D$67,0),3),"UNMAPPED")</f>
        <v>Doglas E. Shirima</v>
      </c>
      <c r="E43" s="24" t="str">
        <f>IFERROR(INDEX([1]M_User!$A$12:$J$67,MATCH(C43,[1]M_User!$D$12:$D$67,0),5),"UNMAPPED")</f>
        <v>ARS</v>
      </c>
      <c r="F43" s="22" t="s">
        <v>152</v>
      </c>
      <c r="G43" s="23" t="str">
        <f>IFERROR(INDEX([1]M_SKU!$A$18:$J$57,MATCH(F43,[1]M_SKU!$B$18:$B$57,0),1),"UNKNOWN SKU")</f>
        <v>Sparletta Red Apple Pet 300ML(x 12)</v>
      </c>
      <c r="H43" s="22" t="s">
        <v>153</v>
      </c>
      <c r="I43" s="25">
        <f>IFERROR(INDEX([1]T_Unload!$K$10:$K$433,MATCH(B43,[1]T_Unload!$B$10:$B$433,0)),0)</f>
        <v>0</v>
      </c>
      <c r="J43" s="26">
        <v>0</v>
      </c>
      <c r="K43" s="27">
        <f t="shared" si="0"/>
        <v>0</v>
      </c>
      <c r="L43" s="28" t="str">
        <f t="shared" si="1"/>
        <v>CLEAN</v>
      </c>
      <c r="M43" s="29">
        <f t="shared" si="2"/>
        <v>0</v>
      </c>
      <c r="N43" s="29">
        <f t="shared" si="3"/>
        <v>0</v>
      </c>
      <c r="O43" s="30" t="s">
        <v>38</v>
      </c>
      <c r="P43" s="22"/>
      <c r="Q43" s="31"/>
    </row>
    <row r="44" spans="1:17" ht="15" customHeight="1">
      <c r="A44" s="32" t="s">
        <v>154</v>
      </c>
      <c r="B44" s="33" t="s">
        <v>155</v>
      </c>
      <c r="C44" s="34" t="s">
        <v>35</v>
      </c>
      <c r="D44" s="35" t="str">
        <f>IFERROR(INDEX([1]M_User!$A$12:$J$67,MATCH(C44,[1]M_User!$D$12:$D$67,0),3),"UNMAPPED")</f>
        <v>Doglas E. Shirima</v>
      </c>
      <c r="E44" s="36" t="str">
        <f>IFERROR(INDEX([1]M_User!$A$12:$J$67,MATCH(C44,[1]M_User!$D$12:$D$67,0),5),"UNMAPPED")</f>
        <v>ARS</v>
      </c>
      <c r="F44" s="34" t="s">
        <v>156</v>
      </c>
      <c r="G44" s="35" t="str">
        <f>IFERROR(INDEX([1]M_SKU!$A$18:$J$57,MATCH(F44,[1]M_SKU!$B$18:$B$57,0),1),"UNKNOWN SKU")</f>
        <v>Novida Pineapple 300ML (x 12)</v>
      </c>
      <c r="H44" s="34" t="s">
        <v>157</v>
      </c>
      <c r="I44" s="37">
        <f>IFERROR(INDEX([1]T_Unload!$K$10:$K$433,MATCH(B44,[1]T_Unload!$B$10:$B$433,0)),0)</f>
        <v>0</v>
      </c>
      <c r="J44" s="26">
        <v>0</v>
      </c>
      <c r="K44" s="38">
        <f t="shared" si="0"/>
        <v>0</v>
      </c>
      <c r="L44" s="39" t="str">
        <f t="shared" si="1"/>
        <v>CLEAN</v>
      </c>
      <c r="M44" s="40">
        <f t="shared" si="2"/>
        <v>0</v>
      </c>
      <c r="N44" s="40">
        <f t="shared" si="3"/>
        <v>0</v>
      </c>
      <c r="O44" s="41" t="s">
        <v>38</v>
      </c>
      <c r="P44" s="42"/>
      <c r="Q44" s="43"/>
    </row>
    <row r="45" spans="1:17" ht="15" customHeight="1">
      <c r="A45" s="20" t="s">
        <v>158</v>
      </c>
      <c r="B45" s="21" t="s">
        <v>159</v>
      </c>
      <c r="C45" s="22" t="s">
        <v>35</v>
      </c>
      <c r="D45" s="23" t="str">
        <f>IFERROR(INDEX([1]M_User!$A$12:$J$67,MATCH(C45,[1]M_User!$D$12:$D$67,0),3),"UNMAPPED")</f>
        <v>Doglas E. Shirima</v>
      </c>
      <c r="E45" s="24" t="str">
        <f>IFERROR(INDEX([1]M_User!$A$12:$J$67,MATCH(C45,[1]M_User!$D$12:$D$67,0),5),"UNMAPPED")</f>
        <v>ARS</v>
      </c>
      <c r="F45" s="22" t="s">
        <v>160</v>
      </c>
      <c r="G45" s="23" t="str">
        <f>IFERROR(INDEX([1]M_SKU!$A$18:$J$57,MATCH(F45,[1]M_SKU!$B$18:$B$57,0),1),"UNKNOWN SKU")</f>
        <v>Sparletta Pine Apple Pet 300ML (x 12)</v>
      </c>
      <c r="H45" s="22" t="s">
        <v>161</v>
      </c>
      <c r="I45" s="25">
        <f>IFERROR(INDEX([1]T_Unload!$K$10:$K$433,MATCH(B45,[1]T_Unload!$B$10:$B$433,0)),0)</f>
        <v>1</v>
      </c>
      <c r="J45" s="26">
        <v>1</v>
      </c>
      <c r="K45" s="27">
        <f t="shared" si="0"/>
        <v>0</v>
      </c>
      <c r="L45" s="28" t="str">
        <f t="shared" si="1"/>
        <v>CLEAN</v>
      </c>
      <c r="M45" s="29">
        <f t="shared" si="2"/>
        <v>0</v>
      </c>
      <c r="N45" s="29">
        <f t="shared" si="3"/>
        <v>0</v>
      </c>
      <c r="O45" s="30" t="s">
        <v>38</v>
      </c>
      <c r="P45" s="22"/>
      <c r="Q45" s="31"/>
    </row>
    <row r="46" spans="1:17" ht="15" customHeight="1">
      <c r="A46" s="32" t="s">
        <v>162</v>
      </c>
      <c r="B46" s="33" t="s">
        <v>163</v>
      </c>
      <c r="C46" s="34" t="s">
        <v>164</v>
      </c>
      <c r="D46" s="35" t="str">
        <f>IFERROR(INDEX([1]M_User!$A$12:$J$67,MATCH(C46,[1]M_User!$D$12:$D$67,0),3),"UNMAPPED")</f>
        <v>Omary O. Seif</v>
      </c>
      <c r="E46" s="36" t="str">
        <f>IFERROR(INDEX([1]M_User!$A$12:$J$67,MATCH(C46,[1]M_User!$D$12:$D$67,0),5),"UNMAPPED")</f>
        <v>DAR</v>
      </c>
      <c r="F46" s="34" t="s">
        <v>73</v>
      </c>
      <c r="G46" s="35" t="str">
        <f>IFERROR(INDEX([1]M_SKU!$A$18:$J$57,MATCH(F46,[1]M_SKU!$B$18:$B$57,0),1),"UNKNOWN SKU")</f>
        <v>KNMW 500ml</v>
      </c>
      <c r="H46" s="34" t="s">
        <v>165</v>
      </c>
      <c r="I46" s="37">
        <f>IFERROR(INDEX([1]T_Unload!$K$10:$K$433,MATCH(B46,[1]T_Unload!$B$10:$B$433,0)),0)</f>
        <v>18</v>
      </c>
      <c r="J46" s="26">
        <v>18</v>
      </c>
      <c r="K46" s="38">
        <f t="shared" si="0"/>
        <v>0</v>
      </c>
      <c r="L46" s="39" t="str">
        <f t="shared" si="1"/>
        <v>CLEAN</v>
      </c>
      <c r="M46" s="40">
        <f t="shared" si="2"/>
        <v>0</v>
      </c>
      <c r="N46" s="40">
        <f t="shared" si="3"/>
        <v>0</v>
      </c>
      <c r="O46" s="41" t="s">
        <v>38</v>
      </c>
      <c r="P46" s="42"/>
      <c r="Q46" s="43"/>
    </row>
    <row r="47" spans="1:17" ht="15" customHeight="1">
      <c r="A47" s="20" t="s">
        <v>166</v>
      </c>
      <c r="B47" s="21" t="s">
        <v>167</v>
      </c>
      <c r="C47" s="22" t="s">
        <v>164</v>
      </c>
      <c r="D47" s="23" t="str">
        <f>IFERROR(INDEX([1]M_User!$A$12:$J$67,MATCH(C47,[1]M_User!$D$12:$D$67,0),3),"UNMAPPED")</f>
        <v>Omary O. Seif</v>
      </c>
      <c r="E47" s="24" t="str">
        <f>IFERROR(INDEX([1]M_User!$A$12:$J$67,MATCH(C47,[1]M_User!$D$12:$D$67,0),5),"UNMAPPED")</f>
        <v>DAR</v>
      </c>
      <c r="F47" s="22" t="s">
        <v>83</v>
      </c>
      <c r="G47" s="23" t="str">
        <f>IFERROR(INDEX([1]M_SKU!$A$18:$J$57,MATCH(F47,[1]M_SKU!$B$18:$B$57,0),1),"UNKNOWN SKU")</f>
        <v>KNMW 1500ml</v>
      </c>
      <c r="H47" s="22" t="s">
        <v>168</v>
      </c>
      <c r="I47" s="25">
        <f>IFERROR(INDEX([1]T_Unload!$K$10:$K$433,MATCH(B47,[1]T_Unload!$B$10:$B$433,0)),0)</f>
        <v>5</v>
      </c>
      <c r="J47" s="26">
        <v>5</v>
      </c>
      <c r="K47" s="27">
        <f t="shared" si="0"/>
        <v>0</v>
      </c>
      <c r="L47" s="28" t="str">
        <f t="shared" si="1"/>
        <v>CLEAN</v>
      </c>
      <c r="M47" s="29">
        <f t="shared" si="2"/>
        <v>0</v>
      </c>
      <c r="N47" s="29">
        <f t="shared" si="3"/>
        <v>0</v>
      </c>
      <c r="O47" s="30" t="s">
        <v>38</v>
      </c>
      <c r="P47" s="22"/>
      <c r="Q47" s="31"/>
    </row>
    <row r="48" spans="1:17" ht="15" customHeight="1">
      <c r="A48" s="32" t="s">
        <v>169</v>
      </c>
      <c r="B48" s="33" t="s">
        <v>170</v>
      </c>
      <c r="C48" s="34" t="s">
        <v>164</v>
      </c>
      <c r="D48" s="35" t="str">
        <f>IFERROR(INDEX([1]M_User!$A$12:$J$67,MATCH(C48,[1]M_User!$D$12:$D$67,0),3),"UNMAPPED")</f>
        <v>Omary O. Seif</v>
      </c>
      <c r="E48" s="36" t="str">
        <f>IFERROR(INDEX([1]M_User!$A$12:$J$67,MATCH(C48,[1]M_User!$D$12:$D$67,0),5),"UNMAPPED")</f>
        <v>DAR</v>
      </c>
      <c r="F48" s="34" t="s">
        <v>91</v>
      </c>
      <c r="G48" s="35" t="str">
        <f>IFERROR(INDEX([1]M_SKU!$A$18:$J$57,MATCH(F48,[1]M_SKU!$B$18:$B$57,0),1),"UNKNOWN SKU")</f>
        <v>Kilimanjaro Drinking Water 12000 ML</v>
      </c>
      <c r="H48" s="34" t="s">
        <v>92</v>
      </c>
      <c r="I48" s="37">
        <f>IFERROR(INDEX([1]T_Unload!$K$10:$K$433,MATCH(B48,[1]T_Unload!$B$10:$B$433,0)),0)</f>
        <v>3</v>
      </c>
      <c r="J48" s="26">
        <v>3</v>
      </c>
      <c r="K48" s="38">
        <f t="shared" si="0"/>
        <v>0</v>
      </c>
      <c r="L48" s="39" t="str">
        <f t="shared" si="1"/>
        <v>CLEAN</v>
      </c>
      <c r="M48" s="40">
        <f t="shared" si="2"/>
        <v>0</v>
      </c>
      <c r="N48" s="40">
        <f t="shared" si="3"/>
        <v>0</v>
      </c>
      <c r="O48" s="41" t="s">
        <v>38</v>
      </c>
      <c r="P48" s="42"/>
      <c r="Q48" s="43"/>
    </row>
    <row r="49" spans="1:17" ht="15" customHeight="1">
      <c r="A49" s="20" t="s">
        <v>171</v>
      </c>
      <c r="B49" s="21" t="s">
        <v>172</v>
      </c>
      <c r="C49" s="22" t="s">
        <v>164</v>
      </c>
      <c r="D49" s="23" t="str">
        <f>IFERROR(INDEX([1]M_User!$A$12:$J$67,MATCH(C49,[1]M_User!$D$12:$D$67,0),3),"UNMAPPED")</f>
        <v>Omary O. Seif</v>
      </c>
      <c r="E49" s="24" t="str">
        <f>IFERROR(INDEX([1]M_User!$A$12:$J$67,MATCH(C49,[1]M_User!$D$12:$D$67,0),5),"UNMAPPED")</f>
        <v>DAR</v>
      </c>
      <c r="F49" s="22" t="s">
        <v>98</v>
      </c>
      <c r="G49" s="23" t="str">
        <f>IFERROR(INDEX([1]M_SKU!$A$18:$J$57,MATCH(F49,[1]M_SKU!$B$18:$B$57,0),1),"UNKNOWN SKU")</f>
        <v>Kilimanjaro Drinking Water 18900 ML</v>
      </c>
      <c r="H49" s="22" t="s">
        <v>173</v>
      </c>
      <c r="I49" s="25">
        <f>IFERROR(INDEX([1]T_Unload!$K$10:$K$433,MATCH(B49,[1]T_Unload!$B$10:$B$433,0)),0)</f>
        <v>6</v>
      </c>
      <c r="J49" s="26">
        <v>6</v>
      </c>
      <c r="K49" s="27">
        <f t="shared" si="0"/>
        <v>0</v>
      </c>
      <c r="L49" s="28" t="str">
        <f t="shared" si="1"/>
        <v>CLEAN</v>
      </c>
      <c r="M49" s="29">
        <f t="shared" si="2"/>
        <v>0</v>
      </c>
      <c r="N49" s="29">
        <f t="shared" si="3"/>
        <v>0</v>
      </c>
      <c r="O49" s="30" t="s">
        <v>38</v>
      </c>
      <c r="P49" s="22"/>
      <c r="Q49" s="31"/>
    </row>
    <row r="50" spans="1:17" ht="15" customHeight="1">
      <c r="A50" s="32" t="s">
        <v>174</v>
      </c>
      <c r="B50" s="33" t="s">
        <v>175</v>
      </c>
      <c r="C50" s="34" t="s">
        <v>164</v>
      </c>
      <c r="D50" s="35" t="str">
        <f>IFERROR(INDEX([1]M_User!$A$12:$J$67,MATCH(C50,[1]M_User!$D$12:$D$67,0),3),"UNMAPPED")</f>
        <v>Omary O. Seif</v>
      </c>
      <c r="E50" s="36" t="str">
        <f>IFERROR(INDEX([1]M_User!$A$12:$J$67,MATCH(C50,[1]M_User!$D$12:$D$67,0),5),"UNMAPPED")</f>
        <v>DAR</v>
      </c>
      <c r="F50" s="34" t="s">
        <v>105</v>
      </c>
      <c r="G50" s="35" t="str">
        <f>IFERROR(INDEX([1]M_SKU!$A$18:$J$57,MATCH(F50,[1]M_SKU!$B$18:$B$57,0),1),"UNKNOWN SKU")</f>
        <v>KNMW 1000ml(6 Pack)</v>
      </c>
      <c r="H50" s="34" t="s">
        <v>176</v>
      </c>
      <c r="I50" s="37">
        <f>IFERROR(INDEX([1]T_Unload!$K$10:$K$433,MATCH(B50,[1]T_Unload!$B$10:$B$433,0)),0)</f>
        <v>29</v>
      </c>
      <c r="J50" s="26">
        <v>29</v>
      </c>
      <c r="K50" s="38">
        <f t="shared" si="0"/>
        <v>0</v>
      </c>
      <c r="L50" s="39" t="str">
        <f t="shared" si="1"/>
        <v>CLEAN</v>
      </c>
      <c r="M50" s="40">
        <f t="shared" si="2"/>
        <v>0</v>
      </c>
      <c r="N50" s="40">
        <f t="shared" si="3"/>
        <v>0</v>
      </c>
      <c r="O50" s="41" t="s">
        <v>38</v>
      </c>
      <c r="P50" s="42"/>
      <c r="Q50" s="43"/>
    </row>
    <row r="51" spans="1:17" ht="15" customHeight="1">
      <c r="A51" s="20" t="s">
        <v>177</v>
      </c>
      <c r="B51" s="21" t="s">
        <v>178</v>
      </c>
      <c r="C51" s="22" t="s">
        <v>179</v>
      </c>
      <c r="D51" s="23" t="str">
        <f>IFERROR(INDEX([1]M_User!$A$12:$J$67,MATCH(C51,[1]M_User!$D$12:$D$67,0),3),"UNMAPPED")</f>
        <v>Meshack  Jeremiah</v>
      </c>
      <c r="E51" s="24" t="str">
        <f>IFERROR(INDEX([1]M_User!$A$12:$J$67,MATCH(C51,[1]M_User!$D$12:$D$67,0),5),"UNMAPPED")</f>
        <v>MOS</v>
      </c>
      <c r="F51" s="22" t="s">
        <v>36</v>
      </c>
      <c r="G51" s="23" t="str">
        <f>IFERROR(INDEX([1]M_SKU!$A$18:$J$57,MATCH(F51,[1]M_SKU!$B$18:$B$57,0),1),"UNKNOWN SKU")</f>
        <v>Coke RGB 350ml</v>
      </c>
      <c r="H51" s="22" t="s">
        <v>180</v>
      </c>
      <c r="I51" s="25">
        <f>IFERROR(INDEX([1]T_Unload!$K$10:$K$433,MATCH(B51,[1]T_Unload!$B$10:$B$433,0)),0)</f>
        <v>9.4260419724479974</v>
      </c>
      <c r="J51" s="26">
        <v>9.43</v>
      </c>
      <c r="K51" s="27">
        <f t="shared" si="0"/>
        <v>-3.9580275520023633E-3</v>
      </c>
      <c r="L51" s="28" t="str">
        <f t="shared" si="1"/>
        <v>Adjust Unload Upward</v>
      </c>
      <c r="M51" s="29">
        <f t="shared" si="2"/>
        <v>0</v>
      </c>
      <c r="N51" s="29">
        <f t="shared" si="3"/>
        <v>3.9580275520023633E-3</v>
      </c>
      <c r="O51" s="30" t="s">
        <v>38</v>
      </c>
      <c r="P51" s="22"/>
      <c r="Q51" s="31"/>
    </row>
    <row r="52" spans="1:17" ht="15" customHeight="1">
      <c r="A52" s="32" t="s">
        <v>181</v>
      </c>
      <c r="B52" s="33" t="s">
        <v>182</v>
      </c>
      <c r="C52" s="34" t="s">
        <v>179</v>
      </c>
      <c r="D52" s="35" t="str">
        <f>IFERROR(INDEX([1]M_User!$A$12:$J$67,MATCH(C52,[1]M_User!$D$12:$D$67,0),3),"UNMAPPED")</f>
        <v>Meshack  Jeremiah</v>
      </c>
      <c r="E52" s="36" t="str">
        <f>IFERROR(INDEX([1]M_User!$A$12:$J$67,MATCH(C52,[1]M_User!$D$12:$D$67,0),5),"UNMAPPED")</f>
        <v>MOS</v>
      </c>
      <c r="F52" s="34" t="s">
        <v>41</v>
      </c>
      <c r="G52" s="35" t="str">
        <f>IFERROR(INDEX([1]M_SKU!$A$18:$J$57,MATCH(F52,[1]M_SKU!$B$18:$B$57,0),1),"UNKNOWN SKU")</f>
        <v>Fanta Orange RGB 350ml</v>
      </c>
      <c r="H52" s="34" t="s">
        <v>183</v>
      </c>
      <c r="I52" s="37">
        <f>IFERROR(INDEX([1]T_Unload!$K$10:$K$433,MATCH(B52,[1]T_Unload!$B$10:$B$433,0)),0)</f>
        <v>2.1413449316438395</v>
      </c>
      <c r="J52" s="26">
        <v>2.14</v>
      </c>
      <c r="K52" s="38">
        <f t="shared" si="0"/>
        <v>1.3449316438394199E-3</v>
      </c>
      <c r="L52" s="39" t="str">
        <f t="shared" si="1"/>
        <v>Post to Default Outlet</v>
      </c>
      <c r="M52" s="40">
        <f t="shared" si="2"/>
        <v>1.3449316438394199E-3</v>
      </c>
      <c r="N52" s="40">
        <f t="shared" si="3"/>
        <v>0</v>
      </c>
      <c r="O52" s="41" t="s">
        <v>38</v>
      </c>
      <c r="P52" s="42"/>
      <c r="Q52" s="43"/>
    </row>
    <row r="53" spans="1:17" ht="15" customHeight="1">
      <c r="A53" s="20" t="s">
        <v>184</v>
      </c>
      <c r="B53" s="21" t="s">
        <v>185</v>
      </c>
      <c r="C53" s="22" t="s">
        <v>179</v>
      </c>
      <c r="D53" s="23" t="str">
        <f>IFERROR(INDEX([1]M_User!$A$12:$J$67,MATCH(C53,[1]M_User!$D$12:$D$67,0),3),"UNMAPPED")</f>
        <v>Meshack  Jeremiah</v>
      </c>
      <c r="E53" s="24" t="str">
        <f>IFERROR(INDEX([1]M_User!$A$12:$J$67,MATCH(C53,[1]M_User!$D$12:$D$67,0),5),"UNMAPPED")</f>
        <v>MOS</v>
      </c>
      <c r="F53" s="22" t="s">
        <v>45</v>
      </c>
      <c r="G53" s="23" t="str">
        <f>IFERROR(INDEX([1]M_SKU!$A$18:$J$57,MATCH(F53,[1]M_SKU!$B$18:$B$57,0),1),"UNKNOWN SKU")</f>
        <v>Fanta Passion RGB 350ml</v>
      </c>
      <c r="H53" s="22" t="s">
        <v>186</v>
      </c>
      <c r="I53" s="25">
        <f>IFERROR(INDEX([1]T_Unload!$K$10:$K$433,MATCH(B53,[1]T_Unload!$B$10:$B$433,0)),0)</f>
        <v>1.4069830491663096</v>
      </c>
      <c r="J53" s="26">
        <v>1.41</v>
      </c>
      <c r="K53" s="27">
        <f t="shared" si="0"/>
        <v>-3.0169508336903572E-3</v>
      </c>
      <c r="L53" s="28" t="str">
        <f t="shared" si="1"/>
        <v>Adjust Unload Upward</v>
      </c>
      <c r="M53" s="29">
        <f t="shared" si="2"/>
        <v>0</v>
      </c>
      <c r="N53" s="29">
        <f t="shared" si="3"/>
        <v>3.0169508336903572E-3</v>
      </c>
      <c r="O53" s="30" t="s">
        <v>38</v>
      </c>
      <c r="P53" s="22"/>
      <c r="Q53" s="31"/>
    </row>
    <row r="54" spans="1:17" ht="15" customHeight="1">
      <c r="A54" s="32" t="s">
        <v>187</v>
      </c>
      <c r="B54" s="33" t="s">
        <v>188</v>
      </c>
      <c r="C54" s="34" t="s">
        <v>179</v>
      </c>
      <c r="D54" s="35" t="str">
        <f>IFERROR(INDEX([1]M_User!$A$12:$J$67,MATCH(C54,[1]M_User!$D$12:$D$67,0),3),"UNMAPPED")</f>
        <v>Meshack  Jeremiah</v>
      </c>
      <c r="E54" s="36" t="str">
        <f>IFERROR(INDEX([1]M_User!$A$12:$J$67,MATCH(C54,[1]M_User!$D$12:$D$67,0),5),"UNMAPPED")</f>
        <v>MOS</v>
      </c>
      <c r="F54" s="34" t="s">
        <v>49</v>
      </c>
      <c r="G54" s="35" t="str">
        <f>IFERROR(INDEX([1]M_SKU!$A$18:$J$57,MATCH(F54,[1]M_SKU!$B$18:$B$57,0),1),"UNKNOWN SKU")</f>
        <v>Fanta Pineapple RGB 350ml</v>
      </c>
      <c r="H54" s="34" t="s">
        <v>189</v>
      </c>
      <c r="I54" s="37">
        <f>IFERROR(INDEX([1]T_Unload!$K$10:$K$433,MATCH(B54,[1]T_Unload!$B$10:$B$433,0)),0)</f>
        <v>1.7400438606030795</v>
      </c>
      <c r="J54" s="26">
        <v>1.74</v>
      </c>
      <c r="K54" s="38">
        <f t="shared" si="0"/>
        <v>4.3860603079481919E-5</v>
      </c>
      <c r="L54" s="39" t="str">
        <f t="shared" si="1"/>
        <v>CLEAN</v>
      </c>
      <c r="M54" s="40">
        <f t="shared" si="2"/>
        <v>0</v>
      </c>
      <c r="N54" s="40">
        <f t="shared" si="3"/>
        <v>0</v>
      </c>
      <c r="O54" s="41" t="s">
        <v>38</v>
      </c>
      <c r="P54" s="42"/>
      <c r="Q54" s="43"/>
    </row>
    <row r="55" spans="1:17" ht="15" customHeight="1">
      <c r="A55" s="20" t="s">
        <v>190</v>
      </c>
      <c r="B55" s="21" t="s">
        <v>191</v>
      </c>
      <c r="C55" s="22" t="s">
        <v>179</v>
      </c>
      <c r="D55" s="23" t="str">
        <f>IFERROR(INDEX([1]M_User!$A$12:$J$67,MATCH(C55,[1]M_User!$D$12:$D$67,0),3),"UNMAPPED")</f>
        <v>Meshack  Jeremiah</v>
      </c>
      <c r="E55" s="24" t="str">
        <f>IFERROR(INDEX([1]M_User!$A$12:$J$67,MATCH(C55,[1]M_User!$D$12:$D$67,0),5),"UNMAPPED")</f>
        <v>MOS</v>
      </c>
      <c r="F55" s="22" t="s">
        <v>192</v>
      </c>
      <c r="G55" s="23" t="str">
        <f>IFERROR(INDEX([1]M_SKU!$A$18:$J$57,MATCH(F55,[1]M_SKU!$B$18:$B$57,0),1),"UNKNOWN SKU")</f>
        <v>Fanta Fruit Blast RGB 350 ml</v>
      </c>
      <c r="H55" s="22" t="s">
        <v>193</v>
      </c>
      <c r="I55" s="25">
        <f>IFERROR(INDEX([1]T_Unload!$K$10:$K$433,MATCH(B55,[1]T_Unload!$B$10:$B$433,0)),0)</f>
        <v>0.83245685952361015</v>
      </c>
      <c r="J55" s="26">
        <v>0.83</v>
      </c>
      <c r="K55" s="27">
        <f t="shared" si="0"/>
        <v>2.4568595236101887E-3</v>
      </c>
      <c r="L55" s="28" t="str">
        <f t="shared" si="1"/>
        <v>Post to Default Outlet</v>
      </c>
      <c r="M55" s="29">
        <f t="shared" si="2"/>
        <v>2.4568595236101887E-3</v>
      </c>
      <c r="N55" s="29">
        <f t="shared" si="3"/>
        <v>0</v>
      </c>
      <c r="O55" s="30" t="s">
        <v>38</v>
      </c>
      <c r="P55" s="22"/>
      <c r="Q55" s="31"/>
    </row>
    <row r="56" spans="1:17" ht="15" customHeight="1">
      <c r="A56" s="32" t="s">
        <v>194</v>
      </c>
      <c r="B56" s="33" t="s">
        <v>195</v>
      </c>
      <c r="C56" s="34" t="s">
        <v>179</v>
      </c>
      <c r="D56" s="35" t="str">
        <f>IFERROR(INDEX([1]M_User!$A$12:$J$67,MATCH(C56,[1]M_User!$D$12:$D$67,0),3),"UNMAPPED")</f>
        <v>Meshack  Jeremiah</v>
      </c>
      <c r="E56" s="36" t="str">
        <f>IFERROR(INDEX([1]M_User!$A$12:$J$67,MATCH(C56,[1]M_User!$D$12:$D$67,0),5),"UNMAPPED")</f>
        <v>MOS</v>
      </c>
      <c r="F56" s="34" t="s">
        <v>53</v>
      </c>
      <c r="G56" s="35" t="str">
        <f>IFERROR(INDEX([1]M_SKU!$A$18:$J$57,MATCH(F56,[1]M_SKU!$B$18:$B$57,0),1),"UNKNOWN SKU")</f>
        <v>Sprite 350ml</v>
      </c>
      <c r="H56" s="34" t="s">
        <v>196</v>
      </c>
      <c r="I56" s="37">
        <f>IFERROR(INDEX([1]T_Unload!$K$10:$K$433,MATCH(B56,[1]T_Unload!$B$10:$B$433,0)),0)</f>
        <v>1.7069125463592192</v>
      </c>
      <c r="J56" s="26">
        <v>1.71</v>
      </c>
      <c r="K56" s="38">
        <f t="shared" si="0"/>
        <v>-3.0874536407807796E-3</v>
      </c>
      <c r="L56" s="39" t="str">
        <f t="shared" si="1"/>
        <v>Adjust Unload Upward</v>
      </c>
      <c r="M56" s="40">
        <f t="shared" si="2"/>
        <v>0</v>
      </c>
      <c r="N56" s="40">
        <f t="shared" si="3"/>
        <v>3.0874536407807796E-3</v>
      </c>
      <c r="O56" s="41" t="s">
        <v>38</v>
      </c>
      <c r="P56" s="42"/>
      <c r="Q56" s="43"/>
    </row>
    <row r="57" spans="1:17" ht="15" customHeight="1">
      <c r="A57" s="20" t="s">
        <v>197</v>
      </c>
      <c r="B57" s="21" t="s">
        <v>198</v>
      </c>
      <c r="C57" s="22" t="s">
        <v>179</v>
      </c>
      <c r="D57" s="23" t="str">
        <f>IFERROR(INDEX([1]M_User!$A$12:$J$67,MATCH(C57,[1]M_User!$D$12:$D$67,0),3),"UNMAPPED")</f>
        <v>Meshack  Jeremiah</v>
      </c>
      <c r="E57" s="24" t="str">
        <f>IFERROR(INDEX([1]M_User!$A$12:$J$67,MATCH(C57,[1]M_User!$D$12:$D$67,0),5),"UNMAPPED")</f>
        <v>MOS</v>
      </c>
      <c r="F57" s="22" t="s">
        <v>199</v>
      </c>
      <c r="G57" s="23" t="str">
        <f>IFERROR(INDEX([1]M_SKU!$A$18:$J$57,MATCH(F57,[1]M_SKU!$B$18:$B$57,0),1),"UNKNOWN SKU")</f>
        <v>Stoney Tangawizi RGB 350ml</v>
      </c>
      <c r="H57" s="22" t="s">
        <v>200</v>
      </c>
      <c r="I57" s="25">
        <f>IFERROR(INDEX([1]T_Unload!$K$10:$K$433,MATCH(B57,[1]T_Unload!$B$10:$B$433,0)),0)</f>
        <v>0.94407045760539399</v>
      </c>
      <c r="J57" s="26">
        <v>0.94</v>
      </c>
      <c r="K57" s="27">
        <f t="shared" si="0"/>
        <v>4.07045760539404E-3</v>
      </c>
      <c r="L57" s="28" t="str">
        <f t="shared" si="1"/>
        <v>Post to Default Outlet</v>
      </c>
      <c r="M57" s="29">
        <f t="shared" si="2"/>
        <v>4.07045760539404E-3</v>
      </c>
      <c r="N57" s="29">
        <f t="shared" si="3"/>
        <v>0</v>
      </c>
      <c r="O57" s="30" t="s">
        <v>38</v>
      </c>
      <c r="P57" s="22"/>
      <c r="Q57" s="31"/>
    </row>
    <row r="58" spans="1:17" ht="15" customHeight="1">
      <c r="A58" s="32" t="s">
        <v>201</v>
      </c>
      <c r="B58" s="33" t="s">
        <v>202</v>
      </c>
      <c r="C58" s="34" t="s">
        <v>179</v>
      </c>
      <c r="D58" s="35" t="str">
        <f>IFERROR(INDEX([1]M_User!$A$12:$J$67,MATCH(C58,[1]M_User!$D$12:$D$67,0),3),"UNMAPPED")</f>
        <v>Meshack  Jeremiah</v>
      </c>
      <c r="E58" s="36" t="str">
        <f>IFERROR(INDEX([1]M_User!$A$12:$J$67,MATCH(C58,[1]M_User!$D$12:$D$67,0),5),"UNMAPPED")</f>
        <v>MOS</v>
      </c>
      <c r="F58" s="34" t="s">
        <v>203</v>
      </c>
      <c r="G58" s="35" t="str">
        <f>IFERROR(INDEX([1]M_SKU!$A$18:$J$57,MATCH(F58,[1]M_SKU!$B$18:$B$57,0),1),"UNKNOWN SKU")</f>
        <v>Sparletta Pinenut RGB 350ml</v>
      </c>
      <c r="H58" s="34" t="s">
        <v>204</v>
      </c>
      <c r="I58" s="37">
        <f>IFERROR(INDEX([1]T_Unload!$K$10:$K$433,MATCH(B58,[1]T_Unload!$B$10:$B$433,0)),0)</f>
        <v>0.70239421228589505</v>
      </c>
      <c r="J58" s="26">
        <v>0.7</v>
      </c>
      <c r="K58" s="38">
        <f t="shared" si="0"/>
        <v>2.3942122858950921E-3</v>
      </c>
      <c r="L58" s="39" t="str">
        <f t="shared" si="1"/>
        <v>Post to Default Outlet</v>
      </c>
      <c r="M58" s="40">
        <f t="shared" si="2"/>
        <v>2.3942122858950921E-3</v>
      </c>
      <c r="N58" s="40">
        <f t="shared" si="3"/>
        <v>0</v>
      </c>
      <c r="O58" s="41" t="s">
        <v>38</v>
      </c>
      <c r="P58" s="42"/>
      <c r="Q58" s="43"/>
    </row>
    <row r="59" spans="1:17" ht="15" customHeight="1">
      <c r="A59" s="20" t="s">
        <v>205</v>
      </c>
      <c r="B59" s="21" t="s">
        <v>206</v>
      </c>
      <c r="C59" s="22" t="s">
        <v>179</v>
      </c>
      <c r="D59" s="23" t="str">
        <f>IFERROR(INDEX([1]M_User!$A$12:$J$67,MATCH(C59,[1]M_User!$D$12:$D$67,0),3),"UNMAPPED")</f>
        <v>Meshack  Jeremiah</v>
      </c>
      <c r="E59" s="24" t="str">
        <f>IFERROR(INDEX([1]M_User!$A$12:$J$67,MATCH(C59,[1]M_User!$D$12:$D$67,0),5),"UNMAPPED")</f>
        <v>MOS</v>
      </c>
      <c r="F59" s="22" t="s">
        <v>57</v>
      </c>
      <c r="G59" s="23" t="str">
        <f>IFERROR(INDEX([1]M_SKU!$A$18:$J$57,MATCH(F59,[1]M_SKU!$B$18:$B$57,0),1),"UNKNOWN SKU")</f>
        <v>Krest Bitter Lemon RGB 300ml</v>
      </c>
      <c r="H59" s="22" t="s">
        <v>58</v>
      </c>
      <c r="I59" s="25">
        <f>IFERROR(INDEX([1]T_Unload!$K$10:$K$433,MATCH(B59,[1]T_Unload!$B$10:$B$433,0)),0)</f>
        <v>0.23263027590489593</v>
      </c>
      <c r="J59" s="26">
        <v>0.23</v>
      </c>
      <c r="K59" s="27">
        <f t="shared" si="0"/>
        <v>2.6302759048959234E-3</v>
      </c>
      <c r="L59" s="28" t="str">
        <f t="shared" si="1"/>
        <v>Post to Default Outlet</v>
      </c>
      <c r="M59" s="29">
        <f t="shared" si="2"/>
        <v>2.6302759048959234E-3</v>
      </c>
      <c r="N59" s="29">
        <f t="shared" si="3"/>
        <v>0</v>
      </c>
      <c r="O59" s="30" t="s">
        <v>38</v>
      </c>
      <c r="P59" s="22"/>
      <c r="Q59" s="31"/>
    </row>
    <row r="60" spans="1:17" ht="15" customHeight="1">
      <c r="A60" s="32" t="s">
        <v>207</v>
      </c>
      <c r="B60" s="33" t="s">
        <v>208</v>
      </c>
      <c r="C60" s="34" t="s">
        <v>179</v>
      </c>
      <c r="D60" s="35" t="str">
        <f>IFERROR(INDEX([1]M_User!$A$12:$J$67,MATCH(C60,[1]M_User!$D$12:$D$67,0),3),"UNMAPPED")</f>
        <v>Meshack  Jeremiah</v>
      </c>
      <c r="E60" s="36" t="str">
        <f>IFERROR(INDEX([1]M_User!$A$12:$J$67,MATCH(C60,[1]M_User!$D$12:$D$67,0),5),"UNMAPPED")</f>
        <v>MOS</v>
      </c>
      <c r="F60" s="34" t="s">
        <v>61</v>
      </c>
      <c r="G60" s="35" t="str">
        <f>IFERROR(INDEX([1]M_SKU!$A$18:$J$57,MATCH(F60,[1]M_SKU!$B$18:$B$57,0),1),"UNKNOWN SKU")</f>
        <v>Krest Club Soda RGB 300ml</v>
      </c>
      <c r="H60" s="34" t="s">
        <v>62</v>
      </c>
      <c r="I60" s="37">
        <f>IFERROR(INDEX([1]T_Unload!$K$10:$K$433,MATCH(B60,[1]T_Unload!$B$10:$B$433,0)),0)</f>
        <v>0.20663778572245106</v>
      </c>
      <c r="J60" s="26">
        <v>0.21</v>
      </c>
      <c r="K60" s="38">
        <f t="shared" si="0"/>
        <v>-3.3622142775489305E-3</v>
      </c>
      <c r="L60" s="39" t="str">
        <f t="shared" si="1"/>
        <v>Adjust Unload Upward</v>
      </c>
      <c r="M60" s="40">
        <f t="shared" si="2"/>
        <v>0</v>
      </c>
      <c r="N60" s="40">
        <f t="shared" si="3"/>
        <v>3.3622142775489305E-3</v>
      </c>
      <c r="O60" s="41" t="s">
        <v>38</v>
      </c>
      <c r="P60" s="42"/>
      <c r="Q60" s="43"/>
    </row>
    <row r="61" spans="1:17" ht="15" customHeight="1">
      <c r="A61" s="20" t="s">
        <v>209</v>
      </c>
      <c r="B61" s="21" t="s">
        <v>210</v>
      </c>
      <c r="C61" s="22" t="s">
        <v>179</v>
      </c>
      <c r="D61" s="23" t="str">
        <f>IFERROR(INDEX([1]M_User!$A$12:$J$67,MATCH(C61,[1]M_User!$D$12:$D$67,0),3),"UNMAPPED")</f>
        <v>Meshack  Jeremiah</v>
      </c>
      <c r="E61" s="24" t="str">
        <f>IFERROR(INDEX([1]M_User!$A$12:$J$67,MATCH(C61,[1]M_User!$D$12:$D$67,0),5),"UNMAPPED")</f>
        <v>MOS</v>
      </c>
      <c r="F61" s="22" t="s">
        <v>65</v>
      </c>
      <c r="G61" s="23" t="str">
        <f>IFERROR(INDEX([1]M_SKU!$A$18:$J$57,MATCH(F61,[1]M_SKU!$B$18:$B$57,0),1),"UNKNOWN SKU")</f>
        <v>Krest Tonic Water RGB 300ml</v>
      </c>
      <c r="H61" s="22" t="s">
        <v>211</v>
      </c>
      <c r="I61" s="25">
        <f>IFERROR(INDEX([1]T_Unload!$K$10:$K$433,MATCH(B61,[1]T_Unload!$B$10:$B$433,0)),0)</f>
        <v>0.44739902590846103</v>
      </c>
      <c r="J61" s="26">
        <v>0.45</v>
      </c>
      <c r="K61" s="27">
        <f t="shared" si="0"/>
        <v>-2.6009740915389767E-3</v>
      </c>
      <c r="L61" s="28" t="str">
        <f t="shared" si="1"/>
        <v>Adjust Unload Upward</v>
      </c>
      <c r="M61" s="29">
        <f t="shared" si="2"/>
        <v>0</v>
      </c>
      <c r="N61" s="29">
        <f t="shared" si="3"/>
        <v>2.6009740915389767E-3</v>
      </c>
      <c r="O61" s="30" t="s">
        <v>38</v>
      </c>
      <c r="P61" s="22"/>
      <c r="Q61" s="31"/>
    </row>
    <row r="62" spans="1:17" ht="15" customHeight="1">
      <c r="A62" s="32" t="s">
        <v>212</v>
      </c>
      <c r="B62" s="33" t="s">
        <v>213</v>
      </c>
      <c r="C62" s="34" t="s">
        <v>179</v>
      </c>
      <c r="D62" s="35" t="str">
        <f>IFERROR(INDEX([1]M_User!$A$12:$J$67,MATCH(C62,[1]M_User!$D$12:$D$67,0),3),"UNMAPPED")</f>
        <v>Meshack  Jeremiah</v>
      </c>
      <c r="E62" s="36" t="str">
        <f>IFERROR(INDEX([1]M_User!$A$12:$J$67,MATCH(C62,[1]M_User!$D$12:$D$67,0),5),"UNMAPPED")</f>
        <v>MOS</v>
      </c>
      <c r="F62" s="34" t="s">
        <v>69</v>
      </c>
      <c r="G62" s="35" t="str">
        <f>IFERROR(INDEX([1]M_SKU!$A$18:$J$57,MATCH(F62,[1]M_SKU!$B$18:$B$57,0),1),"UNKNOWN SKU")</f>
        <v>Krest Ginger Ale RGB 300ml</v>
      </c>
      <c r="H62" s="34" t="s">
        <v>70</v>
      </c>
      <c r="I62" s="37">
        <f>IFERROR(INDEX([1]T_Unload!$K$10:$K$433,MATCH(B62,[1]T_Unload!$B$10:$B$433,0)),0)</f>
        <v>0.23533385279526597</v>
      </c>
      <c r="J62" s="26">
        <v>0.24</v>
      </c>
      <c r="K62" s="38">
        <f t="shared" si="0"/>
        <v>-4.6661472047340169E-3</v>
      </c>
      <c r="L62" s="39" t="str">
        <f t="shared" si="1"/>
        <v>Adjust Unload Upward</v>
      </c>
      <c r="M62" s="40">
        <f t="shared" si="2"/>
        <v>0</v>
      </c>
      <c r="N62" s="40">
        <f t="shared" si="3"/>
        <v>4.6661472047340169E-3</v>
      </c>
      <c r="O62" s="41" t="s">
        <v>38</v>
      </c>
      <c r="P62" s="42"/>
      <c r="Q62" s="43"/>
    </row>
    <row r="63" spans="1:17" ht="15" customHeight="1">
      <c r="A63" s="20" t="s">
        <v>214</v>
      </c>
      <c r="B63" s="21" t="s">
        <v>215</v>
      </c>
      <c r="C63" s="22" t="s">
        <v>179</v>
      </c>
      <c r="D63" s="23" t="str">
        <f>IFERROR(INDEX([1]M_User!$A$12:$J$67,MATCH(C63,[1]M_User!$D$12:$D$67,0),3),"UNMAPPED")</f>
        <v>Meshack  Jeremiah</v>
      </c>
      <c r="E63" s="24" t="str">
        <f>IFERROR(INDEX([1]M_User!$A$12:$J$67,MATCH(C63,[1]M_User!$D$12:$D$67,0),5),"UNMAPPED")</f>
        <v>MOS</v>
      </c>
      <c r="F63" s="22" t="s">
        <v>216</v>
      </c>
      <c r="G63" s="23" t="str">
        <f>IFERROR(INDEX([1]M_SKU!$A$18:$J$57,MATCH(F63,[1]M_SKU!$B$18:$B$57,0),1),"UNKNOWN SKU")</f>
        <v>Sparletta Red Apple RGB 350ml</v>
      </c>
      <c r="H63" s="22" t="s">
        <v>217</v>
      </c>
      <c r="I63" s="25">
        <f>IFERROR(INDEX([1]T_Unload!$K$10:$K$433,MATCH(B63,[1]T_Unload!$B$10:$B$433,0)),0)</f>
        <v>0.34047773802358083</v>
      </c>
      <c r="J63" s="26">
        <v>0.34</v>
      </c>
      <c r="K63" s="27">
        <f t="shared" si="0"/>
        <v>4.777380235808093E-4</v>
      </c>
      <c r="L63" s="28" t="str">
        <f t="shared" si="1"/>
        <v>Post to Default Outlet</v>
      </c>
      <c r="M63" s="29">
        <f t="shared" si="2"/>
        <v>4.777380235808093E-4</v>
      </c>
      <c r="N63" s="29">
        <f t="shared" si="3"/>
        <v>0</v>
      </c>
      <c r="O63" s="30" t="s">
        <v>38</v>
      </c>
      <c r="P63" s="22"/>
      <c r="Q63" s="31"/>
    </row>
    <row r="64" spans="1:17" ht="15" customHeight="1">
      <c r="A64" s="32" t="s">
        <v>218</v>
      </c>
      <c r="B64" s="33" t="s">
        <v>219</v>
      </c>
      <c r="C64" s="34" t="s">
        <v>179</v>
      </c>
      <c r="D64" s="35" t="str">
        <f>IFERROR(INDEX([1]M_User!$A$12:$J$67,MATCH(C64,[1]M_User!$D$12:$D$67,0),3),"UNMAPPED")</f>
        <v>Meshack  Jeremiah</v>
      </c>
      <c r="E64" s="36" t="str">
        <f>IFERROR(INDEX([1]M_User!$A$12:$J$67,MATCH(C64,[1]M_User!$D$12:$D$67,0),5),"UNMAPPED")</f>
        <v>MOS</v>
      </c>
      <c r="F64" s="34" t="s">
        <v>73</v>
      </c>
      <c r="G64" s="35" t="str">
        <f>IFERROR(INDEX([1]M_SKU!$A$18:$J$57,MATCH(F64,[1]M_SKU!$B$18:$B$57,0),1),"UNKNOWN SKU")</f>
        <v>KNMW 500ml</v>
      </c>
      <c r="H64" s="34" t="s">
        <v>220</v>
      </c>
      <c r="I64" s="37">
        <f>IFERROR(INDEX([1]T_Unload!$K$10:$K$433,MATCH(B64,[1]T_Unload!$B$10:$B$433,0)),0)</f>
        <v>6</v>
      </c>
      <c r="J64" s="26">
        <v>6</v>
      </c>
      <c r="K64" s="38">
        <f t="shared" si="0"/>
        <v>0</v>
      </c>
      <c r="L64" s="39" t="str">
        <f t="shared" si="1"/>
        <v>CLEAN</v>
      </c>
      <c r="M64" s="40">
        <f t="shared" si="2"/>
        <v>0</v>
      </c>
      <c r="N64" s="40">
        <f t="shared" si="3"/>
        <v>0</v>
      </c>
      <c r="O64" s="41" t="s">
        <v>38</v>
      </c>
      <c r="P64" s="42"/>
      <c r="Q64" s="43"/>
    </row>
    <row r="65" spans="1:17" ht="15" customHeight="1">
      <c r="A65" s="20" t="s">
        <v>221</v>
      </c>
      <c r="B65" s="21" t="s">
        <v>222</v>
      </c>
      <c r="C65" s="22" t="s">
        <v>179</v>
      </c>
      <c r="D65" s="23" t="str">
        <f>IFERROR(INDEX([1]M_User!$A$12:$J$67,MATCH(C65,[1]M_User!$D$12:$D$67,0),3),"UNMAPPED")</f>
        <v>Meshack  Jeremiah</v>
      </c>
      <c r="E65" s="24" t="str">
        <f>IFERROR(INDEX([1]M_User!$A$12:$J$67,MATCH(C65,[1]M_User!$D$12:$D$67,0),5),"UNMAPPED")</f>
        <v>MOS</v>
      </c>
      <c r="F65" s="22" t="s">
        <v>83</v>
      </c>
      <c r="G65" s="23" t="str">
        <f>IFERROR(INDEX([1]M_SKU!$A$18:$J$57,MATCH(F65,[1]M_SKU!$B$18:$B$57,0),1),"UNKNOWN SKU")</f>
        <v>KNMW 1500ml</v>
      </c>
      <c r="H65" s="22" t="s">
        <v>223</v>
      </c>
      <c r="I65" s="25">
        <f>IFERROR(INDEX([1]T_Unload!$K$10:$K$433,MATCH(B65,[1]T_Unload!$B$10:$B$433,0)),0)</f>
        <v>19</v>
      </c>
      <c r="J65" s="26">
        <v>19</v>
      </c>
      <c r="K65" s="27">
        <f t="shared" si="0"/>
        <v>0</v>
      </c>
      <c r="L65" s="28" t="str">
        <f t="shared" si="1"/>
        <v>CLEAN</v>
      </c>
      <c r="M65" s="29">
        <f t="shared" si="2"/>
        <v>0</v>
      </c>
      <c r="N65" s="29">
        <f t="shared" si="3"/>
        <v>0</v>
      </c>
      <c r="O65" s="30" t="s">
        <v>38</v>
      </c>
      <c r="P65" s="22"/>
      <c r="Q65" s="31"/>
    </row>
    <row r="66" spans="1:17" ht="15" customHeight="1">
      <c r="A66" s="32" t="s">
        <v>224</v>
      </c>
      <c r="B66" s="33" t="s">
        <v>225</v>
      </c>
      <c r="C66" s="34" t="s">
        <v>179</v>
      </c>
      <c r="D66" s="35" t="str">
        <f>IFERROR(INDEX([1]M_User!$A$12:$J$67,MATCH(C66,[1]M_User!$D$12:$D$67,0),3),"UNMAPPED")</f>
        <v>Meshack  Jeremiah</v>
      </c>
      <c r="E66" s="36" t="str">
        <f>IFERROR(INDEX([1]M_User!$A$12:$J$67,MATCH(C66,[1]M_User!$D$12:$D$67,0),5),"UNMAPPED")</f>
        <v>MOS</v>
      </c>
      <c r="F66" s="34" t="s">
        <v>109</v>
      </c>
      <c r="G66" s="35" t="str">
        <f>IFERROR(INDEX([1]M_SKU!$A$18:$J$57,MATCH(F66,[1]M_SKU!$B$18:$B$57,0),1),"UNKNOWN SKU")</f>
        <v>Coke Pet 500ML ( x12)</v>
      </c>
      <c r="H66" s="34" t="s">
        <v>226</v>
      </c>
      <c r="I66" s="37">
        <f>IFERROR(INDEX([1]T_Unload!$K$10:$K$433,MATCH(B66,[1]T_Unload!$B$10:$B$433,0)),0)</f>
        <v>8</v>
      </c>
      <c r="J66" s="26">
        <v>8</v>
      </c>
      <c r="K66" s="38">
        <f t="shared" si="0"/>
        <v>0</v>
      </c>
      <c r="L66" s="39" t="str">
        <f t="shared" si="1"/>
        <v>CLEAN</v>
      </c>
      <c r="M66" s="40">
        <f t="shared" si="2"/>
        <v>0</v>
      </c>
      <c r="N66" s="40">
        <f t="shared" si="3"/>
        <v>0</v>
      </c>
      <c r="O66" s="41" t="s">
        <v>38</v>
      </c>
      <c r="P66" s="42"/>
      <c r="Q66" s="43"/>
    </row>
    <row r="67" spans="1:17" ht="15" customHeight="1">
      <c r="A67" s="20" t="s">
        <v>227</v>
      </c>
      <c r="B67" s="21" t="s">
        <v>228</v>
      </c>
      <c r="C67" s="22" t="s">
        <v>179</v>
      </c>
      <c r="D67" s="23" t="str">
        <f>IFERROR(INDEX([1]M_User!$A$12:$J$67,MATCH(C67,[1]M_User!$D$12:$D$67,0),3),"UNMAPPED")</f>
        <v>Meshack  Jeremiah</v>
      </c>
      <c r="E67" s="24" t="str">
        <f>IFERROR(INDEX([1]M_User!$A$12:$J$67,MATCH(C67,[1]M_User!$D$12:$D$67,0),5),"UNMAPPED")</f>
        <v>MOS</v>
      </c>
      <c r="F67" s="22" t="s">
        <v>113</v>
      </c>
      <c r="G67" s="23" t="str">
        <f>IFERROR(INDEX([1]M_SKU!$A$18:$J$57,MATCH(F67,[1]M_SKU!$B$18:$B$57,0),1),"UNKNOWN SKU")</f>
        <v>Sprite Pet 500ML (x 12)</v>
      </c>
      <c r="H67" s="22" t="s">
        <v>114</v>
      </c>
      <c r="I67" s="25">
        <f>IFERROR(INDEX([1]T_Unload!$K$10:$K$433,MATCH(B67,[1]T_Unload!$B$10:$B$433,0)),0)</f>
        <v>1</v>
      </c>
      <c r="J67" s="26">
        <v>1</v>
      </c>
      <c r="K67" s="27">
        <f t="shared" si="0"/>
        <v>0</v>
      </c>
      <c r="L67" s="28" t="str">
        <f t="shared" si="1"/>
        <v>CLEAN</v>
      </c>
      <c r="M67" s="29">
        <f t="shared" si="2"/>
        <v>0</v>
      </c>
      <c r="N67" s="29">
        <f t="shared" si="3"/>
        <v>0</v>
      </c>
      <c r="O67" s="30" t="s">
        <v>38</v>
      </c>
      <c r="P67" s="22"/>
      <c r="Q67" s="31"/>
    </row>
    <row r="68" spans="1:17" ht="15" customHeight="1">
      <c r="A68" s="32" t="s">
        <v>229</v>
      </c>
      <c r="B68" s="33" t="s">
        <v>230</v>
      </c>
      <c r="C68" s="34" t="s">
        <v>179</v>
      </c>
      <c r="D68" s="35" t="str">
        <f>IFERROR(INDEX([1]M_User!$A$12:$J$67,MATCH(C68,[1]M_User!$D$12:$D$67,0),3),"UNMAPPED")</f>
        <v>Meshack  Jeremiah</v>
      </c>
      <c r="E68" s="36" t="str">
        <f>IFERROR(INDEX([1]M_User!$A$12:$J$67,MATCH(C68,[1]M_User!$D$12:$D$67,0),5),"UNMAPPED")</f>
        <v>MOS</v>
      </c>
      <c r="F68" s="34" t="s">
        <v>117</v>
      </c>
      <c r="G68" s="35" t="str">
        <f>IFERROR(INDEX([1]M_SKU!$A$18:$J$57,MATCH(F68,[1]M_SKU!$B$18:$B$57,0),1),"UNKNOWN SKU")</f>
        <v>Fanta Orange Pet 500ML ( x 12)</v>
      </c>
      <c r="H68" s="34" t="s">
        <v>231</v>
      </c>
      <c r="I68" s="37">
        <f>IFERROR(INDEX([1]T_Unload!$K$10:$K$433,MATCH(B68,[1]T_Unload!$B$10:$B$433,0)),0)</f>
        <v>5</v>
      </c>
      <c r="J68" s="26">
        <v>5</v>
      </c>
      <c r="K68" s="38">
        <f t="shared" si="0"/>
        <v>0</v>
      </c>
      <c r="L68" s="39" t="str">
        <f t="shared" si="1"/>
        <v>CLEAN</v>
      </c>
      <c r="M68" s="40">
        <f t="shared" si="2"/>
        <v>0</v>
      </c>
      <c r="N68" s="40">
        <f t="shared" si="3"/>
        <v>0</v>
      </c>
      <c r="O68" s="41" t="s">
        <v>38</v>
      </c>
      <c r="P68" s="42"/>
      <c r="Q68" s="43"/>
    </row>
    <row r="69" spans="1:17" ht="15" customHeight="1">
      <c r="A69" s="20" t="s">
        <v>232</v>
      </c>
      <c r="B69" s="21" t="s">
        <v>233</v>
      </c>
      <c r="C69" s="22" t="s">
        <v>179</v>
      </c>
      <c r="D69" s="23" t="str">
        <f>IFERROR(INDEX([1]M_User!$A$12:$J$67,MATCH(C69,[1]M_User!$D$12:$D$67,0),3),"UNMAPPED")</f>
        <v>Meshack  Jeremiah</v>
      </c>
      <c r="E69" s="24" t="str">
        <f>IFERROR(INDEX([1]M_User!$A$12:$J$67,MATCH(C69,[1]M_User!$D$12:$D$67,0),5),"UNMAPPED")</f>
        <v>MOS</v>
      </c>
      <c r="F69" s="22" t="s">
        <v>121</v>
      </c>
      <c r="G69" s="23" t="str">
        <f>IFERROR(INDEX([1]M_SKU!$A$18:$J$57,MATCH(F69,[1]M_SKU!$B$18:$B$57,0),1),"UNKNOWN SKU")</f>
        <v>Fanta Passion Pet 500ML ( x12)</v>
      </c>
      <c r="H69" s="22" t="s">
        <v>234</v>
      </c>
      <c r="I69" s="25">
        <f>IFERROR(INDEX([1]T_Unload!$K$10:$K$433,MATCH(B69,[1]T_Unload!$B$10:$B$433,0)),0)</f>
        <v>2</v>
      </c>
      <c r="J69" s="26">
        <v>2</v>
      </c>
      <c r="K69" s="27">
        <f t="shared" si="0"/>
        <v>0</v>
      </c>
      <c r="L69" s="28" t="str">
        <f t="shared" si="1"/>
        <v>CLEAN</v>
      </c>
      <c r="M69" s="29">
        <f t="shared" si="2"/>
        <v>0</v>
      </c>
      <c r="N69" s="29">
        <f t="shared" si="3"/>
        <v>0</v>
      </c>
      <c r="O69" s="30" t="s">
        <v>38</v>
      </c>
      <c r="P69" s="22"/>
      <c r="Q69" s="31"/>
    </row>
    <row r="70" spans="1:17" ht="15" customHeight="1">
      <c r="A70" s="32" t="s">
        <v>235</v>
      </c>
      <c r="B70" s="33" t="s">
        <v>236</v>
      </c>
      <c r="C70" s="34" t="s">
        <v>179</v>
      </c>
      <c r="D70" s="35" t="str">
        <f>IFERROR(INDEX([1]M_User!$A$12:$J$67,MATCH(C70,[1]M_User!$D$12:$D$67,0),3),"UNMAPPED")</f>
        <v>Meshack  Jeremiah</v>
      </c>
      <c r="E70" s="36" t="str">
        <f>IFERROR(INDEX([1]M_User!$A$12:$J$67,MATCH(C70,[1]M_User!$D$12:$D$67,0),5),"UNMAPPED")</f>
        <v>MOS</v>
      </c>
      <c r="F70" s="34" t="s">
        <v>133</v>
      </c>
      <c r="G70" s="35" t="str">
        <f>IFERROR(INDEX([1]M_SKU!$A$18:$J$57,MATCH(F70,[1]M_SKU!$B$18:$B$57,0),1),"UNKNOWN SKU")</f>
        <v>Stoney Tangawizi Pet 500 ml ( x12)</v>
      </c>
      <c r="H70" s="34" t="s">
        <v>237</v>
      </c>
      <c r="I70" s="37">
        <f>IFERROR(INDEX([1]T_Unload!$K$10:$K$433,MATCH(B70,[1]T_Unload!$B$10:$B$433,0)),0)</f>
        <v>1</v>
      </c>
      <c r="J70" s="26">
        <v>1</v>
      </c>
      <c r="K70" s="38">
        <f t="shared" si="0"/>
        <v>0</v>
      </c>
      <c r="L70" s="39" t="str">
        <f t="shared" si="1"/>
        <v>CLEAN</v>
      </c>
      <c r="M70" s="40">
        <f t="shared" si="2"/>
        <v>0</v>
      </c>
      <c r="N70" s="40">
        <f t="shared" si="3"/>
        <v>0</v>
      </c>
      <c r="O70" s="41" t="s">
        <v>38</v>
      </c>
      <c r="P70" s="42"/>
      <c r="Q70" s="43"/>
    </row>
    <row r="71" spans="1:17" ht="15" customHeight="1">
      <c r="A71" s="20" t="s">
        <v>238</v>
      </c>
      <c r="B71" s="21" t="s">
        <v>239</v>
      </c>
      <c r="C71" s="22" t="s">
        <v>179</v>
      </c>
      <c r="D71" s="23" t="str">
        <f>IFERROR(INDEX([1]M_User!$A$12:$J$67,MATCH(C71,[1]M_User!$D$12:$D$67,0),3),"UNMAPPED")</f>
        <v>Meshack  Jeremiah</v>
      </c>
      <c r="E71" s="24" t="str">
        <f>IFERROR(INDEX([1]M_User!$A$12:$J$67,MATCH(C71,[1]M_User!$D$12:$D$67,0),5),"UNMAPPED")</f>
        <v>MOS</v>
      </c>
      <c r="F71" s="22" t="s">
        <v>137</v>
      </c>
      <c r="G71" s="23" t="str">
        <f>IFERROR(INDEX([1]M_SKU!$A$18:$J$57,MATCH(F71,[1]M_SKU!$B$18:$B$57,0),1),"UNKNOWN SKU")</f>
        <v>Sparletta Pinenut Pet 500 ml ( x12)</v>
      </c>
      <c r="H71" s="22" t="s">
        <v>240</v>
      </c>
      <c r="I71" s="25">
        <f>IFERROR(INDEX([1]T_Unload!$K$10:$K$433,MATCH(B71,[1]T_Unload!$B$10:$B$433,0)),0)</f>
        <v>0</v>
      </c>
      <c r="J71" s="26">
        <v>0</v>
      </c>
      <c r="K71" s="27">
        <f t="shared" si="0"/>
        <v>0</v>
      </c>
      <c r="L71" s="28" t="str">
        <f t="shared" si="1"/>
        <v>CLEAN</v>
      </c>
      <c r="M71" s="29">
        <f t="shared" si="2"/>
        <v>0</v>
      </c>
      <c r="N71" s="29">
        <f t="shared" si="3"/>
        <v>0</v>
      </c>
      <c r="O71" s="30" t="s">
        <v>38</v>
      </c>
      <c r="P71" s="22"/>
      <c r="Q71" s="31"/>
    </row>
    <row r="72" spans="1:17" ht="15" customHeight="1">
      <c r="A72" s="32" t="s">
        <v>241</v>
      </c>
      <c r="B72" s="33" t="s">
        <v>242</v>
      </c>
      <c r="C72" s="34" t="s">
        <v>179</v>
      </c>
      <c r="D72" s="35" t="str">
        <f>IFERROR(INDEX([1]M_User!$A$12:$J$67,MATCH(C72,[1]M_User!$D$12:$D$67,0),3),"UNMAPPED")</f>
        <v>Meshack  Jeremiah</v>
      </c>
      <c r="E72" s="36" t="str">
        <f>IFERROR(INDEX([1]M_User!$A$12:$J$67,MATCH(C72,[1]M_User!$D$12:$D$67,0),5),"UNMAPPED")</f>
        <v>MOS</v>
      </c>
      <c r="F72" s="34" t="s">
        <v>243</v>
      </c>
      <c r="G72" s="35" t="str">
        <f>IFERROR(INDEX([1]M_SKU!$A$18:$J$57,MATCH(F72,[1]M_SKU!$B$18:$B$57,0),1),"UNKNOWN SKU")</f>
        <v>Sprite Zero Pet 300ML (x 12)</v>
      </c>
      <c r="H72" s="34" t="s">
        <v>244</v>
      </c>
      <c r="I72" s="37">
        <f>IFERROR(INDEX([1]T_Unload!$K$10:$K$433,MATCH(B72,[1]T_Unload!$B$10:$B$433,0)),0)</f>
        <v>1</v>
      </c>
      <c r="J72" s="26">
        <v>1</v>
      </c>
      <c r="K72" s="38">
        <f t="shared" si="0"/>
        <v>0</v>
      </c>
      <c r="L72" s="39" t="str">
        <f t="shared" si="1"/>
        <v>CLEAN</v>
      </c>
      <c r="M72" s="40">
        <f t="shared" si="2"/>
        <v>0</v>
      </c>
      <c r="N72" s="40">
        <f t="shared" si="3"/>
        <v>0</v>
      </c>
      <c r="O72" s="41" t="s">
        <v>38</v>
      </c>
      <c r="P72" s="42"/>
      <c r="Q72" s="43"/>
    </row>
    <row r="73" spans="1:17" ht="15" customHeight="1">
      <c r="A73" s="20" t="s">
        <v>245</v>
      </c>
      <c r="B73" s="21" t="s">
        <v>246</v>
      </c>
      <c r="C73" s="22" t="s">
        <v>179</v>
      </c>
      <c r="D73" s="23" t="str">
        <f>IFERROR(INDEX([1]M_User!$A$12:$J$67,MATCH(C73,[1]M_User!$D$12:$D$67,0),3),"UNMAPPED")</f>
        <v>Meshack  Jeremiah</v>
      </c>
      <c r="E73" s="24" t="str">
        <f>IFERROR(INDEX([1]M_User!$A$12:$J$67,MATCH(C73,[1]M_User!$D$12:$D$67,0),5),"UNMAPPED")</f>
        <v>MOS</v>
      </c>
      <c r="F73" s="22" t="s">
        <v>148</v>
      </c>
      <c r="G73" s="23" t="str">
        <f>IFERROR(INDEX([1]M_SKU!$A$18:$J$57,MATCH(F73,[1]M_SKU!$B$18:$B$57,0),1),"UNKNOWN SKU")</f>
        <v>Fanta Zero Pet 300ML (x 12)</v>
      </c>
      <c r="H73" s="22" t="s">
        <v>149</v>
      </c>
      <c r="I73" s="25">
        <f>IFERROR(INDEX([1]T_Unload!$K$10:$K$433,MATCH(B73,[1]T_Unload!$B$10:$B$433,0)),0)</f>
        <v>1</v>
      </c>
      <c r="J73" s="26">
        <v>1</v>
      </c>
      <c r="K73" s="27">
        <f t="shared" si="0"/>
        <v>0</v>
      </c>
      <c r="L73" s="28" t="str">
        <f t="shared" si="1"/>
        <v>CLEAN</v>
      </c>
      <c r="M73" s="29">
        <f t="shared" si="2"/>
        <v>0</v>
      </c>
      <c r="N73" s="29">
        <f t="shared" si="3"/>
        <v>0</v>
      </c>
      <c r="O73" s="30" t="s">
        <v>38</v>
      </c>
      <c r="P73" s="22"/>
      <c r="Q73" s="31"/>
    </row>
    <row r="74" spans="1:17" ht="15" customHeight="1">
      <c r="A74" s="32" t="s">
        <v>247</v>
      </c>
      <c r="B74" s="33" t="s">
        <v>248</v>
      </c>
      <c r="C74" s="34" t="s">
        <v>179</v>
      </c>
      <c r="D74" s="35" t="str">
        <f>IFERROR(INDEX([1]M_User!$A$12:$J$67,MATCH(C74,[1]M_User!$D$12:$D$67,0),3),"UNMAPPED")</f>
        <v>Meshack  Jeremiah</v>
      </c>
      <c r="E74" s="36" t="str">
        <f>IFERROR(INDEX([1]M_User!$A$12:$J$67,MATCH(C74,[1]M_User!$D$12:$D$67,0),5),"UNMAPPED")</f>
        <v>MOS</v>
      </c>
      <c r="F74" s="34" t="s">
        <v>160</v>
      </c>
      <c r="G74" s="35" t="str">
        <f>IFERROR(INDEX([1]M_SKU!$A$18:$J$57,MATCH(F74,[1]M_SKU!$B$18:$B$57,0),1),"UNKNOWN SKU")</f>
        <v>Sparletta Pine Apple Pet 300ML (x 12)</v>
      </c>
      <c r="H74" s="34" t="s">
        <v>161</v>
      </c>
      <c r="I74" s="37">
        <f>IFERROR(INDEX([1]T_Unload!$K$10:$K$433,MATCH(B74,[1]T_Unload!$B$10:$B$433,0)),0)</f>
        <v>1</v>
      </c>
      <c r="J74" s="26">
        <v>1</v>
      </c>
      <c r="K74" s="38">
        <f t="shared" si="0"/>
        <v>0</v>
      </c>
      <c r="L74" s="39" t="str">
        <f t="shared" si="1"/>
        <v>CLEAN</v>
      </c>
      <c r="M74" s="40">
        <f t="shared" si="2"/>
        <v>0</v>
      </c>
      <c r="N74" s="40">
        <f t="shared" si="3"/>
        <v>0</v>
      </c>
      <c r="O74" s="41" t="s">
        <v>38</v>
      </c>
      <c r="P74" s="42"/>
      <c r="Q74" s="43"/>
    </row>
    <row r="75" spans="1:17" ht="15" customHeight="1">
      <c r="A75" s="20" t="s">
        <v>249</v>
      </c>
      <c r="B75" s="21" t="s">
        <v>250</v>
      </c>
      <c r="C75" s="22" t="s">
        <v>251</v>
      </c>
      <c r="D75" s="23" t="str">
        <f>IFERROR(INDEX([1]M_User!$A$12:$J$67,MATCH(C75,[1]M_User!$D$12:$D$67,0),3),"UNMAPPED")</f>
        <v>Zefania Julius Ngoma</v>
      </c>
      <c r="E75" s="24" t="str">
        <f>IFERROR(INDEX([1]M_User!$A$12:$J$67,MATCH(C75,[1]M_User!$D$12:$D$67,0),5),"UNMAPPED")</f>
        <v>MOS</v>
      </c>
      <c r="F75" s="22" t="s">
        <v>36</v>
      </c>
      <c r="G75" s="23" t="str">
        <f>IFERROR(INDEX([1]M_SKU!$A$18:$J$57,MATCH(F75,[1]M_SKU!$B$18:$B$57,0),1),"UNKNOWN SKU")</f>
        <v>Coke RGB 350ml</v>
      </c>
      <c r="H75" s="22" t="s">
        <v>180</v>
      </c>
      <c r="I75" s="25">
        <f>IFERROR(INDEX([1]T_Unload!$K$10:$K$433,MATCH(B75,[1]T_Unload!$B$10:$B$433,0)),0)</f>
        <v>4.6269772791369945</v>
      </c>
      <c r="J75" s="26">
        <v>4.63</v>
      </c>
      <c r="K75" s="27">
        <f t="shared" si="0"/>
        <v>-3.0227208630053681E-3</v>
      </c>
      <c r="L75" s="28" t="str">
        <f t="shared" si="1"/>
        <v>Adjust Unload Upward</v>
      </c>
      <c r="M75" s="29">
        <f t="shared" si="2"/>
        <v>0</v>
      </c>
      <c r="N75" s="29">
        <f t="shared" si="3"/>
        <v>3.0227208630053681E-3</v>
      </c>
      <c r="O75" s="30" t="s">
        <v>38</v>
      </c>
      <c r="P75" s="22"/>
      <c r="Q75" s="31"/>
    </row>
    <row r="76" spans="1:17" ht="15" customHeight="1">
      <c r="A76" s="32" t="s">
        <v>252</v>
      </c>
      <c r="B76" s="33" t="s">
        <v>253</v>
      </c>
      <c r="C76" s="34" t="s">
        <v>251</v>
      </c>
      <c r="D76" s="35" t="str">
        <f>IFERROR(INDEX([1]M_User!$A$12:$J$67,MATCH(C76,[1]M_User!$D$12:$D$67,0),3),"UNMAPPED")</f>
        <v>Zefania Julius Ngoma</v>
      </c>
      <c r="E76" s="36" t="str">
        <f>IFERROR(INDEX([1]M_User!$A$12:$J$67,MATCH(C76,[1]M_User!$D$12:$D$67,0),5),"UNMAPPED")</f>
        <v>MOS</v>
      </c>
      <c r="F76" s="34" t="s">
        <v>41</v>
      </c>
      <c r="G76" s="35" t="str">
        <f>IFERROR(INDEX([1]M_SKU!$A$18:$J$57,MATCH(F76,[1]M_SKU!$B$18:$B$57,0),1),"UNKNOWN SKU")</f>
        <v>Fanta Orange RGB 350ml</v>
      </c>
      <c r="H76" s="34" t="s">
        <v>183</v>
      </c>
      <c r="I76" s="37">
        <f>IFERROR(INDEX([1]T_Unload!$K$10:$K$433,MATCH(B76,[1]T_Unload!$B$10:$B$433,0)),0)</f>
        <v>1.4651407136145504</v>
      </c>
      <c r="J76" s="26">
        <v>1.47</v>
      </c>
      <c r="K76" s="38">
        <f t="shared" si="0"/>
        <v>-4.8592863854495238E-3</v>
      </c>
      <c r="L76" s="39" t="str">
        <f t="shared" si="1"/>
        <v>Adjust Unload Upward</v>
      </c>
      <c r="M76" s="40">
        <f t="shared" si="2"/>
        <v>0</v>
      </c>
      <c r="N76" s="40">
        <f t="shared" si="3"/>
        <v>4.8592863854495238E-3</v>
      </c>
      <c r="O76" s="41" t="s">
        <v>38</v>
      </c>
      <c r="P76" s="42"/>
      <c r="Q76" s="43"/>
    </row>
    <row r="77" spans="1:17" ht="15" customHeight="1">
      <c r="A77" s="20" t="s">
        <v>254</v>
      </c>
      <c r="B77" s="21" t="s">
        <v>255</v>
      </c>
      <c r="C77" s="22" t="s">
        <v>251</v>
      </c>
      <c r="D77" s="23" t="str">
        <f>IFERROR(INDEX([1]M_User!$A$12:$J$67,MATCH(C77,[1]M_User!$D$12:$D$67,0),3),"UNMAPPED")</f>
        <v>Zefania Julius Ngoma</v>
      </c>
      <c r="E77" s="24" t="str">
        <f>IFERROR(INDEX([1]M_User!$A$12:$J$67,MATCH(C77,[1]M_User!$D$12:$D$67,0),5),"UNMAPPED")</f>
        <v>MOS</v>
      </c>
      <c r="F77" s="22" t="s">
        <v>45</v>
      </c>
      <c r="G77" s="23" t="str">
        <f>IFERROR(INDEX([1]M_SKU!$A$18:$J$57,MATCH(F77,[1]M_SKU!$B$18:$B$57,0),1),"UNKNOWN SKU")</f>
        <v>Fanta Passion RGB 350ml</v>
      </c>
      <c r="H77" s="22" t="s">
        <v>186</v>
      </c>
      <c r="I77" s="25">
        <f>IFERROR(INDEX([1]T_Unload!$K$10:$K$433,MATCH(B77,[1]T_Unload!$B$10:$B$433,0)),0)</f>
        <v>1.0465054067095503</v>
      </c>
      <c r="J77" s="26">
        <v>1.05</v>
      </c>
      <c r="K77" s="27">
        <f t="shared" ref="K77:K140" si="4">IF(ISBLANK(J77),"",I77-J77)</f>
        <v>-3.4945932904497656E-3</v>
      </c>
      <c r="L77" s="28" t="str">
        <f t="shared" ref="L77:L140" si="5">IF(K77="","Awaiting Verification",IF(ABS(K77)&lt;0.0001,"CLEAN",IF(K77&gt;0,"Post to Default Outlet","Adjust Unload Upward")))</f>
        <v>Adjust Unload Upward</v>
      </c>
      <c r="M77" s="29">
        <f t="shared" ref="M77:M140" si="6">IF(AND(ISNUMBER(K77),K77&gt;0.0001),K77,0)</f>
        <v>0</v>
      </c>
      <c r="N77" s="29">
        <f t="shared" ref="N77:N140" si="7">IF(AND(ISNUMBER(K77),K77&lt;-0.0001),-K77,0)</f>
        <v>3.4945932904497656E-3</v>
      </c>
      <c r="O77" s="30" t="s">
        <v>38</v>
      </c>
      <c r="P77" s="22"/>
      <c r="Q77" s="31"/>
    </row>
    <row r="78" spans="1:17" ht="15" customHeight="1">
      <c r="A78" s="32" t="s">
        <v>256</v>
      </c>
      <c r="B78" s="33" t="s">
        <v>257</v>
      </c>
      <c r="C78" s="34" t="s">
        <v>251</v>
      </c>
      <c r="D78" s="35" t="str">
        <f>IFERROR(INDEX([1]M_User!$A$12:$J$67,MATCH(C78,[1]M_User!$D$12:$D$67,0),3),"UNMAPPED")</f>
        <v>Zefania Julius Ngoma</v>
      </c>
      <c r="E78" s="36" t="str">
        <f>IFERROR(INDEX([1]M_User!$A$12:$J$67,MATCH(C78,[1]M_User!$D$12:$D$67,0),5),"UNMAPPED")</f>
        <v>MOS</v>
      </c>
      <c r="F78" s="34" t="s">
        <v>49</v>
      </c>
      <c r="G78" s="35" t="str">
        <f>IFERROR(INDEX([1]M_SKU!$A$18:$J$57,MATCH(F78,[1]M_SKU!$B$18:$B$57,0),1),"UNKNOWN SKU")</f>
        <v>Fanta Pineapple RGB 350ml</v>
      </c>
      <c r="H78" s="34" t="s">
        <v>189</v>
      </c>
      <c r="I78" s="37">
        <f>IFERROR(INDEX([1]T_Unload!$K$10:$K$433,MATCH(B78,[1]T_Unload!$B$10:$B$433,0)),0)</f>
        <v>1.6031459237547914</v>
      </c>
      <c r="J78" s="26">
        <v>1.6</v>
      </c>
      <c r="K78" s="38">
        <f t="shared" si="4"/>
        <v>3.1459237547912799E-3</v>
      </c>
      <c r="L78" s="39" t="str">
        <f t="shared" si="5"/>
        <v>Post to Default Outlet</v>
      </c>
      <c r="M78" s="40">
        <f t="shared" si="6"/>
        <v>3.1459237547912799E-3</v>
      </c>
      <c r="N78" s="40">
        <f t="shared" si="7"/>
        <v>0</v>
      </c>
      <c r="O78" s="41" t="s">
        <v>38</v>
      </c>
      <c r="P78" s="42"/>
      <c r="Q78" s="43"/>
    </row>
    <row r="79" spans="1:17" ht="15" customHeight="1">
      <c r="A79" s="20" t="s">
        <v>258</v>
      </c>
      <c r="B79" s="21" t="s">
        <v>259</v>
      </c>
      <c r="C79" s="22" t="s">
        <v>251</v>
      </c>
      <c r="D79" s="23" t="str">
        <f>IFERROR(INDEX([1]M_User!$A$12:$J$67,MATCH(C79,[1]M_User!$D$12:$D$67,0),3),"UNMAPPED")</f>
        <v>Zefania Julius Ngoma</v>
      </c>
      <c r="E79" s="24" t="str">
        <f>IFERROR(INDEX([1]M_User!$A$12:$J$67,MATCH(C79,[1]M_User!$D$12:$D$67,0),5),"UNMAPPED")</f>
        <v>MOS</v>
      </c>
      <c r="F79" s="22" t="s">
        <v>192</v>
      </c>
      <c r="G79" s="23" t="str">
        <f>IFERROR(INDEX([1]M_SKU!$A$18:$J$57,MATCH(F79,[1]M_SKU!$B$18:$B$57,0),1),"UNKNOWN SKU")</f>
        <v>Fanta Fruit Blast RGB 350 ml</v>
      </c>
      <c r="H79" s="22" t="s">
        <v>193</v>
      </c>
      <c r="I79" s="25">
        <f>IFERROR(INDEX([1]T_Unload!$K$10:$K$433,MATCH(B79,[1]T_Unload!$B$10:$B$433,0)),0)</f>
        <v>0.52433526580482059</v>
      </c>
      <c r="J79" s="26">
        <v>0.52</v>
      </c>
      <c r="K79" s="27">
        <f t="shared" si="4"/>
        <v>4.3352658048205761E-3</v>
      </c>
      <c r="L79" s="28" t="str">
        <f t="shared" si="5"/>
        <v>Post to Default Outlet</v>
      </c>
      <c r="M79" s="29">
        <f t="shared" si="6"/>
        <v>4.3352658048205761E-3</v>
      </c>
      <c r="N79" s="29">
        <f t="shared" si="7"/>
        <v>0</v>
      </c>
      <c r="O79" s="30" t="s">
        <v>38</v>
      </c>
      <c r="P79" s="22"/>
      <c r="Q79" s="31"/>
    </row>
    <row r="80" spans="1:17" ht="15" customHeight="1">
      <c r="A80" s="32" t="s">
        <v>260</v>
      </c>
      <c r="B80" s="33" t="s">
        <v>261</v>
      </c>
      <c r="C80" s="34" t="s">
        <v>251</v>
      </c>
      <c r="D80" s="35" t="str">
        <f>IFERROR(INDEX([1]M_User!$A$12:$J$67,MATCH(C80,[1]M_User!$D$12:$D$67,0),3),"UNMAPPED")</f>
        <v>Zefania Julius Ngoma</v>
      </c>
      <c r="E80" s="36" t="str">
        <f>IFERROR(INDEX([1]M_User!$A$12:$J$67,MATCH(C80,[1]M_User!$D$12:$D$67,0),5),"UNMAPPED")</f>
        <v>MOS</v>
      </c>
      <c r="F80" s="34" t="s">
        <v>53</v>
      </c>
      <c r="G80" s="35" t="str">
        <f>IFERROR(INDEX([1]M_SKU!$A$18:$J$57,MATCH(F80,[1]M_SKU!$B$18:$B$57,0),1),"UNKNOWN SKU")</f>
        <v>Sprite 350ml</v>
      </c>
      <c r="H80" s="34" t="s">
        <v>196</v>
      </c>
      <c r="I80" s="37">
        <f>IFERROR(INDEX([1]T_Unload!$K$10:$K$433,MATCH(B80,[1]T_Unload!$B$10:$B$433,0)),0)</f>
        <v>1.122669237985729</v>
      </c>
      <c r="J80" s="26">
        <v>1.1200000000000001</v>
      </c>
      <c r="K80" s="38">
        <f t="shared" si="4"/>
        <v>2.6692379857289339E-3</v>
      </c>
      <c r="L80" s="39" t="str">
        <f t="shared" si="5"/>
        <v>Post to Default Outlet</v>
      </c>
      <c r="M80" s="40">
        <f t="shared" si="6"/>
        <v>2.6692379857289339E-3</v>
      </c>
      <c r="N80" s="40">
        <f t="shared" si="7"/>
        <v>0</v>
      </c>
      <c r="O80" s="41" t="s">
        <v>38</v>
      </c>
      <c r="P80" s="42"/>
      <c r="Q80" s="43"/>
    </row>
    <row r="81" spans="1:17" ht="15" customHeight="1">
      <c r="A81" s="20" t="s">
        <v>262</v>
      </c>
      <c r="B81" s="21" t="s">
        <v>263</v>
      </c>
      <c r="C81" s="22" t="s">
        <v>251</v>
      </c>
      <c r="D81" s="23" t="str">
        <f>IFERROR(INDEX([1]M_User!$A$12:$J$67,MATCH(C81,[1]M_User!$D$12:$D$67,0),3),"UNMAPPED")</f>
        <v>Zefania Julius Ngoma</v>
      </c>
      <c r="E81" s="24" t="str">
        <f>IFERROR(INDEX([1]M_User!$A$12:$J$67,MATCH(C81,[1]M_User!$D$12:$D$67,0),5),"UNMAPPED")</f>
        <v>MOS</v>
      </c>
      <c r="F81" s="22" t="s">
        <v>199</v>
      </c>
      <c r="G81" s="23" t="str">
        <f>IFERROR(INDEX([1]M_SKU!$A$18:$J$57,MATCH(F81,[1]M_SKU!$B$18:$B$57,0),1),"UNKNOWN SKU")</f>
        <v>Stoney Tangawizi RGB 350ml</v>
      </c>
      <c r="H81" s="22" t="s">
        <v>200</v>
      </c>
      <c r="I81" s="25">
        <f>IFERROR(INDEX([1]T_Unload!$K$10:$K$433,MATCH(B81,[1]T_Unload!$B$10:$B$433,0)),0)</f>
        <v>0.4195123231002702</v>
      </c>
      <c r="J81" s="26">
        <v>0.42</v>
      </c>
      <c r="K81" s="27">
        <f t="shared" si="4"/>
        <v>-4.8767689972978312E-4</v>
      </c>
      <c r="L81" s="28" t="str">
        <f t="shared" si="5"/>
        <v>Adjust Unload Upward</v>
      </c>
      <c r="M81" s="29">
        <f t="shared" si="6"/>
        <v>0</v>
      </c>
      <c r="N81" s="29">
        <f t="shared" si="7"/>
        <v>4.8767689972978312E-4</v>
      </c>
      <c r="O81" s="30" t="s">
        <v>38</v>
      </c>
      <c r="P81" s="22"/>
      <c r="Q81" s="31"/>
    </row>
    <row r="82" spans="1:17" ht="15" customHeight="1">
      <c r="A82" s="32" t="s">
        <v>264</v>
      </c>
      <c r="B82" s="33" t="s">
        <v>265</v>
      </c>
      <c r="C82" s="34" t="s">
        <v>251</v>
      </c>
      <c r="D82" s="35" t="str">
        <f>IFERROR(INDEX([1]M_User!$A$12:$J$67,MATCH(C82,[1]M_User!$D$12:$D$67,0),3),"UNMAPPED")</f>
        <v>Zefania Julius Ngoma</v>
      </c>
      <c r="E82" s="36" t="str">
        <f>IFERROR(INDEX([1]M_User!$A$12:$J$67,MATCH(C82,[1]M_User!$D$12:$D$67,0),5),"UNMAPPED")</f>
        <v>MOS</v>
      </c>
      <c r="F82" s="34" t="s">
        <v>203</v>
      </c>
      <c r="G82" s="35" t="str">
        <f>IFERROR(INDEX([1]M_SKU!$A$18:$J$57,MATCH(F82,[1]M_SKU!$B$18:$B$57,0),1),"UNKNOWN SKU")</f>
        <v>Sparletta Pinenut RGB 350ml</v>
      </c>
      <c r="H82" s="34" t="s">
        <v>204</v>
      </c>
      <c r="I82" s="37">
        <f>IFERROR(INDEX([1]T_Unload!$K$10:$K$433,MATCH(B82,[1]T_Unload!$B$10:$B$433,0)),0)</f>
        <v>0.40510742953635059</v>
      </c>
      <c r="J82" s="26">
        <v>0.41</v>
      </c>
      <c r="K82" s="38">
        <f t="shared" si="4"/>
        <v>-4.8925704636493816E-3</v>
      </c>
      <c r="L82" s="39" t="str">
        <f t="shared" si="5"/>
        <v>Adjust Unload Upward</v>
      </c>
      <c r="M82" s="40">
        <f t="shared" si="6"/>
        <v>0</v>
      </c>
      <c r="N82" s="40">
        <f t="shared" si="7"/>
        <v>4.8925704636493816E-3</v>
      </c>
      <c r="O82" s="41" t="s">
        <v>38</v>
      </c>
      <c r="P82" s="42"/>
      <c r="Q82" s="43"/>
    </row>
    <row r="83" spans="1:17" ht="15" customHeight="1">
      <c r="A83" s="20" t="s">
        <v>266</v>
      </c>
      <c r="B83" s="21" t="s">
        <v>267</v>
      </c>
      <c r="C83" s="22" t="s">
        <v>251</v>
      </c>
      <c r="D83" s="23" t="str">
        <f>IFERROR(INDEX([1]M_User!$A$12:$J$67,MATCH(C83,[1]M_User!$D$12:$D$67,0),3),"UNMAPPED")</f>
        <v>Zefania Julius Ngoma</v>
      </c>
      <c r="E83" s="24" t="str">
        <f>IFERROR(INDEX([1]M_User!$A$12:$J$67,MATCH(C83,[1]M_User!$D$12:$D$67,0),5),"UNMAPPED")</f>
        <v>MOS</v>
      </c>
      <c r="F83" s="22" t="s">
        <v>216</v>
      </c>
      <c r="G83" s="23" t="str">
        <f>IFERROR(INDEX([1]M_SKU!$A$18:$J$57,MATCH(F83,[1]M_SKU!$B$18:$B$57,0),1),"UNKNOWN SKU")</f>
        <v>Sparletta Red Apple RGB 350ml</v>
      </c>
      <c r="H83" s="22" t="s">
        <v>217</v>
      </c>
      <c r="I83" s="25">
        <f>IFERROR(INDEX([1]T_Unload!$K$10:$K$433,MATCH(B83,[1]T_Unload!$B$10:$B$433,0)),0)</f>
        <v>0.20690373718064614</v>
      </c>
      <c r="J83" s="26">
        <v>0.21</v>
      </c>
      <c r="K83" s="27">
        <f t="shared" si="4"/>
        <v>-3.0962628193538511E-3</v>
      </c>
      <c r="L83" s="28" t="str">
        <f t="shared" si="5"/>
        <v>Adjust Unload Upward</v>
      </c>
      <c r="M83" s="29">
        <f t="shared" si="6"/>
        <v>0</v>
      </c>
      <c r="N83" s="29">
        <f t="shared" si="7"/>
        <v>3.0962628193538511E-3</v>
      </c>
      <c r="O83" s="30" t="s">
        <v>38</v>
      </c>
      <c r="P83" s="22"/>
      <c r="Q83" s="31"/>
    </row>
    <row r="84" spans="1:17" ht="15" customHeight="1">
      <c r="A84" s="32" t="s">
        <v>268</v>
      </c>
      <c r="B84" s="33" t="s">
        <v>269</v>
      </c>
      <c r="C84" s="34" t="s">
        <v>251</v>
      </c>
      <c r="D84" s="35" t="str">
        <f>IFERROR(INDEX([1]M_User!$A$12:$J$67,MATCH(C84,[1]M_User!$D$12:$D$67,0),3),"UNMAPPED")</f>
        <v>Zefania Julius Ngoma</v>
      </c>
      <c r="E84" s="36" t="str">
        <f>IFERROR(INDEX([1]M_User!$A$12:$J$67,MATCH(C84,[1]M_User!$D$12:$D$67,0),5),"UNMAPPED")</f>
        <v>MOS</v>
      </c>
      <c r="F84" s="34" t="s">
        <v>73</v>
      </c>
      <c r="G84" s="35" t="str">
        <f>IFERROR(INDEX([1]M_SKU!$A$18:$J$57,MATCH(F84,[1]M_SKU!$B$18:$B$57,0),1),"UNKNOWN SKU")</f>
        <v>KNMW 500ml</v>
      </c>
      <c r="H84" s="34" t="s">
        <v>220</v>
      </c>
      <c r="I84" s="37">
        <f>IFERROR(INDEX([1]T_Unload!$K$10:$K$433,MATCH(B84,[1]T_Unload!$B$10:$B$433,0)),0)</f>
        <v>3</v>
      </c>
      <c r="J84" s="26">
        <v>3</v>
      </c>
      <c r="K84" s="38">
        <f t="shared" si="4"/>
        <v>0</v>
      </c>
      <c r="L84" s="39" t="str">
        <f t="shared" si="5"/>
        <v>CLEAN</v>
      </c>
      <c r="M84" s="40">
        <f t="shared" si="6"/>
        <v>0</v>
      </c>
      <c r="N84" s="40">
        <f t="shared" si="7"/>
        <v>0</v>
      </c>
      <c r="O84" s="41" t="s">
        <v>38</v>
      </c>
      <c r="P84" s="42"/>
      <c r="Q84" s="43"/>
    </row>
    <row r="85" spans="1:17" ht="15" customHeight="1">
      <c r="A85" s="20" t="s">
        <v>270</v>
      </c>
      <c r="B85" s="21" t="s">
        <v>271</v>
      </c>
      <c r="C85" s="22" t="s">
        <v>251</v>
      </c>
      <c r="D85" s="23" t="str">
        <f>IFERROR(INDEX([1]M_User!$A$12:$J$67,MATCH(C85,[1]M_User!$D$12:$D$67,0),3),"UNMAPPED")</f>
        <v>Zefania Julius Ngoma</v>
      </c>
      <c r="E85" s="24" t="str">
        <f>IFERROR(INDEX([1]M_User!$A$12:$J$67,MATCH(C85,[1]M_User!$D$12:$D$67,0),5),"UNMAPPED")</f>
        <v>MOS</v>
      </c>
      <c r="F85" s="22" t="s">
        <v>83</v>
      </c>
      <c r="G85" s="23" t="str">
        <f>IFERROR(INDEX([1]M_SKU!$A$18:$J$57,MATCH(F85,[1]M_SKU!$B$18:$B$57,0),1),"UNKNOWN SKU")</f>
        <v>KNMW 1500ml</v>
      </c>
      <c r="H85" s="22" t="s">
        <v>223</v>
      </c>
      <c r="I85" s="25">
        <f>IFERROR(INDEX([1]T_Unload!$K$10:$K$433,MATCH(B85,[1]T_Unload!$B$10:$B$433,0)),0)</f>
        <v>16</v>
      </c>
      <c r="J85" s="26">
        <v>16</v>
      </c>
      <c r="K85" s="27">
        <f t="shared" si="4"/>
        <v>0</v>
      </c>
      <c r="L85" s="28" t="str">
        <f t="shared" si="5"/>
        <v>CLEAN</v>
      </c>
      <c r="M85" s="29">
        <f t="shared" si="6"/>
        <v>0</v>
      </c>
      <c r="N85" s="29">
        <f t="shared" si="7"/>
        <v>0</v>
      </c>
      <c r="O85" s="30" t="s">
        <v>38</v>
      </c>
      <c r="P85" s="22"/>
      <c r="Q85" s="31"/>
    </row>
    <row r="86" spans="1:17" ht="15" customHeight="1">
      <c r="A86" s="32" t="s">
        <v>272</v>
      </c>
      <c r="B86" s="33" t="s">
        <v>273</v>
      </c>
      <c r="C86" s="34" t="s">
        <v>251</v>
      </c>
      <c r="D86" s="35" t="str">
        <f>IFERROR(INDEX([1]M_User!$A$12:$J$67,MATCH(C86,[1]M_User!$D$12:$D$67,0),3),"UNMAPPED")</f>
        <v>Zefania Julius Ngoma</v>
      </c>
      <c r="E86" s="36" t="str">
        <f>IFERROR(INDEX([1]M_User!$A$12:$J$67,MATCH(C86,[1]M_User!$D$12:$D$67,0),5),"UNMAPPED")</f>
        <v>MOS</v>
      </c>
      <c r="F86" s="34" t="s">
        <v>109</v>
      </c>
      <c r="G86" s="35" t="str">
        <f>IFERROR(INDEX([1]M_SKU!$A$18:$J$57,MATCH(F86,[1]M_SKU!$B$18:$B$57,0),1),"UNKNOWN SKU")</f>
        <v>Coke Pet 500ML ( x12)</v>
      </c>
      <c r="H86" s="34" t="s">
        <v>226</v>
      </c>
      <c r="I86" s="37">
        <f>IFERROR(INDEX([1]T_Unload!$K$10:$K$433,MATCH(B86,[1]T_Unload!$B$10:$B$433,0)),0)</f>
        <v>5</v>
      </c>
      <c r="J86" s="26">
        <v>5</v>
      </c>
      <c r="K86" s="38">
        <f t="shared" si="4"/>
        <v>0</v>
      </c>
      <c r="L86" s="39" t="str">
        <f t="shared" si="5"/>
        <v>CLEAN</v>
      </c>
      <c r="M86" s="40">
        <f t="shared" si="6"/>
        <v>0</v>
      </c>
      <c r="N86" s="40">
        <f t="shared" si="7"/>
        <v>0</v>
      </c>
      <c r="O86" s="41" t="s">
        <v>38</v>
      </c>
      <c r="P86" s="42"/>
      <c r="Q86" s="43"/>
    </row>
    <row r="87" spans="1:17" ht="15" customHeight="1">
      <c r="A87" s="20" t="s">
        <v>274</v>
      </c>
      <c r="B87" s="21" t="s">
        <v>275</v>
      </c>
      <c r="C87" s="22" t="s">
        <v>251</v>
      </c>
      <c r="D87" s="23" t="str">
        <f>IFERROR(INDEX([1]M_User!$A$12:$J$67,MATCH(C87,[1]M_User!$D$12:$D$67,0),3),"UNMAPPED")</f>
        <v>Zefania Julius Ngoma</v>
      </c>
      <c r="E87" s="24" t="str">
        <f>IFERROR(INDEX([1]M_User!$A$12:$J$67,MATCH(C87,[1]M_User!$D$12:$D$67,0),5),"UNMAPPED")</f>
        <v>MOS</v>
      </c>
      <c r="F87" s="22" t="s">
        <v>113</v>
      </c>
      <c r="G87" s="23" t="str">
        <f>IFERROR(INDEX([1]M_SKU!$A$18:$J$57,MATCH(F87,[1]M_SKU!$B$18:$B$57,0),1),"UNKNOWN SKU")</f>
        <v>Sprite Pet 500ML (x 12)</v>
      </c>
      <c r="H87" s="22" t="s">
        <v>114</v>
      </c>
      <c r="I87" s="25">
        <f>IFERROR(INDEX([1]T_Unload!$K$10:$K$433,MATCH(B87,[1]T_Unload!$B$10:$B$433,0)),0)</f>
        <v>1</v>
      </c>
      <c r="J87" s="26">
        <v>1</v>
      </c>
      <c r="K87" s="27">
        <f t="shared" si="4"/>
        <v>0</v>
      </c>
      <c r="L87" s="28" t="str">
        <f t="shared" si="5"/>
        <v>CLEAN</v>
      </c>
      <c r="M87" s="29">
        <f t="shared" si="6"/>
        <v>0</v>
      </c>
      <c r="N87" s="29">
        <f t="shared" si="7"/>
        <v>0</v>
      </c>
      <c r="O87" s="30" t="s">
        <v>38</v>
      </c>
      <c r="P87" s="22"/>
      <c r="Q87" s="31"/>
    </row>
    <row r="88" spans="1:17" ht="15" customHeight="1">
      <c r="A88" s="32" t="s">
        <v>276</v>
      </c>
      <c r="B88" s="33" t="s">
        <v>277</v>
      </c>
      <c r="C88" s="34" t="s">
        <v>251</v>
      </c>
      <c r="D88" s="35" t="str">
        <f>IFERROR(INDEX([1]M_User!$A$12:$J$67,MATCH(C88,[1]M_User!$D$12:$D$67,0),3),"UNMAPPED")</f>
        <v>Zefania Julius Ngoma</v>
      </c>
      <c r="E88" s="36" t="str">
        <f>IFERROR(INDEX([1]M_User!$A$12:$J$67,MATCH(C88,[1]M_User!$D$12:$D$67,0),5),"UNMAPPED")</f>
        <v>MOS</v>
      </c>
      <c r="F88" s="34" t="s">
        <v>117</v>
      </c>
      <c r="G88" s="35" t="str">
        <f>IFERROR(INDEX([1]M_SKU!$A$18:$J$57,MATCH(F88,[1]M_SKU!$B$18:$B$57,0),1),"UNKNOWN SKU")</f>
        <v>Fanta Orange Pet 500ML ( x 12)</v>
      </c>
      <c r="H88" s="34" t="s">
        <v>231</v>
      </c>
      <c r="I88" s="37">
        <f>IFERROR(INDEX([1]T_Unload!$K$10:$K$433,MATCH(B88,[1]T_Unload!$B$10:$B$433,0)),0)</f>
        <v>1</v>
      </c>
      <c r="J88" s="26">
        <v>1</v>
      </c>
      <c r="K88" s="38">
        <f t="shared" si="4"/>
        <v>0</v>
      </c>
      <c r="L88" s="39" t="str">
        <f t="shared" si="5"/>
        <v>CLEAN</v>
      </c>
      <c r="M88" s="40">
        <f t="shared" si="6"/>
        <v>0</v>
      </c>
      <c r="N88" s="40">
        <f t="shared" si="7"/>
        <v>0</v>
      </c>
      <c r="O88" s="41" t="s">
        <v>38</v>
      </c>
      <c r="P88" s="42"/>
      <c r="Q88" s="43"/>
    </row>
    <row r="89" spans="1:17" ht="15" customHeight="1">
      <c r="A89" s="20" t="s">
        <v>278</v>
      </c>
      <c r="B89" s="21" t="s">
        <v>279</v>
      </c>
      <c r="C89" s="22" t="s">
        <v>251</v>
      </c>
      <c r="D89" s="23" t="str">
        <f>IFERROR(INDEX([1]M_User!$A$12:$J$67,MATCH(C89,[1]M_User!$D$12:$D$67,0),3),"UNMAPPED")</f>
        <v>Zefania Julius Ngoma</v>
      </c>
      <c r="E89" s="24" t="str">
        <f>IFERROR(INDEX([1]M_User!$A$12:$J$67,MATCH(C89,[1]M_User!$D$12:$D$67,0),5),"UNMAPPED")</f>
        <v>MOS</v>
      </c>
      <c r="F89" s="22" t="s">
        <v>121</v>
      </c>
      <c r="G89" s="23" t="str">
        <f>IFERROR(INDEX([1]M_SKU!$A$18:$J$57,MATCH(F89,[1]M_SKU!$B$18:$B$57,0),1),"UNKNOWN SKU")</f>
        <v>Fanta Passion Pet 500ML ( x12)</v>
      </c>
      <c r="H89" s="22" t="s">
        <v>234</v>
      </c>
      <c r="I89" s="25">
        <f>IFERROR(INDEX([1]T_Unload!$K$10:$K$433,MATCH(B89,[1]T_Unload!$B$10:$B$433,0)),0)</f>
        <v>1</v>
      </c>
      <c r="J89" s="26">
        <v>1</v>
      </c>
      <c r="K89" s="27">
        <f t="shared" si="4"/>
        <v>0</v>
      </c>
      <c r="L89" s="28" t="str">
        <f t="shared" si="5"/>
        <v>CLEAN</v>
      </c>
      <c r="M89" s="29">
        <f t="shared" si="6"/>
        <v>0</v>
      </c>
      <c r="N89" s="29">
        <f t="shared" si="7"/>
        <v>0</v>
      </c>
      <c r="O89" s="30" t="s">
        <v>38</v>
      </c>
      <c r="P89" s="22"/>
      <c r="Q89" s="31"/>
    </row>
    <row r="90" spans="1:17" ht="15" customHeight="1">
      <c r="A90" s="32" t="s">
        <v>280</v>
      </c>
      <c r="B90" s="33" t="s">
        <v>281</v>
      </c>
      <c r="C90" s="34" t="s">
        <v>251</v>
      </c>
      <c r="D90" s="35" t="str">
        <f>IFERROR(INDEX([1]M_User!$A$12:$J$67,MATCH(C90,[1]M_User!$D$12:$D$67,0),3),"UNMAPPED")</f>
        <v>Zefania Julius Ngoma</v>
      </c>
      <c r="E90" s="36" t="str">
        <f>IFERROR(INDEX([1]M_User!$A$12:$J$67,MATCH(C90,[1]M_User!$D$12:$D$67,0),5),"UNMAPPED")</f>
        <v>MOS</v>
      </c>
      <c r="F90" s="34" t="s">
        <v>129</v>
      </c>
      <c r="G90" s="35" t="str">
        <f>IFERROR(INDEX([1]M_SKU!$A$18:$J$57,MATCH(F90,[1]M_SKU!$B$18:$B$57,0),1),"UNKNOWN SKU")</f>
        <v>Fanta Fruit Blast Pet 500ML (x12)</v>
      </c>
      <c r="H90" s="34" t="s">
        <v>282</v>
      </c>
      <c r="I90" s="37">
        <f>IFERROR(INDEX([1]T_Unload!$K$10:$K$433,MATCH(B90,[1]T_Unload!$B$10:$B$433,0)),0)</f>
        <v>0</v>
      </c>
      <c r="J90" s="26">
        <v>0</v>
      </c>
      <c r="K90" s="38">
        <f t="shared" si="4"/>
        <v>0</v>
      </c>
      <c r="L90" s="39" t="str">
        <f t="shared" si="5"/>
        <v>CLEAN</v>
      </c>
      <c r="M90" s="40">
        <f t="shared" si="6"/>
        <v>0</v>
      </c>
      <c r="N90" s="40">
        <f t="shared" si="7"/>
        <v>0</v>
      </c>
      <c r="O90" s="41" t="s">
        <v>38</v>
      </c>
      <c r="P90" s="42"/>
      <c r="Q90" s="43"/>
    </row>
    <row r="91" spans="1:17" ht="15" customHeight="1">
      <c r="A91" s="20" t="s">
        <v>283</v>
      </c>
      <c r="B91" s="21" t="s">
        <v>284</v>
      </c>
      <c r="C91" s="22" t="s">
        <v>251</v>
      </c>
      <c r="D91" s="23" t="str">
        <f>IFERROR(INDEX([1]M_User!$A$12:$J$67,MATCH(C91,[1]M_User!$D$12:$D$67,0),3),"UNMAPPED")</f>
        <v>Zefania Julius Ngoma</v>
      </c>
      <c r="E91" s="24" t="str">
        <f>IFERROR(INDEX([1]M_User!$A$12:$J$67,MATCH(C91,[1]M_User!$D$12:$D$67,0),5),"UNMAPPED")</f>
        <v>MOS</v>
      </c>
      <c r="F91" s="22" t="s">
        <v>133</v>
      </c>
      <c r="G91" s="23" t="str">
        <f>IFERROR(INDEX([1]M_SKU!$A$18:$J$57,MATCH(F91,[1]M_SKU!$B$18:$B$57,0),1),"UNKNOWN SKU")</f>
        <v>Stoney Tangawizi Pet 500 ml ( x12)</v>
      </c>
      <c r="H91" s="22" t="s">
        <v>237</v>
      </c>
      <c r="I91" s="25">
        <f>IFERROR(INDEX([1]T_Unload!$K$10:$K$433,MATCH(B91,[1]T_Unload!$B$10:$B$433,0)),0)</f>
        <v>0</v>
      </c>
      <c r="J91" s="26">
        <v>0</v>
      </c>
      <c r="K91" s="27">
        <f t="shared" si="4"/>
        <v>0</v>
      </c>
      <c r="L91" s="28" t="str">
        <f t="shared" si="5"/>
        <v>CLEAN</v>
      </c>
      <c r="M91" s="29">
        <f t="shared" si="6"/>
        <v>0</v>
      </c>
      <c r="N91" s="29">
        <f t="shared" si="7"/>
        <v>0</v>
      </c>
      <c r="O91" s="30" t="s">
        <v>38</v>
      </c>
      <c r="P91" s="22"/>
      <c r="Q91" s="31"/>
    </row>
    <row r="92" spans="1:17" ht="15" customHeight="1">
      <c r="A92" s="32" t="s">
        <v>285</v>
      </c>
      <c r="B92" s="33" t="s">
        <v>286</v>
      </c>
      <c r="C92" s="34" t="s">
        <v>287</v>
      </c>
      <c r="D92" s="35" t="str">
        <f>IFERROR(INDEX([1]M_User!$A$12:$J$67,MATCH(C92,[1]M_User!$D$12:$D$67,0),3),"UNMAPPED")</f>
        <v>Deodat Francis Materu</v>
      </c>
      <c r="E92" s="36" t="str">
        <f>IFERROR(INDEX([1]M_User!$A$12:$J$67,MATCH(C92,[1]M_User!$D$12:$D$67,0),5),"UNMAPPED")</f>
        <v>MOS</v>
      </c>
      <c r="F92" s="34" t="s">
        <v>36</v>
      </c>
      <c r="G92" s="35" t="str">
        <f>IFERROR(INDEX([1]M_SKU!$A$18:$J$57,MATCH(F92,[1]M_SKU!$B$18:$B$57,0),1),"UNKNOWN SKU")</f>
        <v>Coke RGB 350ml</v>
      </c>
      <c r="H92" s="34" t="s">
        <v>180</v>
      </c>
      <c r="I92" s="37">
        <f>IFERROR(INDEX([1]T_Unload!$K$10:$K$433,MATCH(B92,[1]T_Unload!$B$10:$B$433,0)),0)</f>
        <v>11.052566285592903</v>
      </c>
      <c r="J92" s="26">
        <v>11.05</v>
      </c>
      <c r="K92" s="38">
        <f t="shared" si="4"/>
        <v>2.5662855929020623E-3</v>
      </c>
      <c r="L92" s="39" t="str">
        <f t="shared" si="5"/>
        <v>Post to Default Outlet</v>
      </c>
      <c r="M92" s="40">
        <f t="shared" si="6"/>
        <v>2.5662855929020623E-3</v>
      </c>
      <c r="N92" s="40">
        <f t="shared" si="7"/>
        <v>0</v>
      </c>
      <c r="O92" s="41" t="s">
        <v>38</v>
      </c>
      <c r="P92" s="42"/>
      <c r="Q92" s="43"/>
    </row>
    <row r="93" spans="1:17" ht="15" customHeight="1">
      <c r="A93" s="20" t="s">
        <v>288</v>
      </c>
      <c r="B93" s="21" t="s">
        <v>289</v>
      </c>
      <c r="C93" s="22" t="s">
        <v>287</v>
      </c>
      <c r="D93" s="23" t="str">
        <f>IFERROR(INDEX([1]M_User!$A$12:$J$67,MATCH(C93,[1]M_User!$D$12:$D$67,0),3),"UNMAPPED")</f>
        <v>Deodat Francis Materu</v>
      </c>
      <c r="E93" s="24" t="str">
        <f>IFERROR(INDEX([1]M_User!$A$12:$J$67,MATCH(C93,[1]M_User!$D$12:$D$67,0),5),"UNMAPPED")</f>
        <v>MOS</v>
      </c>
      <c r="F93" s="22" t="s">
        <v>41</v>
      </c>
      <c r="G93" s="23" t="str">
        <f>IFERROR(INDEX([1]M_SKU!$A$18:$J$57,MATCH(F93,[1]M_SKU!$B$18:$B$57,0),1),"UNKNOWN SKU")</f>
        <v>Fanta Orange RGB 350ml</v>
      </c>
      <c r="H93" s="22" t="s">
        <v>183</v>
      </c>
      <c r="I93" s="25">
        <f>IFERROR(INDEX([1]T_Unload!$K$10:$K$433,MATCH(B93,[1]T_Unload!$B$10:$B$433,0)),0)</f>
        <v>7.2208738846469309</v>
      </c>
      <c r="J93" s="26">
        <v>7.22</v>
      </c>
      <c r="K93" s="27">
        <f t="shared" si="4"/>
        <v>8.7388464693116674E-4</v>
      </c>
      <c r="L93" s="28" t="str">
        <f t="shared" si="5"/>
        <v>Post to Default Outlet</v>
      </c>
      <c r="M93" s="29">
        <f t="shared" si="6"/>
        <v>8.7388464693116674E-4</v>
      </c>
      <c r="N93" s="29">
        <f t="shared" si="7"/>
        <v>0</v>
      </c>
      <c r="O93" s="30" t="s">
        <v>38</v>
      </c>
      <c r="P93" s="22"/>
      <c r="Q93" s="31"/>
    </row>
    <row r="94" spans="1:17" ht="15" customHeight="1">
      <c r="A94" s="32" t="s">
        <v>290</v>
      </c>
      <c r="B94" s="33" t="s">
        <v>291</v>
      </c>
      <c r="C94" s="34" t="s">
        <v>287</v>
      </c>
      <c r="D94" s="35" t="str">
        <f>IFERROR(INDEX([1]M_User!$A$12:$J$67,MATCH(C94,[1]M_User!$D$12:$D$67,0),3),"UNMAPPED")</f>
        <v>Deodat Francis Materu</v>
      </c>
      <c r="E94" s="36" t="str">
        <f>IFERROR(INDEX([1]M_User!$A$12:$J$67,MATCH(C94,[1]M_User!$D$12:$D$67,0),5),"UNMAPPED")</f>
        <v>MOS</v>
      </c>
      <c r="F94" s="34" t="s">
        <v>45</v>
      </c>
      <c r="G94" s="35" t="str">
        <f>IFERROR(INDEX([1]M_SKU!$A$18:$J$57,MATCH(F94,[1]M_SKU!$B$18:$B$57,0),1),"UNKNOWN SKU")</f>
        <v>Fanta Passion RGB 350ml</v>
      </c>
      <c r="H94" s="34" t="s">
        <v>186</v>
      </c>
      <c r="I94" s="37">
        <f>IFERROR(INDEX([1]T_Unload!$K$10:$K$433,MATCH(B94,[1]T_Unload!$B$10:$B$433,0)),0)</f>
        <v>2.9230781440552391</v>
      </c>
      <c r="J94" s="26">
        <v>2.92</v>
      </c>
      <c r="K94" s="38">
        <f t="shared" si="4"/>
        <v>3.078144055239207E-3</v>
      </c>
      <c r="L94" s="39" t="str">
        <f t="shared" si="5"/>
        <v>Post to Default Outlet</v>
      </c>
      <c r="M94" s="40">
        <f t="shared" si="6"/>
        <v>3.078144055239207E-3</v>
      </c>
      <c r="N94" s="40">
        <f t="shared" si="7"/>
        <v>0</v>
      </c>
      <c r="O94" s="41" t="s">
        <v>38</v>
      </c>
      <c r="P94" s="42"/>
      <c r="Q94" s="43"/>
    </row>
    <row r="95" spans="1:17" ht="15" customHeight="1">
      <c r="A95" s="20" t="s">
        <v>292</v>
      </c>
      <c r="B95" s="21" t="s">
        <v>293</v>
      </c>
      <c r="C95" s="22" t="s">
        <v>287</v>
      </c>
      <c r="D95" s="23" t="str">
        <f>IFERROR(INDEX([1]M_User!$A$12:$J$67,MATCH(C95,[1]M_User!$D$12:$D$67,0),3),"UNMAPPED")</f>
        <v>Deodat Francis Materu</v>
      </c>
      <c r="E95" s="24" t="str">
        <f>IFERROR(INDEX([1]M_User!$A$12:$J$67,MATCH(C95,[1]M_User!$D$12:$D$67,0),5),"UNMAPPED")</f>
        <v>MOS</v>
      </c>
      <c r="F95" s="22" t="s">
        <v>49</v>
      </c>
      <c r="G95" s="23" t="str">
        <f>IFERROR(INDEX([1]M_SKU!$A$18:$J$57,MATCH(F95,[1]M_SKU!$B$18:$B$57,0),1),"UNKNOWN SKU")</f>
        <v>Fanta Pineapple RGB 350ml</v>
      </c>
      <c r="H95" s="22" t="s">
        <v>189</v>
      </c>
      <c r="I95" s="25">
        <f>IFERROR(INDEX([1]T_Unload!$K$10:$K$433,MATCH(B95,[1]T_Unload!$B$10:$B$433,0)),0)</f>
        <v>1.2320751647645611</v>
      </c>
      <c r="J95" s="26">
        <v>1.23</v>
      </c>
      <c r="K95" s="27">
        <f t="shared" si="4"/>
        <v>2.0751647645611548E-3</v>
      </c>
      <c r="L95" s="28" t="str">
        <f t="shared" si="5"/>
        <v>Post to Default Outlet</v>
      </c>
      <c r="M95" s="29">
        <f t="shared" si="6"/>
        <v>2.0751647645611548E-3</v>
      </c>
      <c r="N95" s="29">
        <f t="shared" si="7"/>
        <v>0</v>
      </c>
      <c r="O95" s="30" t="s">
        <v>38</v>
      </c>
      <c r="P95" s="22"/>
      <c r="Q95" s="31"/>
    </row>
    <row r="96" spans="1:17" ht="15" customHeight="1">
      <c r="A96" s="32" t="s">
        <v>294</v>
      </c>
      <c r="B96" s="33" t="s">
        <v>295</v>
      </c>
      <c r="C96" s="34" t="s">
        <v>287</v>
      </c>
      <c r="D96" s="35" t="str">
        <f>IFERROR(INDEX([1]M_User!$A$12:$J$67,MATCH(C96,[1]M_User!$D$12:$D$67,0),3),"UNMAPPED")</f>
        <v>Deodat Francis Materu</v>
      </c>
      <c r="E96" s="36" t="str">
        <f>IFERROR(INDEX([1]M_User!$A$12:$J$67,MATCH(C96,[1]M_User!$D$12:$D$67,0),5),"UNMAPPED")</f>
        <v>MOS</v>
      </c>
      <c r="F96" s="34" t="s">
        <v>192</v>
      </c>
      <c r="G96" s="35" t="str">
        <f>IFERROR(INDEX([1]M_SKU!$A$18:$J$57,MATCH(F96,[1]M_SKU!$B$18:$B$57,0),1),"UNKNOWN SKU")</f>
        <v>Fanta Fruit Blast RGB 350 ml</v>
      </c>
      <c r="H96" s="34" t="s">
        <v>193</v>
      </c>
      <c r="I96" s="37">
        <f>IFERROR(INDEX([1]T_Unload!$K$10:$K$433,MATCH(B96,[1]T_Unload!$B$10:$B$433,0)),0)</f>
        <v>0.48548783693096009</v>
      </c>
      <c r="J96" s="26">
        <v>0.49</v>
      </c>
      <c r="K96" s="38">
        <f t="shared" si="4"/>
        <v>-4.5121630690398984E-3</v>
      </c>
      <c r="L96" s="39" t="str">
        <f t="shared" si="5"/>
        <v>Adjust Unload Upward</v>
      </c>
      <c r="M96" s="40">
        <f t="shared" si="6"/>
        <v>0</v>
      </c>
      <c r="N96" s="40">
        <f t="shared" si="7"/>
        <v>4.5121630690398984E-3</v>
      </c>
      <c r="O96" s="41" t="s">
        <v>38</v>
      </c>
      <c r="P96" s="42"/>
      <c r="Q96" s="43"/>
    </row>
    <row r="97" spans="1:17" ht="15" customHeight="1">
      <c r="A97" s="20" t="s">
        <v>296</v>
      </c>
      <c r="B97" s="21" t="s">
        <v>297</v>
      </c>
      <c r="C97" s="22" t="s">
        <v>287</v>
      </c>
      <c r="D97" s="23" t="str">
        <f>IFERROR(INDEX([1]M_User!$A$12:$J$67,MATCH(C97,[1]M_User!$D$12:$D$67,0),3),"UNMAPPED")</f>
        <v>Deodat Francis Materu</v>
      </c>
      <c r="E97" s="24" t="str">
        <f>IFERROR(INDEX([1]M_User!$A$12:$J$67,MATCH(C97,[1]M_User!$D$12:$D$67,0),5),"UNMAPPED")</f>
        <v>MOS</v>
      </c>
      <c r="F97" s="22" t="s">
        <v>53</v>
      </c>
      <c r="G97" s="23" t="str">
        <f>IFERROR(INDEX([1]M_SKU!$A$18:$J$57,MATCH(F97,[1]M_SKU!$B$18:$B$57,0),1),"UNKNOWN SKU")</f>
        <v>Sprite 350ml</v>
      </c>
      <c r="H97" s="22" t="s">
        <v>196</v>
      </c>
      <c r="I97" s="25">
        <f>IFERROR(INDEX([1]T_Unload!$K$10:$K$433,MATCH(B97,[1]T_Unload!$B$10:$B$433,0)),0)</f>
        <v>3.1213350871950212</v>
      </c>
      <c r="J97" s="26">
        <v>3.12</v>
      </c>
      <c r="K97" s="27">
        <f t="shared" si="4"/>
        <v>1.3350871950210674E-3</v>
      </c>
      <c r="L97" s="28" t="str">
        <f t="shared" si="5"/>
        <v>Post to Default Outlet</v>
      </c>
      <c r="M97" s="29">
        <f t="shared" si="6"/>
        <v>1.3350871950210674E-3</v>
      </c>
      <c r="N97" s="29">
        <f t="shared" si="7"/>
        <v>0</v>
      </c>
      <c r="O97" s="30" t="s">
        <v>38</v>
      </c>
      <c r="P97" s="22"/>
      <c r="Q97" s="31"/>
    </row>
    <row r="98" spans="1:17" ht="15" customHeight="1">
      <c r="A98" s="32" t="s">
        <v>298</v>
      </c>
      <c r="B98" s="33" t="s">
        <v>299</v>
      </c>
      <c r="C98" s="34" t="s">
        <v>287</v>
      </c>
      <c r="D98" s="35" t="str">
        <f>IFERROR(INDEX([1]M_User!$A$12:$J$67,MATCH(C98,[1]M_User!$D$12:$D$67,0),3),"UNMAPPED")</f>
        <v>Deodat Francis Materu</v>
      </c>
      <c r="E98" s="36" t="str">
        <f>IFERROR(INDEX([1]M_User!$A$12:$J$67,MATCH(C98,[1]M_User!$D$12:$D$67,0),5),"UNMAPPED")</f>
        <v>MOS</v>
      </c>
      <c r="F98" s="34" t="s">
        <v>199</v>
      </c>
      <c r="G98" s="35" t="str">
        <f>IFERROR(INDEX([1]M_SKU!$A$18:$J$57,MATCH(F98,[1]M_SKU!$B$18:$B$57,0),1),"UNKNOWN SKU")</f>
        <v>Stoney Tangawizi RGB 350ml</v>
      </c>
      <c r="H98" s="34" t="s">
        <v>200</v>
      </c>
      <c r="I98" s="37">
        <f>IFERROR(INDEX([1]T_Unload!$K$10:$K$433,MATCH(B98,[1]T_Unload!$B$10:$B$433,0)),0)</f>
        <v>0.99851186892785027</v>
      </c>
      <c r="J98" s="26">
        <v>1</v>
      </c>
      <c r="K98" s="38">
        <f t="shared" si="4"/>
        <v>-1.4881310721497343E-3</v>
      </c>
      <c r="L98" s="39" t="str">
        <f t="shared" si="5"/>
        <v>Adjust Unload Upward</v>
      </c>
      <c r="M98" s="40">
        <f t="shared" si="6"/>
        <v>0</v>
      </c>
      <c r="N98" s="40">
        <f t="shared" si="7"/>
        <v>1.4881310721497343E-3</v>
      </c>
      <c r="O98" s="41" t="s">
        <v>38</v>
      </c>
      <c r="P98" s="42"/>
      <c r="Q98" s="43"/>
    </row>
    <row r="99" spans="1:17" ht="15" customHeight="1">
      <c r="A99" s="20" t="s">
        <v>300</v>
      </c>
      <c r="B99" s="21" t="s">
        <v>301</v>
      </c>
      <c r="C99" s="22" t="s">
        <v>287</v>
      </c>
      <c r="D99" s="23" t="str">
        <f>IFERROR(INDEX([1]M_User!$A$12:$J$67,MATCH(C99,[1]M_User!$D$12:$D$67,0),3),"UNMAPPED")</f>
        <v>Deodat Francis Materu</v>
      </c>
      <c r="E99" s="24" t="str">
        <f>IFERROR(INDEX([1]M_User!$A$12:$J$67,MATCH(C99,[1]M_User!$D$12:$D$67,0),5),"UNMAPPED")</f>
        <v>MOS</v>
      </c>
      <c r="F99" s="22" t="s">
        <v>203</v>
      </c>
      <c r="G99" s="23" t="str">
        <f>IFERROR(INDEX([1]M_SKU!$A$18:$J$57,MATCH(F99,[1]M_SKU!$B$18:$B$57,0),1),"UNKNOWN SKU")</f>
        <v>Sparletta Pinenut RGB 350ml</v>
      </c>
      <c r="H99" s="22" t="s">
        <v>204</v>
      </c>
      <c r="I99" s="25">
        <f>IFERROR(INDEX([1]T_Unload!$K$10:$K$433,MATCH(B99,[1]T_Unload!$B$10:$B$433,0)),0)</f>
        <v>0.94324817493140678</v>
      </c>
      <c r="J99" s="26">
        <v>0.94</v>
      </c>
      <c r="K99" s="27">
        <f t="shared" si="4"/>
        <v>3.2481749314068331E-3</v>
      </c>
      <c r="L99" s="28" t="str">
        <f t="shared" si="5"/>
        <v>Post to Default Outlet</v>
      </c>
      <c r="M99" s="29">
        <f t="shared" si="6"/>
        <v>3.2481749314068331E-3</v>
      </c>
      <c r="N99" s="29">
        <f t="shared" si="7"/>
        <v>0</v>
      </c>
      <c r="O99" s="30" t="s">
        <v>38</v>
      </c>
      <c r="P99" s="22"/>
      <c r="Q99" s="31"/>
    </row>
    <row r="100" spans="1:17" ht="15" customHeight="1">
      <c r="A100" s="32" t="s">
        <v>302</v>
      </c>
      <c r="B100" s="33" t="s">
        <v>303</v>
      </c>
      <c r="C100" s="34" t="s">
        <v>287</v>
      </c>
      <c r="D100" s="35" t="str">
        <f>IFERROR(INDEX([1]M_User!$A$12:$J$67,MATCH(C100,[1]M_User!$D$12:$D$67,0),3),"UNMAPPED")</f>
        <v>Deodat Francis Materu</v>
      </c>
      <c r="E100" s="36" t="str">
        <f>IFERROR(INDEX([1]M_User!$A$12:$J$67,MATCH(C100,[1]M_User!$D$12:$D$67,0),5),"UNMAPPED")</f>
        <v>MOS</v>
      </c>
      <c r="F100" s="34" t="s">
        <v>57</v>
      </c>
      <c r="G100" s="35" t="str">
        <f>IFERROR(INDEX([1]M_SKU!$A$18:$J$57,MATCH(F100,[1]M_SKU!$B$18:$B$57,0),1),"UNKNOWN SKU")</f>
        <v>Krest Bitter Lemon RGB 300ml</v>
      </c>
      <c r="H100" s="34" t="s">
        <v>58</v>
      </c>
      <c r="I100" s="37">
        <f>IFERROR(INDEX([1]T_Unload!$K$10:$K$433,MATCH(B100,[1]T_Unload!$B$10:$B$433,0)),0)</f>
        <v>0.98745196877274033</v>
      </c>
      <c r="J100" s="26">
        <v>0.99</v>
      </c>
      <c r="K100" s="38">
        <f t="shared" si="4"/>
        <v>-2.5480312272596617E-3</v>
      </c>
      <c r="L100" s="39" t="str">
        <f t="shared" si="5"/>
        <v>Adjust Unload Upward</v>
      </c>
      <c r="M100" s="40">
        <f t="shared" si="6"/>
        <v>0</v>
      </c>
      <c r="N100" s="40">
        <f t="shared" si="7"/>
        <v>2.5480312272596617E-3</v>
      </c>
      <c r="O100" s="41" t="s">
        <v>38</v>
      </c>
      <c r="P100" s="42"/>
      <c r="Q100" s="43"/>
    </row>
    <row r="101" spans="1:17" ht="15" customHeight="1">
      <c r="A101" s="20" t="s">
        <v>304</v>
      </c>
      <c r="B101" s="21" t="s">
        <v>305</v>
      </c>
      <c r="C101" s="22" t="s">
        <v>287</v>
      </c>
      <c r="D101" s="23" t="str">
        <f>IFERROR(INDEX([1]M_User!$A$12:$J$67,MATCH(C101,[1]M_User!$D$12:$D$67,0),3),"UNMAPPED")</f>
        <v>Deodat Francis Materu</v>
      </c>
      <c r="E101" s="24" t="str">
        <f>IFERROR(INDEX([1]M_User!$A$12:$J$67,MATCH(C101,[1]M_User!$D$12:$D$67,0),5),"UNMAPPED")</f>
        <v>MOS</v>
      </c>
      <c r="F101" s="22" t="s">
        <v>61</v>
      </c>
      <c r="G101" s="23" t="str">
        <f>IFERROR(INDEX([1]M_SKU!$A$18:$J$57,MATCH(F101,[1]M_SKU!$B$18:$B$57,0),1),"UNKNOWN SKU")</f>
        <v>Krest Club Soda RGB 300ml</v>
      </c>
      <c r="H101" s="22" t="s">
        <v>62</v>
      </c>
      <c r="I101" s="25">
        <f>IFERROR(INDEX([1]T_Unload!$K$10:$K$433,MATCH(B101,[1]T_Unload!$B$10:$B$433,0)),0)</f>
        <v>0.53130117424927281</v>
      </c>
      <c r="J101" s="26">
        <v>0.53</v>
      </c>
      <c r="K101" s="27">
        <f t="shared" si="4"/>
        <v>1.3011742492727851E-3</v>
      </c>
      <c r="L101" s="28" t="str">
        <f t="shared" si="5"/>
        <v>Post to Default Outlet</v>
      </c>
      <c r="M101" s="29">
        <f t="shared" si="6"/>
        <v>1.3011742492727851E-3</v>
      </c>
      <c r="N101" s="29">
        <f t="shared" si="7"/>
        <v>0</v>
      </c>
      <c r="O101" s="30" t="s">
        <v>38</v>
      </c>
      <c r="P101" s="22"/>
      <c r="Q101" s="31"/>
    </row>
    <row r="102" spans="1:17" ht="15" customHeight="1">
      <c r="A102" s="32" t="s">
        <v>306</v>
      </c>
      <c r="B102" s="33" t="s">
        <v>307</v>
      </c>
      <c r="C102" s="34" t="s">
        <v>287</v>
      </c>
      <c r="D102" s="35" t="str">
        <f>IFERROR(INDEX([1]M_User!$A$12:$J$67,MATCH(C102,[1]M_User!$D$12:$D$67,0),3),"UNMAPPED")</f>
        <v>Deodat Francis Materu</v>
      </c>
      <c r="E102" s="36" t="str">
        <f>IFERROR(INDEX([1]M_User!$A$12:$J$67,MATCH(C102,[1]M_User!$D$12:$D$67,0),5),"UNMAPPED")</f>
        <v>MOS</v>
      </c>
      <c r="F102" s="34" t="s">
        <v>65</v>
      </c>
      <c r="G102" s="35" t="str">
        <f>IFERROR(INDEX([1]M_SKU!$A$18:$J$57,MATCH(F102,[1]M_SKU!$B$18:$B$57,0),1),"UNKNOWN SKU")</f>
        <v>Krest Tonic Water RGB 300ml</v>
      </c>
      <c r="H102" s="34" t="s">
        <v>211</v>
      </c>
      <c r="I102" s="37">
        <f>IFERROR(INDEX([1]T_Unload!$K$10:$K$433,MATCH(B102,[1]T_Unload!$B$10:$B$433,0)),0)</f>
        <v>0.77082252986423949</v>
      </c>
      <c r="J102" s="26">
        <v>0.77</v>
      </c>
      <c r="K102" s="38">
        <f t="shared" si="4"/>
        <v>8.2252986423947405E-4</v>
      </c>
      <c r="L102" s="39" t="str">
        <f t="shared" si="5"/>
        <v>Post to Default Outlet</v>
      </c>
      <c r="M102" s="40">
        <f t="shared" si="6"/>
        <v>8.2252986423947405E-4</v>
      </c>
      <c r="N102" s="40">
        <f t="shared" si="7"/>
        <v>0</v>
      </c>
      <c r="O102" s="41" t="s">
        <v>38</v>
      </c>
      <c r="P102" s="42"/>
      <c r="Q102" s="43"/>
    </row>
    <row r="103" spans="1:17" ht="15" customHeight="1">
      <c r="A103" s="20" t="s">
        <v>308</v>
      </c>
      <c r="B103" s="21" t="s">
        <v>309</v>
      </c>
      <c r="C103" s="22" t="s">
        <v>287</v>
      </c>
      <c r="D103" s="23" t="str">
        <f>IFERROR(INDEX([1]M_User!$A$12:$J$67,MATCH(C103,[1]M_User!$D$12:$D$67,0),3),"UNMAPPED")</f>
        <v>Deodat Francis Materu</v>
      </c>
      <c r="E103" s="24" t="str">
        <f>IFERROR(INDEX([1]M_User!$A$12:$J$67,MATCH(C103,[1]M_User!$D$12:$D$67,0),5),"UNMAPPED")</f>
        <v>MOS</v>
      </c>
      <c r="F103" s="22" t="s">
        <v>69</v>
      </c>
      <c r="G103" s="23" t="str">
        <f>IFERROR(INDEX([1]M_SKU!$A$18:$J$57,MATCH(F103,[1]M_SKU!$B$18:$B$57,0),1),"UNKNOWN SKU")</f>
        <v>Krest Ginger Ale RGB 300ml</v>
      </c>
      <c r="H103" s="22" t="s">
        <v>70</v>
      </c>
      <c r="I103" s="25">
        <f>IFERROR(INDEX([1]T_Unload!$K$10:$K$433,MATCH(B103,[1]T_Unload!$B$10:$B$433,0)),0)</f>
        <v>0.54115339755356606</v>
      </c>
      <c r="J103" s="26">
        <v>0.54</v>
      </c>
      <c r="K103" s="27">
        <f t="shared" si="4"/>
        <v>1.1533975535660268E-3</v>
      </c>
      <c r="L103" s="28" t="str">
        <f t="shared" si="5"/>
        <v>Post to Default Outlet</v>
      </c>
      <c r="M103" s="29">
        <f t="shared" si="6"/>
        <v>1.1533975535660268E-3</v>
      </c>
      <c r="N103" s="29">
        <f t="shared" si="7"/>
        <v>0</v>
      </c>
      <c r="O103" s="30" t="s">
        <v>38</v>
      </c>
      <c r="P103" s="22"/>
      <c r="Q103" s="31"/>
    </row>
    <row r="104" spans="1:17" ht="15" customHeight="1">
      <c r="A104" s="32" t="s">
        <v>310</v>
      </c>
      <c r="B104" s="33" t="s">
        <v>311</v>
      </c>
      <c r="C104" s="34" t="s">
        <v>287</v>
      </c>
      <c r="D104" s="35" t="str">
        <f>IFERROR(INDEX([1]M_User!$A$12:$J$67,MATCH(C104,[1]M_User!$D$12:$D$67,0),3),"UNMAPPED")</f>
        <v>Deodat Francis Materu</v>
      </c>
      <c r="E104" s="36" t="str">
        <f>IFERROR(INDEX([1]M_User!$A$12:$J$67,MATCH(C104,[1]M_User!$D$12:$D$67,0),5),"UNMAPPED")</f>
        <v>MOS</v>
      </c>
      <c r="F104" s="34" t="s">
        <v>216</v>
      </c>
      <c r="G104" s="35" t="str">
        <f>IFERROR(INDEX([1]M_SKU!$A$18:$J$57,MATCH(F104,[1]M_SKU!$B$18:$B$57,0),1),"UNKNOWN SKU")</f>
        <v>Sparletta Red Apple RGB 350ml</v>
      </c>
      <c r="H104" s="34" t="s">
        <v>217</v>
      </c>
      <c r="I104" s="37">
        <f>IFERROR(INDEX([1]T_Unload!$K$10:$K$433,MATCH(B104,[1]T_Unload!$B$10:$B$433,0)),0)</f>
        <v>0.44276400835720797</v>
      </c>
      <c r="J104" s="26">
        <v>0.44</v>
      </c>
      <c r="K104" s="38">
        <f t="shared" si="4"/>
        <v>2.7640083572079699E-3</v>
      </c>
      <c r="L104" s="39" t="str">
        <f t="shared" si="5"/>
        <v>Post to Default Outlet</v>
      </c>
      <c r="M104" s="40">
        <f t="shared" si="6"/>
        <v>2.7640083572079699E-3</v>
      </c>
      <c r="N104" s="40">
        <f t="shared" si="7"/>
        <v>0</v>
      </c>
      <c r="O104" s="41" t="s">
        <v>38</v>
      </c>
      <c r="P104" s="42"/>
      <c r="Q104" s="43"/>
    </row>
    <row r="105" spans="1:17" ht="15" customHeight="1">
      <c r="A105" s="20" t="s">
        <v>312</v>
      </c>
      <c r="B105" s="21" t="s">
        <v>313</v>
      </c>
      <c r="C105" s="22" t="s">
        <v>287</v>
      </c>
      <c r="D105" s="23" t="str">
        <f>IFERROR(INDEX([1]M_User!$A$12:$J$67,MATCH(C105,[1]M_User!$D$12:$D$67,0),3),"UNMAPPED")</f>
        <v>Deodat Francis Materu</v>
      </c>
      <c r="E105" s="24" t="str">
        <f>IFERROR(INDEX([1]M_User!$A$12:$J$67,MATCH(C105,[1]M_User!$D$12:$D$67,0),5),"UNMAPPED")</f>
        <v>MOS</v>
      </c>
      <c r="F105" s="22" t="s">
        <v>73</v>
      </c>
      <c r="G105" s="23" t="str">
        <f>IFERROR(INDEX([1]M_SKU!$A$18:$J$57,MATCH(F105,[1]M_SKU!$B$18:$B$57,0),1),"UNKNOWN SKU")</f>
        <v>KNMW 500ml</v>
      </c>
      <c r="H105" s="22" t="s">
        <v>220</v>
      </c>
      <c r="I105" s="25">
        <f>IFERROR(INDEX([1]T_Unload!$K$10:$K$433,MATCH(B105,[1]T_Unload!$B$10:$B$433,0)),0)</f>
        <v>14</v>
      </c>
      <c r="J105" s="26">
        <v>14</v>
      </c>
      <c r="K105" s="27">
        <f t="shared" si="4"/>
        <v>0</v>
      </c>
      <c r="L105" s="28" t="str">
        <f t="shared" si="5"/>
        <v>CLEAN</v>
      </c>
      <c r="M105" s="29">
        <f t="shared" si="6"/>
        <v>0</v>
      </c>
      <c r="N105" s="29">
        <f t="shared" si="7"/>
        <v>0</v>
      </c>
      <c r="O105" s="30" t="s">
        <v>38</v>
      </c>
      <c r="P105" s="22"/>
      <c r="Q105" s="31"/>
    </row>
    <row r="106" spans="1:17" ht="15" customHeight="1">
      <c r="A106" s="32" t="s">
        <v>314</v>
      </c>
      <c r="B106" s="33" t="s">
        <v>315</v>
      </c>
      <c r="C106" s="34" t="s">
        <v>287</v>
      </c>
      <c r="D106" s="35" t="str">
        <f>IFERROR(INDEX([1]M_User!$A$12:$J$67,MATCH(C106,[1]M_User!$D$12:$D$67,0),3),"UNMAPPED")</f>
        <v>Deodat Francis Materu</v>
      </c>
      <c r="E106" s="36" t="str">
        <f>IFERROR(INDEX([1]M_User!$A$12:$J$67,MATCH(C106,[1]M_User!$D$12:$D$67,0),5),"UNMAPPED")</f>
        <v>MOS</v>
      </c>
      <c r="F106" s="34" t="s">
        <v>83</v>
      </c>
      <c r="G106" s="35" t="str">
        <f>IFERROR(INDEX([1]M_SKU!$A$18:$J$57,MATCH(F106,[1]M_SKU!$B$18:$B$57,0),1),"UNKNOWN SKU")</f>
        <v>KNMW 1500ml</v>
      </c>
      <c r="H106" s="34" t="s">
        <v>223</v>
      </c>
      <c r="I106" s="37">
        <f>IFERROR(INDEX([1]T_Unload!$K$10:$K$433,MATCH(B106,[1]T_Unload!$B$10:$B$433,0)),0)</f>
        <v>21</v>
      </c>
      <c r="J106" s="26">
        <v>21</v>
      </c>
      <c r="K106" s="38">
        <f t="shared" si="4"/>
        <v>0</v>
      </c>
      <c r="L106" s="39" t="str">
        <f t="shared" si="5"/>
        <v>CLEAN</v>
      </c>
      <c r="M106" s="40">
        <f t="shared" si="6"/>
        <v>0</v>
      </c>
      <c r="N106" s="40">
        <f t="shared" si="7"/>
        <v>0</v>
      </c>
      <c r="O106" s="41" t="s">
        <v>38</v>
      </c>
      <c r="P106" s="42"/>
      <c r="Q106" s="43"/>
    </row>
    <row r="107" spans="1:17" ht="15" customHeight="1">
      <c r="A107" s="20" t="s">
        <v>316</v>
      </c>
      <c r="B107" s="21" t="s">
        <v>317</v>
      </c>
      <c r="C107" s="22" t="s">
        <v>287</v>
      </c>
      <c r="D107" s="23" t="str">
        <f>IFERROR(INDEX([1]M_User!$A$12:$J$67,MATCH(C107,[1]M_User!$D$12:$D$67,0),3),"UNMAPPED")</f>
        <v>Deodat Francis Materu</v>
      </c>
      <c r="E107" s="24" t="str">
        <f>IFERROR(INDEX([1]M_User!$A$12:$J$67,MATCH(C107,[1]M_User!$D$12:$D$67,0),5),"UNMAPPED")</f>
        <v>MOS</v>
      </c>
      <c r="F107" s="22" t="s">
        <v>109</v>
      </c>
      <c r="G107" s="23" t="str">
        <f>IFERROR(INDEX([1]M_SKU!$A$18:$J$57,MATCH(F107,[1]M_SKU!$B$18:$B$57,0),1),"UNKNOWN SKU")</f>
        <v>Coke Pet 500ML ( x12)</v>
      </c>
      <c r="H107" s="22" t="s">
        <v>226</v>
      </c>
      <c r="I107" s="25">
        <f>IFERROR(INDEX([1]T_Unload!$K$10:$K$433,MATCH(B107,[1]T_Unload!$B$10:$B$433,0)),0)</f>
        <v>9</v>
      </c>
      <c r="J107" s="26">
        <v>9</v>
      </c>
      <c r="K107" s="27">
        <f t="shared" si="4"/>
        <v>0</v>
      </c>
      <c r="L107" s="28" t="str">
        <f t="shared" si="5"/>
        <v>CLEAN</v>
      </c>
      <c r="M107" s="29">
        <f t="shared" si="6"/>
        <v>0</v>
      </c>
      <c r="N107" s="29">
        <f t="shared" si="7"/>
        <v>0</v>
      </c>
      <c r="O107" s="30" t="s">
        <v>38</v>
      </c>
      <c r="P107" s="22"/>
      <c r="Q107" s="31"/>
    </row>
    <row r="108" spans="1:17" ht="15" customHeight="1">
      <c r="A108" s="32" t="s">
        <v>318</v>
      </c>
      <c r="B108" s="33" t="s">
        <v>319</v>
      </c>
      <c r="C108" s="34" t="s">
        <v>287</v>
      </c>
      <c r="D108" s="35" t="str">
        <f>IFERROR(INDEX([1]M_User!$A$12:$J$67,MATCH(C108,[1]M_User!$D$12:$D$67,0),3),"UNMAPPED")</f>
        <v>Deodat Francis Materu</v>
      </c>
      <c r="E108" s="36" t="str">
        <f>IFERROR(INDEX([1]M_User!$A$12:$J$67,MATCH(C108,[1]M_User!$D$12:$D$67,0),5),"UNMAPPED")</f>
        <v>MOS</v>
      </c>
      <c r="F108" s="34" t="s">
        <v>113</v>
      </c>
      <c r="G108" s="35" t="str">
        <f>IFERROR(INDEX([1]M_SKU!$A$18:$J$57,MATCH(F108,[1]M_SKU!$B$18:$B$57,0),1),"UNKNOWN SKU")</f>
        <v>Sprite Pet 500ML (x 12)</v>
      </c>
      <c r="H108" s="34" t="s">
        <v>114</v>
      </c>
      <c r="I108" s="37">
        <f>IFERROR(INDEX([1]T_Unload!$K$10:$K$433,MATCH(B108,[1]T_Unload!$B$10:$B$433,0)),0)</f>
        <v>3</v>
      </c>
      <c r="J108" s="26">
        <v>3</v>
      </c>
      <c r="K108" s="38">
        <f t="shared" si="4"/>
        <v>0</v>
      </c>
      <c r="L108" s="39" t="str">
        <f t="shared" si="5"/>
        <v>CLEAN</v>
      </c>
      <c r="M108" s="40">
        <f t="shared" si="6"/>
        <v>0</v>
      </c>
      <c r="N108" s="40">
        <f t="shared" si="7"/>
        <v>0</v>
      </c>
      <c r="O108" s="41" t="s">
        <v>38</v>
      </c>
      <c r="P108" s="42"/>
      <c r="Q108" s="43"/>
    </row>
    <row r="109" spans="1:17" ht="15" customHeight="1">
      <c r="A109" s="20" t="s">
        <v>320</v>
      </c>
      <c r="B109" s="21" t="s">
        <v>321</v>
      </c>
      <c r="C109" s="22" t="s">
        <v>287</v>
      </c>
      <c r="D109" s="23" t="str">
        <f>IFERROR(INDEX([1]M_User!$A$12:$J$67,MATCH(C109,[1]M_User!$D$12:$D$67,0),3),"UNMAPPED")</f>
        <v>Deodat Francis Materu</v>
      </c>
      <c r="E109" s="24" t="str">
        <f>IFERROR(INDEX([1]M_User!$A$12:$J$67,MATCH(C109,[1]M_User!$D$12:$D$67,0),5),"UNMAPPED")</f>
        <v>MOS</v>
      </c>
      <c r="F109" s="22" t="s">
        <v>117</v>
      </c>
      <c r="G109" s="23" t="str">
        <f>IFERROR(INDEX([1]M_SKU!$A$18:$J$57,MATCH(F109,[1]M_SKU!$B$18:$B$57,0),1),"UNKNOWN SKU")</f>
        <v>Fanta Orange Pet 500ML ( x 12)</v>
      </c>
      <c r="H109" s="22" t="s">
        <v>231</v>
      </c>
      <c r="I109" s="25">
        <f>IFERROR(INDEX([1]T_Unload!$K$10:$K$433,MATCH(B109,[1]T_Unload!$B$10:$B$433,0)),0)</f>
        <v>3</v>
      </c>
      <c r="J109" s="26">
        <v>3</v>
      </c>
      <c r="K109" s="27">
        <f t="shared" si="4"/>
        <v>0</v>
      </c>
      <c r="L109" s="28" t="str">
        <f t="shared" si="5"/>
        <v>CLEAN</v>
      </c>
      <c r="M109" s="29">
        <f t="shared" si="6"/>
        <v>0</v>
      </c>
      <c r="N109" s="29">
        <f t="shared" si="7"/>
        <v>0</v>
      </c>
      <c r="O109" s="30" t="s">
        <v>38</v>
      </c>
      <c r="P109" s="22"/>
      <c r="Q109" s="31"/>
    </row>
    <row r="110" spans="1:17" ht="15" customHeight="1">
      <c r="A110" s="32" t="s">
        <v>322</v>
      </c>
      <c r="B110" s="33" t="s">
        <v>323</v>
      </c>
      <c r="C110" s="34" t="s">
        <v>287</v>
      </c>
      <c r="D110" s="35" t="str">
        <f>IFERROR(INDEX([1]M_User!$A$12:$J$67,MATCH(C110,[1]M_User!$D$12:$D$67,0),3),"UNMAPPED")</f>
        <v>Deodat Francis Materu</v>
      </c>
      <c r="E110" s="36" t="str">
        <f>IFERROR(INDEX([1]M_User!$A$12:$J$67,MATCH(C110,[1]M_User!$D$12:$D$67,0),5),"UNMAPPED")</f>
        <v>MOS</v>
      </c>
      <c r="F110" s="34" t="s">
        <v>121</v>
      </c>
      <c r="G110" s="35" t="str">
        <f>IFERROR(INDEX([1]M_SKU!$A$18:$J$57,MATCH(F110,[1]M_SKU!$B$18:$B$57,0),1),"UNKNOWN SKU")</f>
        <v>Fanta Passion Pet 500ML ( x12)</v>
      </c>
      <c r="H110" s="34" t="s">
        <v>234</v>
      </c>
      <c r="I110" s="37">
        <f>IFERROR(INDEX([1]T_Unload!$K$10:$K$433,MATCH(B110,[1]T_Unload!$B$10:$B$433,0)),0)</f>
        <v>1</v>
      </c>
      <c r="J110" s="26">
        <v>1</v>
      </c>
      <c r="K110" s="38">
        <f t="shared" si="4"/>
        <v>0</v>
      </c>
      <c r="L110" s="39" t="str">
        <f t="shared" si="5"/>
        <v>CLEAN</v>
      </c>
      <c r="M110" s="40">
        <f t="shared" si="6"/>
        <v>0</v>
      </c>
      <c r="N110" s="40">
        <f t="shared" si="7"/>
        <v>0</v>
      </c>
      <c r="O110" s="41" t="s">
        <v>38</v>
      </c>
      <c r="P110" s="42"/>
      <c r="Q110" s="43"/>
    </row>
    <row r="111" spans="1:17" ht="15" customHeight="1">
      <c r="A111" s="20" t="s">
        <v>324</v>
      </c>
      <c r="B111" s="21" t="s">
        <v>325</v>
      </c>
      <c r="C111" s="22" t="s">
        <v>287</v>
      </c>
      <c r="D111" s="23" t="str">
        <f>IFERROR(INDEX([1]M_User!$A$12:$J$67,MATCH(C111,[1]M_User!$D$12:$D$67,0),3),"UNMAPPED")</f>
        <v>Deodat Francis Materu</v>
      </c>
      <c r="E111" s="24" t="str">
        <f>IFERROR(INDEX([1]M_User!$A$12:$J$67,MATCH(C111,[1]M_User!$D$12:$D$67,0),5),"UNMAPPED")</f>
        <v>MOS</v>
      </c>
      <c r="F111" s="22" t="s">
        <v>129</v>
      </c>
      <c r="G111" s="23" t="str">
        <f>IFERROR(INDEX([1]M_SKU!$A$18:$J$57,MATCH(F111,[1]M_SKU!$B$18:$B$57,0),1),"UNKNOWN SKU")</f>
        <v>Fanta Fruit Blast Pet 500ML (x12)</v>
      </c>
      <c r="H111" s="22" t="s">
        <v>130</v>
      </c>
      <c r="I111" s="25">
        <f>IFERROR(INDEX([1]T_Unload!$K$10:$K$433,MATCH(B111,[1]T_Unload!$B$10:$B$433,0)),0)</f>
        <v>1</v>
      </c>
      <c r="J111" s="26">
        <v>1</v>
      </c>
      <c r="K111" s="27">
        <f t="shared" si="4"/>
        <v>0</v>
      </c>
      <c r="L111" s="28" t="str">
        <f t="shared" si="5"/>
        <v>CLEAN</v>
      </c>
      <c r="M111" s="29">
        <f t="shared" si="6"/>
        <v>0</v>
      </c>
      <c r="N111" s="29">
        <f t="shared" si="7"/>
        <v>0</v>
      </c>
      <c r="O111" s="30" t="s">
        <v>38</v>
      </c>
      <c r="P111" s="22"/>
      <c r="Q111" s="31"/>
    </row>
    <row r="112" spans="1:17" ht="15" customHeight="1">
      <c r="A112" s="32" t="s">
        <v>326</v>
      </c>
      <c r="B112" s="33" t="s">
        <v>327</v>
      </c>
      <c r="C112" s="34" t="s">
        <v>287</v>
      </c>
      <c r="D112" s="35" t="str">
        <f>IFERROR(INDEX([1]M_User!$A$12:$J$67,MATCH(C112,[1]M_User!$D$12:$D$67,0),3),"UNMAPPED")</f>
        <v>Deodat Francis Materu</v>
      </c>
      <c r="E112" s="36" t="str">
        <f>IFERROR(INDEX([1]M_User!$A$12:$J$67,MATCH(C112,[1]M_User!$D$12:$D$67,0),5),"UNMAPPED")</f>
        <v>MOS</v>
      </c>
      <c r="F112" s="34" t="s">
        <v>129</v>
      </c>
      <c r="G112" s="35" t="str">
        <f>IFERROR(INDEX([1]M_SKU!$A$18:$J$57,MATCH(F112,[1]M_SKU!$B$18:$B$57,0),1),"UNKNOWN SKU")</f>
        <v>Fanta Fruit Blast Pet 500ML (x12)</v>
      </c>
      <c r="H112" s="34" t="s">
        <v>282</v>
      </c>
      <c r="I112" s="37">
        <f>IFERROR(INDEX([1]T_Unload!$K$10:$K$433,MATCH(B112,[1]T_Unload!$B$10:$B$433,0)),0)</f>
        <v>0</v>
      </c>
      <c r="J112" s="26">
        <v>0</v>
      </c>
      <c r="K112" s="38">
        <f t="shared" si="4"/>
        <v>0</v>
      </c>
      <c r="L112" s="39" t="str">
        <f t="shared" si="5"/>
        <v>CLEAN</v>
      </c>
      <c r="M112" s="40">
        <f t="shared" si="6"/>
        <v>0</v>
      </c>
      <c r="N112" s="40">
        <f t="shared" si="7"/>
        <v>0</v>
      </c>
      <c r="O112" s="41" t="s">
        <v>38</v>
      </c>
      <c r="P112" s="42"/>
      <c r="Q112" s="43"/>
    </row>
    <row r="113" spans="1:17" ht="15" customHeight="1">
      <c r="A113" s="20" t="s">
        <v>328</v>
      </c>
      <c r="B113" s="21" t="s">
        <v>329</v>
      </c>
      <c r="C113" s="22" t="s">
        <v>287</v>
      </c>
      <c r="D113" s="23" t="str">
        <f>IFERROR(INDEX([1]M_User!$A$12:$J$67,MATCH(C113,[1]M_User!$D$12:$D$67,0),3),"UNMAPPED")</f>
        <v>Deodat Francis Materu</v>
      </c>
      <c r="E113" s="24" t="str">
        <f>IFERROR(INDEX([1]M_User!$A$12:$J$67,MATCH(C113,[1]M_User!$D$12:$D$67,0),5),"UNMAPPED")</f>
        <v>MOS</v>
      </c>
      <c r="F113" s="22" t="s">
        <v>133</v>
      </c>
      <c r="G113" s="23" t="str">
        <f>IFERROR(INDEX([1]M_SKU!$A$18:$J$57,MATCH(F113,[1]M_SKU!$B$18:$B$57,0),1),"UNKNOWN SKU")</f>
        <v>Stoney Tangawizi Pet 500 ml ( x12)</v>
      </c>
      <c r="H113" s="22" t="s">
        <v>237</v>
      </c>
      <c r="I113" s="25">
        <f>IFERROR(INDEX([1]T_Unload!$K$10:$K$433,MATCH(B113,[1]T_Unload!$B$10:$B$433,0)),0)</f>
        <v>0</v>
      </c>
      <c r="J113" s="26">
        <v>0</v>
      </c>
      <c r="K113" s="27">
        <f t="shared" si="4"/>
        <v>0</v>
      </c>
      <c r="L113" s="28" t="str">
        <f t="shared" si="5"/>
        <v>CLEAN</v>
      </c>
      <c r="M113" s="29">
        <f t="shared" si="6"/>
        <v>0</v>
      </c>
      <c r="N113" s="29">
        <f t="shared" si="7"/>
        <v>0</v>
      </c>
      <c r="O113" s="30" t="s">
        <v>38</v>
      </c>
      <c r="P113" s="22"/>
      <c r="Q113" s="31"/>
    </row>
    <row r="114" spans="1:17" ht="15" customHeight="1">
      <c r="A114" s="32" t="s">
        <v>330</v>
      </c>
      <c r="B114" s="33" t="s">
        <v>331</v>
      </c>
      <c r="C114" s="34" t="s">
        <v>287</v>
      </c>
      <c r="D114" s="35" t="str">
        <f>IFERROR(INDEX([1]M_User!$A$12:$J$67,MATCH(C114,[1]M_User!$D$12:$D$67,0),3),"UNMAPPED")</f>
        <v>Deodat Francis Materu</v>
      </c>
      <c r="E114" s="36" t="str">
        <f>IFERROR(INDEX([1]M_User!$A$12:$J$67,MATCH(C114,[1]M_User!$D$12:$D$67,0),5),"UNMAPPED")</f>
        <v>MOS</v>
      </c>
      <c r="F114" s="34" t="s">
        <v>137</v>
      </c>
      <c r="G114" s="35" t="str">
        <f>IFERROR(INDEX([1]M_SKU!$A$18:$J$57,MATCH(F114,[1]M_SKU!$B$18:$B$57,0),1),"UNKNOWN SKU")</f>
        <v>Sparletta Pinenut Pet 500 ml ( x12)</v>
      </c>
      <c r="H114" s="34" t="s">
        <v>240</v>
      </c>
      <c r="I114" s="37">
        <f>IFERROR(INDEX([1]T_Unload!$K$10:$K$433,MATCH(B114,[1]T_Unload!$B$10:$B$433,0)),0)</f>
        <v>0</v>
      </c>
      <c r="J114" s="26">
        <v>0</v>
      </c>
      <c r="K114" s="38">
        <f t="shared" si="4"/>
        <v>0</v>
      </c>
      <c r="L114" s="39" t="str">
        <f t="shared" si="5"/>
        <v>CLEAN</v>
      </c>
      <c r="M114" s="40">
        <f t="shared" si="6"/>
        <v>0</v>
      </c>
      <c r="N114" s="40">
        <f t="shared" si="7"/>
        <v>0</v>
      </c>
      <c r="O114" s="41" t="s">
        <v>38</v>
      </c>
      <c r="P114" s="42"/>
      <c r="Q114" s="43"/>
    </row>
    <row r="115" spans="1:17" ht="15" customHeight="1">
      <c r="A115" s="20" t="s">
        <v>332</v>
      </c>
      <c r="B115" s="21" t="s">
        <v>333</v>
      </c>
      <c r="C115" s="22" t="s">
        <v>287</v>
      </c>
      <c r="D115" s="23" t="str">
        <f>IFERROR(INDEX([1]M_User!$A$12:$J$67,MATCH(C115,[1]M_User!$D$12:$D$67,0),3),"UNMAPPED")</f>
        <v>Deodat Francis Materu</v>
      </c>
      <c r="E115" s="24" t="str">
        <f>IFERROR(INDEX([1]M_User!$A$12:$J$67,MATCH(C115,[1]M_User!$D$12:$D$67,0),5),"UNMAPPED")</f>
        <v>MOS</v>
      </c>
      <c r="F115" s="22" t="s">
        <v>334</v>
      </c>
      <c r="G115" s="23" t="str">
        <f>IFERROR(INDEX([1]M_SKU!$A$18:$J$57,MATCH(F115,[1]M_SKU!$B$18:$B$57,0),1),"UNKNOWN SKU")</f>
        <v>Coke Zero Pet 500ML ( X 12)</v>
      </c>
      <c r="H115" s="22" t="s">
        <v>335</v>
      </c>
      <c r="I115" s="25">
        <f>IFERROR(INDEX([1]T_Unload!$K$10:$K$433,MATCH(B115,[1]T_Unload!$B$10:$B$433,0)),0)</f>
        <v>1</v>
      </c>
      <c r="J115" s="26">
        <v>1</v>
      </c>
      <c r="K115" s="27">
        <f t="shared" si="4"/>
        <v>0</v>
      </c>
      <c r="L115" s="28" t="str">
        <f t="shared" si="5"/>
        <v>CLEAN</v>
      </c>
      <c r="M115" s="29">
        <f t="shared" si="6"/>
        <v>0</v>
      </c>
      <c r="N115" s="29">
        <f t="shared" si="7"/>
        <v>0</v>
      </c>
      <c r="O115" s="30" t="s">
        <v>38</v>
      </c>
      <c r="P115" s="22"/>
      <c r="Q115" s="31"/>
    </row>
    <row r="116" spans="1:17" ht="15" customHeight="1">
      <c r="A116" s="32" t="s">
        <v>336</v>
      </c>
      <c r="B116" s="33" t="s">
        <v>337</v>
      </c>
      <c r="C116" s="34" t="s">
        <v>287</v>
      </c>
      <c r="D116" s="35" t="str">
        <f>IFERROR(INDEX([1]M_User!$A$12:$J$67,MATCH(C116,[1]M_User!$D$12:$D$67,0),3),"UNMAPPED")</f>
        <v>Deodat Francis Materu</v>
      </c>
      <c r="E116" s="36" t="str">
        <f>IFERROR(INDEX([1]M_User!$A$12:$J$67,MATCH(C116,[1]M_User!$D$12:$D$67,0),5),"UNMAPPED")</f>
        <v>MOS</v>
      </c>
      <c r="F116" s="34" t="s">
        <v>243</v>
      </c>
      <c r="G116" s="35" t="str">
        <f>IFERROR(INDEX([1]M_SKU!$A$18:$J$57,MATCH(F116,[1]M_SKU!$B$18:$B$57,0),1),"UNKNOWN SKU")</f>
        <v>Sprite Zero Pet 300ML (x 12)</v>
      </c>
      <c r="H116" s="34" t="s">
        <v>244</v>
      </c>
      <c r="I116" s="37">
        <f>IFERROR(INDEX([1]T_Unload!$K$10:$K$433,MATCH(B116,[1]T_Unload!$B$10:$B$433,0)),0)</f>
        <v>1</v>
      </c>
      <c r="J116" s="26">
        <v>1</v>
      </c>
      <c r="K116" s="38">
        <f t="shared" si="4"/>
        <v>0</v>
      </c>
      <c r="L116" s="39" t="str">
        <f t="shared" si="5"/>
        <v>CLEAN</v>
      </c>
      <c r="M116" s="40">
        <f t="shared" si="6"/>
        <v>0</v>
      </c>
      <c r="N116" s="40">
        <f t="shared" si="7"/>
        <v>0</v>
      </c>
      <c r="O116" s="41" t="s">
        <v>38</v>
      </c>
      <c r="P116" s="42"/>
      <c r="Q116" s="43"/>
    </row>
    <row r="117" spans="1:17" ht="15" customHeight="1">
      <c r="A117" s="20" t="s">
        <v>338</v>
      </c>
      <c r="B117" s="21" t="s">
        <v>339</v>
      </c>
      <c r="C117" s="22" t="s">
        <v>287</v>
      </c>
      <c r="D117" s="23" t="str">
        <f>IFERROR(INDEX([1]M_User!$A$12:$J$67,MATCH(C117,[1]M_User!$D$12:$D$67,0),3),"UNMAPPED")</f>
        <v>Deodat Francis Materu</v>
      </c>
      <c r="E117" s="24" t="str">
        <f>IFERROR(INDEX([1]M_User!$A$12:$J$67,MATCH(C117,[1]M_User!$D$12:$D$67,0),5),"UNMAPPED")</f>
        <v>MOS</v>
      </c>
      <c r="F117" s="22" t="s">
        <v>148</v>
      </c>
      <c r="G117" s="23" t="str">
        <f>IFERROR(INDEX([1]M_SKU!$A$18:$J$57,MATCH(F117,[1]M_SKU!$B$18:$B$57,0),1),"UNKNOWN SKU")</f>
        <v>Fanta Zero Pet 300ML (x 12)</v>
      </c>
      <c r="H117" s="22" t="s">
        <v>149</v>
      </c>
      <c r="I117" s="25">
        <f>IFERROR(INDEX([1]T_Unload!$K$10:$K$433,MATCH(B117,[1]T_Unload!$B$10:$B$433,0)),0)</f>
        <v>1</v>
      </c>
      <c r="J117" s="26">
        <v>1</v>
      </c>
      <c r="K117" s="27">
        <f t="shared" si="4"/>
        <v>0</v>
      </c>
      <c r="L117" s="28" t="str">
        <f t="shared" si="5"/>
        <v>CLEAN</v>
      </c>
      <c r="M117" s="29">
        <f t="shared" si="6"/>
        <v>0</v>
      </c>
      <c r="N117" s="29">
        <f t="shared" si="7"/>
        <v>0</v>
      </c>
      <c r="O117" s="30" t="s">
        <v>38</v>
      </c>
      <c r="P117" s="22"/>
      <c r="Q117" s="31"/>
    </row>
    <row r="118" spans="1:17" ht="15" customHeight="1">
      <c r="A118" s="32" t="s">
        <v>340</v>
      </c>
      <c r="B118" s="33" t="s">
        <v>341</v>
      </c>
      <c r="C118" s="34" t="s">
        <v>287</v>
      </c>
      <c r="D118" s="35" t="str">
        <f>IFERROR(INDEX([1]M_User!$A$12:$J$67,MATCH(C118,[1]M_User!$D$12:$D$67,0),3),"UNMAPPED")</f>
        <v>Deodat Francis Materu</v>
      </c>
      <c r="E118" s="36" t="str">
        <f>IFERROR(INDEX([1]M_User!$A$12:$J$67,MATCH(C118,[1]M_User!$D$12:$D$67,0),5),"UNMAPPED")</f>
        <v>MOS</v>
      </c>
      <c r="F118" s="34" t="s">
        <v>152</v>
      </c>
      <c r="G118" s="35" t="str">
        <f>IFERROR(INDEX([1]M_SKU!$A$18:$J$57,MATCH(F118,[1]M_SKU!$B$18:$B$57,0),1),"UNKNOWN SKU")</f>
        <v>Sparletta Red Apple Pet 300ML(x 12)</v>
      </c>
      <c r="H118" s="34" t="s">
        <v>153</v>
      </c>
      <c r="I118" s="37">
        <f>IFERROR(INDEX([1]T_Unload!$K$10:$K$433,MATCH(B118,[1]T_Unload!$B$10:$B$433,0)),0)</f>
        <v>1</v>
      </c>
      <c r="J118" s="26">
        <v>1</v>
      </c>
      <c r="K118" s="38">
        <f t="shared" si="4"/>
        <v>0</v>
      </c>
      <c r="L118" s="39" t="str">
        <f t="shared" si="5"/>
        <v>CLEAN</v>
      </c>
      <c r="M118" s="40">
        <f t="shared" si="6"/>
        <v>0</v>
      </c>
      <c r="N118" s="40">
        <f t="shared" si="7"/>
        <v>0</v>
      </c>
      <c r="O118" s="41" t="s">
        <v>38</v>
      </c>
      <c r="P118" s="42"/>
      <c r="Q118" s="43"/>
    </row>
    <row r="119" spans="1:17" ht="15" customHeight="1">
      <c r="A119" s="20" t="s">
        <v>342</v>
      </c>
      <c r="B119" s="21" t="s">
        <v>343</v>
      </c>
      <c r="C119" s="22" t="s">
        <v>287</v>
      </c>
      <c r="D119" s="23" t="str">
        <f>IFERROR(INDEX([1]M_User!$A$12:$J$67,MATCH(C119,[1]M_User!$D$12:$D$67,0),3),"UNMAPPED")</f>
        <v>Deodat Francis Materu</v>
      </c>
      <c r="E119" s="24" t="str">
        <f>IFERROR(INDEX([1]M_User!$A$12:$J$67,MATCH(C119,[1]M_User!$D$12:$D$67,0),5),"UNMAPPED")</f>
        <v>MOS</v>
      </c>
      <c r="F119" s="22" t="s">
        <v>160</v>
      </c>
      <c r="G119" s="23" t="str">
        <f>IFERROR(INDEX([1]M_SKU!$A$18:$J$57,MATCH(F119,[1]M_SKU!$B$18:$B$57,0),1),"UNKNOWN SKU")</f>
        <v>Sparletta Pine Apple Pet 300ML (x 12)</v>
      </c>
      <c r="H119" s="22" t="s">
        <v>161</v>
      </c>
      <c r="I119" s="25">
        <f>IFERROR(INDEX([1]T_Unload!$K$10:$K$433,MATCH(B119,[1]T_Unload!$B$10:$B$433,0)),0)</f>
        <v>1</v>
      </c>
      <c r="J119" s="26">
        <v>1</v>
      </c>
      <c r="K119" s="27">
        <f t="shared" si="4"/>
        <v>0</v>
      </c>
      <c r="L119" s="28" t="str">
        <f t="shared" si="5"/>
        <v>CLEAN</v>
      </c>
      <c r="M119" s="29">
        <f t="shared" si="6"/>
        <v>0</v>
      </c>
      <c r="N119" s="29">
        <f t="shared" si="7"/>
        <v>0</v>
      </c>
      <c r="O119" s="30" t="s">
        <v>38</v>
      </c>
      <c r="P119" s="22"/>
      <c r="Q119" s="31"/>
    </row>
    <row r="120" spans="1:17" ht="15" customHeight="1">
      <c r="A120" s="32" t="s">
        <v>344</v>
      </c>
      <c r="B120" s="33" t="s">
        <v>345</v>
      </c>
      <c r="C120" s="34" t="s">
        <v>346</v>
      </c>
      <c r="D120" s="35" t="str">
        <f>IFERROR(INDEX([1]M_User!$A$12:$J$67,MATCH(C120,[1]M_User!$D$12:$D$67,0),3),"UNMAPPED")</f>
        <v>George Gibson Mmary</v>
      </c>
      <c r="E120" s="36" t="str">
        <f>IFERROR(INDEX([1]M_User!$A$12:$J$67,MATCH(C120,[1]M_User!$D$12:$D$67,0),5),"UNMAPPED")</f>
        <v>MOS</v>
      </c>
      <c r="F120" s="34" t="s">
        <v>36</v>
      </c>
      <c r="G120" s="35" t="str">
        <f>IFERROR(INDEX([1]M_SKU!$A$18:$J$57,MATCH(F120,[1]M_SKU!$B$18:$B$57,0),1),"UNKNOWN SKU")</f>
        <v>Coke RGB 350ml</v>
      </c>
      <c r="H120" s="34" t="s">
        <v>347</v>
      </c>
      <c r="I120" s="37">
        <f>IFERROR(INDEX([1]T_Unload!$K$10:$K$433,MATCH(B120,[1]T_Unload!$B$10:$B$433,0)),0)</f>
        <v>19.315713600711902</v>
      </c>
      <c r="J120" s="26">
        <v>19.32</v>
      </c>
      <c r="K120" s="38">
        <f t="shared" si="4"/>
        <v>-4.2863992880981527E-3</v>
      </c>
      <c r="L120" s="39" t="str">
        <f t="shared" si="5"/>
        <v>Adjust Unload Upward</v>
      </c>
      <c r="M120" s="40">
        <f t="shared" si="6"/>
        <v>0</v>
      </c>
      <c r="N120" s="40">
        <f t="shared" si="7"/>
        <v>4.2863992880981527E-3</v>
      </c>
      <c r="O120" s="41" t="s">
        <v>38</v>
      </c>
      <c r="P120" s="42"/>
      <c r="Q120" s="43"/>
    </row>
    <row r="121" spans="1:17" ht="15" customHeight="1">
      <c r="A121" s="20" t="s">
        <v>348</v>
      </c>
      <c r="B121" s="21" t="s">
        <v>349</v>
      </c>
      <c r="C121" s="22" t="s">
        <v>346</v>
      </c>
      <c r="D121" s="23" t="str">
        <f>IFERROR(INDEX([1]M_User!$A$12:$J$67,MATCH(C121,[1]M_User!$D$12:$D$67,0),3),"UNMAPPED")</f>
        <v>George Gibson Mmary</v>
      </c>
      <c r="E121" s="24" t="str">
        <f>IFERROR(INDEX([1]M_User!$A$12:$J$67,MATCH(C121,[1]M_User!$D$12:$D$67,0),5),"UNMAPPED")</f>
        <v>MOS</v>
      </c>
      <c r="F121" s="22" t="s">
        <v>41</v>
      </c>
      <c r="G121" s="23" t="str">
        <f>IFERROR(INDEX([1]M_SKU!$A$18:$J$57,MATCH(F121,[1]M_SKU!$B$18:$B$57,0),1),"UNKNOWN SKU")</f>
        <v>Fanta Orange RGB 350ml</v>
      </c>
      <c r="H121" s="22" t="s">
        <v>183</v>
      </c>
      <c r="I121" s="25">
        <f>IFERROR(INDEX([1]T_Unload!$K$10:$K$433,MATCH(B121,[1]T_Unload!$B$10:$B$433,0)),0)</f>
        <v>6.6168932420414421</v>
      </c>
      <c r="J121" s="26">
        <v>6.62</v>
      </c>
      <c r="K121" s="27">
        <f t="shared" si="4"/>
        <v>-3.1067579585579708E-3</v>
      </c>
      <c r="L121" s="28" t="str">
        <f t="shared" si="5"/>
        <v>Adjust Unload Upward</v>
      </c>
      <c r="M121" s="29">
        <f t="shared" si="6"/>
        <v>0</v>
      </c>
      <c r="N121" s="29">
        <f t="shared" si="7"/>
        <v>3.1067579585579708E-3</v>
      </c>
      <c r="O121" s="30" t="s">
        <v>38</v>
      </c>
      <c r="P121" s="22"/>
      <c r="Q121" s="31"/>
    </row>
    <row r="122" spans="1:17" ht="15" customHeight="1">
      <c r="A122" s="32" t="s">
        <v>350</v>
      </c>
      <c r="B122" s="33" t="s">
        <v>351</v>
      </c>
      <c r="C122" s="34" t="s">
        <v>346</v>
      </c>
      <c r="D122" s="35" t="str">
        <f>IFERROR(INDEX([1]M_User!$A$12:$J$67,MATCH(C122,[1]M_User!$D$12:$D$67,0),3),"UNMAPPED")</f>
        <v>George Gibson Mmary</v>
      </c>
      <c r="E122" s="36" t="str">
        <f>IFERROR(INDEX([1]M_User!$A$12:$J$67,MATCH(C122,[1]M_User!$D$12:$D$67,0),5),"UNMAPPED")</f>
        <v>MOS</v>
      </c>
      <c r="F122" s="34" t="s">
        <v>45</v>
      </c>
      <c r="G122" s="35" t="str">
        <f>IFERROR(INDEX([1]M_SKU!$A$18:$J$57,MATCH(F122,[1]M_SKU!$B$18:$B$57,0),1),"UNKNOWN SKU")</f>
        <v>Fanta Passion RGB 350ml</v>
      </c>
      <c r="H122" s="34" t="s">
        <v>186</v>
      </c>
      <c r="I122" s="37">
        <f>IFERROR(INDEX([1]T_Unload!$K$10:$K$433,MATCH(B122,[1]T_Unload!$B$10:$B$433,0)),0)</f>
        <v>3.7342364434444093</v>
      </c>
      <c r="J122" s="26">
        <v>3.73</v>
      </c>
      <c r="K122" s="38">
        <f t="shared" si="4"/>
        <v>4.2364434444093213E-3</v>
      </c>
      <c r="L122" s="39" t="str">
        <f t="shared" si="5"/>
        <v>Post to Default Outlet</v>
      </c>
      <c r="M122" s="40">
        <f t="shared" si="6"/>
        <v>4.2364434444093213E-3</v>
      </c>
      <c r="N122" s="40">
        <f t="shared" si="7"/>
        <v>0</v>
      </c>
      <c r="O122" s="41" t="s">
        <v>38</v>
      </c>
      <c r="P122" s="42"/>
      <c r="Q122" s="43"/>
    </row>
    <row r="123" spans="1:17" ht="15" customHeight="1">
      <c r="A123" s="20" t="s">
        <v>352</v>
      </c>
      <c r="B123" s="21" t="s">
        <v>353</v>
      </c>
      <c r="C123" s="22" t="s">
        <v>346</v>
      </c>
      <c r="D123" s="23" t="str">
        <f>IFERROR(INDEX([1]M_User!$A$12:$J$67,MATCH(C123,[1]M_User!$D$12:$D$67,0),3),"UNMAPPED")</f>
        <v>George Gibson Mmary</v>
      </c>
      <c r="E123" s="24" t="str">
        <f>IFERROR(INDEX([1]M_User!$A$12:$J$67,MATCH(C123,[1]M_User!$D$12:$D$67,0),5),"UNMAPPED")</f>
        <v>MOS</v>
      </c>
      <c r="F123" s="22" t="s">
        <v>49</v>
      </c>
      <c r="G123" s="23" t="str">
        <f>IFERROR(INDEX([1]M_SKU!$A$18:$J$57,MATCH(F123,[1]M_SKU!$B$18:$B$57,0),1),"UNKNOWN SKU")</f>
        <v>Fanta Pineapple RGB 350ml</v>
      </c>
      <c r="H123" s="22" t="s">
        <v>189</v>
      </c>
      <c r="I123" s="25">
        <f>IFERROR(INDEX([1]T_Unload!$K$10:$K$433,MATCH(B123,[1]T_Unload!$B$10:$B$433,0)),0)</f>
        <v>1.5904763643869497</v>
      </c>
      <c r="J123" s="26">
        <v>1.59</v>
      </c>
      <c r="K123" s="27">
        <f t="shared" si="4"/>
        <v>4.7636438694964589E-4</v>
      </c>
      <c r="L123" s="28" t="str">
        <f t="shared" si="5"/>
        <v>Post to Default Outlet</v>
      </c>
      <c r="M123" s="29">
        <f t="shared" si="6"/>
        <v>4.7636438694964589E-4</v>
      </c>
      <c r="N123" s="29">
        <f t="shared" si="7"/>
        <v>0</v>
      </c>
      <c r="O123" s="30" t="s">
        <v>38</v>
      </c>
      <c r="P123" s="22"/>
      <c r="Q123" s="31"/>
    </row>
    <row r="124" spans="1:17" ht="15" customHeight="1">
      <c r="A124" s="32" t="s">
        <v>354</v>
      </c>
      <c r="B124" s="33" t="s">
        <v>355</v>
      </c>
      <c r="C124" s="34" t="s">
        <v>346</v>
      </c>
      <c r="D124" s="35" t="str">
        <f>IFERROR(INDEX([1]M_User!$A$12:$J$67,MATCH(C124,[1]M_User!$D$12:$D$67,0),3),"UNMAPPED")</f>
        <v>George Gibson Mmary</v>
      </c>
      <c r="E124" s="36" t="str">
        <f>IFERROR(INDEX([1]M_User!$A$12:$J$67,MATCH(C124,[1]M_User!$D$12:$D$67,0),5),"UNMAPPED")</f>
        <v>MOS</v>
      </c>
      <c r="F124" s="34" t="s">
        <v>192</v>
      </c>
      <c r="G124" s="35" t="str">
        <f>IFERROR(INDEX([1]M_SKU!$A$18:$J$57,MATCH(F124,[1]M_SKU!$B$18:$B$57,0),1),"UNKNOWN SKU")</f>
        <v>Fanta Fruit Blast RGB 350 ml</v>
      </c>
      <c r="H124" s="34" t="s">
        <v>193</v>
      </c>
      <c r="I124" s="37">
        <f>IFERROR(INDEX([1]T_Unload!$K$10:$K$433,MATCH(B124,[1]T_Unload!$B$10:$B$433,0)),0)</f>
        <v>1.0522880739493856</v>
      </c>
      <c r="J124" s="26">
        <v>1.05</v>
      </c>
      <c r="K124" s="38">
        <f t="shared" si="4"/>
        <v>2.2880739493855717E-3</v>
      </c>
      <c r="L124" s="39" t="str">
        <f t="shared" si="5"/>
        <v>Post to Default Outlet</v>
      </c>
      <c r="M124" s="40">
        <f t="shared" si="6"/>
        <v>2.2880739493855717E-3</v>
      </c>
      <c r="N124" s="40">
        <f t="shared" si="7"/>
        <v>0</v>
      </c>
      <c r="O124" s="41" t="s">
        <v>38</v>
      </c>
      <c r="P124" s="42"/>
      <c r="Q124" s="43"/>
    </row>
    <row r="125" spans="1:17" ht="15" customHeight="1">
      <c r="A125" s="20" t="s">
        <v>356</v>
      </c>
      <c r="B125" s="21" t="s">
        <v>357</v>
      </c>
      <c r="C125" s="22" t="s">
        <v>346</v>
      </c>
      <c r="D125" s="23" t="str">
        <f>IFERROR(INDEX([1]M_User!$A$12:$J$67,MATCH(C125,[1]M_User!$D$12:$D$67,0),3),"UNMAPPED")</f>
        <v>George Gibson Mmary</v>
      </c>
      <c r="E125" s="24" t="str">
        <f>IFERROR(INDEX([1]M_User!$A$12:$J$67,MATCH(C125,[1]M_User!$D$12:$D$67,0),5),"UNMAPPED")</f>
        <v>MOS</v>
      </c>
      <c r="F125" s="22" t="s">
        <v>53</v>
      </c>
      <c r="G125" s="23" t="str">
        <f>IFERROR(INDEX([1]M_SKU!$A$18:$J$57,MATCH(F125,[1]M_SKU!$B$18:$B$57,0),1),"UNKNOWN SKU")</f>
        <v>Sprite 350ml</v>
      </c>
      <c r="H125" s="22" t="s">
        <v>196</v>
      </c>
      <c r="I125" s="25">
        <f>IFERROR(INDEX([1]T_Unload!$K$10:$K$433,MATCH(B125,[1]T_Unload!$B$10:$B$433,0)),0)</f>
        <v>5.5350848151756793</v>
      </c>
      <c r="J125" s="26">
        <v>5.54</v>
      </c>
      <c r="K125" s="27">
        <f t="shared" si="4"/>
        <v>-4.9151848243207397E-3</v>
      </c>
      <c r="L125" s="28" t="str">
        <f t="shared" si="5"/>
        <v>Adjust Unload Upward</v>
      </c>
      <c r="M125" s="29">
        <f t="shared" si="6"/>
        <v>0</v>
      </c>
      <c r="N125" s="29">
        <f t="shared" si="7"/>
        <v>4.9151848243207397E-3</v>
      </c>
      <c r="O125" s="30" t="s">
        <v>38</v>
      </c>
      <c r="P125" s="22"/>
      <c r="Q125" s="31"/>
    </row>
    <row r="126" spans="1:17" ht="15" customHeight="1">
      <c r="A126" s="32" t="s">
        <v>358</v>
      </c>
      <c r="B126" s="33" t="s">
        <v>359</v>
      </c>
      <c r="C126" s="34" t="s">
        <v>346</v>
      </c>
      <c r="D126" s="35" t="str">
        <f>IFERROR(INDEX([1]M_User!$A$12:$J$67,MATCH(C126,[1]M_User!$D$12:$D$67,0),3),"UNMAPPED")</f>
        <v>George Gibson Mmary</v>
      </c>
      <c r="E126" s="36" t="str">
        <f>IFERROR(INDEX([1]M_User!$A$12:$J$67,MATCH(C126,[1]M_User!$D$12:$D$67,0),5),"UNMAPPED")</f>
        <v>MOS</v>
      </c>
      <c r="F126" s="34" t="s">
        <v>199</v>
      </c>
      <c r="G126" s="35" t="str">
        <f>IFERROR(INDEX([1]M_SKU!$A$18:$J$57,MATCH(F126,[1]M_SKU!$B$18:$B$57,0),1),"UNKNOWN SKU")</f>
        <v>Stoney Tangawizi RGB 350ml</v>
      </c>
      <c r="H126" s="34" t="s">
        <v>200</v>
      </c>
      <c r="I126" s="37">
        <f>IFERROR(INDEX([1]T_Unload!$K$10:$K$433,MATCH(B126,[1]T_Unload!$B$10:$B$433,0)),0)</f>
        <v>1.0817259117987001</v>
      </c>
      <c r="J126" s="26">
        <v>1.08</v>
      </c>
      <c r="K126" s="38">
        <f t="shared" si="4"/>
        <v>1.7259117987000749E-3</v>
      </c>
      <c r="L126" s="39" t="str">
        <f t="shared" si="5"/>
        <v>Post to Default Outlet</v>
      </c>
      <c r="M126" s="40">
        <f t="shared" si="6"/>
        <v>1.7259117987000749E-3</v>
      </c>
      <c r="N126" s="40">
        <f t="shared" si="7"/>
        <v>0</v>
      </c>
      <c r="O126" s="41" t="s">
        <v>38</v>
      </c>
      <c r="P126" s="42"/>
      <c r="Q126" s="43"/>
    </row>
    <row r="127" spans="1:17" ht="15" customHeight="1">
      <c r="A127" s="20" t="s">
        <v>360</v>
      </c>
      <c r="B127" s="21" t="s">
        <v>361</v>
      </c>
      <c r="C127" s="22" t="s">
        <v>346</v>
      </c>
      <c r="D127" s="23" t="str">
        <f>IFERROR(INDEX([1]M_User!$A$12:$J$67,MATCH(C127,[1]M_User!$D$12:$D$67,0),3),"UNMAPPED")</f>
        <v>George Gibson Mmary</v>
      </c>
      <c r="E127" s="24" t="str">
        <f>IFERROR(INDEX([1]M_User!$A$12:$J$67,MATCH(C127,[1]M_User!$D$12:$D$67,0),5),"UNMAPPED")</f>
        <v>MOS</v>
      </c>
      <c r="F127" s="22" t="s">
        <v>203</v>
      </c>
      <c r="G127" s="23" t="str">
        <f>IFERROR(INDEX([1]M_SKU!$A$18:$J$57,MATCH(F127,[1]M_SKU!$B$18:$B$57,0),1),"UNKNOWN SKU")</f>
        <v>Sparletta Pinenut RGB 350ml</v>
      </c>
      <c r="H127" s="22" t="s">
        <v>204</v>
      </c>
      <c r="I127" s="25">
        <f>IFERROR(INDEX([1]T_Unload!$K$10:$K$433,MATCH(B127,[1]T_Unload!$B$10:$B$433,0)),0)</f>
        <v>0.86114833275745983</v>
      </c>
      <c r="J127" s="26">
        <v>0.86</v>
      </c>
      <c r="K127" s="27">
        <f t="shared" si="4"/>
        <v>1.1483327574598468E-3</v>
      </c>
      <c r="L127" s="28" t="str">
        <f t="shared" si="5"/>
        <v>Post to Default Outlet</v>
      </c>
      <c r="M127" s="29">
        <f t="shared" si="6"/>
        <v>1.1483327574598468E-3</v>
      </c>
      <c r="N127" s="29">
        <f t="shared" si="7"/>
        <v>0</v>
      </c>
      <c r="O127" s="30" t="s">
        <v>38</v>
      </c>
      <c r="P127" s="22"/>
      <c r="Q127" s="31"/>
    </row>
    <row r="128" spans="1:17" ht="15" customHeight="1">
      <c r="A128" s="32" t="s">
        <v>362</v>
      </c>
      <c r="B128" s="33" t="s">
        <v>363</v>
      </c>
      <c r="C128" s="34" t="s">
        <v>346</v>
      </c>
      <c r="D128" s="35" t="str">
        <f>IFERROR(INDEX([1]M_User!$A$12:$J$67,MATCH(C128,[1]M_User!$D$12:$D$67,0),3),"UNMAPPED")</f>
        <v>George Gibson Mmary</v>
      </c>
      <c r="E128" s="36" t="str">
        <f>IFERROR(INDEX([1]M_User!$A$12:$J$67,MATCH(C128,[1]M_User!$D$12:$D$67,0),5),"UNMAPPED")</f>
        <v>MOS</v>
      </c>
      <c r="F128" s="34" t="s">
        <v>57</v>
      </c>
      <c r="G128" s="35" t="str">
        <f>IFERROR(INDEX([1]M_SKU!$A$18:$J$57,MATCH(F128,[1]M_SKU!$B$18:$B$57,0),1),"UNKNOWN SKU")</f>
        <v>Krest Bitter Lemon RGB 300ml</v>
      </c>
      <c r="H128" s="34" t="s">
        <v>58</v>
      </c>
      <c r="I128" s="37">
        <f>IFERROR(INDEX([1]T_Unload!$K$10:$K$433,MATCH(B128,[1]T_Unload!$B$10:$B$433,0)),0)</f>
        <v>0.65049887160674214</v>
      </c>
      <c r="J128" s="26">
        <v>0.65</v>
      </c>
      <c r="K128" s="38">
        <f t="shared" si="4"/>
        <v>4.9887160674211284E-4</v>
      </c>
      <c r="L128" s="39" t="str">
        <f t="shared" si="5"/>
        <v>Post to Default Outlet</v>
      </c>
      <c r="M128" s="40">
        <f t="shared" si="6"/>
        <v>4.9887160674211284E-4</v>
      </c>
      <c r="N128" s="40">
        <f t="shared" si="7"/>
        <v>0</v>
      </c>
      <c r="O128" s="41" t="s">
        <v>38</v>
      </c>
      <c r="P128" s="42"/>
      <c r="Q128" s="43"/>
    </row>
    <row r="129" spans="1:17" ht="15" customHeight="1">
      <c r="A129" s="20" t="s">
        <v>364</v>
      </c>
      <c r="B129" s="21" t="s">
        <v>365</v>
      </c>
      <c r="C129" s="22" t="s">
        <v>346</v>
      </c>
      <c r="D129" s="23" t="str">
        <f>IFERROR(INDEX([1]M_User!$A$12:$J$67,MATCH(C129,[1]M_User!$D$12:$D$67,0),3),"UNMAPPED")</f>
        <v>George Gibson Mmary</v>
      </c>
      <c r="E129" s="24" t="str">
        <f>IFERROR(INDEX([1]M_User!$A$12:$J$67,MATCH(C129,[1]M_User!$D$12:$D$67,0),5),"UNMAPPED")</f>
        <v>MOS</v>
      </c>
      <c r="F129" s="22" t="s">
        <v>61</v>
      </c>
      <c r="G129" s="23" t="str">
        <f>IFERROR(INDEX([1]M_SKU!$A$18:$J$57,MATCH(F129,[1]M_SKU!$B$18:$B$57,0),1),"UNKNOWN SKU")</f>
        <v>Krest Club Soda RGB 300ml</v>
      </c>
      <c r="H129" s="22" t="s">
        <v>62</v>
      </c>
      <c r="I129" s="25">
        <f>IFERROR(INDEX([1]T_Unload!$K$10:$K$433,MATCH(B129,[1]T_Unload!$B$10:$B$433,0)),0)</f>
        <v>0.38994892022298</v>
      </c>
      <c r="J129" s="26">
        <v>0.39</v>
      </c>
      <c r="K129" s="27">
        <f t="shared" si="4"/>
        <v>-5.1079777020013317E-5</v>
      </c>
      <c r="L129" s="28" t="str">
        <f t="shared" si="5"/>
        <v>CLEAN</v>
      </c>
      <c r="M129" s="29">
        <f t="shared" si="6"/>
        <v>0</v>
      </c>
      <c r="N129" s="29">
        <f t="shared" si="7"/>
        <v>0</v>
      </c>
      <c r="O129" s="30" t="s">
        <v>38</v>
      </c>
      <c r="P129" s="22"/>
      <c r="Q129" s="31"/>
    </row>
    <row r="130" spans="1:17" ht="15" customHeight="1">
      <c r="A130" s="32" t="s">
        <v>366</v>
      </c>
      <c r="B130" s="33" t="s">
        <v>367</v>
      </c>
      <c r="C130" s="34" t="s">
        <v>346</v>
      </c>
      <c r="D130" s="35" t="str">
        <f>IFERROR(INDEX([1]M_User!$A$12:$J$67,MATCH(C130,[1]M_User!$D$12:$D$67,0),3),"UNMAPPED")</f>
        <v>George Gibson Mmary</v>
      </c>
      <c r="E130" s="36" t="str">
        <f>IFERROR(INDEX([1]M_User!$A$12:$J$67,MATCH(C130,[1]M_User!$D$12:$D$67,0),5),"UNMAPPED")</f>
        <v>MOS</v>
      </c>
      <c r="F130" s="34" t="s">
        <v>65</v>
      </c>
      <c r="G130" s="35" t="str">
        <f>IFERROR(INDEX([1]M_SKU!$A$18:$J$57,MATCH(F130,[1]M_SKU!$B$18:$B$57,0),1),"UNKNOWN SKU")</f>
        <v>Krest Tonic Water RGB 300ml</v>
      </c>
      <c r="H130" s="34" t="s">
        <v>211</v>
      </c>
      <c r="I130" s="37">
        <f>IFERROR(INDEX([1]T_Unload!$K$10:$K$433,MATCH(B130,[1]T_Unload!$B$10:$B$433,0)),0)</f>
        <v>0.41805018854929221</v>
      </c>
      <c r="J130" s="26">
        <v>0.42</v>
      </c>
      <c r="K130" s="38">
        <f t="shared" si="4"/>
        <v>-1.9498114507077724E-3</v>
      </c>
      <c r="L130" s="39" t="str">
        <f t="shared" si="5"/>
        <v>Adjust Unload Upward</v>
      </c>
      <c r="M130" s="40">
        <f t="shared" si="6"/>
        <v>0</v>
      </c>
      <c r="N130" s="40">
        <f t="shared" si="7"/>
        <v>1.9498114507077724E-3</v>
      </c>
      <c r="O130" s="41" t="s">
        <v>38</v>
      </c>
      <c r="P130" s="42"/>
      <c r="Q130" s="43"/>
    </row>
    <row r="131" spans="1:17" ht="15" customHeight="1">
      <c r="A131" s="20" t="s">
        <v>368</v>
      </c>
      <c r="B131" s="21" t="s">
        <v>369</v>
      </c>
      <c r="C131" s="22" t="s">
        <v>346</v>
      </c>
      <c r="D131" s="23" t="str">
        <f>IFERROR(INDEX([1]M_User!$A$12:$J$67,MATCH(C131,[1]M_User!$D$12:$D$67,0),3),"UNMAPPED")</f>
        <v>George Gibson Mmary</v>
      </c>
      <c r="E131" s="24" t="str">
        <f>IFERROR(INDEX([1]M_User!$A$12:$J$67,MATCH(C131,[1]M_User!$D$12:$D$67,0),5),"UNMAPPED")</f>
        <v>MOS</v>
      </c>
      <c r="F131" s="22" t="s">
        <v>69</v>
      </c>
      <c r="G131" s="23" t="str">
        <f>IFERROR(INDEX([1]M_SKU!$A$18:$J$57,MATCH(F131,[1]M_SKU!$B$18:$B$57,0),1),"UNKNOWN SKU")</f>
        <v>Krest Ginger Ale RGB 300ml</v>
      </c>
      <c r="H131" s="22" t="s">
        <v>70</v>
      </c>
      <c r="I131" s="25">
        <f>IFERROR(INDEX([1]T_Unload!$K$10:$K$433,MATCH(B131,[1]T_Unload!$B$10:$B$433,0)),0)</f>
        <v>0.52939954021457991</v>
      </c>
      <c r="J131" s="26">
        <v>0.53</v>
      </c>
      <c r="K131" s="27">
        <f t="shared" si="4"/>
        <v>-6.0045978542011547E-4</v>
      </c>
      <c r="L131" s="28" t="str">
        <f t="shared" si="5"/>
        <v>Adjust Unload Upward</v>
      </c>
      <c r="M131" s="29">
        <f t="shared" si="6"/>
        <v>0</v>
      </c>
      <c r="N131" s="29">
        <f t="shared" si="7"/>
        <v>6.0045978542011547E-4</v>
      </c>
      <c r="O131" s="30" t="s">
        <v>38</v>
      </c>
      <c r="P131" s="22"/>
      <c r="Q131" s="31"/>
    </row>
    <row r="132" spans="1:17" ht="15" customHeight="1">
      <c r="A132" s="32" t="s">
        <v>370</v>
      </c>
      <c r="B132" s="33" t="s">
        <v>371</v>
      </c>
      <c r="C132" s="34" t="s">
        <v>346</v>
      </c>
      <c r="D132" s="35" t="str">
        <f>IFERROR(INDEX([1]M_User!$A$12:$J$67,MATCH(C132,[1]M_User!$D$12:$D$67,0),3),"UNMAPPED")</f>
        <v>George Gibson Mmary</v>
      </c>
      <c r="E132" s="36" t="str">
        <f>IFERROR(INDEX([1]M_User!$A$12:$J$67,MATCH(C132,[1]M_User!$D$12:$D$67,0),5),"UNMAPPED")</f>
        <v>MOS</v>
      </c>
      <c r="F132" s="34" t="s">
        <v>216</v>
      </c>
      <c r="G132" s="35" t="str">
        <f>IFERROR(INDEX([1]M_SKU!$A$18:$J$57,MATCH(F132,[1]M_SKU!$B$18:$B$57,0),1),"UNKNOWN SKU")</f>
        <v>Sparletta Red Apple RGB 350ml</v>
      </c>
      <c r="H132" s="34" t="s">
        <v>217</v>
      </c>
      <c r="I132" s="37">
        <f>IFERROR(INDEX([1]T_Unload!$K$10:$K$433,MATCH(B132,[1]T_Unload!$B$10:$B$433,0)),0)</f>
        <v>0.28187584999027981</v>
      </c>
      <c r="J132" s="26">
        <v>0.28000000000000003</v>
      </c>
      <c r="K132" s="38">
        <f t="shared" si="4"/>
        <v>1.8758499902797876E-3</v>
      </c>
      <c r="L132" s="39" t="str">
        <f t="shared" si="5"/>
        <v>Post to Default Outlet</v>
      </c>
      <c r="M132" s="40">
        <f t="shared" si="6"/>
        <v>1.8758499902797876E-3</v>
      </c>
      <c r="N132" s="40">
        <f t="shared" si="7"/>
        <v>0</v>
      </c>
      <c r="O132" s="41" t="s">
        <v>38</v>
      </c>
      <c r="P132" s="42"/>
      <c r="Q132" s="43"/>
    </row>
    <row r="133" spans="1:17" ht="15" customHeight="1">
      <c r="A133" s="20" t="s">
        <v>372</v>
      </c>
      <c r="B133" s="21" t="s">
        <v>373</v>
      </c>
      <c r="C133" s="22" t="s">
        <v>346</v>
      </c>
      <c r="D133" s="23" t="str">
        <f>IFERROR(INDEX([1]M_User!$A$12:$J$67,MATCH(C133,[1]M_User!$D$12:$D$67,0),3),"UNMAPPED")</f>
        <v>George Gibson Mmary</v>
      </c>
      <c r="E133" s="24" t="str">
        <f>IFERROR(INDEX([1]M_User!$A$12:$J$67,MATCH(C133,[1]M_User!$D$12:$D$67,0),5),"UNMAPPED")</f>
        <v>MOS</v>
      </c>
      <c r="F133" s="22" t="s">
        <v>73</v>
      </c>
      <c r="G133" s="23" t="str">
        <f>IFERROR(INDEX([1]M_SKU!$A$18:$J$57,MATCH(F133,[1]M_SKU!$B$18:$B$57,0),1),"UNKNOWN SKU")</f>
        <v>KNMW 500ml</v>
      </c>
      <c r="H133" s="22" t="s">
        <v>220</v>
      </c>
      <c r="I133" s="25">
        <f>IFERROR(INDEX([1]T_Unload!$K$10:$K$433,MATCH(B133,[1]T_Unload!$B$10:$B$433,0)),0)</f>
        <v>11</v>
      </c>
      <c r="J133" s="26">
        <v>11</v>
      </c>
      <c r="K133" s="27">
        <f t="shared" si="4"/>
        <v>0</v>
      </c>
      <c r="L133" s="28" t="str">
        <f t="shared" si="5"/>
        <v>CLEAN</v>
      </c>
      <c r="M133" s="29">
        <f t="shared" si="6"/>
        <v>0</v>
      </c>
      <c r="N133" s="29">
        <f t="shared" si="7"/>
        <v>0</v>
      </c>
      <c r="O133" s="30" t="s">
        <v>38</v>
      </c>
      <c r="P133" s="22"/>
      <c r="Q133" s="31"/>
    </row>
    <row r="134" spans="1:17" ht="15" customHeight="1">
      <c r="A134" s="32" t="s">
        <v>374</v>
      </c>
      <c r="B134" s="33" t="s">
        <v>375</v>
      </c>
      <c r="C134" s="34" t="s">
        <v>346</v>
      </c>
      <c r="D134" s="35" t="str">
        <f>IFERROR(INDEX([1]M_User!$A$12:$J$67,MATCH(C134,[1]M_User!$D$12:$D$67,0),3),"UNMAPPED")</f>
        <v>George Gibson Mmary</v>
      </c>
      <c r="E134" s="36" t="str">
        <f>IFERROR(INDEX([1]M_User!$A$12:$J$67,MATCH(C134,[1]M_User!$D$12:$D$67,0),5),"UNMAPPED")</f>
        <v>MOS</v>
      </c>
      <c r="F134" s="34" t="s">
        <v>83</v>
      </c>
      <c r="G134" s="35" t="str">
        <f>IFERROR(INDEX([1]M_SKU!$A$18:$J$57,MATCH(F134,[1]M_SKU!$B$18:$B$57,0),1),"UNKNOWN SKU")</f>
        <v>KNMW 1500ml</v>
      </c>
      <c r="H134" s="34" t="s">
        <v>223</v>
      </c>
      <c r="I134" s="37">
        <f>IFERROR(INDEX([1]T_Unload!$K$10:$K$433,MATCH(B134,[1]T_Unload!$B$10:$B$433,0)),0)</f>
        <v>22</v>
      </c>
      <c r="J134" s="26">
        <v>22</v>
      </c>
      <c r="K134" s="38">
        <f t="shared" si="4"/>
        <v>0</v>
      </c>
      <c r="L134" s="39" t="str">
        <f t="shared" si="5"/>
        <v>CLEAN</v>
      </c>
      <c r="M134" s="40">
        <f t="shared" si="6"/>
        <v>0</v>
      </c>
      <c r="N134" s="40">
        <f t="shared" si="7"/>
        <v>0</v>
      </c>
      <c r="O134" s="41" t="s">
        <v>38</v>
      </c>
      <c r="P134" s="42"/>
      <c r="Q134" s="43"/>
    </row>
    <row r="135" spans="1:17" ht="15" customHeight="1">
      <c r="A135" s="20" t="s">
        <v>376</v>
      </c>
      <c r="B135" s="21" t="s">
        <v>377</v>
      </c>
      <c r="C135" s="22" t="s">
        <v>346</v>
      </c>
      <c r="D135" s="23" t="str">
        <f>IFERROR(INDEX([1]M_User!$A$12:$J$67,MATCH(C135,[1]M_User!$D$12:$D$67,0),3),"UNMAPPED")</f>
        <v>George Gibson Mmary</v>
      </c>
      <c r="E135" s="24" t="str">
        <f>IFERROR(INDEX([1]M_User!$A$12:$J$67,MATCH(C135,[1]M_User!$D$12:$D$67,0),5),"UNMAPPED")</f>
        <v>MOS</v>
      </c>
      <c r="F135" s="22" t="s">
        <v>109</v>
      </c>
      <c r="G135" s="23" t="str">
        <f>IFERROR(INDEX([1]M_SKU!$A$18:$J$57,MATCH(F135,[1]M_SKU!$B$18:$B$57,0),1),"UNKNOWN SKU")</f>
        <v>Coke Pet 500ML ( x12)</v>
      </c>
      <c r="H135" s="22" t="s">
        <v>226</v>
      </c>
      <c r="I135" s="25">
        <f>IFERROR(INDEX([1]T_Unload!$K$10:$K$433,MATCH(B135,[1]T_Unload!$B$10:$B$433,0)),0)</f>
        <v>11</v>
      </c>
      <c r="J135" s="26">
        <v>11</v>
      </c>
      <c r="K135" s="27">
        <f t="shared" si="4"/>
        <v>0</v>
      </c>
      <c r="L135" s="28" t="str">
        <f t="shared" si="5"/>
        <v>CLEAN</v>
      </c>
      <c r="M135" s="29">
        <f t="shared" si="6"/>
        <v>0</v>
      </c>
      <c r="N135" s="29">
        <f t="shared" si="7"/>
        <v>0</v>
      </c>
      <c r="O135" s="30" t="s">
        <v>38</v>
      </c>
      <c r="P135" s="22"/>
      <c r="Q135" s="31"/>
    </row>
    <row r="136" spans="1:17" ht="15" customHeight="1">
      <c r="A136" s="32" t="s">
        <v>378</v>
      </c>
      <c r="B136" s="33" t="s">
        <v>379</v>
      </c>
      <c r="C136" s="34" t="s">
        <v>346</v>
      </c>
      <c r="D136" s="35" t="str">
        <f>IFERROR(INDEX([1]M_User!$A$12:$J$67,MATCH(C136,[1]M_User!$D$12:$D$67,0),3),"UNMAPPED")</f>
        <v>George Gibson Mmary</v>
      </c>
      <c r="E136" s="36" t="str">
        <f>IFERROR(INDEX([1]M_User!$A$12:$J$67,MATCH(C136,[1]M_User!$D$12:$D$67,0),5),"UNMAPPED")</f>
        <v>MOS</v>
      </c>
      <c r="F136" s="34" t="s">
        <v>113</v>
      </c>
      <c r="G136" s="35" t="str">
        <f>IFERROR(INDEX([1]M_SKU!$A$18:$J$57,MATCH(F136,[1]M_SKU!$B$18:$B$57,0),1),"UNKNOWN SKU")</f>
        <v>Sprite Pet 500ML (x 12)</v>
      </c>
      <c r="H136" s="34" t="s">
        <v>114</v>
      </c>
      <c r="I136" s="37">
        <f>IFERROR(INDEX([1]T_Unload!$K$10:$K$433,MATCH(B136,[1]T_Unload!$B$10:$B$433,0)),0)</f>
        <v>2</v>
      </c>
      <c r="J136" s="26">
        <v>2</v>
      </c>
      <c r="K136" s="38">
        <f t="shared" si="4"/>
        <v>0</v>
      </c>
      <c r="L136" s="39" t="str">
        <f t="shared" si="5"/>
        <v>CLEAN</v>
      </c>
      <c r="M136" s="40">
        <f t="shared" si="6"/>
        <v>0</v>
      </c>
      <c r="N136" s="40">
        <f t="shared" si="7"/>
        <v>0</v>
      </c>
      <c r="O136" s="41" t="s">
        <v>38</v>
      </c>
      <c r="P136" s="42"/>
      <c r="Q136" s="43"/>
    </row>
    <row r="137" spans="1:17" ht="15" customHeight="1">
      <c r="A137" s="20" t="s">
        <v>380</v>
      </c>
      <c r="B137" s="21" t="s">
        <v>381</v>
      </c>
      <c r="C137" s="22" t="s">
        <v>346</v>
      </c>
      <c r="D137" s="23" t="str">
        <f>IFERROR(INDEX([1]M_User!$A$12:$J$67,MATCH(C137,[1]M_User!$D$12:$D$67,0),3),"UNMAPPED")</f>
        <v>George Gibson Mmary</v>
      </c>
      <c r="E137" s="24" t="str">
        <f>IFERROR(INDEX([1]M_User!$A$12:$J$67,MATCH(C137,[1]M_User!$D$12:$D$67,0),5),"UNMAPPED")</f>
        <v>MOS</v>
      </c>
      <c r="F137" s="22" t="s">
        <v>117</v>
      </c>
      <c r="G137" s="23" t="str">
        <f>IFERROR(INDEX([1]M_SKU!$A$18:$J$57,MATCH(F137,[1]M_SKU!$B$18:$B$57,0),1),"UNKNOWN SKU")</f>
        <v>Fanta Orange Pet 500ML ( x 12)</v>
      </c>
      <c r="H137" s="22" t="s">
        <v>231</v>
      </c>
      <c r="I137" s="25">
        <f>IFERROR(INDEX([1]T_Unload!$K$10:$K$433,MATCH(B137,[1]T_Unload!$B$10:$B$433,0)),0)</f>
        <v>7</v>
      </c>
      <c r="J137" s="26">
        <v>7</v>
      </c>
      <c r="K137" s="27">
        <f t="shared" si="4"/>
        <v>0</v>
      </c>
      <c r="L137" s="28" t="str">
        <f t="shared" si="5"/>
        <v>CLEAN</v>
      </c>
      <c r="M137" s="29">
        <f t="shared" si="6"/>
        <v>0</v>
      </c>
      <c r="N137" s="29">
        <f t="shared" si="7"/>
        <v>0</v>
      </c>
      <c r="O137" s="30" t="s">
        <v>38</v>
      </c>
      <c r="P137" s="22"/>
      <c r="Q137" s="31"/>
    </row>
    <row r="138" spans="1:17" ht="15" customHeight="1">
      <c r="A138" s="32" t="s">
        <v>382</v>
      </c>
      <c r="B138" s="33" t="s">
        <v>383</v>
      </c>
      <c r="C138" s="34" t="s">
        <v>346</v>
      </c>
      <c r="D138" s="35" t="str">
        <f>IFERROR(INDEX([1]M_User!$A$12:$J$67,MATCH(C138,[1]M_User!$D$12:$D$67,0),3),"UNMAPPED")</f>
        <v>George Gibson Mmary</v>
      </c>
      <c r="E138" s="36" t="str">
        <f>IFERROR(INDEX([1]M_User!$A$12:$J$67,MATCH(C138,[1]M_User!$D$12:$D$67,0),5),"UNMAPPED")</f>
        <v>MOS</v>
      </c>
      <c r="F138" s="34" t="s">
        <v>121</v>
      </c>
      <c r="G138" s="35" t="str">
        <f>IFERROR(INDEX([1]M_SKU!$A$18:$J$57,MATCH(F138,[1]M_SKU!$B$18:$B$57,0),1),"UNKNOWN SKU")</f>
        <v>Fanta Passion Pet 500ML ( x12)</v>
      </c>
      <c r="H138" s="34" t="s">
        <v>234</v>
      </c>
      <c r="I138" s="37">
        <f>IFERROR(INDEX([1]T_Unload!$K$10:$K$433,MATCH(B138,[1]T_Unload!$B$10:$B$433,0)),0)</f>
        <v>2</v>
      </c>
      <c r="J138" s="26">
        <v>2</v>
      </c>
      <c r="K138" s="38">
        <f t="shared" si="4"/>
        <v>0</v>
      </c>
      <c r="L138" s="39" t="str">
        <f t="shared" si="5"/>
        <v>CLEAN</v>
      </c>
      <c r="M138" s="40">
        <f t="shared" si="6"/>
        <v>0</v>
      </c>
      <c r="N138" s="40">
        <f t="shared" si="7"/>
        <v>0</v>
      </c>
      <c r="O138" s="41" t="s">
        <v>38</v>
      </c>
      <c r="P138" s="42"/>
      <c r="Q138" s="43"/>
    </row>
    <row r="139" spans="1:17" ht="15" customHeight="1">
      <c r="A139" s="20" t="s">
        <v>384</v>
      </c>
      <c r="B139" s="21" t="s">
        <v>385</v>
      </c>
      <c r="C139" s="22" t="s">
        <v>346</v>
      </c>
      <c r="D139" s="23" t="str">
        <f>IFERROR(INDEX([1]M_User!$A$12:$J$67,MATCH(C139,[1]M_User!$D$12:$D$67,0),3),"UNMAPPED")</f>
        <v>George Gibson Mmary</v>
      </c>
      <c r="E139" s="24" t="str">
        <f>IFERROR(INDEX([1]M_User!$A$12:$J$67,MATCH(C139,[1]M_User!$D$12:$D$67,0),5),"UNMAPPED")</f>
        <v>MOS</v>
      </c>
      <c r="F139" s="22" t="s">
        <v>133</v>
      </c>
      <c r="G139" s="23" t="str">
        <f>IFERROR(INDEX([1]M_SKU!$A$18:$J$57,MATCH(F139,[1]M_SKU!$B$18:$B$57,0),1),"UNKNOWN SKU")</f>
        <v>Stoney Tangawizi Pet 500 ml ( x12)</v>
      </c>
      <c r="H139" s="22" t="s">
        <v>237</v>
      </c>
      <c r="I139" s="25">
        <f>IFERROR(INDEX([1]T_Unload!$K$10:$K$433,MATCH(B139,[1]T_Unload!$B$10:$B$433,0)),0)</f>
        <v>2</v>
      </c>
      <c r="J139" s="26">
        <v>2</v>
      </c>
      <c r="K139" s="27">
        <f t="shared" si="4"/>
        <v>0</v>
      </c>
      <c r="L139" s="28" t="str">
        <f t="shared" si="5"/>
        <v>CLEAN</v>
      </c>
      <c r="M139" s="29">
        <f t="shared" si="6"/>
        <v>0</v>
      </c>
      <c r="N139" s="29">
        <f t="shared" si="7"/>
        <v>0</v>
      </c>
      <c r="O139" s="30" t="s">
        <v>38</v>
      </c>
      <c r="P139" s="22"/>
      <c r="Q139" s="31"/>
    </row>
    <row r="140" spans="1:17" ht="15" customHeight="1">
      <c r="A140" s="32" t="s">
        <v>386</v>
      </c>
      <c r="B140" s="33" t="s">
        <v>387</v>
      </c>
      <c r="C140" s="34" t="s">
        <v>346</v>
      </c>
      <c r="D140" s="35" t="str">
        <f>IFERROR(INDEX([1]M_User!$A$12:$J$67,MATCH(C140,[1]M_User!$D$12:$D$67,0),3),"UNMAPPED")</f>
        <v>George Gibson Mmary</v>
      </c>
      <c r="E140" s="36" t="str">
        <f>IFERROR(INDEX([1]M_User!$A$12:$J$67,MATCH(C140,[1]M_User!$D$12:$D$67,0),5),"UNMAPPED")</f>
        <v>MOS</v>
      </c>
      <c r="F140" s="34" t="s">
        <v>137</v>
      </c>
      <c r="G140" s="35" t="str">
        <f>IFERROR(INDEX([1]M_SKU!$A$18:$J$57,MATCH(F140,[1]M_SKU!$B$18:$B$57,0),1),"UNKNOWN SKU")</f>
        <v>Sparletta Pinenut Pet 500 ml ( x12)</v>
      </c>
      <c r="H140" s="34" t="s">
        <v>240</v>
      </c>
      <c r="I140" s="37">
        <f>IFERROR(INDEX([1]T_Unload!$K$10:$K$433,MATCH(B140,[1]T_Unload!$B$10:$B$433,0)),0)</f>
        <v>1</v>
      </c>
      <c r="J140" s="26">
        <v>1</v>
      </c>
      <c r="K140" s="38">
        <f t="shared" si="4"/>
        <v>0</v>
      </c>
      <c r="L140" s="39" t="str">
        <f t="shared" si="5"/>
        <v>CLEAN</v>
      </c>
      <c r="M140" s="40">
        <f t="shared" si="6"/>
        <v>0</v>
      </c>
      <c r="N140" s="40">
        <f t="shared" si="7"/>
        <v>0</v>
      </c>
      <c r="O140" s="41" t="s">
        <v>38</v>
      </c>
      <c r="P140" s="42"/>
      <c r="Q140" s="43"/>
    </row>
    <row r="141" spans="1:17" ht="15" customHeight="1">
      <c r="A141" s="20" t="s">
        <v>388</v>
      </c>
      <c r="B141" s="21" t="s">
        <v>389</v>
      </c>
      <c r="C141" s="22" t="s">
        <v>346</v>
      </c>
      <c r="D141" s="23" t="str">
        <f>IFERROR(INDEX([1]M_User!$A$12:$J$67,MATCH(C141,[1]M_User!$D$12:$D$67,0),3),"UNMAPPED")</f>
        <v>George Gibson Mmary</v>
      </c>
      <c r="E141" s="24" t="str">
        <f>IFERROR(INDEX([1]M_User!$A$12:$J$67,MATCH(C141,[1]M_User!$D$12:$D$67,0),5),"UNMAPPED")</f>
        <v>MOS</v>
      </c>
      <c r="F141" s="22" t="s">
        <v>243</v>
      </c>
      <c r="G141" s="23" t="str">
        <f>IFERROR(INDEX([1]M_SKU!$A$18:$J$57,MATCH(F141,[1]M_SKU!$B$18:$B$57,0),1),"UNKNOWN SKU")</f>
        <v>Sprite Zero Pet 300ML (x 12)</v>
      </c>
      <c r="H141" s="22" t="s">
        <v>244</v>
      </c>
      <c r="I141" s="25">
        <f>IFERROR(INDEX([1]T_Unload!$K$10:$K$433,MATCH(B141,[1]T_Unload!$B$10:$B$433,0)),0)</f>
        <v>1</v>
      </c>
      <c r="J141" s="26">
        <v>1</v>
      </c>
      <c r="K141" s="27">
        <f t="shared" ref="K141:K204" si="8">IF(ISBLANK(J141),"",I141-J141)</f>
        <v>0</v>
      </c>
      <c r="L141" s="28" t="str">
        <f t="shared" ref="L141:L204" si="9">IF(K141="","Awaiting Verification",IF(ABS(K141)&lt;0.0001,"CLEAN",IF(K141&gt;0,"Post to Default Outlet","Adjust Unload Upward")))</f>
        <v>CLEAN</v>
      </c>
      <c r="M141" s="29">
        <f t="shared" ref="M141:M204" si="10">IF(AND(ISNUMBER(K141),K141&gt;0.0001),K141,0)</f>
        <v>0</v>
      </c>
      <c r="N141" s="29">
        <f t="shared" ref="N141:N204" si="11">IF(AND(ISNUMBER(K141),K141&lt;-0.0001),-K141,0)</f>
        <v>0</v>
      </c>
      <c r="O141" s="30" t="s">
        <v>38</v>
      </c>
      <c r="P141" s="22"/>
      <c r="Q141" s="31"/>
    </row>
    <row r="142" spans="1:17" ht="15" customHeight="1">
      <c r="A142" s="32" t="s">
        <v>390</v>
      </c>
      <c r="B142" s="33" t="s">
        <v>391</v>
      </c>
      <c r="C142" s="34" t="s">
        <v>346</v>
      </c>
      <c r="D142" s="35" t="str">
        <f>IFERROR(INDEX([1]M_User!$A$12:$J$67,MATCH(C142,[1]M_User!$D$12:$D$67,0),3),"UNMAPPED")</f>
        <v>George Gibson Mmary</v>
      </c>
      <c r="E142" s="36" t="str">
        <f>IFERROR(INDEX([1]M_User!$A$12:$J$67,MATCH(C142,[1]M_User!$D$12:$D$67,0),5),"UNMAPPED")</f>
        <v>MOS</v>
      </c>
      <c r="F142" s="34" t="s">
        <v>148</v>
      </c>
      <c r="G142" s="35" t="str">
        <f>IFERROR(INDEX([1]M_SKU!$A$18:$J$57,MATCH(F142,[1]M_SKU!$B$18:$B$57,0),1),"UNKNOWN SKU")</f>
        <v>Fanta Zero Pet 300ML (x 12)</v>
      </c>
      <c r="H142" s="34" t="s">
        <v>149</v>
      </c>
      <c r="I142" s="37">
        <f>IFERROR(INDEX([1]T_Unload!$K$10:$K$433,MATCH(B142,[1]T_Unload!$B$10:$B$433,0)),0)</f>
        <v>1</v>
      </c>
      <c r="J142" s="26">
        <v>1</v>
      </c>
      <c r="K142" s="38">
        <f t="shared" si="8"/>
        <v>0</v>
      </c>
      <c r="L142" s="39" t="str">
        <f t="shared" si="9"/>
        <v>CLEAN</v>
      </c>
      <c r="M142" s="40">
        <f t="shared" si="10"/>
        <v>0</v>
      </c>
      <c r="N142" s="40">
        <f t="shared" si="11"/>
        <v>0</v>
      </c>
      <c r="O142" s="41" t="s">
        <v>38</v>
      </c>
      <c r="P142" s="42"/>
      <c r="Q142" s="43"/>
    </row>
    <row r="143" spans="1:17" ht="15" customHeight="1">
      <c r="A143" s="20" t="s">
        <v>392</v>
      </c>
      <c r="B143" s="21" t="s">
        <v>393</v>
      </c>
      <c r="C143" s="22" t="s">
        <v>394</v>
      </c>
      <c r="D143" s="23" t="str">
        <f>IFERROR(INDEX([1]M_User!$A$12:$J$67,MATCH(C143,[1]M_User!$D$12:$D$67,0),3),"UNMAPPED")</f>
        <v>Erick K. Mkama</v>
      </c>
      <c r="E143" s="24" t="str">
        <f>IFERROR(INDEX([1]M_User!$A$12:$J$67,MATCH(C143,[1]M_User!$D$12:$D$67,0),5),"UNMAPPED")</f>
        <v>MOS</v>
      </c>
      <c r="F143" s="22" t="s">
        <v>36</v>
      </c>
      <c r="G143" s="23" t="str">
        <f>IFERROR(INDEX([1]M_SKU!$A$18:$J$57,MATCH(F143,[1]M_SKU!$B$18:$B$57,0),1),"UNKNOWN SKU")</f>
        <v>Coke RGB 350ml</v>
      </c>
      <c r="H143" s="22" t="s">
        <v>180</v>
      </c>
      <c r="I143" s="25">
        <f>IFERROR(INDEX([1]T_Unload!$K$10:$K$433,MATCH(B143,[1]T_Unload!$B$10:$B$433,0)),0)</f>
        <v>3.239851966180801</v>
      </c>
      <c r="J143" s="26">
        <v>3.24</v>
      </c>
      <c r="K143" s="27">
        <f t="shared" si="8"/>
        <v>-1.4803381919925584E-4</v>
      </c>
      <c r="L143" s="28" t="str">
        <f t="shared" si="9"/>
        <v>Adjust Unload Upward</v>
      </c>
      <c r="M143" s="29">
        <f t="shared" si="10"/>
        <v>0</v>
      </c>
      <c r="N143" s="29">
        <f t="shared" si="11"/>
        <v>1.4803381919925584E-4</v>
      </c>
      <c r="O143" s="30" t="s">
        <v>38</v>
      </c>
      <c r="P143" s="22"/>
      <c r="Q143" s="31"/>
    </row>
    <row r="144" spans="1:17" ht="15" customHeight="1">
      <c r="A144" s="32" t="s">
        <v>395</v>
      </c>
      <c r="B144" s="33" t="s">
        <v>396</v>
      </c>
      <c r="C144" s="34" t="s">
        <v>394</v>
      </c>
      <c r="D144" s="35" t="str">
        <f>IFERROR(INDEX([1]M_User!$A$12:$J$67,MATCH(C144,[1]M_User!$D$12:$D$67,0),3),"UNMAPPED")</f>
        <v>Erick K. Mkama</v>
      </c>
      <c r="E144" s="36" t="str">
        <f>IFERROR(INDEX([1]M_User!$A$12:$J$67,MATCH(C144,[1]M_User!$D$12:$D$67,0),5),"UNMAPPED")</f>
        <v>MOS</v>
      </c>
      <c r="F144" s="34" t="s">
        <v>41</v>
      </c>
      <c r="G144" s="35" t="str">
        <f>IFERROR(INDEX([1]M_SKU!$A$18:$J$57,MATCH(F144,[1]M_SKU!$B$18:$B$57,0),1),"UNKNOWN SKU")</f>
        <v>Fanta Orange RGB 350ml</v>
      </c>
      <c r="H144" s="34" t="s">
        <v>183</v>
      </c>
      <c r="I144" s="37">
        <f>IFERROR(INDEX([1]T_Unload!$K$10:$K$433,MATCH(B144,[1]T_Unload!$B$10:$B$433,0)),0)</f>
        <v>3.6010213285305497</v>
      </c>
      <c r="J144" s="26">
        <v>3.6</v>
      </c>
      <c r="K144" s="38">
        <f t="shared" si="8"/>
        <v>1.0213285305495923E-3</v>
      </c>
      <c r="L144" s="39" t="str">
        <f t="shared" si="9"/>
        <v>Post to Default Outlet</v>
      </c>
      <c r="M144" s="40">
        <f t="shared" si="10"/>
        <v>1.0213285305495923E-3</v>
      </c>
      <c r="N144" s="40">
        <f t="shared" si="11"/>
        <v>0</v>
      </c>
      <c r="O144" s="41" t="s">
        <v>38</v>
      </c>
      <c r="P144" s="42"/>
      <c r="Q144" s="43"/>
    </row>
    <row r="145" spans="1:17" ht="15" customHeight="1">
      <c r="A145" s="20" t="s">
        <v>397</v>
      </c>
      <c r="B145" s="21" t="s">
        <v>398</v>
      </c>
      <c r="C145" s="22" t="s">
        <v>394</v>
      </c>
      <c r="D145" s="23" t="str">
        <f>IFERROR(INDEX([1]M_User!$A$12:$J$67,MATCH(C145,[1]M_User!$D$12:$D$67,0),3),"UNMAPPED")</f>
        <v>Erick K. Mkama</v>
      </c>
      <c r="E145" s="24" t="str">
        <f>IFERROR(INDEX([1]M_User!$A$12:$J$67,MATCH(C145,[1]M_User!$D$12:$D$67,0),5),"UNMAPPED")</f>
        <v>MOS</v>
      </c>
      <c r="F145" s="22" t="s">
        <v>45</v>
      </c>
      <c r="G145" s="23" t="str">
        <f>IFERROR(INDEX([1]M_SKU!$A$18:$J$57,MATCH(F145,[1]M_SKU!$B$18:$B$57,0),1),"UNKNOWN SKU")</f>
        <v>Fanta Passion RGB 350ml</v>
      </c>
      <c r="H145" s="22" t="s">
        <v>186</v>
      </c>
      <c r="I145" s="25">
        <f>IFERROR(INDEX([1]T_Unload!$K$10:$K$433,MATCH(B145,[1]T_Unload!$B$10:$B$433,0)),0)</f>
        <v>1.1701939151480598</v>
      </c>
      <c r="J145" s="26">
        <v>1.17</v>
      </c>
      <c r="K145" s="27">
        <f t="shared" si="8"/>
        <v>1.9391514805988663E-4</v>
      </c>
      <c r="L145" s="28" t="str">
        <f t="shared" si="9"/>
        <v>Post to Default Outlet</v>
      </c>
      <c r="M145" s="29">
        <f t="shared" si="10"/>
        <v>1.9391514805988663E-4</v>
      </c>
      <c r="N145" s="29">
        <f t="shared" si="11"/>
        <v>0</v>
      </c>
      <c r="O145" s="30" t="s">
        <v>38</v>
      </c>
      <c r="P145" s="22"/>
      <c r="Q145" s="31"/>
    </row>
    <row r="146" spans="1:17" ht="15" customHeight="1">
      <c r="A146" s="32" t="s">
        <v>399</v>
      </c>
      <c r="B146" s="33" t="s">
        <v>400</v>
      </c>
      <c r="C146" s="34" t="s">
        <v>394</v>
      </c>
      <c r="D146" s="35" t="str">
        <f>IFERROR(INDEX([1]M_User!$A$12:$J$67,MATCH(C146,[1]M_User!$D$12:$D$67,0),3),"UNMAPPED")</f>
        <v>Erick K. Mkama</v>
      </c>
      <c r="E146" s="36" t="str">
        <f>IFERROR(INDEX([1]M_User!$A$12:$J$67,MATCH(C146,[1]M_User!$D$12:$D$67,0),5),"UNMAPPED")</f>
        <v>MOS</v>
      </c>
      <c r="F146" s="34" t="s">
        <v>49</v>
      </c>
      <c r="G146" s="35" t="str">
        <f>IFERROR(INDEX([1]M_SKU!$A$18:$J$57,MATCH(F146,[1]M_SKU!$B$18:$B$57,0),1),"UNKNOWN SKU")</f>
        <v>Fanta Pineapple RGB 350ml</v>
      </c>
      <c r="H146" s="34" t="s">
        <v>189</v>
      </c>
      <c r="I146" s="37">
        <f>IFERROR(INDEX([1]T_Unload!$K$10:$K$433,MATCH(B146,[1]T_Unload!$B$10:$B$433,0)),0)</f>
        <v>1.5267254751039099</v>
      </c>
      <c r="J146" s="26">
        <v>1.53</v>
      </c>
      <c r="K146" s="38">
        <f t="shared" si="8"/>
        <v>-3.2745248960901474E-3</v>
      </c>
      <c r="L146" s="39" t="str">
        <f t="shared" si="9"/>
        <v>Adjust Unload Upward</v>
      </c>
      <c r="M146" s="40">
        <f t="shared" si="10"/>
        <v>0</v>
      </c>
      <c r="N146" s="40">
        <f t="shared" si="11"/>
        <v>3.2745248960901474E-3</v>
      </c>
      <c r="O146" s="41" t="s">
        <v>38</v>
      </c>
      <c r="P146" s="42"/>
      <c r="Q146" s="43"/>
    </row>
    <row r="147" spans="1:17" ht="15" customHeight="1">
      <c r="A147" s="20" t="s">
        <v>401</v>
      </c>
      <c r="B147" s="21" t="s">
        <v>402</v>
      </c>
      <c r="C147" s="22" t="s">
        <v>394</v>
      </c>
      <c r="D147" s="23" t="str">
        <f>IFERROR(INDEX([1]M_User!$A$12:$J$67,MATCH(C147,[1]M_User!$D$12:$D$67,0),3),"UNMAPPED")</f>
        <v>Erick K. Mkama</v>
      </c>
      <c r="E147" s="24" t="str">
        <f>IFERROR(INDEX([1]M_User!$A$12:$J$67,MATCH(C147,[1]M_User!$D$12:$D$67,0),5),"UNMAPPED")</f>
        <v>MOS</v>
      </c>
      <c r="F147" s="22" t="s">
        <v>192</v>
      </c>
      <c r="G147" s="23" t="str">
        <f>IFERROR(INDEX([1]M_SKU!$A$18:$J$57,MATCH(F147,[1]M_SKU!$B$18:$B$57,0),1),"UNKNOWN SKU")</f>
        <v>Fanta Fruit Blast RGB 350 ml</v>
      </c>
      <c r="H147" s="22" t="s">
        <v>193</v>
      </c>
      <c r="I147" s="25">
        <f>IFERROR(INDEX([1]T_Unload!$K$10:$K$433,MATCH(B147,[1]T_Unload!$B$10:$B$433,0)),0)</f>
        <v>0.72907156778032967</v>
      </c>
      <c r="J147" s="26">
        <v>0.73</v>
      </c>
      <c r="K147" s="27">
        <f t="shared" si="8"/>
        <v>-9.2843221967031653E-4</v>
      </c>
      <c r="L147" s="28" t="str">
        <f t="shared" si="9"/>
        <v>Adjust Unload Upward</v>
      </c>
      <c r="M147" s="29">
        <f t="shared" si="10"/>
        <v>0</v>
      </c>
      <c r="N147" s="29">
        <f t="shared" si="11"/>
        <v>9.2843221967031653E-4</v>
      </c>
      <c r="O147" s="30" t="s">
        <v>38</v>
      </c>
      <c r="P147" s="22"/>
      <c r="Q147" s="31"/>
    </row>
    <row r="148" spans="1:17" ht="15" customHeight="1">
      <c r="A148" s="32" t="s">
        <v>403</v>
      </c>
      <c r="B148" s="33" t="s">
        <v>404</v>
      </c>
      <c r="C148" s="34" t="s">
        <v>394</v>
      </c>
      <c r="D148" s="35" t="str">
        <f>IFERROR(INDEX([1]M_User!$A$12:$J$67,MATCH(C148,[1]M_User!$D$12:$D$67,0),3),"UNMAPPED")</f>
        <v>Erick K. Mkama</v>
      </c>
      <c r="E148" s="36" t="str">
        <f>IFERROR(INDEX([1]M_User!$A$12:$J$67,MATCH(C148,[1]M_User!$D$12:$D$67,0),5),"UNMAPPED")</f>
        <v>MOS</v>
      </c>
      <c r="F148" s="34" t="s">
        <v>53</v>
      </c>
      <c r="G148" s="35" t="str">
        <f>IFERROR(INDEX([1]M_SKU!$A$18:$J$57,MATCH(F148,[1]M_SKU!$B$18:$B$57,0),1),"UNKNOWN SKU")</f>
        <v>Sprite 350ml</v>
      </c>
      <c r="H148" s="34" t="s">
        <v>196</v>
      </c>
      <c r="I148" s="37">
        <f>IFERROR(INDEX([1]T_Unload!$K$10:$K$433,MATCH(B148,[1]T_Unload!$B$10:$B$433,0)),0)</f>
        <v>1.5917093329301899</v>
      </c>
      <c r="J148" s="26">
        <v>1.59</v>
      </c>
      <c r="K148" s="38">
        <f t="shared" si="8"/>
        <v>1.7093329301898219E-3</v>
      </c>
      <c r="L148" s="39" t="str">
        <f t="shared" si="9"/>
        <v>Post to Default Outlet</v>
      </c>
      <c r="M148" s="40">
        <f t="shared" si="10"/>
        <v>1.7093329301898219E-3</v>
      </c>
      <c r="N148" s="40">
        <f t="shared" si="11"/>
        <v>0</v>
      </c>
      <c r="O148" s="41" t="s">
        <v>38</v>
      </c>
      <c r="P148" s="42"/>
      <c r="Q148" s="43"/>
    </row>
    <row r="149" spans="1:17" ht="15" customHeight="1">
      <c r="A149" s="20" t="s">
        <v>405</v>
      </c>
      <c r="B149" s="21" t="s">
        <v>406</v>
      </c>
      <c r="C149" s="22" t="s">
        <v>394</v>
      </c>
      <c r="D149" s="23" t="str">
        <f>IFERROR(INDEX([1]M_User!$A$12:$J$67,MATCH(C149,[1]M_User!$D$12:$D$67,0),3),"UNMAPPED")</f>
        <v>Erick K. Mkama</v>
      </c>
      <c r="E149" s="24" t="str">
        <f>IFERROR(INDEX([1]M_User!$A$12:$J$67,MATCH(C149,[1]M_User!$D$12:$D$67,0),5),"UNMAPPED")</f>
        <v>MOS</v>
      </c>
      <c r="F149" s="22" t="s">
        <v>199</v>
      </c>
      <c r="G149" s="23" t="str">
        <f>IFERROR(INDEX([1]M_SKU!$A$18:$J$57,MATCH(F149,[1]M_SKU!$B$18:$B$57,0),1),"UNKNOWN SKU")</f>
        <v>Stoney Tangawizi RGB 350ml</v>
      </c>
      <c r="H149" s="22" t="s">
        <v>200</v>
      </c>
      <c r="I149" s="25">
        <f>IFERROR(INDEX([1]T_Unload!$K$10:$K$433,MATCH(B149,[1]T_Unload!$B$10:$B$433,0)),0)</f>
        <v>0.70761743569170221</v>
      </c>
      <c r="J149" s="26">
        <v>0.71</v>
      </c>
      <c r="K149" s="27">
        <f t="shared" si="8"/>
        <v>-2.3825643082977521E-3</v>
      </c>
      <c r="L149" s="28" t="str">
        <f t="shared" si="9"/>
        <v>Adjust Unload Upward</v>
      </c>
      <c r="M149" s="29">
        <f t="shared" si="10"/>
        <v>0</v>
      </c>
      <c r="N149" s="29">
        <f t="shared" si="11"/>
        <v>2.3825643082977521E-3</v>
      </c>
      <c r="O149" s="30" t="s">
        <v>38</v>
      </c>
      <c r="P149" s="22"/>
      <c r="Q149" s="31"/>
    </row>
    <row r="150" spans="1:17" ht="15" customHeight="1">
      <c r="A150" s="32" t="s">
        <v>407</v>
      </c>
      <c r="B150" s="33" t="s">
        <v>408</v>
      </c>
      <c r="C150" s="34" t="s">
        <v>394</v>
      </c>
      <c r="D150" s="35" t="str">
        <f>IFERROR(INDEX([1]M_User!$A$12:$J$67,MATCH(C150,[1]M_User!$D$12:$D$67,0),3),"UNMAPPED")</f>
        <v>Erick K. Mkama</v>
      </c>
      <c r="E150" s="36" t="str">
        <f>IFERROR(INDEX([1]M_User!$A$12:$J$67,MATCH(C150,[1]M_User!$D$12:$D$67,0),5),"UNMAPPED")</f>
        <v>MOS</v>
      </c>
      <c r="F150" s="34" t="s">
        <v>203</v>
      </c>
      <c r="G150" s="35" t="str">
        <f>IFERROR(INDEX([1]M_SKU!$A$18:$J$57,MATCH(F150,[1]M_SKU!$B$18:$B$57,0),1),"UNKNOWN SKU")</f>
        <v>Sparletta Pinenut RGB 350ml</v>
      </c>
      <c r="H150" s="34" t="s">
        <v>409</v>
      </c>
      <c r="I150" s="37">
        <f>IFERROR(INDEX([1]T_Unload!$K$10:$K$433,MATCH(B150,[1]T_Unload!$B$10:$B$433,0)),0)</f>
        <v>0.72752115841200604</v>
      </c>
      <c r="J150" s="26">
        <v>0.73</v>
      </c>
      <c r="K150" s="38">
        <f t="shared" si="8"/>
        <v>-2.4788415879939407E-3</v>
      </c>
      <c r="L150" s="39" t="str">
        <f t="shared" si="9"/>
        <v>Adjust Unload Upward</v>
      </c>
      <c r="M150" s="40">
        <f t="shared" si="10"/>
        <v>0</v>
      </c>
      <c r="N150" s="40">
        <f t="shared" si="11"/>
        <v>2.4788415879939407E-3</v>
      </c>
      <c r="O150" s="41" t="s">
        <v>38</v>
      </c>
      <c r="P150" s="42"/>
      <c r="Q150" s="43"/>
    </row>
    <row r="151" spans="1:17" ht="15" customHeight="1">
      <c r="A151" s="20" t="s">
        <v>410</v>
      </c>
      <c r="B151" s="21" t="s">
        <v>411</v>
      </c>
      <c r="C151" s="22" t="s">
        <v>394</v>
      </c>
      <c r="D151" s="23" t="str">
        <f>IFERROR(INDEX([1]M_User!$A$12:$J$67,MATCH(C151,[1]M_User!$D$12:$D$67,0),3),"UNMAPPED")</f>
        <v>Erick K. Mkama</v>
      </c>
      <c r="E151" s="24" t="str">
        <f>IFERROR(INDEX([1]M_User!$A$12:$J$67,MATCH(C151,[1]M_User!$D$12:$D$67,0),5),"UNMAPPED")</f>
        <v>MOS</v>
      </c>
      <c r="F151" s="22" t="s">
        <v>57</v>
      </c>
      <c r="G151" s="23" t="str">
        <f>IFERROR(INDEX([1]M_SKU!$A$18:$J$57,MATCH(F151,[1]M_SKU!$B$18:$B$57,0),1),"UNKNOWN SKU")</f>
        <v>Krest Bitter Lemon RGB 300ml</v>
      </c>
      <c r="H151" s="22" t="s">
        <v>58</v>
      </c>
      <c r="I151" s="25">
        <f>IFERROR(INDEX([1]T_Unload!$K$10:$K$433,MATCH(B151,[1]T_Unload!$B$10:$B$433,0)),0)</f>
        <v>0.61261642120881321</v>
      </c>
      <c r="J151" s="26">
        <v>0.61</v>
      </c>
      <c r="K151" s="27">
        <f t="shared" si="8"/>
        <v>2.6164212088132244E-3</v>
      </c>
      <c r="L151" s="28" t="str">
        <f t="shared" si="9"/>
        <v>Post to Default Outlet</v>
      </c>
      <c r="M151" s="29">
        <f t="shared" si="10"/>
        <v>2.6164212088132244E-3</v>
      </c>
      <c r="N151" s="29">
        <f t="shared" si="11"/>
        <v>0</v>
      </c>
      <c r="O151" s="30" t="s">
        <v>38</v>
      </c>
      <c r="P151" s="22"/>
      <c r="Q151" s="31"/>
    </row>
    <row r="152" spans="1:17" ht="15" customHeight="1">
      <c r="A152" s="32" t="s">
        <v>412</v>
      </c>
      <c r="B152" s="33" t="s">
        <v>413</v>
      </c>
      <c r="C152" s="34" t="s">
        <v>394</v>
      </c>
      <c r="D152" s="35" t="str">
        <f>IFERROR(INDEX([1]M_User!$A$12:$J$67,MATCH(C152,[1]M_User!$D$12:$D$67,0),3),"UNMAPPED")</f>
        <v>Erick K. Mkama</v>
      </c>
      <c r="E152" s="36" t="str">
        <f>IFERROR(INDEX([1]M_User!$A$12:$J$67,MATCH(C152,[1]M_User!$D$12:$D$67,0),5),"UNMAPPED")</f>
        <v>MOS</v>
      </c>
      <c r="F152" s="34" t="s">
        <v>61</v>
      </c>
      <c r="G152" s="35" t="str">
        <f>IFERROR(INDEX([1]M_SKU!$A$18:$J$57,MATCH(F152,[1]M_SKU!$B$18:$B$57,0),1),"UNKNOWN SKU")</f>
        <v>Krest Club Soda RGB 300ml</v>
      </c>
      <c r="H152" s="34" t="s">
        <v>62</v>
      </c>
      <c r="I152" s="37">
        <f>IFERROR(INDEX([1]T_Unload!$K$10:$K$433,MATCH(B152,[1]T_Unload!$B$10:$B$433,0)),0)</f>
        <v>0.2932692603861029</v>
      </c>
      <c r="J152" s="26">
        <v>0.28999999999999998</v>
      </c>
      <c r="K152" s="38">
        <f t="shared" si="8"/>
        <v>3.2692603861029235E-3</v>
      </c>
      <c r="L152" s="39" t="str">
        <f t="shared" si="9"/>
        <v>Post to Default Outlet</v>
      </c>
      <c r="M152" s="40">
        <f t="shared" si="10"/>
        <v>3.2692603861029235E-3</v>
      </c>
      <c r="N152" s="40">
        <f t="shared" si="11"/>
        <v>0</v>
      </c>
      <c r="O152" s="41" t="s">
        <v>38</v>
      </c>
      <c r="P152" s="42"/>
      <c r="Q152" s="43"/>
    </row>
    <row r="153" spans="1:17" ht="15" customHeight="1">
      <c r="A153" s="20" t="s">
        <v>414</v>
      </c>
      <c r="B153" s="21" t="s">
        <v>415</v>
      </c>
      <c r="C153" s="22" t="s">
        <v>394</v>
      </c>
      <c r="D153" s="23" t="str">
        <f>IFERROR(INDEX([1]M_User!$A$12:$J$67,MATCH(C153,[1]M_User!$D$12:$D$67,0),3),"UNMAPPED")</f>
        <v>Erick K. Mkama</v>
      </c>
      <c r="E153" s="24" t="str">
        <f>IFERROR(INDEX([1]M_User!$A$12:$J$67,MATCH(C153,[1]M_User!$D$12:$D$67,0),5),"UNMAPPED")</f>
        <v>MOS</v>
      </c>
      <c r="F153" s="22" t="s">
        <v>65</v>
      </c>
      <c r="G153" s="23" t="str">
        <f>IFERROR(INDEX([1]M_SKU!$A$18:$J$57,MATCH(F153,[1]M_SKU!$B$18:$B$57,0),1),"UNKNOWN SKU")</f>
        <v>Krest Tonic Water RGB 300ml</v>
      </c>
      <c r="H153" s="22" t="s">
        <v>211</v>
      </c>
      <c r="I153" s="25">
        <f>IFERROR(INDEX([1]T_Unload!$K$10:$K$433,MATCH(B153,[1]T_Unload!$B$10:$B$433,0)),0)</f>
        <v>0.60137916300284289</v>
      </c>
      <c r="J153" s="26">
        <v>0.6</v>
      </c>
      <c r="K153" s="27">
        <f t="shared" si="8"/>
        <v>1.3791630028429092E-3</v>
      </c>
      <c r="L153" s="28" t="str">
        <f t="shared" si="9"/>
        <v>Post to Default Outlet</v>
      </c>
      <c r="M153" s="29">
        <f t="shared" si="10"/>
        <v>1.3791630028429092E-3</v>
      </c>
      <c r="N153" s="29">
        <f t="shared" si="11"/>
        <v>0</v>
      </c>
      <c r="O153" s="30" t="s">
        <v>38</v>
      </c>
      <c r="P153" s="22"/>
      <c r="Q153" s="31"/>
    </row>
    <row r="154" spans="1:17" ht="15" customHeight="1">
      <c r="A154" s="32" t="s">
        <v>416</v>
      </c>
      <c r="B154" s="33" t="s">
        <v>417</v>
      </c>
      <c r="C154" s="34" t="s">
        <v>394</v>
      </c>
      <c r="D154" s="35" t="str">
        <f>IFERROR(INDEX([1]M_User!$A$12:$J$67,MATCH(C154,[1]M_User!$D$12:$D$67,0),3),"UNMAPPED")</f>
        <v>Erick K. Mkama</v>
      </c>
      <c r="E154" s="36" t="str">
        <f>IFERROR(INDEX([1]M_User!$A$12:$J$67,MATCH(C154,[1]M_User!$D$12:$D$67,0),5),"UNMAPPED")</f>
        <v>MOS</v>
      </c>
      <c r="F154" s="34" t="s">
        <v>69</v>
      </c>
      <c r="G154" s="35" t="str">
        <f>IFERROR(INDEX([1]M_SKU!$A$18:$J$57,MATCH(F154,[1]M_SKU!$B$18:$B$57,0),1),"UNKNOWN SKU")</f>
        <v>Krest Ginger Ale RGB 300ml</v>
      </c>
      <c r="H154" s="34" t="s">
        <v>70</v>
      </c>
      <c r="I154" s="37">
        <f>IFERROR(INDEX([1]T_Unload!$K$10:$K$433,MATCH(B154,[1]T_Unload!$B$10:$B$433,0)),0)</f>
        <v>0.26887616323463992</v>
      </c>
      <c r="J154" s="26">
        <v>0.27</v>
      </c>
      <c r="K154" s="38">
        <f t="shared" si="8"/>
        <v>-1.1238367653600978E-3</v>
      </c>
      <c r="L154" s="39" t="str">
        <f t="shared" si="9"/>
        <v>Adjust Unload Upward</v>
      </c>
      <c r="M154" s="40">
        <f t="shared" si="10"/>
        <v>0</v>
      </c>
      <c r="N154" s="40">
        <f t="shared" si="11"/>
        <v>1.1238367653600978E-3</v>
      </c>
      <c r="O154" s="41" t="s">
        <v>38</v>
      </c>
      <c r="P154" s="42"/>
      <c r="Q154" s="43"/>
    </row>
    <row r="155" spans="1:17" ht="15" customHeight="1">
      <c r="A155" s="20" t="s">
        <v>418</v>
      </c>
      <c r="B155" s="21" t="s">
        <v>419</v>
      </c>
      <c r="C155" s="22" t="s">
        <v>394</v>
      </c>
      <c r="D155" s="23" t="str">
        <f>IFERROR(INDEX([1]M_User!$A$12:$J$67,MATCH(C155,[1]M_User!$D$12:$D$67,0),3),"UNMAPPED")</f>
        <v>Erick K. Mkama</v>
      </c>
      <c r="E155" s="24" t="str">
        <f>IFERROR(INDEX([1]M_User!$A$12:$J$67,MATCH(C155,[1]M_User!$D$12:$D$67,0),5),"UNMAPPED")</f>
        <v>MOS</v>
      </c>
      <c r="F155" s="22" t="s">
        <v>216</v>
      </c>
      <c r="G155" s="23" t="str">
        <f>IFERROR(INDEX([1]M_SKU!$A$18:$J$57,MATCH(F155,[1]M_SKU!$B$18:$B$57,0),1),"UNKNOWN SKU")</f>
        <v>Sparletta Red Apple RGB 350ml</v>
      </c>
      <c r="H155" s="22" t="s">
        <v>217</v>
      </c>
      <c r="I155" s="25">
        <f>IFERROR(INDEX([1]T_Unload!$K$10:$K$433,MATCH(B155,[1]T_Unload!$B$10:$B$433,0)),0)</f>
        <v>0.22811595053250411</v>
      </c>
      <c r="J155" s="26">
        <v>0.23</v>
      </c>
      <c r="K155" s="27">
        <f t="shared" si="8"/>
        <v>-1.8840494674959019E-3</v>
      </c>
      <c r="L155" s="28" t="str">
        <f t="shared" si="9"/>
        <v>Adjust Unload Upward</v>
      </c>
      <c r="M155" s="29">
        <f t="shared" si="10"/>
        <v>0</v>
      </c>
      <c r="N155" s="29">
        <f t="shared" si="11"/>
        <v>1.8840494674959019E-3</v>
      </c>
      <c r="O155" s="30" t="s">
        <v>38</v>
      </c>
      <c r="P155" s="22"/>
      <c r="Q155" s="31"/>
    </row>
    <row r="156" spans="1:17" ht="15" customHeight="1">
      <c r="A156" s="32" t="s">
        <v>420</v>
      </c>
      <c r="B156" s="33" t="s">
        <v>421</v>
      </c>
      <c r="C156" s="34" t="s">
        <v>394</v>
      </c>
      <c r="D156" s="35" t="str">
        <f>IFERROR(INDEX([1]M_User!$A$12:$J$67,MATCH(C156,[1]M_User!$D$12:$D$67,0),3),"UNMAPPED")</f>
        <v>Erick K. Mkama</v>
      </c>
      <c r="E156" s="36" t="str">
        <f>IFERROR(INDEX([1]M_User!$A$12:$J$67,MATCH(C156,[1]M_User!$D$12:$D$67,0),5),"UNMAPPED")</f>
        <v>MOS</v>
      </c>
      <c r="F156" s="34" t="s">
        <v>73</v>
      </c>
      <c r="G156" s="35" t="str">
        <f>IFERROR(INDEX([1]M_SKU!$A$18:$J$57,MATCH(F156,[1]M_SKU!$B$18:$B$57,0),1),"UNKNOWN SKU")</f>
        <v>KNMW 500ml</v>
      </c>
      <c r="H156" s="34" t="s">
        <v>220</v>
      </c>
      <c r="I156" s="37">
        <f>IFERROR(INDEX([1]T_Unload!$K$10:$K$433,MATCH(B156,[1]T_Unload!$B$10:$B$433,0)),0)</f>
        <v>11</v>
      </c>
      <c r="J156" s="26">
        <v>11</v>
      </c>
      <c r="K156" s="38">
        <f t="shared" si="8"/>
        <v>0</v>
      </c>
      <c r="L156" s="39" t="str">
        <f t="shared" si="9"/>
        <v>CLEAN</v>
      </c>
      <c r="M156" s="40">
        <f t="shared" si="10"/>
        <v>0</v>
      </c>
      <c r="N156" s="40">
        <f t="shared" si="11"/>
        <v>0</v>
      </c>
      <c r="O156" s="41" t="s">
        <v>38</v>
      </c>
      <c r="P156" s="42"/>
      <c r="Q156" s="43"/>
    </row>
    <row r="157" spans="1:17" ht="15" customHeight="1">
      <c r="A157" s="20" t="s">
        <v>422</v>
      </c>
      <c r="B157" s="21" t="s">
        <v>423</v>
      </c>
      <c r="C157" s="22" t="s">
        <v>394</v>
      </c>
      <c r="D157" s="23" t="str">
        <f>IFERROR(INDEX([1]M_User!$A$12:$J$67,MATCH(C157,[1]M_User!$D$12:$D$67,0),3),"UNMAPPED")</f>
        <v>Erick K. Mkama</v>
      </c>
      <c r="E157" s="24" t="str">
        <f>IFERROR(INDEX([1]M_User!$A$12:$J$67,MATCH(C157,[1]M_User!$D$12:$D$67,0),5),"UNMAPPED")</f>
        <v>MOS</v>
      </c>
      <c r="F157" s="22" t="s">
        <v>83</v>
      </c>
      <c r="G157" s="23" t="str">
        <f>IFERROR(INDEX([1]M_SKU!$A$18:$J$57,MATCH(F157,[1]M_SKU!$B$18:$B$57,0),1),"UNKNOWN SKU")</f>
        <v>KNMW 1500ml</v>
      </c>
      <c r="H157" s="22" t="s">
        <v>223</v>
      </c>
      <c r="I157" s="25">
        <f>IFERROR(INDEX([1]T_Unload!$K$10:$K$433,MATCH(B157,[1]T_Unload!$B$10:$B$433,0)),0)</f>
        <v>9</v>
      </c>
      <c r="J157" s="26">
        <v>9</v>
      </c>
      <c r="K157" s="27">
        <f t="shared" si="8"/>
        <v>0</v>
      </c>
      <c r="L157" s="28" t="str">
        <f t="shared" si="9"/>
        <v>CLEAN</v>
      </c>
      <c r="M157" s="29">
        <f t="shared" si="10"/>
        <v>0</v>
      </c>
      <c r="N157" s="29">
        <f t="shared" si="11"/>
        <v>0</v>
      </c>
      <c r="O157" s="30" t="s">
        <v>38</v>
      </c>
      <c r="P157" s="22"/>
      <c r="Q157" s="31"/>
    </row>
    <row r="158" spans="1:17" ht="15" customHeight="1">
      <c r="A158" s="32" t="s">
        <v>424</v>
      </c>
      <c r="B158" s="33" t="s">
        <v>425</v>
      </c>
      <c r="C158" s="34" t="s">
        <v>394</v>
      </c>
      <c r="D158" s="35" t="str">
        <f>IFERROR(INDEX([1]M_User!$A$12:$J$67,MATCH(C158,[1]M_User!$D$12:$D$67,0),3),"UNMAPPED")</f>
        <v>Erick K. Mkama</v>
      </c>
      <c r="E158" s="36" t="str">
        <f>IFERROR(INDEX([1]M_User!$A$12:$J$67,MATCH(C158,[1]M_User!$D$12:$D$67,0),5),"UNMAPPED")</f>
        <v>MOS</v>
      </c>
      <c r="F158" s="34" t="s">
        <v>109</v>
      </c>
      <c r="G158" s="35" t="str">
        <f>IFERROR(INDEX([1]M_SKU!$A$18:$J$57,MATCH(F158,[1]M_SKU!$B$18:$B$57,0),1),"UNKNOWN SKU")</f>
        <v>Coke Pet 500ML ( x12)</v>
      </c>
      <c r="H158" s="34" t="s">
        <v>226</v>
      </c>
      <c r="I158" s="37">
        <f>IFERROR(INDEX([1]T_Unload!$K$10:$K$433,MATCH(B158,[1]T_Unload!$B$10:$B$433,0)),0)</f>
        <v>5</v>
      </c>
      <c r="J158" s="26">
        <v>5</v>
      </c>
      <c r="K158" s="38">
        <f t="shared" si="8"/>
        <v>0</v>
      </c>
      <c r="L158" s="39" t="str">
        <f t="shared" si="9"/>
        <v>CLEAN</v>
      </c>
      <c r="M158" s="40">
        <f t="shared" si="10"/>
        <v>0</v>
      </c>
      <c r="N158" s="40">
        <f t="shared" si="11"/>
        <v>0</v>
      </c>
      <c r="O158" s="41" t="s">
        <v>38</v>
      </c>
      <c r="P158" s="42"/>
      <c r="Q158" s="43"/>
    </row>
    <row r="159" spans="1:17" ht="15" customHeight="1">
      <c r="A159" s="20" t="s">
        <v>426</v>
      </c>
      <c r="B159" s="21" t="s">
        <v>427</v>
      </c>
      <c r="C159" s="22" t="s">
        <v>394</v>
      </c>
      <c r="D159" s="23" t="str">
        <f>IFERROR(INDEX([1]M_User!$A$12:$J$67,MATCH(C159,[1]M_User!$D$12:$D$67,0),3),"UNMAPPED")</f>
        <v>Erick K. Mkama</v>
      </c>
      <c r="E159" s="24" t="str">
        <f>IFERROR(INDEX([1]M_User!$A$12:$J$67,MATCH(C159,[1]M_User!$D$12:$D$67,0),5),"UNMAPPED")</f>
        <v>MOS</v>
      </c>
      <c r="F159" s="22" t="s">
        <v>113</v>
      </c>
      <c r="G159" s="23" t="str">
        <f>IFERROR(INDEX([1]M_SKU!$A$18:$J$57,MATCH(F159,[1]M_SKU!$B$18:$B$57,0),1),"UNKNOWN SKU")</f>
        <v>Sprite Pet 500ML (x 12)</v>
      </c>
      <c r="H159" s="22" t="s">
        <v>114</v>
      </c>
      <c r="I159" s="25">
        <f>IFERROR(INDEX([1]T_Unload!$K$10:$K$433,MATCH(B159,[1]T_Unload!$B$10:$B$433,0)),0)</f>
        <v>2</v>
      </c>
      <c r="J159" s="26">
        <v>2</v>
      </c>
      <c r="K159" s="27">
        <f t="shared" si="8"/>
        <v>0</v>
      </c>
      <c r="L159" s="28" t="str">
        <f t="shared" si="9"/>
        <v>CLEAN</v>
      </c>
      <c r="M159" s="29">
        <f t="shared" si="10"/>
        <v>0</v>
      </c>
      <c r="N159" s="29">
        <f t="shared" si="11"/>
        <v>0</v>
      </c>
      <c r="O159" s="30" t="s">
        <v>38</v>
      </c>
      <c r="P159" s="22"/>
      <c r="Q159" s="31"/>
    </row>
    <row r="160" spans="1:17" ht="15" customHeight="1">
      <c r="A160" s="32" t="s">
        <v>428</v>
      </c>
      <c r="B160" s="33" t="s">
        <v>429</v>
      </c>
      <c r="C160" s="34" t="s">
        <v>394</v>
      </c>
      <c r="D160" s="35" t="str">
        <f>IFERROR(INDEX([1]M_User!$A$12:$J$67,MATCH(C160,[1]M_User!$D$12:$D$67,0),3),"UNMAPPED")</f>
        <v>Erick K. Mkama</v>
      </c>
      <c r="E160" s="36" t="str">
        <f>IFERROR(INDEX([1]M_User!$A$12:$J$67,MATCH(C160,[1]M_User!$D$12:$D$67,0),5),"UNMAPPED")</f>
        <v>MOS</v>
      </c>
      <c r="F160" s="34" t="s">
        <v>117</v>
      </c>
      <c r="G160" s="35" t="str">
        <f>IFERROR(INDEX([1]M_SKU!$A$18:$J$57,MATCH(F160,[1]M_SKU!$B$18:$B$57,0),1),"UNKNOWN SKU")</f>
        <v>Fanta Orange Pet 500ML ( x 12)</v>
      </c>
      <c r="H160" s="34" t="s">
        <v>231</v>
      </c>
      <c r="I160" s="37">
        <f>IFERROR(INDEX([1]T_Unload!$K$10:$K$433,MATCH(B160,[1]T_Unload!$B$10:$B$433,0)),0)</f>
        <v>6</v>
      </c>
      <c r="J160" s="26">
        <v>6</v>
      </c>
      <c r="K160" s="38">
        <f t="shared" si="8"/>
        <v>0</v>
      </c>
      <c r="L160" s="39" t="str">
        <f t="shared" si="9"/>
        <v>CLEAN</v>
      </c>
      <c r="M160" s="40">
        <f t="shared" si="10"/>
        <v>0</v>
      </c>
      <c r="N160" s="40">
        <f t="shared" si="11"/>
        <v>0</v>
      </c>
      <c r="O160" s="41" t="s">
        <v>38</v>
      </c>
      <c r="P160" s="42"/>
      <c r="Q160" s="43"/>
    </row>
    <row r="161" spans="1:17" ht="15" customHeight="1">
      <c r="A161" s="20" t="s">
        <v>430</v>
      </c>
      <c r="B161" s="21" t="s">
        <v>431</v>
      </c>
      <c r="C161" s="22" t="s">
        <v>394</v>
      </c>
      <c r="D161" s="23" t="str">
        <f>IFERROR(INDEX([1]M_User!$A$12:$J$67,MATCH(C161,[1]M_User!$D$12:$D$67,0),3),"UNMAPPED")</f>
        <v>Erick K. Mkama</v>
      </c>
      <c r="E161" s="24" t="str">
        <f>IFERROR(INDEX([1]M_User!$A$12:$J$67,MATCH(C161,[1]M_User!$D$12:$D$67,0),5),"UNMAPPED")</f>
        <v>MOS</v>
      </c>
      <c r="F161" s="22" t="s">
        <v>121</v>
      </c>
      <c r="G161" s="23" t="str">
        <f>IFERROR(INDEX([1]M_SKU!$A$18:$J$57,MATCH(F161,[1]M_SKU!$B$18:$B$57,0),1),"UNKNOWN SKU")</f>
        <v>Fanta Passion Pet 500ML ( x12)</v>
      </c>
      <c r="H161" s="22" t="s">
        <v>234</v>
      </c>
      <c r="I161" s="25">
        <f>IFERROR(INDEX([1]T_Unload!$K$10:$K$433,MATCH(B161,[1]T_Unload!$B$10:$B$433,0)),0)</f>
        <v>1</v>
      </c>
      <c r="J161" s="26">
        <v>1</v>
      </c>
      <c r="K161" s="27">
        <f t="shared" si="8"/>
        <v>0</v>
      </c>
      <c r="L161" s="28" t="str">
        <f t="shared" si="9"/>
        <v>CLEAN</v>
      </c>
      <c r="M161" s="29">
        <f t="shared" si="10"/>
        <v>0</v>
      </c>
      <c r="N161" s="29">
        <f t="shared" si="11"/>
        <v>0</v>
      </c>
      <c r="O161" s="30" t="s">
        <v>38</v>
      </c>
      <c r="P161" s="22"/>
      <c r="Q161" s="31"/>
    </row>
    <row r="162" spans="1:17" ht="15" customHeight="1">
      <c r="A162" s="32" t="s">
        <v>432</v>
      </c>
      <c r="B162" s="33" t="s">
        <v>433</v>
      </c>
      <c r="C162" s="34" t="s">
        <v>394</v>
      </c>
      <c r="D162" s="35" t="str">
        <f>IFERROR(INDEX([1]M_User!$A$12:$J$67,MATCH(C162,[1]M_User!$D$12:$D$67,0),3),"UNMAPPED")</f>
        <v>Erick K. Mkama</v>
      </c>
      <c r="E162" s="36" t="str">
        <f>IFERROR(INDEX([1]M_User!$A$12:$J$67,MATCH(C162,[1]M_User!$D$12:$D$67,0),5),"UNMAPPED")</f>
        <v>MOS</v>
      </c>
      <c r="F162" s="34" t="s">
        <v>129</v>
      </c>
      <c r="G162" s="35" t="str">
        <f>IFERROR(INDEX([1]M_SKU!$A$18:$J$57,MATCH(F162,[1]M_SKU!$B$18:$B$57,0),1),"UNKNOWN SKU")</f>
        <v>Fanta Fruit Blast Pet 500ML (x12)</v>
      </c>
      <c r="H162" s="34" t="s">
        <v>282</v>
      </c>
      <c r="I162" s="37">
        <f>IFERROR(INDEX([1]T_Unload!$K$10:$K$433,MATCH(B162,[1]T_Unload!$B$10:$B$433,0)),0)</f>
        <v>1</v>
      </c>
      <c r="J162" s="26">
        <v>1</v>
      </c>
      <c r="K162" s="38">
        <f t="shared" si="8"/>
        <v>0</v>
      </c>
      <c r="L162" s="39" t="str">
        <f t="shared" si="9"/>
        <v>CLEAN</v>
      </c>
      <c r="M162" s="40">
        <f t="shared" si="10"/>
        <v>0</v>
      </c>
      <c r="N162" s="40">
        <f t="shared" si="11"/>
        <v>0</v>
      </c>
      <c r="O162" s="41" t="s">
        <v>38</v>
      </c>
      <c r="P162" s="42"/>
      <c r="Q162" s="43"/>
    </row>
    <row r="163" spans="1:17" ht="15" customHeight="1">
      <c r="A163" s="20" t="s">
        <v>434</v>
      </c>
      <c r="B163" s="21" t="s">
        <v>435</v>
      </c>
      <c r="C163" s="22" t="s">
        <v>394</v>
      </c>
      <c r="D163" s="23" t="str">
        <f>IFERROR(INDEX([1]M_User!$A$12:$J$67,MATCH(C163,[1]M_User!$D$12:$D$67,0),3),"UNMAPPED")</f>
        <v>Erick K. Mkama</v>
      </c>
      <c r="E163" s="24" t="str">
        <f>IFERROR(INDEX([1]M_User!$A$12:$J$67,MATCH(C163,[1]M_User!$D$12:$D$67,0),5),"UNMAPPED")</f>
        <v>MOS</v>
      </c>
      <c r="F163" s="22" t="s">
        <v>133</v>
      </c>
      <c r="G163" s="23" t="str">
        <f>IFERROR(INDEX([1]M_SKU!$A$18:$J$57,MATCH(F163,[1]M_SKU!$B$18:$B$57,0),1),"UNKNOWN SKU")</f>
        <v>Stoney Tangawizi Pet 500 ml ( x12)</v>
      </c>
      <c r="H163" s="22" t="s">
        <v>237</v>
      </c>
      <c r="I163" s="25">
        <f>IFERROR(INDEX([1]T_Unload!$K$10:$K$433,MATCH(B163,[1]T_Unload!$B$10:$B$433,0)),0)</f>
        <v>1</v>
      </c>
      <c r="J163" s="26">
        <v>1</v>
      </c>
      <c r="K163" s="27">
        <f t="shared" si="8"/>
        <v>0</v>
      </c>
      <c r="L163" s="28" t="str">
        <f t="shared" si="9"/>
        <v>CLEAN</v>
      </c>
      <c r="M163" s="29">
        <f t="shared" si="10"/>
        <v>0</v>
      </c>
      <c r="N163" s="29">
        <f t="shared" si="11"/>
        <v>0</v>
      </c>
      <c r="O163" s="30" t="s">
        <v>38</v>
      </c>
      <c r="P163" s="22"/>
      <c r="Q163" s="31"/>
    </row>
    <row r="164" spans="1:17" ht="15" customHeight="1">
      <c r="A164" s="32" t="s">
        <v>436</v>
      </c>
      <c r="B164" s="33" t="s">
        <v>437</v>
      </c>
      <c r="C164" s="34" t="s">
        <v>394</v>
      </c>
      <c r="D164" s="35" t="str">
        <f>IFERROR(INDEX([1]M_User!$A$12:$J$67,MATCH(C164,[1]M_User!$D$12:$D$67,0),3),"UNMAPPED")</f>
        <v>Erick K. Mkama</v>
      </c>
      <c r="E164" s="36" t="str">
        <f>IFERROR(INDEX([1]M_User!$A$12:$J$67,MATCH(C164,[1]M_User!$D$12:$D$67,0),5),"UNMAPPED")</f>
        <v>MOS</v>
      </c>
      <c r="F164" s="34" t="s">
        <v>137</v>
      </c>
      <c r="G164" s="35" t="str">
        <f>IFERROR(INDEX([1]M_SKU!$A$18:$J$57,MATCH(F164,[1]M_SKU!$B$18:$B$57,0),1),"UNKNOWN SKU")</f>
        <v>Sparletta Pinenut Pet 500 ml ( x12)</v>
      </c>
      <c r="H164" s="34" t="s">
        <v>240</v>
      </c>
      <c r="I164" s="37">
        <f>IFERROR(INDEX([1]T_Unload!$K$10:$K$433,MATCH(B164,[1]T_Unload!$B$10:$B$433,0)),0)</f>
        <v>0</v>
      </c>
      <c r="J164" s="26">
        <v>0</v>
      </c>
      <c r="K164" s="38">
        <f t="shared" si="8"/>
        <v>0</v>
      </c>
      <c r="L164" s="39" t="str">
        <f t="shared" si="9"/>
        <v>CLEAN</v>
      </c>
      <c r="M164" s="40">
        <f t="shared" si="10"/>
        <v>0</v>
      </c>
      <c r="N164" s="40">
        <f t="shared" si="11"/>
        <v>0</v>
      </c>
      <c r="O164" s="41" t="s">
        <v>38</v>
      </c>
      <c r="P164" s="42"/>
      <c r="Q164" s="43"/>
    </row>
    <row r="165" spans="1:17" ht="15" customHeight="1">
      <c r="A165" s="20" t="s">
        <v>438</v>
      </c>
      <c r="B165" s="21" t="s">
        <v>439</v>
      </c>
      <c r="C165" s="22" t="s">
        <v>394</v>
      </c>
      <c r="D165" s="23" t="str">
        <f>IFERROR(INDEX([1]M_User!$A$12:$J$67,MATCH(C165,[1]M_User!$D$12:$D$67,0),3),"UNMAPPED")</f>
        <v>Erick K. Mkama</v>
      </c>
      <c r="E165" s="24" t="str">
        <f>IFERROR(INDEX([1]M_User!$A$12:$J$67,MATCH(C165,[1]M_User!$D$12:$D$67,0),5),"UNMAPPED")</f>
        <v>MOS</v>
      </c>
      <c r="F165" s="22" t="s">
        <v>334</v>
      </c>
      <c r="G165" s="23" t="str">
        <f>IFERROR(INDEX([1]M_SKU!$A$18:$J$57,MATCH(F165,[1]M_SKU!$B$18:$B$57,0),1),"UNKNOWN SKU")</f>
        <v>Coke Zero Pet 500ML ( X 12)</v>
      </c>
      <c r="H165" s="22" t="s">
        <v>335</v>
      </c>
      <c r="I165" s="25">
        <f>IFERROR(INDEX([1]T_Unload!$K$10:$K$433,MATCH(B165,[1]T_Unload!$B$10:$B$433,0)),0)</f>
        <v>1</v>
      </c>
      <c r="J165" s="26">
        <v>1</v>
      </c>
      <c r="K165" s="27">
        <f t="shared" si="8"/>
        <v>0</v>
      </c>
      <c r="L165" s="28" t="str">
        <f t="shared" si="9"/>
        <v>CLEAN</v>
      </c>
      <c r="M165" s="29">
        <f t="shared" si="10"/>
        <v>0</v>
      </c>
      <c r="N165" s="29">
        <f t="shared" si="11"/>
        <v>0</v>
      </c>
      <c r="O165" s="30" t="s">
        <v>38</v>
      </c>
      <c r="P165" s="22"/>
      <c r="Q165" s="31"/>
    </row>
    <row r="166" spans="1:17" ht="15" customHeight="1">
      <c r="A166" s="32" t="s">
        <v>440</v>
      </c>
      <c r="B166" s="33" t="s">
        <v>441</v>
      </c>
      <c r="C166" s="34" t="s">
        <v>394</v>
      </c>
      <c r="D166" s="35" t="str">
        <f>IFERROR(INDEX([1]M_User!$A$12:$J$67,MATCH(C166,[1]M_User!$D$12:$D$67,0),3),"UNMAPPED")</f>
        <v>Erick K. Mkama</v>
      </c>
      <c r="E166" s="36" t="str">
        <f>IFERROR(INDEX([1]M_User!$A$12:$J$67,MATCH(C166,[1]M_User!$D$12:$D$67,0),5),"UNMAPPED")</f>
        <v>MOS</v>
      </c>
      <c r="F166" s="34" t="s">
        <v>243</v>
      </c>
      <c r="G166" s="35" t="str">
        <f>IFERROR(INDEX([1]M_SKU!$A$18:$J$57,MATCH(F166,[1]M_SKU!$B$18:$B$57,0),1),"UNKNOWN SKU")</f>
        <v>Sprite Zero Pet 300ML (x 12)</v>
      </c>
      <c r="H166" s="34" t="s">
        <v>244</v>
      </c>
      <c r="I166" s="37">
        <f>IFERROR(INDEX([1]T_Unload!$K$10:$K$433,MATCH(B166,[1]T_Unload!$B$10:$B$433,0)),0)</f>
        <v>2</v>
      </c>
      <c r="J166" s="26">
        <v>2</v>
      </c>
      <c r="K166" s="38">
        <f t="shared" si="8"/>
        <v>0</v>
      </c>
      <c r="L166" s="39" t="str">
        <f t="shared" si="9"/>
        <v>CLEAN</v>
      </c>
      <c r="M166" s="40">
        <f t="shared" si="10"/>
        <v>0</v>
      </c>
      <c r="N166" s="40">
        <f t="shared" si="11"/>
        <v>0</v>
      </c>
      <c r="O166" s="41" t="s">
        <v>38</v>
      </c>
      <c r="P166" s="42"/>
      <c r="Q166" s="43"/>
    </row>
    <row r="167" spans="1:17" ht="15" customHeight="1">
      <c r="A167" s="20" t="s">
        <v>442</v>
      </c>
      <c r="B167" s="21" t="s">
        <v>443</v>
      </c>
      <c r="C167" s="22" t="s">
        <v>394</v>
      </c>
      <c r="D167" s="23" t="str">
        <f>IFERROR(INDEX([1]M_User!$A$12:$J$67,MATCH(C167,[1]M_User!$D$12:$D$67,0),3),"UNMAPPED")</f>
        <v>Erick K. Mkama</v>
      </c>
      <c r="E167" s="24" t="str">
        <f>IFERROR(INDEX([1]M_User!$A$12:$J$67,MATCH(C167,[1]M_User!$D$12:$D$67,0),5),"UNMAPPED")</f>
        <v>MOS</v>
      </c>
      <c r="F167" s="22" t="s">
        <v>148</v>
      </c>
      <c r="G167" s="23" t="str">
        <f>IFERROR(INDEX([1]M_SKU!$A$18:$J$57,MATCH(F167,[1]M_SKU!$B$18:$B$57,0),1),"UNKNOWN SKU")</f>
        <v>Fanta Zero Pet 300ML (x 12)</v>
      </c>
      <c r="H167" s="22" t="s">
        <v>149</v>
      </c>
      <c r="I167" s="25">
        <f>IFERROR(INDEX([1]T_Unload!$K$10:$K$433,MATCH(B167,[1]T_Unload!$B$10:$B$433,0)),0)</f>
        <v>2</v>
      </c>
      <c r="J167" s="26">
        <v>2</v>
      </c>
      <c r="K167" s="27">
        <f t="shared" si="8"/>
        <v>0</v>
      </c>
      <c r="L167" s="28" t="str">
        <f t="shared" si="9"/>
        <v>CLEAN</v>
      </c>
      <c r="M167" s="29">
        <f t="shared" si="10"/>
        <v>0</v>
      </c>
      <c r="N167" s="29">
        <f t="shared" si="11"/>
        <v>0</v>
      </c>
      <c r="O167" s="30" t="s">
        <v>38</v>
      </c>
      <c r="P167" s="22"/>
      <c r="Q167" s="31"/>
    </row>
    <row r="168" spans="1:17" ht="15" customHeight="1">
      <c r="A168" s="32" t="s">
        <v>444</v>
      </c>
      <c r="B168" s="33" t="s">
        <v>445</v>
      </c>
      <c r="C168" s="34" t="s">
        <v>394</v>
      </c>
      <c r="D168" s="35" t="str">
        <f>IFERROR(INDEX([1]M_User!$A$12:$J$67,MATCH(C168,[1]M_User!$D$12:$D$67,0),3),"UNMAPPED")</f>
        <v>Erick K. Mkama</v>
      </c>
      <c r="E168" s="36" t="str">
        <f>IFERROR(INDEX([1]M_User!$A$12:$J$67,MATCH(C168,[1]M_User!$D$12:$D$67,0),5),"UNMAPPED")</f>
        <v>MOS</v>
      </c>
      <c r="F168" s="34" t="s">
        <v>160</v>
      </c>
      <c r="G168" s="35" t="str">
        <f>IFERROR(INDEX([1]M_SKU!$A$18:$J$57,MATCH(F168,[1]M_SKU!$B$18:$B$57,0),1),"UNKNOWN SKU")</f>
        <v>Sparletta Pine Apple Pet 300ML (x 12)</v>
      </c>
      <c r="H168" s="34" t="s">
        <v>161</v>
      </c>
      <c r="I168" s="37">
        <f>IFERROR(INDEX([1]T_Unload!$K$10:$K$433,MATCH(B168,[1]T_Unload!$B$10:$B$433,0)),0)</f>
        <v>4</v>
      </c>
      <c r="J168" s="26">
        <v>4</v>
      </c>
      <c r="K168" s="38">
        <f t="shared" si="8"/>
        <v>0</v>
      </c>
      <c r="L168" s="39" t="str">
        <f t="shared" si="9"/>
        <v>CLEAN</v>
      </c>
      <c r="M168" s="40">
        <f t="shared" si="10"/>
        <v>0</v>
      </c>
      <c r="N168" s="40">
        <f t="shared" si="11"/>
        <v>0</v>
      </c>
      <c r="O168" s="41" t="s">
        <v>38</v>
      </c>
      <c r="P168" s="42"/>
      <c r="Q168" s="43"/>
    </row>
    <row r="169" spans="1:17" ht="15" customHeight="1">
      <c r="A169" s="20" t="s">
        <v>446</v>
      </c>
      <c r="B169" s="21" t="s">
        <v>447</v>
      </c>
      <c r="C169" s="22" t="s">
        <v>448</v>
      </c>
      <c r="D169" s="23" t="str">
        <f>IFERROR(INDEX([1]M_User!$A$12:$J$67,MATCH(C169,[1]M_User!$D$12:$D$67,0),3),"UNMAPPED")</f>
        <v>Jonas Steven Michael</v>
      </c>
      <c r="E169" s="24" t="str">
        <f>IFERROR(INDEX([1]M_User!$A$12:$J$67,MATCH(C169,[1]M_User!$D$12:$D$67,0),5),"UNMAPPED")</f>
        <v>MOS</v>
      </c>
      <c r="F169" s="22" t="s">
        <v>36</v>
      </c>
      <c r="G169" s="23" t="str">
        <f>IFERROR(INDEX([1]M_SKU!$A$18:$J$57,MATCH(F169,[1]M_SKU!$B$18:$B$57,0),1),"UNKNOWN SKU")</f>
        <v>Coke RGB 350ml</v>
      </c>
      <c r="H169" s="22" t="s">
        <v>180</v>
      </c>
      <c r="I169" s="25">
        <f>IFERROR(INDEX([1]T_Unload!$K$10:$K$433,MATCH(B169,[1]T_Unload!$B$10:$B$433,0)),0)</f>
        <v>17.145535174950844</v>
      </c>
      <c r="J169" s="26">
        <v>17.149999999999999</v>
      </c>
      <c r="K169" s="27">
        <f t="shared" si="8"/>
        <v>-4.4648250491547969E-3</v>
      </c>
      <c r="L169" s="28" t="str">
        <f t="shared" si="9"/>
        <v>Adjust Unload Upward</v>
      </c>
      <c r="M169" s="29">
        <f t="shared" si="10"/>
        <v>0</v>
      </c>
      <c r="N169" s="29">
        <f t="shared" si="11"/>
        <v>4.4648250491547969E-3</v>
      </c>
      <c r="O169" s="30" t="s">
        <v>38</v>
      </c>
      <c r="P169" s="22"/>
      <c r="Q169" s="31"/>
    </row>
    <row r="170" spans="1:17" ht="15" customHeight="1">
      <c r="A170" s="32" t="s">
        <v>449</v>
      </c>
      <c r="B170" s="33" t="s">
        <v>450</v>
      </c>
      <c r="C170" s="34" t="s">
        <v>448</v>
      </c>
      <c r="D170" s="35" t="str">
        <f>IFERROR(INDEX([1]M_User!$A$12:$J$67,MATCH(C170,[1]M_User!$D$12:$D$67,0),3),"UNMAPPED")</f>
        <v>Jonas Steven Michael</v>
      </c>
      <c r="E170" s="36" t="str">
        <f>IFERROR(INDEX([1]M_User!$A$12:$J$67,MATCH(C170,[1]M_User!$D$12:$D$67,0),5),"UNMAPPED")</f>
        <v>MOS</v>
      </c>
      <c r="F170" s="34" t="s">
        <v>41</v>
      </c>
      <c r="G170" s="35" t="str">
        <f>IFERROR(INDEX([1]M_SKU!$A$18:$J$57,MATCH(F170,[1]M_SKU!$B$18:$B$57,0),1),"UNKNOWN SKU")</f>
        <v>Fanta Orange RGB 350ml</v>
      </c>
      <c r="H170" s="34" t="s">
        <v>183</v>
      </c>
      <c r="I170" s="37">
        <f>IFERROR(INDEX([1]T_Unload!$K$10:$K$433,MATCH(B170,[1]T_Unload!$B$10:$B$433,0)),0)</f>
        <v>2.7890735448973523</v>
      </c>
      <c r="J170" s="26">
        <v>2.79</v>
      </c>
      <c r="K170" s="38">
        <f t="shared" si="8"/>
        <v>-9.2645510264777187E-4</v>
      </c>
      <c r="L170" s="39" t="str">
        <f t="shared" si="9"/>
        <v>Adjust Unload Upward</v>
      </c>
      <c r="M170" s="40">
        <f t="shared" si="10"/>
        <v>0</v>
      </c>
      <c r="N170" s="40">
        <f t="shared" si="11"/>
        <v>9.2645510264777187E-4</v>
      </c>
      <c r="O170" s="41" t="s">
        <v>38</v>
      </c>
      <c r="P170" s="42"/>
      <c r="Q170" s="43"/>
    </row>
    <row r="171" spans="1:17" ht="15" customHeight="1">
      <c r="A171" s="20" t="s">
        <v>451</v>
      </c>
      <c r="B171" s="21" t="s">
        <v>452</v>
      </c>
      <c r="C171" s="22" t="s">
        <v>448</v>
      </c>
      <c r="D171" s="23" t="str">
        <f>IFERROR(INDEX([1]M_User!$A$12:$J$67,MATCH(C171,[1]M_User!$D$12:$D$67,0),3),"UNMAPPED")</f>
        <v>Jonas Steven Michael</v>
      </c>
      <c r="E171" s="24" t="str">
        <f>IFERROR(INDEX([1]M_User!$A$12:$J$67,MATCH(C171,[1]M_User!$D$12:$D$67,0),5),"UNMAPPED")</f>
        <v>MOS</v>
      </c>
      <c r="F171" s="22" t="s">
        <v>45</v>
      </c>
      <c r="G171" s="23" t="str">
        <f>IFERROR(INDEX([1]M_SKU!$A$18:$J$57,MATCH(F171,[1]M_SKU!$B$18:$B$57,0),1),"UNKNOWN SKU")</f>
        <v>Fanta Passion RGB 350ml</v>
      </c>
      <c r="H171" s="22" t="s">
        <v>186</v>
      </c>
      <c r="I171" s="25">
        <f>IFERROR(INDEX([1]T_Unload!$K$10:$K$433,MATCH(B171,[1]T_Unload!$B$10:$B$433,0)),0)</f>
        <v>1.0152304159724004</v>
      </c>
      <c r="J171" s="26">
        <v>1.02</v>
      </c>
      <c r="K171" s="27">
        <f t="shared" si="8"/>
        <v>-4.7695840275996382E-3</v>
      </c>
      <c r="L171" s="28" t="str">
        <f t="shared" si="9"/>
        <v>Adjust Unload Upward</v>
      </c>
      <c r="M171" s="29">
        <f t="shared" si="10"/>
        <v>0</v>
      </c>
      <c r="N171" s="29">
        <f t="shared" si="11"/>
        <v>4.7695840275996382E-3</v>
      </c>
      <c r="O171" s="30" t="s">
        <v>38</v>
      </c>
      <c r="P171" s="22"/>
      <c r="Q171" s="31"/>
    </row>
    <row r="172" spans="1:17" ht="15" customHeight="1">
      <c r="A172" s="32" t="s">
        <v>453</v>
      </c>
      <c r="B172" s="33" t="s">
        <v>454</v>
      </c>
      <c r="C172" s="34" t="s">
        <v>448</v>
      </c>
      <c r="D172" s="35" t="str">
        <f>IFERROR(INDEX([1]M_User!$A$12:$J$67,MATCH(C172,[1]M_User!$D$12:$D$67,0),3),"UNMAPPED")</f>
        <v>Jonas Steven Michael</v>
      </c>
      <c r="E172" s="36" t="str">
        <f>IFERROR(INDEX([1]M_User!$A$12:$J$67,MATCH(C172,[1]M_User!$D$12:$D$67,0),5),"UNMAPPED")</f>
        <v>MOS</v>
      </c>
      <c r="F172" s="34" t="s">
        <v>49</v>
      </c>
      <c r="G172" s="35" t="str">
        <f>IFERROR(INDEX([1]M_SKU!$A$18:$J$57,MATCH(F172,[1]M_SKU!$B$18:$B$57,0),1),"UNKNOWN SKU")</f>
        <v>Fanta Pineapple RGB 350ml</v>
      </c>
      <c r="H172" s="34" t="s">
        <v>189</v>
      </c>
      <c r="I172" s="37">
        <f>IFERROR(INDEX([1]T_Unload!$K$10:$K$433,MATCH(B172,[1]T_Unload!$B$10:$B$433,0)),0)</f>
        <v>1.2663159816965113</v>
      </c>
      <c r="J172" s="26">
        <v>1.27</v>
      </c>
      <c r="K172" s="38">
        <f t="shared" si="8"/>
        <v>-3.6840183034887453E-3</v>
      </c>
      <c r="L172" s="39" t="str">
        <f t="shared" si="9"/>
        <v>Adjust Unload Upward</v>
      </c>
      <c r="M172" s="40">
        <f t="shared" si="10"/>
        <v>0</v>
      </c>
      <c r="N172" s="40">
        <f t="shared" si="11"/>
        <v>3.6840183034887453E-3</v>
      </c>
      <c r="O172" s="41" t="s">
        <v>38</v>
      </c>
      <c r="P172" s="42"/>
      <c r="Q172" s="43"/>
    </row>
    <row r="173" spans="1:17" ht="15" customHeight="1">
      <c r="A173" s="20" t="s">
        <v>455</v>
      </c>
      <c r="B173" s="21" t="s">
        <v>456</v>
      </c>
      <c r="C173" s="22" t="s">
        <v>448</v>
      </c>
      <c r="D173" s="23" t="str">
        <f>IFERROR(INDEX([1]M_User!$A$12:$J$67,MATCH(C173,[1]M_User!$D$12:$D$67,0),3),"UNMAPPED")</f>
        <v>Jonas Steven Michael</v>
      </c>
      <c r="E173" s="24" t="str">
        <f>IFERROR(INDEX([1]M_User!$A$12:$J$67,MATCH(C173,[1]M_User!$D$12:$D$67,0),5),"UNMAPPED")</f>
        <v>MOS</v>
      </c>
      <c r="F173" s="22" t="s">
        <v>192</v>
      </c>
      <c r="G173" s="23" t="str">
        <f>IFERROR(INDEX([1]M_SKU!$A$18:$J$57,MATCH(F173,[1]M_SKU!$B$18:$B$57,0),1),"UNKNOWN SKU")</f>
        <v>Fanta Fruit Blast RGB 350 ml</v>
      </c>
      <c r="H173" s="22" t="s">
        <v>193</v>
      </c>
      <c r="I173" s="25">
        <f>IFERROR(INDEX([1]T_Unload!$K$10:$K$433,MATCH(B173,[1]T_Unload!$B$10:$B$433,0)),0)</f>
        <v>1.0555518403609696</v>
      </c>
      <c r="J173" s="26">
        <v>1.06</v>
      </c>
      <c r="K173" s="27">
        <f t="shared" si="8"/>
        <v>-4.4481596390304468E-3</v>
      </c>
      <c r="L173" s="28" t="str">
        <f t="shared" si="9"/>
        <v>Adjust Unload Upward</v>
      </c>
      <c r="M173" s="29">
        <f t="shared" si="10"/>
        <v>0</v>
      </c>
      <c r="N173" s="29">
        <f t="shared" si="11"/>
        <v>4.4481596390304468E-3</v>
      </c>
      <c r="O173" s="30" t="s">
        <v>38</v>
      </c>
      <c r="P173" s="22"/>
      <c r="Q173" s="31"/>
    </row>
    <row r="174" spans="1:17" ht="15" customHeight="1">
      <c r="A174" s="32" t="s">
        <v>457</v>
      </c>
      <c r="B174" s="33" t="s">
        <v>458</v>
      </c>
      <c r="C174" s="34" t="s">
        <v>448</v>
      </c>
      <c r="D174" s="35" t="str">
        <f>IFERROR(INDEX([1]M_User!$A$12:$J$67,MATCH(C174,[1]M_User!$D$12:$D$67,0),3),"UNMAPPED")</f>
        <v>Jonas Steven Michael</v>
      </c>
      <c r="E174" s="36" t="str">
        <f>IFERROR(INDEX([1]M_User!$A$12:$J$67,MATCH(C174,[1]M_User!$D$12:$D$67,0),5),"UNMAPPED")</f>
        <v>MOS</v>
      </c>
      <c r="F174" s="34" t="s">
        <v>53</v>
      </c>
      <c r="G174" s="35" t="str">
        <f>IFERROR(INDEX([1]M_SKU!$A$18:$J$57,MATCH(F174,[1]M_SKU!$B$18:$B$57,0),1),"UNKNOWN SKU")</f>
        <v>Sprite 350ml</v>
      </c>
      <c r="H174" s="34" t="s">
        <v>196</v>
      </c>
      <c r="I174" s="37">
        <f>IFERROR(INDEX([1]T_Unload!$K$10:$K$433,MATCH(B174,[1]T_Unload!$B$10:$B$433,0)),0)</f>
        <v>1.366293711960612</v>
      </c>
      <c r="J174" s="26">
        <v>1.37</v>
      </c>
      <c r="K174" s="38">
        <f t="shared" si="8"/>
        <v>-3.7062880393881059E-3</v>
      </c>
      <c r="L174" s="39" t="str">
        <f t="shared" si="9"/>
        <v>Adjust Unload Upward</v>
      </c>
      <c r="M174" s="40">
        <f t="shared" si="10"/>
        <v>0</v>
      </c>
      <c r="N174" s="40">
        <f t="shared" si="11"/>
        <v>3.7062880393881059E-3</v>
      </c>
      <c r="O174" s="41" t="s">
        <v>38</v>
      </c>
      <c r="P174" s="42"/>
      <c r="Q174" s="43"/>
    </row>
    <row r="175" spans="1:17" ht="15" customHeight="1">
      <c r="A175" s="20" t="s">
        <v>459</v>
      </c>
      <c r="B175" s="21" t="s">
        <v>460</v>
      </c>
      <c r="C175" s="22" t="s">
        <v>448</v>
      </c>
      <c r="D175" s="23" t="str">
        <f>IFERROR(INDEX([1]M_User!$A$12:$J$67,MATCH(C175,[1]M_User!$D$12:$D$67,0),3),"UNMAPPED")</f>
        <v>Jonas Steven Michael</v>
      </c>
      <c r="E175" s="24" t="str">
        <f>IFERROR(INDEX([1]M_User!$A$12:$J$67,MATCH(C175,[1]M_User!$D$12:$D$67,0),5),"UNMAPPED")</f>
        <v>MOS</v>
      </c>
      <c r="F175" s="22" t="s">
        <v>199</v>
      </c>
      <c r="G175" s="23" t="str">
        <f>IFERROR(INDEX([1]M_SKU!$A$18:$J$57,MATCH(F175,[1]M_SKU!$B$18:$B$57,0),1),"UNKNOWN SKU")</f>
        <v>Stoney Tangawizi RGB 350ml</v>
      </c>
      <c r="H175" s="22" t="s">
        <v>200</v>
      </c>
      <c r="I175" s="25">
        <f>IFERROR(INDEX([1]T_Unload!$K$10:$K$433,MATCH(B175,[1]T_Unload!$B$10:$B$433,0)),0)</f>
        <v>1.2277491423116196</v>
      </c>
      <c r="J175" s="26">
        <v>1.23</v>
      </c>
      <c r="K175" s="27">
        <f t="shared" si="8"/>
        <v>-2.2508576883804032E-3</v>
      </c>
      <c r="L175" s="28" t="str">
        <f t="shared" si="9"/>
        <v>Adjust Unload Upward</v>
      </c>
      <c r="M175" s="29">
        <f t="shared" si="10"/>
        <v>0</v>
      </c>
      <c r="N175" s="29">
        <f t="shared" si="11"/>
        <v>2.2508576883804032E-3</v>
      </c>
      <c r="O175" s="30" t="s">
        <v>38</v>
      </c>
      <c r="P175" s="22"/>
      <c r="Q175" s="31"/>
    </row>
    <row r="176" spans="1:17" ht="15" customHeight="1">
      <c r="A176" s="32" t="s">
        <v>461</v>
      </c>
      <c r="B176" s="33" t="s">
        <v>462</v>
      </c>
      <c r="C176" s="34" t="s">
        <v>448</v>
      </c>
      <c r="D176" s="35" t="str">
        <f>IFERROR(INDEX([1]M_User!$A$12:$J$67,MATCH(C176,[1]M_User!$D$12:$D$67,0),3),"UNMAPPED")</f>
        <v>Jonas Steven Michael</v>
      </c>
      <c r="E176" s="36" t="str">
        <f>IFERROR(INDEX([1]M_User!$A$12:$J$67,MATCH(C176,[1]M_User!$D$12:$D$67,0),5),"UNMAPPED")</f>
        <v>MOS</v>
      </c>
      <c r="F176" s="34" t="s">
        <v>203</v>
      </c>
      <c r="G176" s="35" t="str">
        <f>IFERROR(INDEX([1]M_SKU!$A$18:$J$57,MATCH(F176,[1]M_SKU!$B$18:$B$57,0),1),"UNKNOWN SKU")</f>
        <v>Sparletta Pinenut RGB 350ml</v>
      </c>
      <c r="H176" s="34" t="s">
        <v>204</v>
      </c>
      <c r="I176" s="37">
        <f>IFERROR(INDEX([1]T_Unload!$K$10:$K$433,MATCH(B176,[1]T_Unload!$B$10:$B$433,0)),0)</f>
        <v>0.90424666842110035</v>
      </c>
      <c r="J176" s="26">
        <v>0.9</v>
      </c>
      <c r="K176" s="38">
        <f t="shared" si="8"/>
        <v>4.2466684211003303E-3</v>
      </c>
      <c r="L176" s="39" t="str">
        <f t="shared" si="9"/>
        <v>Post to Default Outlet</v>
      </c>
      <c r="M176" s="40">
        <f t="shared" si="10"/>
        <v>4.2466684211003303E-3</v>
      </c>
      <c r="N176" s="40">
        <f t="shared" si="11"/>
        <v>0</v>
      </c>
      <c r="O176" s="41" t="s">
        <v>38</v>
      </c>
      <c r="P176" s="42"/>
      <c r="Q176" s="43"/>
    </row>
    <row r="177" spans="1:17" ht="15" customHeight="1">
      <c r="A177" s="20" t="s">
        <v>463</v>
      </c>
      <c r="B177" s="21" t="s">
        <v>464</v>
      </c>
      <c r="C177" s="22" t="s">
        <v>448</v>
      </c>
      <c r="D177" s="23" t="str">
        <f>IFERROR(INDEX([1]M_User!$A$12:$J$67,MATCH(C177,[1]M_User!$D$12:$D$67,0),3),"UNMAPPED")</f>
        <v>Jonas Steven Michael</v>
      </c>
      <c r="E177" s="24" t="str">
        <f>IFERROR(INDEX([1]M_User!$A$12:$J$67,MATCH(C177,[1]M_User!$D$12:$D$67,0),5),"UNMAPPED")</f>
        <v>MOS</v>
      </c>
      <c r="F177" s="22" t="s">
        <v>57</v>
      </c>
      <c r="G177" s="23" t="str">
        <f>IFERROR(INDEX([1]M_SKU!$A$18:$J$57,MATCH(F177,[1]M_SKU!$B$18:$B$57,0),1),"UNKNOWN SKU")</f>
        <v>Krest Bitter Lemon RGB 300ml</v>
      </c>
      <c r="H177" s="22" t="s">
        <v>58</v>
      </c>
      <c r="I177" s="25">
        <f>IFERROR(INDEX([1]T_Unload!$K$10:$K$433,MATCH(B177,[1]T_Unload!$B$10:$B$433,0)),0)</f>
        <v>0.71749901363029611</v>
      </c>
      <c r="J177" s="26">
        <v>0.72</v>
      </c>
      <c r="K177" s="27">
        <f t="shared" si="8"/>
        <v>-2.5009863697038615E-3</v>
      </c>
      <c r="L177" s="28" t="str">
        <f t="shared" si="9"/>
        <v>Adjust Unload Upward</v>
      </c>
      <c r="M177" s="29">
        <f t="shared" si="10"/>
        <v>0</v>
      </c>
      <c r="N177" s="29">
        <f t="shared" si="11"/>
        <v>2.5009863697038615E-3</v>
      </c>
      <c r="O177" s="30" t="s">
        <v>38</v>
      </c>
      <c r="P177" s="22"/>
      <c r="Q177" s="31"/>
    </row>
    <row r="178" spans="1:17" ht="15" customHeight="1">
      <c r="A178" s="32" t="s">
        <v>465</v>
      </c>
      <c r="B178" s="33" t="s">
        <v>466</v>
      </c>
      <c r="C178" s="34" t="s">
        <v>448</v>
      </c>
      <c r="D178" s="35" t="str">
        <f>IFERROR(INDEX([1]M_User!$A$12:$J$67,MATCH(C178,[1]M_User!$D$12:$D$67,0),3),"UNMAPPED")</f>
        <v>Jonas Steven Michael</v>
      </c>
      <c r="E178" s="36" t="str">
        <f>IFERROR(INDEX([1]M_User!$A$12:$J$67,MATCH(C178,[1]M_User!$D$12:$D$67,0),5),"UNMAPPED")</f>
        <v>MOS</v>
      </c>
      <c r="F178" s="34" t="s">
        <v>61</v>
      </c>
      <c r="G178" s="35" t="str">
        <f>IFERROR(INDEX([1]M_SKU!$A$18:$J$57,MATCH(F178,[1]M_SKU!$B$18:$B$57,0),1),"UNKNOWN SKU")</f>
        <v>Krest Club Soda RGB 300ml</v>
      </c>
      <c r="H178" s="34" t="s">
        <v>62</v>
      </c>
      <c r="I178" s="37">
        <f>IFERROR(INDEX([1]T_Unload!$K$10:$K$433,MATCH(B178,[1]T_Unload!$B$10:$B$433,0)),0)</f>
        <v>0.71722825330980022</v>
      </c>
      <c r="J178" s="26">
        <v>0.72</v>
      </c>
      <c r="K178" s="38">
        <f t="shared" si="8"/>
        <v>-2.7717466901997501E-3</v>
      </c>
      <c r="L178" s="39" t="str">
        <f t="shared" si="9"/>
        <v>Adjust Unload Upward</v>
      </c>
      <c r="M178" s="40">
        <f t="shared" si="10"/>
        <v>0</v>
      </c>
      <c r="N178" s="40">
        <f t="shared" si="11"/>
        <v>2.7717466901997501E-3</v>
      </c>
      <c r="O178" s="41" t="s">
        <v>38</v>
      </c>
      <c r="P178" s="42"/>
      <c r="Q178" s="43"/>
    </row>
    <row r="179" spans="1:17" ht="15" customHeight="1">
      <c r="A179" s="20" t="s">
        <v>467</v>
      </c>
      <c r="B179" s="21" t="s">
        <v>468</v>
      </c>
      <c r="C179" s="22" t="s">
        <v>448</v>
      </c>
      <c r="D179" s="23" t="str">
        <f>IFERROR(INDEX([1]M_User!$A$12:$J$67,MATCH(C179,[1]M_User!$D$12:$D$67,0),3),"UNMAPPED")</f>
        <v>Jonas Steven Michael</v>
      </c>
      <c r="E179" s="24" t="str">
        <f>IFERROR(INDEX([1]M_User!$A$12:$J$67,MATCH(C179,[1]M_User!$D$12:$D$67,0),5),"UNMAPPED")</f>
        <v>MOS</v>
      </c>
      <c r="F179" s="22" t="s">
        <v>65</v>
      </c>
      <c r="G179" s="23" t="str">
        <f>IFERROR(INDEX([1]M_SKU!$A$18:$J$57,MATCH(F179,[1]M_SKU!$B$18:$B$57,0),1),"UNKNOWN SKU")</f>
        <v>Krest Tonic Water RGB 300ml</v>
      </c>
      <c r="H179" s="22" t="s">
        <v>211</v>
      </c>
      <c r="I179" s="25">
        <f>IFERROR(INDEX([1]T_Unload!$K$10:$K$433,MATCH(B179,[1]T_Unload!$B$10:$B$433,0)),0)</f>
        <v>0.42810817856611516</v>
      </c>
      <c r="J179" s="26">
        <v>0.43</v>
      </c>
      <c r="K179" s="27">
        <f t="shared" si="8"/>
        <v>-1.8918214338848327E-3</v>
      </c>
      <c r="L179" s="28" t="str">
        <f t="shared" si="9"/>
        <v>Adjust Unload Upward</v>
      </c>
      <c r="M179" s="29">
        <f t="shared" si="10"/>
        <v>0</v>
      </c>
      <c r="N179" s="29">
        <f t="shared" si="11"/>
        <v>1.8918214338848327E-3</v>
      </c>
      <c r="O179" s="30" t="s">
        <v>38</v>
      </c>
      <c r="P179" s="22"/>
      <c r="Q179" s="31"/>
    </row>
    <row r="180" spans="1:17" ht="15" customHeight="1">
      <c r="A180" s="32" t="s">
        <v>469</v>
      </c>
      <c r="B180" s="33" t="s">
        <v>470</v>
      </c>
      <c r="C180" s="34" t="s">
        <v>448</v>
      </c>
      <c r="D180" s="35" t="str">
        <f>IFERROR(INDEX([1]M_User!$A$12:$J$67,MATCH(C180,[1]M_User!$D$12:$D$67,0),3),"UNMAPPED")</f>
        <v>Jonas Steven Michael</v>
      </c>
      <c r="E180" s="36" t="str">
        <f>IFERROR(INDEX([1]M_User!$A$12:$J$67,MATCH(C180,[1]M_User!$D$12:$D$67,0),5),"UNMAPPED")</f>
        <v>MOS</v>
      </c>
      <c r="F180" s="34" t="s">
        <v>69</v>
      </c>
      <c r="G180" s="35" t="str">
        <f>IFERROR(INDEX([1]M_SKU!$A$18:$J$57,MATCH(F180,[1]M_SKU!$B$18:$B$57,0),1),"UNKNOWN SKU")</f>
        <v>Krest Ginger Ale RGB 300ml</v>
      </c>
      <c r="H180" s="34" t="s">
        <v>70</v>
      </c>
      <c r="I180" s="37">
        <f>IFERROR(INDEX([1]T_Unload!$K$10:$K$433,MATCH(B180,[1]T_Unload!$B$10:$B$433,0)),0)</f>
        <v>0.16897712316879021</v>
      </c>
      <c r="J180" s="26">
        <v>0.17</v>
      </c>
      <c r="K180" s="38">
        <f t="shared" si="8"/>
        <v>-1.0228768312098013E-3</v>
      </c>
      <c r="L180" s="39" t="str">
        <f t="shared" si="9"/>
        <v>Adjust Unload Upward</v>
      </c>
      <c r="M180" s="40">
        <f t="shared" si="10"/>
        <v>0</v>
      </c>
      <c r="N180" s="40">
        <f t="shared" si="11"/>
        <v>1.0228768312098013E-3</v>
      </c>
      <c r="O180" s="41" t="s">
        <v>38</v>
      </c>
      <c r="P180" s="42"/>
      <c r="Q180" s="43"/>
    </row>
    <row r="181" spans="1:17" ht="15" customHeight="1">
      <c r="A181" s="20" t="s">
        <v>471</v>
      </c>
      <c r="B181" s="21" t="s">
        <v>472</v>
      </c>
      <c r="C181" s="22" t="s">
        <v>448</v>
      </c>
      <c r="D181" s="23" t="str">
        <f>IFERROR(INDEX([1]M_User!$A$12:$J$67,MATCH(C181,[1]M_User!$D$12:$D$67,0),3),"UNMAPPED")</f>
        <v>Jonas Steven Michael</v>
      </c>
      <c r="E181" s="24" t="str">
        <f>IFERROR(INDEX([1]M_User!$A$12:$J$67,MATCH(C181,[1]M_User!$D$12:$D$67,0),5),"UNMAPPED")</f>
        <v>MOS</v>
      </c>
      <c r="F181" s="22" t="s">
        <v>216</v>
      </c>
      <c r="G181" s="23" t="str">
        <f>IFERROR(INDEX([1]M_SKU!$A$18:$J$57,MATCH(F181,[1]M_SKU!$B$18:$B$57,0),1),"UNKNOWN SKU")</f>
        <v>Sparletta Red Apple RGB 350ml</v>
      </c>
      <c r="H181" s="22" t="s">
        <v>217</v>
      </c>
      <c r="I181" s="25">
        <f>IFERROR(INDEX([1]T_Unload!$K$10:$K$433,MATCH(B181,[1]T_Unload!$B$10:$B$433,0)),0)</f>
        <v>0.17881263659293989</v>
      </c>
      <c r="J181" s="26">
        <v>0.18</v>
      </c>
      <c r="K181" s="27">
        <f t="shared" si="8"/>
        <v>-1.1873634070601047E-3</v>
      </c>
      <c r="L181" s="28" t="str">
        <f t="shared" si="9"/>
        <v>Adjust Unload Upward</v>
      </c>
      <c r="M181" s="29">
        <f t="shared" si="10"/>
        <v>0</v>
      </c>
      <c r="N181" s="29">
        <f t="shared" si="11"/>
        <v>1.1873634070601047E-3</v>
      </c>
      <c r="O181" s="30" t="s">
        <v>38</v>
      </c>
      <c r="P181" s="22"/>
      <c r="Q181" s="31"/>
    </row>
    <row r="182" spans="1:17" ht="15" customHeight="1">
      <c r="A182" s="32" t="s">
        <v>473</v>
      </c>
      <c r="B182" s="33" t="s">
        <v>474</v>
      </c>
      <c r="C182" s="34" t="s">
        <v>448</v>
      </c>
      <c r="D182" s="35" t="str">
        <f>IFERROR(INDEX([1]M_User!$A$12:$J$67,MATCH(C182,[1]M_User!$D$12:$D$67,0),3),"UNMAPPED")</f>
        <v>Jonas Steven Michael</v>
      </c>
      <c r="E182" s="36" t="str">
        <f>IFERROR(INDEX([1]M_User!$A$12:$J$67,MATCH(C182,[1]M_User!$D$12:$D$67,0),5),"UNMAPPED")</f>
        <v>MOS</v>
      </c>
      <c r="F182" s="34" t="s">
        <v>73</v>
      </c>
      <c r="G182" s="35" t="str">
        <f>IFERROR(INDEX([1]M_SKU!$A$18:$J$57,MATCH(F182,[1]M_SKU!$B$18:$B$57,0),1),"UNKNOWN SKU")</f>
        <v>KNMW 500ml</v>
      </c>
      <c r="H182" s="34" t="s">
        <v>220</v>
      </c>
      <c r="I182" s="37">
        <f>IFERROR(INDEX([1]T_Unload!$K$10:$K$433,MATCH(B182,[1]T_Unload!$B$10:$B$433,0)),0)</f>
        <v>30</v>
      </c>
      <c r="J182" s="26">
        <v>30</v>
      </c>
      <c r="K182" s="38">
        <f t="shared" si="8"/>
        <v>0</v>
      </c>
      <c r="L182" s="39" t="str">
        <f t="shared" si="9"/>
        <v>CLEAN</v>
      </c>
      <c r="M182" s="40">
        <f t="shared" si="10"/>
        <v>0</v>
      </c>
      <c r="N182" s="40">
        <f t="shared" si="11"/>
        <v>0</v>
      </c>
      <c r="O182" s="41" t="s">
        <v>38</v>
      </c>
      <c r="P182" s="42"/>
      <c r="Q182" s="43"/>
    </row>
    <row r="183" spans="1:17" ht="15" customHeight="1">
      <c r="A183" s="20" t="s">
        <v>475</v>
      </c>
      <c r="B183" s="21" t="s">
        <v>476</v>
      </c>
      <c r="C183" s="22" t="s">
        <v>448</v>
      </c>
      <c r="D183" s="23" t="str">
        <f>IFERROR(INDEX([1]M_User!$A$12:$J$67,MATCH(C183,[1]M_User!$D$12:$D$67,0),3),"UNMAPPED")</f>
        <v>Jonas Steven Michael</v>
      </c>
      <c r="E183" s="24" t="str">
        <f>IFERROR(INDEX([1]M_User!$A$12:$J$67,MATCH(C183,[1]M_User!$D$12:$D$67,0),5),"UNMAPPED")</f>
        <v>MOS</v>
      </c>
      <c r="F183" s="22" t="s">
        <v>83</v>
      </c>
      <c r="G183" s="23" t="str">
        <f>IFERROR(INDEX([1]M_SKU!$A$18:$J$57,MATCH(F183,[1]M_SKU!$B$18:$B$57,0),1),"UNKNOWN SKU")</f>
        <v>KNMW 1500ml</v>
      </c>
      <c r="H183" s="22" t="s">
        <v>223</v>
      </c>
      <c r="I183" s="25">
        <f>IFERROR(INDEX([1]T_Unload!$K$10:$K$433,MATCH(B183,[1]T_Unload!$B$10:$B$433,0)),0)</f>
        <v>7</v>
      </c>
      <c r="J183" s="26">
        <v>7</v>
      </c>
      <c r="K183" s="27">
        <f t="shared" si="8"/>
        <v>0</v>
      </c>
      <c r="L183" s="28" t="str">
        <f t="shared" si="9"/>
        <v>CLEAN</v>
      </c>
      <c r="M183" s="29">
        <f t="shared" si="10"/>
        <v>0</v>
      </c>
      <c r="N183" s="29">
        <f t="shared" si="11"/>
        <v>0</v>
      </c>
      <c r="O183" s="30" t="s">
        <v>38</v>
      </c>
      <c r="P183" s="22"/>
      <c r="Q183" s="31"/>
    </row>
    <row r="184" spans="1:17" ht="15" customHeight="1">
      <c r="A184" s="32" t="s">
        <v>477</v>
      </c>
      <c r="B184" s="33" t="s">
        <v>478</v>
      </c>
      <c r="C184" s="34" t="s">
        <v>448</v>
      </c>
      <c r="D184" s="35" t="str">
        <f>IFERROR(INDEX([1]M_User!$A$12:$J$67,MATCH(C184,[1]M_User!$D$12:$D$67,0),3),"UNMAPPED")</f>
        <v>Jonas Steven Michael</v>
      </c>
      <c r="E184" s="36" t="str">
        <f>IFERROR(INDEX([1]M_User!$A$12:$J$67,MATCH(C184,[1]M_User!$D$12:$D$67,0),5),"UNMAPPED")</f>
        <v>MOS</v>
      </c>
      <c r="F184" s="34" t="s">
        <v>109</v>
      </c>
      <c r="G184" s="35" t="str">
        <f>IFERROR(INDEX([1]M_SKU!$A$18:$J$57,MATCH(F184,[1]M_SKU!$B$18:$B$57,0),1),"UNKNOWN SKU")</f>
        <v>Coke Pet 500ML ( x12)</v>
      </c>
      <c r="H184" s="34" t="s">
        <v>226</v>
      </c>
      <c r="I184" s="37">
        <f>IFERROR(INDEX([1]T_Unload!$K$10:$K$433,MATCH(B184,[1]T_Unload!$B$10:$B$433,0)),0)</f>
        <v>4</v>
      </c>
      <c r="J184" s="26">
        <v>4</v>
      </c>
      <c r="K184" s="38">
        <f t="shared" si="8"/>
        <v>0</v>
      </c>
      <c r="L184" s="39" t="str">
        <f t="shared" si="9"/>
        <v>CLEAN</v>
      </c>
      <c r="M184" s="40">
        <f t="shared" si="10"/>
        <v>0</v>
      </c>
      <c r="N184" s="40">
        <f t="shared" si="11"/>
        <v>0</v>
      </c>
      <c r="O184" s="41" t="s">
        <v>38</v>
      </c>
      <c r="P184" s="42"/>
      <c r="Q184" s="43"/>
    </row>
    <row r="185" spans="1:17" ht="15" customHeight="1">
      <c r="A185" s="20" t="s">
        <v>479</v>
      </c>
      <c r="B185" s="21" t="s">
        <v>480</v>
      </c>
      <c r="C185" s="22" t="s">
        <v>448</v>
      </c>
      <c r="D185" s="23" t="str">
        <f>IFERROR(INDEX([1]M_User!$A$12:$J$67,MATCH(C185,[1]M_User!$D$12:$D$67,0),3),"UNMAPPED")</f>
        <v>Jonas Steven Michael</v>
      </c>
      <c r="E185" s="24" t="str">
        <f>IFERROR(INDEX([1]M_User!$A$12:$J$67,MATCH(C185,[1]M_User!$D$12:$D$67,0),5),"UNMAPPED")</f>
        <v>MOS</v>
      </c>
      <c r="F185" s="22" t="s">
        <v>113</v>
      </c>
      <c r="G185" s="23" t="str">
        <f>IFERROR(INDEX([1]M_SKU!$A$18:$J$57,MATCH(F185,[1]M_SKU!$B$18:$B$57,0),1),"UNKNOWN SKU")</f>
        <v>Sprite Pet 500ML (x 12)</v>
      </c>
      <c r="H185" s="22" t="s">
        <v>114</v>
      </c>
      <c r="I185" s="25">
        <f>IFERROR(INDEX([1]T_Unload!$K$10:$K$433,MATCH(B185,[1]T_Unload!$B$10:$B$433,0)),0)</f>
        <v>1</v>
      </c>
      <c r="J185" s="26">
        <v>1</v>
      </c>
      <c r="K185" s="27">
        <f t="shared" si="8"/>
        <v>0</v>
      </c>
      <c r="L185" s="28" t="str">
        <f t="shared" si="9"/>
        <v>CLEAN</v>
      </c>
      <c r="M185" s="29">
        <f t="shared" si="10"/>
        <v>0</v>
      </c>
      <c r="N185" s="29">
        <f t="shared" si="11"/>
        <v>0</v>
      </c>
      <c r="O185" s="30" t="s">
        <v>38</v>
      </c>
      <c r="P185" s="22"/>
      <c r="Q185" s="31"/>
    </row>
    <row r="186" spans="1:17" ht="15" customHeight="1">
      <c r="A186" s="32" t="s">
        <v>481</v>
      </c>
      <c r="B186" s="33" t="s">
        <v>482</v>
      </c>
      <c r="C186" s="34" t="s">
        <v>448</v>
      </c>
      <c r="D186" s="35" t="str">
        <f>IFERROR(INDEX([1]M_User!$A$12:$J$67,MATCH(C186,[1]M_User!$D$12:$D$67,0),3),"UNMAPPED")</f>
        <v>Jonas Steven Michael</v>
      </c>
      <c r="E186" s="36" t="str">
        <f>IFERROR(INDEX([1]M_User!$A$12:$J$67,MATCH(C186,[1]M_User!$D$12:$D$67,0),5),"UNMAPPED")</f>
        <v>MOS</v>
      </c>
      <c r="F186" s="34" t="s">
        <v>117</v>
      </c>
      <c r="G186" s="35" t="str">
        <f>IFERROR(INDEX([1]M_SKU!$A$18:$J$57,MATCH(F186,[1]M_SKU!$B$18:$B$57,0),1),"UNKNOWN SKU")</f>
        <v>Fanta Orange Pet 500ML ( x 12)</v>
      </c>
      <c r="H186" s="34" t="s">
        <v>231</v>
      </c>
      <c r="I186" s="37">
        <f>IFERROR(INDEX([1]T_Unload!$K$10:$K$433,MATCH(B186,[1]T_Unload!$B$10:$B$433,0)),0)</f>
        <v>4</v>
      </c>
      <c r="J186" s="26">
        <v>4</v>
      </c>
      <c r="K186" s="38">
        <f t="shared" si="8"/>
        <v>0</v>
      </c>
      <c r="L186" s="39" t="str">
        <f t="shared" si="9"/>
        <v>CLEAN</v>
      </c>
      <c r="M186" s="40">
        <f t="shared" si="10"/>
        <v>0</v>
      </c>
      <c r="N186" s="40">
        <f t="shared" si="11"/>
        <v>0</v>
      </c>
      <c r="O186" s="41" t="s">
        <v>38</v>
      </c>
      <c r="P186" s="42"/>
      <c r="Q186" s="43"/>
    </row>
    <row r="187" spans="1:17" ht="15" customHeight="1">
      <c r="A187" s="20" t="s">
        <v>483</v>
      </c>
      <c r="B187" s="21" t="s">
        <v>484</v>
      </c>
      <c r="C187" s="22" t="s">
        <v>448</v>
      </c>
      <c r="D187" s="23" t="str">
        <f>IFERROR(INDEX([1]M_User!$A$12:$J$67,MATCH(C187,[1]M_User!$D$12:$D$67,0),3),"UNMAPPED")</f>
        <v>Jonas Steven Michael</v>
      </c>
      <c r="E187" s="24" t="str">
        <f>IFERROR(INDEX([1]M_User!$A$12:$J$67,MATCH(C187,[1]M_User!$D$12:$D$67,0),5),"UNMAPPED")</f>
        <v>MOS</v>
      </c>
      <c r="F187" s="22" t="s">
        <v>121</v>
      </c>
      <c r="G187" s="23" t="str">
        <f>IFERROR(INDEX([1]M_SKU!$A$18:$J$57,MATCH(F187,[1]M_SKU!$B$18:$B$57,0),1),"UNKNOWN SKU")</f>
        <v>Fanta Passion Pet 500ML ( x12)</v>
      </c>
      <c r="H187" s="22" t="s">
        <v>234</v>
      </c>
      <c r="I187" s="25">
        <f>IFERROR(INDEX([1]T_Unload!$K$10:$K$433,MATCH(B187,[1]T_Unload!$B$10:$B$433,0)),0)</f>
        <v>1</v>
      </c>
      <c r="J187" s="26">
        <v>1</v>
      </c>
      <c r="K187" s="27">
        <f t="shared" si="8"/>
        <v>0</v>
      </c>
      <c r="L187" s="28" t="str">
        <f t="shared" si="9"/>
        <v>CLEAN</v>
      </c>
      <c r="M187" s="29">
        <f t="shared" si="10"/>
        <v>0</v>
      </c>
      <c r="N187" s="29">
        <f t="shared" si="11"/>
        <v>0</v>
      </c>
      <c r="O187" s="30" t="s">
        <v>38</v>
      </c>
      <c r="P187" s="22"/>
      <c r="Q187" s="31"/>
    </row>
    <row r="188" spans="1:17" ht="15" customHeight="1">
      <c r="A188" s="32" t="s">
        <v>485</v>
      </c>
      <c r="B188" s="33" t="s">
        <v>486</v>
      </c>
      <c r="C188" s="34" t="s">
        <v>448</v>
      </c>
      <c r="D188" s="35" t="str">
        <f>IFERROR(INDEX([1]M_User!$A$12:$J$67,MATCH(C188,[1]M_User!$D$12:$D$67,0),3),"UNMAPPED")</f>
        <v>Jonas Steven Michael</v>
      </c>
      <c r="E188" s="36" t="str">
        <f>IFERROR(INDEX([1]M_User!$A$12:$J$67,MATCH(C188,[1]M_User!$D$12:$D$67,0),5),"UNMAPPED")</f>
        <v>MOS</v>
      </c>
      <c r="F188" s="34" t="s">
        <v>133</v>
      </c>
      <c r="G188" s="35" t="str">
        <f>IFERROR(INDEX([1]M_SKU!$A$18:$J$57,MATCH(F188,[1]M_SKU!$B$18:$B$57,0),1),"UNKNOWN SKU")</f>
        <v>Stoney Tangawizi Pet 500 ml ( x12)</v>
      </c>
      <c r="H188" s="34" t="s">
        <v>237</v>
      </c>
      <c r="I188" s="37">
        <f>IFERROR(INDEX([1]T_Unload!$K$10:$K$433,MATCH(B188,[1]T_Unload!$B$10:$B$433,0)),0)</f>
        <v>1</v>
      </c>
      <c r="J188" s="26">
        <v>1</v>
      </c>
      <c r="K188" s="38">
        <f t="shared" si="8"/>
        <v>0</v>
      </c>
      <c r="L188" s="39" t="str">
        <f t="shared" si="9"/>
        <v>CLEAN</v>
      </c>
      <c r="M188" s="40">
        <f t="shared" si="10"/>
        <v>0</v>
      </c>
      <c r="N188" s="40">
        <f t="shared" si="11"/>
        <v>0</v>
      </c>
      <c r="O188" s="41" t="s">
        <v>38</v>
      </c>
      <c r="P188" s="42"/>
      <c r="Q188" s="43"/>
    </row>
    <row r="189" spans="1:17" ht="15" customHeight="1">
      <c r="A189" s="20" t="s">
        <v>487</v>
      </c>
      <c r="B189" s="21" t="s">
        <v>488</v>
      </c>
      <c r="C189" s="22" t="s">
        <v>448</v>
      </c>
      <c r="D189" s="23" t="str">
        <f>IFERROR(INDEX([1]M_User!$A$12:$J$67,MATCH(C189,[1]M_User!$D$12:$D$67,0),3),"UNMAPPED")</f>
        <v>Jonas Steven Michael</v>
      </c>
      <c r="E189" s="24" t="str">
        <f>IFERROR(INDEX([1]M_User!$A$12:$J$67,MATCH(C189,[1]M_User!$D$12:$D$67,0),5),"UNMAPPED")</f>
        <v>MOS</v>
      </c>
      <c r="F189" s="22" t="s">
        <v>137</v>
      </c>
      <c r="G189" s="23" t="str">
        <f>IFERROR(INDEX([1]M_SKU!$A$18:$J$57,MATCH(F189,[1]M_SKU!$B$18:$B$57,0),1),"UNKNOWN SKU")</f>
        <v>Sparletta Pinenut Pet 500 ml ( x12)</v>
      </c>
      <c r="H189" s="22" t="s">
        <v>240</v>
      </c>
      <c r="I189" s="25">
        <f>IFERROR(INDEX([1]T_Unload!$K$10:$K$433,MATCH(B189,[1]T_Unload!$B$10:$B$433,0)),0)</f>
        <v>1</v>
      </c>
      <c r="J189" s="26">
        <v>1</v>
      </c>
      <c r="K189" s="27">
        <f t="shared" si="8"/>
        <v>0</v>
      </c>
      <c r="L189" s="28" t="str">
        <f t="shared" si="9"/>
        <v>CLEAN</v>
      </c>
      <c r="M189" s="29">
        <f t="shared" si="10"/>
        <v>0</v>
      </c>
      <c r="N189" s="29">
        <f t="shared" si="11"/>
        <v>0</v>
      </c>
      <c r="O189" s="30" t="s">
        <v>38</v>
      </c>
      <c r="P189" s="22"/>
      <c r="Q189" s="31"/>
    </row>
    <row r="190" spans="1:17" ht="15" customHeight="1">
      <c r="A190" s="32" t="s">
        <v>489</v>
      </c>
      <c r="B190" s="33" t="s">
        <v>490</v>
      </c>
      <c r="C190" s="34" t="s">
        <v>448</v>
      </c>
      <c r="D190" s="35" t="str">
        <f>IFERROR(INDEX([1]M_User!$A$12:$J$67,MATCH(C190,[1]M_User!$D$12:$D$67,0),3),"UNMAPPED")</f>
        <v>Jonas Steven Michael</v>
      </c>
      <c r="E190" s="36" t="str">
        <f>IFERROR(INDEX([1]M_User!$A$12:$J$67,MATCH(C190,[1]M_User!$D$12:$D$67,0),5),"UNMAPPED")</f>
        <v>MOS</v>
      </c>
      <c r="F190" s="34" t="s">
        <v>243</v>
      </c>
      <c r="G190" s="35" t="str">
        <f>IFERROR(INDEX([1]M_SKU!$A$18:$J$57,MATCH(F190,[1]M_SKU!$B$18:$B$57,0),1),"UNKNOWN SKU")</f>
        <v>Sprite Zero Pet 300ML (x 12)</v>
      </c>
      <c r="H190" s="34" t="s">
        <v>244</v>
      </c>
      <c r="I190" s="37">
        <f>IFERROR(INDEX([1]T_Unload!$K$10:$K$433,MATCH(B190,[1]T_Unload!$B$10:$B$433,0)),0)</f>
        <v>1</v>
      </c>
      <c r="J190" s="26">
        <v>1</v>
      </c>
      <c r="K190" s="38">
        <f t="shared" si="8"/>
        <v>0</v>
      </c>
      <c r="L190" s="39" t="str">
        <f t="shared" si="9"/>
        <v>CLEAN</v>
      </c>
      <c r="M190" s="40">
        <f t="shared" si="10"/>
        <v>0</v>
      </c>
      <c r="N190" s="40">
        <f t="shared" si="11"/>
        <v>0</v>
      </c>
      <c r="O190" s="41" t="s">
        <v>38</v>
      </c>
      <c r="P190" s="42"/>
      <c r="Q190" s="43"/>
    </row>
    <row r="191" spans="1:17" ht="15" customHeight="1">
      <c r="A191" s="20" t="s">
        <v>491</v>
      </c>
      <c r="B191" s="21" t="s">
        <v>492</v>
      </c>
      <c r="C191" s="22" t="s">
        <v>448</v>
      </c>
      <c r="D191" s="23" t="str">
        <f>IFERROR(INDEX([1]M_User!$A$12:$J$67,MATCH(C191,[1]M_User!$D$12:$D$67,0),3),"UNMAPPED")</f>
        <v>Jonas Steven Michael</v>
      </c>
      <c r="E191" s="24" t="str">
        <f>IFERROR(INDEX([1]M_User!$A$12:$J$67,MATCH(C191,[1]M_User!$D$12:$D$67,0),5),"UNMAPPED")</f>
        <v>MOS</v>
      </c>
      <c r="F191" s="22" t="s">
        <v>148</v>
      </c>
      <c r="G191" s="23" t="str">
        <f>IFERROR(INDEX([1]M_SKU!$A$18:$J$57,MATCH(F191,[1]M_SKU!$B$18:$B$57,0),1),"UNKNOWN SKU")</f>
        <v>Fanta Zero Pet 300ML (x 12)</v>
      </c>
      <c r="H191" s="22" t="s">
        <v>149</v>
      </c>
      <c r="I191" s="25">
        <f>IFERROR(INDEX([1]T_Unload!$K$10:$K$433,MATCH(B191,[1]T_Unload!$B$10:$B$433,0)),0)</f>
        <v>0</v>
      </c>
      <c r="J191" s="26">
        <v>0</v>
      </c>
      <c r="K191" s="27">
        <f t="shared" si="8"/>
        <v>0</v>
      </c>
      <c r="L191" s="28" t="str">
        <f t="shared" si="9"/>
        <v>CLEAN</v>
      </c>
      <c r="M191" s="29">
        <f t="shared" si="10"/>
        <v>0</v>
      </c>
      <c r="N191" s="29">
        <f t="shared" si="11"/>
        <v>0</v>
      </c>
      <c r="O191" s="30" t="s">
        <v>38</v>
      </c>
      <c r="P191" s="22"/>
      <c r="Q191" s="31"/>
    </row>
    <row r="192" spans="1:17" ht="15" customHeight="1">
      <c r="A192" s="32" t="s">
        <v>493</v>
      </c>
      <c r="B192" s="33" t="s">
        <v>494</v>
      </c>
      <c r="C192" s="34" t="s">
        <v>448</v>
      </c>
      <c r="D192" s="35" t="str">
        <f>IFERROR(INDEX([1]M_User!$A$12:$J$67,MATCH(C192,[1]M_User!$D$12:$D$67,0),3),"UNMAPPED")</f>
        <v>Jonas Steven Michael</v>
      </c>
      <c r="E192" s="36" t="str">
        <f>IFERROR(INDEX([1]M_User!$A$12:$J$67,MATCH(C192,[1]M_User!$D$12:$D$67,0),5),"UNMAPPED")</f>
        <v>MOS</v>
      </c>
      <c r="F192" s="34" t="s">
        <v>152</v>
      </c>
      <c r="G192" s="35" t="str">
        <f>IFERROR(INDEX([1]M_SKU!$A$18:$J$57,MATCH(F192,[1]M_SKU!$B$18:$B$57,0),1),"UNKNOWN SKU")</f>
        <v>Sparletta Red Apple Pet 300ML(x 12)</v>
      </c>
      <c r="H192" s="34" t="s">
        <v>153</v>
      </c>
      <c r="I192" s="37">
        <f>IFERROR(INDEX([1]T_Unload!$K$10:$K$433,MATCH(B192,[1]T_Unload!$B$10:$B$433,0)),0)</f>
        <v>0</v>
      </c>
      <c r="J192" s="26">
        <v>0</v>
      </c>
      <c r="K192" s="38">
        <f t="shared" si="8"/>
        <v>0</v>
      </c>
      <c r="L192" s="39" t="str">
        <f t="shared" si="9"/>
        <v>CLEAN</v>
      </c>
      <c r="M192" s="40">
        <f t="shared" si="10"/>
        <v>0</v>
      </c>
      <c r="N192" s="40">
        <f t="shared" si="11"/>
        <v>0</v>
      </c>
      <c r="O192" s="41" t="s">
        <v>38</v>
      </c>
      <c r="P192" s="42"/>
      <c r="Q192" s="43"/>
    </row>
    <row r="193" spans="1:17" ht="15" customHeight="1">
      <c r="A193" s="20" t="s">
        <v>495</v>
      </c>
      <c r="B193" s="21" t="s">
        <v>496</v>
      </c>
      <c r="C193" s="22" t="s">
        <v>448</v>
      </c>
      <c r="D193" s="23" t="str">
        <f>IFERROR(INDEX([1]M_User!$A$12:$J$67,MATCH(C193,[1]M_User!$D$12:$D$67,0),3),"UNMAPPED")</f>
        <v>Jonas Steven Michael</v>
      </c>
      <c r="E193" s="24" t="str">
        <f>IFERROR(INDEX([1]M_User!$A$12:$J$67,MATCH(C193,[1]M_User!$D$12:$D$67,0),5),"UNMAPPED")</f>
        <v>MOS</v>
      </c>
      <c r="F193" s="22" t="s">
        <v>160</v>
      </c>
      <c r="G193" s="23" t="str">
        <f>IFERROR(INDEX([1]M_SKU!$A$18:$J$57,MATCH(F193,[1]M_SKU!$B$18:$B$57,0),1),"UNKNOWN SKU")</f>
        <v>Sparletta Pine Apple Pet 300ML (x 12)</v>
      </c>
      <c r="H193" s="22" t="s">
        <v>161</v>
      </c>
      <c r="I193" s="25">
        <f>IFERROR(INDEX([1]T_Unload!$K$10:$K$433,MATCH(B193,[1]T_Unload!$B$10:$B$433,0)),0)</f>
        <v>2</v>
      </c>
      <c r="J193" s="26">
        <v>2</v>
      </c>
      <c r="K193" s="27">
        <f t="shared" si="8"/>
        <v>0</v>
      </c>
      <c r="L193" s="28" t="str">
        <f t="shared" si="9"/>
        <v>CLEAN</v>
      </c>
      <c r="M193" s="29">
        <f t="shared" si="10"/>
        <v>0</v>
      </c>
      <c r="N193" s="29">
        <f t="shared" si="11"/>
        <v>0</v>
      </c>
      <c r="O193" s="30" t="s">
        <v>38</v>
      </c>
      <c r="P193" s="22"/>
      <c r="Q193" s="31"/>
    </row>
    <row r="194" spans="1:17" ht="15" customHeight="1">
      <c r="A194" s="32" t="s">
        <v>497</v>
      </c>
      <c r="B194" s="33" t="s">
        <v>498</v>
      </c>
      <c r="C194" s="34" t="s">
        <v>499</v>
      </c>
      <c r="D194" s="35" t="str">
        <f>IFERROR(INDEX([1]M_User!$A$12:$J$67,MATCH(C194,[1]M_User!$D$12:$D$67,0),3),"UNMAPPED")</f>
        <v>Gastory S Msaki</v>
      </c>
      <c r="E194" s="36" t="str">
        <f>IFERROR(INDEX([1]M_User!$A$12:$J$67,MATCH(C194,[1]M_User!$D$12:$D$67,0),5),"UNMAPPED")</f>
        <v>MOS</v>
      </c>
      <c r="F194" s="34" t="s">
        <v>36</v>
      </c>
      <c r="G194" s="35" t="str">
        <f>IFERROR(INDEX([1]M_SKU!$A$18:$J$57,MATCH(F194,[1]M_SKU!$B$18:$B$57,0),1),"UNKNOWN SKU")</f>
        <v>Coke RGB 350ml</v>
      </c>
      <c r="H194" s="34" t="s">
        <v>180</v>
      </c>
      <c r="I194" s="37">
        <f>IFERROR(INDEX([1]T_Unload!$K$10:$K$433,MATCH(B194,[1]T_Unload!$B$10:$B$433,0)),0)</f>
        <v>8.7235482308155952</v>
      </c>
      <c r="J194" s="26">
        <v>8.7200000000000006</v>
      </c>
      <c r="K194" s="38">
        <f t="shared" si="8"/>
        <v>3.5482308155945219E-3</v>
      </c>
      <c r="L194" s="39" t="str">
        <f t="shared" si="9"/>
        <v>Post to Default Outlet</v>
      </c>
      <c r="M194" s="40">
        <f t="shared" si="10"/>
        <v>3.5482308155945219E-3</v>
      </c>
      <c r="N194" s="40">
        <f t="shared" si="11"/>
        <v>0</v>
      </c>
      <c r="O194" s="41" t="s">
        <v>38</v>
      </c>
      <c r="P194" s="42"/>
      <c r="Q194" s="43"/>
    </row>
    <row r="195" spans="1:17" ht="15" customHeight="1">
      <c r="A195" s="20" t="s">
        <v>500</v>
      </c>
      <c r="B195" s="21" t="s">
        <v>501</v>
      </c>
      <c r="C195" s="22" t="s">
        <v>499</v>
      </c>
      <c r="D195" s="23" t="str">
        <f>IFERROR(INDEX([1]M_User!$A$12:$J$67,MATCH(C195,[1]M_User!$D$12:$D$67,0),3),"UNMAPPED")</f>
        <v>Gastory S Msaki</v>
      </c>
      <c r="E195" s="24" t="str">
        <f>IFERROR(INDEX([1]M_User!$A$12:$J$67,MATCH(C195,[1]M_User!$D$12:$D$67,0),5),"UNMAPPED")</f>
        <v>MOS</v>
      </c>
      <c r="F195" s="22" t="s">
        <v>41</v>
      </c>
      <c r="G195" s="23" t="str">
        <f>IFERROR(INDEX([1]M_SKU!$A$18:$J$57,MATCH(F195,[1]M_SKU!$B$18:$B$57,0),1),"UNKNOWN SKU")</f>
        <v>Fanta Orange RGB 350ml</v>
      </c>
      <c r="H195" s="22" t="s">
        <v>183</v>
      </c>
      <c r="I195" s="25">
        <f>IFERROR(INDEX([1]T_Unload!$K$10:$K$433,MATCH(B195,[1]T_Unload!$B$10:$B$433,0)),0)</f>
        <v>1.7897517482047611</v>
      </c>
      <c r="J195" s="26">
        <v>1.79</v>
      </c>
      <c r="K195" s="27">
        <f t="shared" si="8"/>
        <v>-2.4825179523890739E-4</v>
      </c>
      <c r="L195" s="28" t="str">
        <f t="shared" si="9"/>
        <v>Adjust Unload Upward</v>
      </c>
      <c r="M195" s="29">
        <f t="shared" si="10"/>
        <v>0</v>
      </c>
      <c r="N195" s="29">
        <f t="shared" si="11"/>
        <v>2.4825179523890739E-4</v>
      </c>
      <c r="O195" s="30" t="s">
        <v>38</v>
      </c>
      <c r="P195" s="22"/>
      <c r="Q195" s="31"/>
    </row>
    <row r="196" spans="1:17" ht="15" customHeight="1">
      <c r="A196" s="32" t="s">
        <v>502</v>
      </c>
      <c r="B196" s="33" t="s">
        <v>503</v>
      </c>
      <c r="C196" s="34" t="s">
        <v>499</v>
      </c>
      <c r="D196" s="35" t="str">
        <f>IFERROR(INDEX([1]M_User!$A$12:$J$67,MATCH(C196,[1]M_User!$D$12:$D$67,0),3),"UNMAPPED")</f>
        <v>Gastory S Msaki</v>
      </c>
      <c r="E196" s="36" t="str">
        <f>IFERROR(INDEX([1]M_User!$A$12:$J$67,MATCH(C196,[1]M_User!$D$12:$D$67,0),5),"UNMAPPED")</f>
        <v>MOS</v>
      </c>
      <c r="F196" s="34" t="s">
        <v>45</v>
      </c>
      <c r="G196" s="35" t="str">
        <f>IFERROR(INDEX([1]M_SKU!$A$18:$J$57,MATCH(F196,[1]M_SKU!$B$18:$B$57,0),1),"UNKNOWN SKU")</f>
        <v>Fanta Passion RGB 350ml</v>
      </c>
      <c r="H196" s="34" t="s">
        <v>186</v>
      </c>
      <c r="I196" s="37">
        <f>IFERROR(INDEX([1]T_Unload!$K$10:$K$433,MATCH(B196,[1]T_Unload!$B$10:$B$433,0)),0)</f>
        <v>1.3887341588443505</v>
      </c>
      <c r="J196" s="26">
        <v>1.39</v>
      </c>
      <c r="K196" s="38">
        <f t="shared" si="8"/>
        <v>-1.2658411556494276E-3</v>
      </c>
      <c r="L196" s="39" t="str">
        <f t="shared" si="9"/>
        <v>Adjust Unload Upward</v>
      </c>
      <c r="M196" s="40">
        <f t="shared" si="10"/>
        <v>0</v>
      </c>
      <c r="N196" s="40">
        <f t="shared" si="11"/>
        <v>1.2658411556494276E-3</v>
      </c>
      <c r="O196" s="41" t="s">
        <v>38</v>
      </c>
      <c r="P196" s="42"/>
      <c r="Q196" s="43"/>
    </row>
    <row r="197" spans="1:17" ht="15" customHeight="1">
      <c r="A197" s="20" t="s">
        <v>504</v>
      </c>
      <c r="B197" s="21" t="s">
        <v>505</v>
      </c>
      <c r="C197" s="22" t="s">
        <v>499</v>
      </c>
      <c r="D197" s="23" t="str">
        <f>IFERROR(INDEX([1]M_User!$A$12:$J$67,MATCH(C197,[1]M_User!$D$12:$D$67,0),3),"UNMAPPED")</f>
        <v>Gastory S Msaki</v>
      </c>
      <c r="E197" s="24" t="str">
        <f>IFERROR(INDEX([1]M_User!$A$12:$J$67,MATCH(C197,[1]M_User!$D$12:$D$67,0),5),"UNMAPPED")</f>
        <v>MOS</v>
      </c>
      <c r="F197" s="22" t="s">
        <v>49</v>
      </c>
      <c r="G197" s="23" t="str">
        <f>IFERROR(INDEX([1]M_SKU!$A$18:$J$57,MATCH(F197,[1]M_SKU!$B$18:$B$57,0),1),"UNKNOWN SKU")</f>
        <v>Fanta Pineapple RGB 350ml</v>
      </c>
      <c r="H197" s="22" t="s">
        <v>189</v>
      </c>
      <c r="I197" s="25">
        <f>IFERROR(INDEX([1]T_Unload!$K$10:$K$433,MATCH(B197,[1]T_Unload!$B$10:$B$433,0)),0)</f>
        <v>3.5408413736479698</v>
      </c>
      <c r="J197" s="26">
        <v>3.54</v>
      </c>
      <c r="K197" s="27">
        <f t="shared" si="8"/>
        <v>8.4137364796976755E-4</v>
      </c>
      <c r="L197" s="28" t="str">
        <f t="shared" si="9"/>
        <v>Post to Default Outlet</v>
      </c>
      <c r="M197" s="29">
        <f t="shared" si="10"/>
        <v>8.4137364796976755E-4</v>
      </c>
      <c r="N197" s="29">
        <f t="shared" si="11"/>
        <v>0</v>
      </c>
      <c r="O197" s="30" t="s">
        <v>38</v>
      </c>
      <c r="P197" s="22"/>
      <c r="Q197" s="31"/>
    </row>
    <row r="198" spans="1:17" ht="15" customHeight="1">
      <c r="A198" s="32" t="s">
        <v>506</v>
      </c>
      <c r="B198" s="33" t="s">
        <v>507</v>
      </c>
      <c r="C198" s="34" t="s">
        <v>499</v>
      </c>
      <c r="D198" s="35" t="str">
        <f>IFERROR(INDEX([1]M_User!$A$12:$J$67,MATCH(C198,[1]M_User!$D$12:$D$67,0),3),"UNMAPPED")</f>
        <v>Gastory S Msaki</v>
      </c>
      <c r="E198" s="36" t="str">
        <f>IFERROR(INDEX([1]M_User!$A$12:$J$67,MATCH(C198,[1]M_User!$D$12:$D$67,0),5),"UNMAPPED")</f>
        <v>MOS</v>
      </c>
      <c r="F198" s="34" t="s">
        <v>192</v>
      </c>
      <c r="G198" s="35" t="str">
        <f>IFERROR(INDEX([1]M_SKU!$A$18:$J$57,MATCH(F198,[1]M_SKU!$B$18:$B$57,0),1),"UNKNOWN SKU")</f>
        <v>Fanta Fruit Blast RGB 350 ml</v>
      </c>
      <c r="H198" s="34" t="s">
        <v>193</v>
      </c>
      <c r="I198" s="37">
        <f>IFERROR(INDEX([1]T_Unload!$K$10:$K$433,MATCH(B198,[1]T_Unload!$B$10:$B$433,0)),0)</f>
        <v>0.54865710429351022</v>
      </c>
      <c r="J198" s="26">
        <v>0.55000000000000004</v>
      </c>
      <c r="K198" s="38">
        <f t="shared" si="8"/>
        <v>-1.3428957064898217E-3</v>
      </c>
      <c r="L198" s="39" t="str">
        <f t="shared" si="9"/>
        <v>Adjust Unload Upward</v>
      </c>
      <c r="M198" s="40">
        <f t="shared" si="10"/>
        <v>0</v>
      </c>
      <c r="N198" s="40">
        <f t="shared" si="11"/>
        <v>1.3428957064898217E-3</v>
      </c>
      <c r="O198" s="41" t="s">
        <v>38</v>
      </c>
      <c r="P198" s="42"/>
      <c r="Q198" s="43"/>
    </row>
    <row r="199" spans="1:17" ht="15" customHeight="1">
      <c r="A199" s="20" t="s">
        <v>508</v>
      </c>
      <c r="B199" s="21" t="s">
        <v>509</v>
      </c>
      <c r="C199" s="22" t="s">
        <v>499</v>
      </c>
      <c r="D199" s="23" t="str">
        <f>IFERROR(INDEX([1]M_User!$A$12:$J$67,MATCH(C199,[1]M_User!$D$12:$D$67,0),3),"UNMAPPED")</f>
        <v>Gastory S Msaki</v>
      </c>
      <c r="E199" s="24" t="str">
        <f>IFERROR(INDEX([1]M_User!$A$12:$J$67,MATCH(C199,[1]M_User!$D$12:$D$67,0),5),"UNMAPPED")</f>
        <v>MOS</v>
      </c>
      <c r="F199" s="22" t="s">
        <v>53</v>
      </c>
      <c r="G199" s="23" t="str">
        <f>IFERROR(INDEX([1]M_SKU!$A$18:$J$57,MATCH(F199,[1]M_SKU!$B$18:$B$57,0),1),"UNKNOWN SKU")</f>
        <v>Sprite 350ml</v>
      </c>
      <c r="H199" s="22" t="s">
        <v>196</v>
      </c>
      <c r="I199" s="25">
        <f>IFERROR(INDEX([1]T_Unload!$K$10:$K$433,MATCH(B199,[1]T_Unload!$B$10:$B$433,0)),0)</f>
        <v>1.8226427930387104</v>
      </c>
      <c r="J199" s="26">
        <v>1.82</v>
      </c>
      <c r="K199" s="27">
        <f t="shared" si="8"/>
        <v>2.6427930387102894E-3</v>
      </c>
      <c r="L199" s="28" t="str">
        <f t="shared" si="9"/>
        <v>Post to Default Outlet</v>
      </c>
      <c r="M199" s="29">
        <f t="shared" si="10"/>
        <v>2.6427930387102894E-3</v>
      </c>
      <c r="N199" s="29">
        <f t="shared" si="11"/>
        <v>0</v>
      </c>
      <c r="O199" s="30" t="s">
        <v>38</v>
      </c>
      <c r="P199" s="22"/>
      <c r="Q199" s="31"/>
    </row>
    <row r="200" spans="1:17" ht="15" customHeight="1">
      <c r="A200" s="32" t="s">
        <v>510</v>
      </c>
      <c r="B200" s="33" t="s">
        <v>511</v>
      </c>
      <c r="C200" s="34" t="s">
        <v>499</v>
      </c>
      <c r="D200" s="35" t="str">
        <f>IFERROR(INDEX([1]M_User!$A$12:$J$67,MATCH(C200,[1]M_User!$D$12:$D$67,0),3),"UNMAPPED")</f>
        <v>Gastory S Msaki</v>
      </c>
      <c r="E200" s="36" t="str">
        <f>IFERROR(INDEX([1]M_User!$A$12:$J$67,MATCH(C200,[1]M_User!$D$12:$D$67,0),5),"UNMAPPED")</f>
        <v>MOS</v>
      </c>
      <c r="F200" s="34" t="s">
        <v>199</v>
      </c>
      <c r="G200" s="35" t="str">
        <f>IFERROR(INDEX([1]M_SKU!$A$18:$J$57,MATCH(F200,[1]M_SKU!$B$18:$B$57,0),1),"UNKNOWN SKU")</f>
        <v>Stoney Tangawizi RGB 350ml</v>
      </c>
      <c r="H200" s="34" t="s">
        <v>200</v>
      </c>
      <c r="I200" s="37">
        <f>IFERROR(INDEX([1]T_Unload!$K$10:$K$433,MATCH(B200,[1]T_Unload!$B$10:$B$433,0)),0)</f>
        <v>0.6319028096838295</v>
      </c>
      <c r="J200" s="26">
        <v>0.63</v>
      </c>
      <c r="K200" s="38">
        <f t="shared" si="8"/>
        <v>1.9028096838294983E-3</v>
      </c>
      <c r="L200" s="39" t="str">
        <f t="shared" si="9"/>
        <v>Post to Default Outlet</v>
      </c>
      <c r="M200" s="40">
        <f t="shared" si="10"/>
        <v>1.9028096838294983E-3</v>
      </c>
      <c r="N200" s="40">
        <f t="shared" si="11"/>
        <v>0</v>
      </c>
      <c r="O200" s="41" t="s">
        <v>38</v>
      </c>
      <c r="P200" s="42"/>
      <c r="Q200" s="43"/>
    </row>
    <row r="201" spans="1:17" ht="15" customHeight="1">
      <c r="A201" s="20" t="s">
        <v>512</v>
      </c>
      <c r="B201" s="21" t="s">
        <v>513</v>
      </c>
      <c r="C201" s="22" t="s">
        <v>499</v>
      </c>
      <c r="D201" s="23" t="str">
        <f>IFERROR(INDEX([1]M_User!$A$12:$J$67,MATCH(C201,[1]M_User!$D$12:$D$67,0),3),"UNMAPPED")</f>
        <v>Gastory S Msaki</v>
      </c>
      <c r="E201" s="24" t="str">
        <f>IFERROR(INDEX([1]M_User!$A$12:$J$67,MATCH(C201,[1]M_User!$D$12:$D$67,0),5),"UNMAPPED")</f>
        <v>MOS</v>
      </c>
      <c r="F201" s="22" t="s">
        <v>203</v>
      </c>
      <c r="G201" s="23" t="str">
        <f>IFERROR(INDEX([1]M_SKU!$A$18:$J$57,MATCH(F201,[1]M_SKU!$B$18:$B$57,0),1),"UNKNOWN SKU")</f>
        <v>Sparletta Pinenut RGB 350ml</v>
      </c>
      <c r="H201" s="22" t="s">
        <v>204</v>
      </c>
      <c r="I201" s="25">
        <f>IFERROR(INDEX([1]T_Unload!$K$10:$K$433,MATCH(B201,[1]T_Unload!$B$10:$B$433,0)),0)</f>
        <v>0.93640934572117018</v>
      </c>
      <c r="J201" s="26">
        <v>0.94</v>
      </c>
      <c r="K201" s="27">
        <f t="shared" si="8"/>
        <v>-3.5906542788297635E-3</v>
      </c>
      <c r="L201" s="28" t="str">
        <f t="shared" si="9"/>
        <v>Adjust Unload Upward</v>
      </c>
      <c r="M201" s="29">
        <f t="shared" si="10"/>
        <v>0</v>
      </c>
      <c r="N201" s="29">
        <f t="shared" si="11"/>
        <v>3.5906542788297635E-3</v>
      </c>
      <c r="O201" s="30" t="s">
        <v>38</v>
      </c>
      <c r="P201" s="22"/>
      <c r="Q201" s="31"/>
    </row>
    <row r="202" spans="1:17" ht="15" customHeight="1">
      <c r="A202" s="32" t="s">
        <v>514</v>
      </c>
      <c r="B202" s="33" t="s">
        <v>515</v>
      </c>
      <c r="C202" s="34" t="s">
        <v>499</v>
      </c>
      <c r="D202" s="35" t="str">
        <f>IFERROR(INDEX([1]M_User!$A$12:$J$67,MATCH(C202,[1]M_User!$D$12:$D$67,0),3),"UNMAPPED")</f>
        <v>Gastory S Msaki</v>
      </c>
      <c r="E202" s="36" t="str">
        <f>IFERROR(INDEX([1]M_User!$A$12:$J$67,MATCH(C202,[1]M_User!$D$12:$D$67,0),5),"UNMAPPED")</f>
        <v>MOS</v>
      </c>
      <c r="F202" s="34" t="s">
        <v>57</v>
      </c>
      <c r="G202" s="35" t="str">
        <f>IFERROR(INDEX([1]M_SKU!$A$18:$J$57,MATCH(F202,[1]M_SKU!$B$18:$B$57,0),1),"UNKNOWN SKU")</f>
        <v>Krest Bitter Lemon RGB 300ml</v>
      </c>
      <c r="H202" s="34" t="s">
        <v>58</v>
      </c>
      <c r="I202" s="37">
        <f>IFERROR(INDEX([1]T_Unload!$K$10:$K$433,MATCH(B202,[1]T_Unload!$B$10:$B$433,0)),0)</f>
        <v>0.39812158721860813</v>
      </c>
      <c r="J202" s="26">
        <v>0.4</v>
      </c>
      <c r="K202" s="38">
        <f t="shared" si="8"/>
        <v>-1.8784127813918916E-3</v>
      </c>
      <c r="L202" s="39" t="str">
        <f t="shared" si="9"/>
        <v>Adjust Unload Upward</v>
      </c>
      <c r="M202" s="40">
        <f t="shared" si="10"/>
        <v>0</v>
      </c>
      <c r="N202" s="40">
        <f t="shared" si="11"/>
        <v>1.8784127813918916E-3</v>
      </c>
      <c r="O202" s="41" t="s">
        <v>38</v>
      </c>
      <c r="P202" s="42"/>
      <c r="Q202" s="43"/>
    </row>
    <row r="203" spans="1:17" ht="15" customHeight="1">
      <c r="A203" s="20" t="s">
        <v>516</v>
      </c>
      <c r="B203" s="21" t="s">
        <v>517</v>
      </c>
      <c r="C203" s="22" t="s">
        <v>499</v>
      </c>
      <c r="D203" s="23" t="str">
        <f>IFERROR(INDEX([1]M_User!$A$12:$J$67,MATCH(C203,[1]M_User!$D$12:$D$67,0),3),"UNMAPPED")</f>
        <v>Gastory S Msaki</v>
      </c>
      <c r="E203" s="24" t="str">
        <f>IFERROR(INDEX([1]M_User!$A$12:$J$67,MATCH(C203,[1]M_User!$D$12:$D$67,0),5),"UNMAPPED")</f>
        <v>MOS</v>
      </c>
      <c r="F203" s="22" t="s">
        <v>61</v>
      </c>
      <c r="G203" s="23" t="str">
        <f>IFERROR(INDEX([1]M_SKU!$A$18:$J$57,MATCH(F203,[1]M_SKU!$B$18:$B$57,0),1),"UNKNOWN SKU")</f>
        <v>Krest Club Soda RGB 300ml</v>
      </c>
      <c r="H203" s="22" t="s">
        <v>62</v>
      </c>
      <c r="I203" s="25">
        <f>IFERROR(INDEX([1]T_Unload!$K$10:$K$433,MATCH(B203,[1]T_Unload!$B$10:$B$433,0)),0)</f>
        <v>0.1215700727012009</v>
      </c>
      <c r="J203" s="26">
        <v>0.12</v>
      </c>
      <c r="K203" s="27">
        <f t="shared" si="8"/>
        <v>1.5700727012009086E-3</v>
      </c>
      <c r="L203" s="28" t="str">
        <f t="shared" si="9"/>
        <v>Post to Default Outlet</v>
      </c>
      <c r="M203" s="29">
        <f t="shared" si="10"/>
        <v>1.5700727012009086E-3</v>
      </c>
      <c r="N203" s="29">
        <f t="shared" si="11"/>
        <v>0</v>
      </c>
      <c r="O203" s="30" t="s">
        <v>38</v>
      </c>
      <c r="P203" s="22"/>
      <c r="Q203" s="31"/>
    </row>
    <row r="204" spans="1:17" ht="15" customHeight="1">
      <c r="A204" s="32" t="s">
        <v>518</v>
      </c>
      <c r="B204" s="33" t="s">
        <v>519</v>
      </c>
      <c r="C204" s="34" t="s">
        <v>499</v>
      </c>
      <c r="D204" s="35" t="str">
        <f>IFERROR(INDEX([1]M_User!$A$12:$J$67,MATCH(C204,[1]M_User!$D$12:$D$67,0),3),"UNMAPPED")</f>
        <v>Gastory S Msaki</v>
      </c>
      <c r="E204" s="36" t="str">
        <f>IFERROR(INDEX([1]M_User!$A$12:$J$67,MATCH(C204,[1]M_User!$D$12:$D$67,0),5),"UNMAPPED")</f>
        <v>MOS</v>
      </c>
      <c r="F204" s="34" t="s">
        <v>65</v>
      </c>
      <c r="G204" s="35" t="str">
        <f>IFERROR(INDEX([1]M_SKU!$A$18:$J$57,MATCH(F204,[1]M_SKU!$B$18:$B$57,0),1),"UNKNOWN SKU")</f>
        <v>Krest Tonic Water RGB 300ml</v>
      </c>
      <c r="H204" s="34" t="s">
        <v>211</v>
      </c>
      <c r="I204" s="37">
        <f>IFERROR(INDEX([1]T_Unload!$K$10:$K$433,MATCH(B204,[1]T_Unload!$B$10:$B$433,0)),0)</f>
        <v>9.2936463119206891E-2</v>
      </c>
      <c r="J204" s="26">
        <v>0.09</v>
      </c>
      <c r="K204" s="38">
        <f t="shared" si="8"/>
        <v>2.9364631192068946E-3</v>
      </c>
      <c r="L204" s="39" t="str">
        <f t="shared" si="9"/>
        <v>Post to Default Outlet</v>
      </c>
      <c r="M204" s="40">
        <f t="shared" si="10"/>
        <v>2.9364631192068946E-3</v>
      </c>
      <c r="N204" s="40">
        <f t="shared" si="11"/>
        <v>0</v>
      </c>
      <c r="O204" s="41" t="s">
        <v>38</v>
      </c>
      <c r="P204" s="42"/>
      <c r="Q204" s="43"/>
    </row>
    <row r="205" spans="1:17" ht="15" customHeight="1">
      <c r="A205" s="20" t="s">
        <v>520</v>
      </c>
      <c r="B205" s="21" t="s">
        <v>521</v>
      </c>
      <c r="C205" s="22" t="s">
        <v>499</v>
      </c>
      <c r="D205" s="23" t="str">
        <f>IFERROR(INDEX([1]M_User!$A$12:$J$67,MATCH(C205,[1]M_User!$D$12:$D$67,0),3),"UNMAPPED")</f>
        <v>Gastory S Msaki</v>
      </c>
      <c r="E205" s="24" t="str">
        <f>IFERROR(INDEX([1]M_User!$A$12:$J$67,MATCH(C205,[1]M_User!$D$12:$D$67,0),5),"UNMAPPED")</f>
        <v>MOS</v>
      </c>
      <c r="F205" s="22" t="s">
        <v>69</v>
      </c>
      <c r="G205" s="23" t="str">
        <f>IFERROR(INDEX([1]M_SKU!$A$18:$J$57,MATCH(F205,[1]M_SKU!$B$18:$B$57,0),1),"UNKNOWN SKU")</f>
        <v>Krest Ginger Ale RGB 300ml</v>
      </c>
      <c r="H205" s="22" t="s">
        <v>70</v>
      </c>
      <c r="I205" s="25">
        <f>IFERROR(INDEX([1]T_Unload!$K$10:$K$433,MATCH(B205,[1]T_Unload!$B$10:$B$433,0)),0)</f>
        <v>0.33177471599601294</v>
      </c>
      <c r="J205" s="26">
        <v>0.33</v>
      </c>
      <c r="K205" s="27">
        <f t="shared" ref="K205:K268" si="12">IF(ISBLANK(J205),"",I205-J205)</f>
        <v>1.7747159960129211E-3</v>
      </c>
      <c r="L205" s="28" t="str">
        <f t="shared" ref="L205:L268" si="13">IF(K205="","Awaiting Verification",IF(ABS(K205)&lt;0.0001,"CLEAN",IF(K205&gt;0,"Post to Default Outlet","Adjust Unload Upward")))</f>
        <v>Post to Default Outlet</v>
      </c>
      <c r="M205" s="29">
        <f t="shared" ref="M205:M268" si="14">IF(AND(ISNUMBER(K205),K205&gt;0.0001),K205,0)</f>
        <v>1.7747159960129211E-3</v>
      </c>
      <c r="N205" s="29">
        <f t="shared" ref="N205:N268" si="15">IF(AND(ISNUMBER(K205),K205&lt;-0.0001),-K205,0)</f>
        <v>0</v>
      </c>
      <c r="O205" s="30" t="s">
        <v>38</v>
      </c>
      <c r="P205" s="22"/>
      <c r="Q205" s="31"/>
    </row>
    <row r="206" spans="1:17" ht="15" customHeight="1">
      <c r="A206" s="32" t="s">
        <v>522</v>
      </c>
      <c r="B206" s="33" t="s">
        <v>523</v>
      </c>
      <c r="C206" s="34" t="s">
        <v>499</v>
      </c>
      <c r="D206" s="35" t="str">
        <f>IFERROR(INDEX([1]M_User!$A$12:$J$67,MATCH(C206,[1]M_User!$D$12:$D$67,0),3),"UNMAPPED")</f>
        <v>Gastory S Msaki</v>
      </c>
      <c r="E206" s="36" t="str">
        <f>IFERROR(INDEX([1]M_User!$A$12:$J$67,MATCH(C206,[1]M_User!$D$12:$D$67,0),5),"UNMAPPED")</f>
        <v>MOS</v>
      </c>
      <c r="F206" s="34" t="s">
        <v>216</v>
      </c>
      <c r="G206" s="35" t="str">
        <f>IFERROR(INDEX([1]M_SKU!$A$18:$J$57,MATCH(F206,[1]M_SKU!$B$18:$B$57,0),1),"UNKNOWN SKU")</f>
        <v>Sparletta Red Apple RGB 350ml</v>
      </c>
      <c r="H206" s="34" t="s">
        <v>217</v>
      </c>
      <c r="I206" s="37">
        <f>IFERROR(INDEX([1]T_Unload!$K$10:$K$433,MATCH(B206,[1]T_Unload!$B$10:$B$433,0)),0)</f>
        <v>0.28604540647086885</v>
      </c>
      <c r="J206" s="26">
        <v>0.28999999999999998</v>
      </c>
      <c r="K206" s="38">
        <f t="shared" si="12"/>
        <v>-3.954593529131134E-3</v>
      </c>
      <c r="L206" s="39" t="str">
        <f t="shared" si="13"/>
        <v>Adjust Unload Upward</v>
      </c>
      <c r="M206" s="40">
        <f t="shared" si="14"/>
        <v>0</v>
      </c>
      <c r="N206" s="40">
        <f t="shared" si="15"/>
        <v>3.954593529131134E-3</v>
      </c>
      <c r="O206" s="41" t="s">
        <v>38</v>
      </c>
      <c r="P206" s="42"/>
      <c r="Q206" s="43"/>
    </row>
    <row r="207" spans="1:17" ht="15" customHeight="1">
      <c r="A207" s="20" t="s">
        <v>524</v>
      </c>
      <c r="B207" s="21" t="s">
        <v>525</v>
      </c>
      <c r="C207" s="22" t="s">
        <v>499</v>
      </c>
      <c r="D207" s="23" t="str">
        <f>IFERROR(INDEX([1]M_User!$A$12:$J$67,MATCH(C207,[1]M_User!$D$12:$D$67,0),3),"UNMAPPED")</f>
        <v>Gastory S Msaki</v>
      </c>
      <c r="E207" s="24" t="str">
        <f>IFERROR(INDEX([1]M_User!$A$12:$J$67,MATCH(C207,[1]M_User!$D$12:$D$67,0),5),"UNMAPPED")</f>
        <v>MOS</v>
      </c>
      <c r="F207" s="22" t="s">
        <v>73</v>
      </c>
      <c r="G207" s="23" t="str">
        <f>IFERROR(INDEX([1]M_SKU!$A$18:$J$57,MATCH(F207,[1]M_SKU!$B$18:$B$57,0),1),"UNKNOWN SKU")</f>
        <v>KNMW 500ml</v>
      </c>
      <c r="H207" s="22" t="s">
        <v>220</v>
      </c>
      <c r="I207" s="25">
        <f>IFERROR(INDEX([1]T_Unload!$K$10:$K$433,MATCH(B207,[1]T_Unload!$B$10:$B$433,0)),0)</f>
        <v>2</v>
      </c>
      <c r="J207" s="26">
        <v>2</v>
      </c>
      <c r="K207" s="27">
        <f t="shared" si="12"/>
        <v>0</v>
      </c>
      <c r="L207" s="28" t="str">
        <f t="shared" si="13"/>
        <v>CLEAN</v>
      </c>
      <c r="M207" s="29">
        <f t="shared" si="14"/>
        <v>0</v>
      </c>
      <c r="N207" s="29">
        <f t="shared" si="15"/>
        <v>0</v>
      </c>
      <c r="O207" s="30" t="s">
        <v>38</v>
      </c>
      <c r="P207" s="22"/>
      <c r="Q207" s="31"/>
    </row>
    <row r="208" spans="1:17" ht="15" customHeight="1">
      <c r="A208" s="32" t="s">
        <v>526</v>
      </c>
      <c r="B208" s="33" t="s">
        <v>527</v>
      </c>
      <c r="C208" s="34" t="s">
        <v>499</v>
      </c>
      <c r="D208" s="35" t="str">
        <f>IFERROR(INDEX([1]M_User!$A$12:$J$67,MATCH(C208,[1]M_User!$D$12:$D$67,0),3),"UNMAPPED")</f>
        <v>Gastory S Msaki</v>
      </c>
      <c r="E208" s="36" t="str">
        <f>IFERROR(INDEX([1]M_User!$A$12:$J$67,MATCH(C208,[1]M_User!$D$12:$D$67,0),5),"UNMAPPED")</f>
        <v>MOS</v>
      </c>
      <c r="F208" s="34" t="s">
        <v>83</v>
      </c>
      <c r="G208" s="35" t="str">
        <f>IFERROR(INDEX([1]M_SKU!$A$18:$J$57,MATCH(F208,[1]M_SKU!$B$18:$B$57,0),1),"UNKNOWN SKU")</f>
        <v>KNMW 1500ml</v>
      </c>
      <c r="H208" s="34" t="s">
        <v>223</v>
      </c>
      <c r="I208" s="37">
        <f>IFERROR(INDEX([1]T_Unload!$K$10:$K$433,MATCH(B208,[1]T_Unload!$B$10:$B$433,0)),0)</f>
        <v>20</v>
      </c>
      <c r="J208" s="26">
        <v>20</v>
      </c>
      <c r="K208" s="38">
        <f t="shared" si="12"/>
        <v>0</v>
      </c>
      <c r="L208" s="39" t="str">
        <f t="shared" si="13"/>
        <v>CLEAN</v>
      </c>
      <c r="M208" s="40">
        <f t="shared" si="14"/>
        <v>0</v>
      </c>
      <c r="N208" s="40">
        <f t="shared" si="15"/>
        <v>0</v>
      </c>
      <c r="O208" s="41" t="s">
        <v>38</v>
      </c>
      <c r="P208" s="42"/>
      <c r="Q208" s="43"/>
    </row>
    <row r="209" spans="1:17" ht="15" customHeight="1">
      <c r="A209" s="20" t="s">
        <v>528</v>
      </c>
      <c r="B209" s="21" t="s">
        <v>529</v>
      </c>
      <c r="C209" s="22" t="s">
        <v>499</v>
      </c>
      <c r="D209" s="23" t="str">
        <f>IFERROR(INDEX([1]M_User!$A$12:$J$67,MATCH(C209,[1]M_User!$D$12:$D$67,0),3),"UNMAPPED")</f>
        <v>Gastory S Msaki</v>
      </c>
      <c r="E209" s="24" t="str">
        <f>IFERROR(INDEX([1]M_User!$A$12:$J$67,MATCH(C209,[1]M_User!$D$12:$D$67,0),5),"UNMAPPED")</f>
        <v>MOS</v>
      </c>
      <c r="F209" s="22" t="s">
        <v>87</v>
      </c>
      <c r="G209" s="23" t="str">
        <f>IFERROR(INDEX([1]M_SKU!$A$18:$J$57,MATCH(F209,[1]M_SKU!$B$18:$B$57,0),1),"UNKNOWN SKU")</f>
        <v>Kilimanjaro Drinking Water 6000 ML</v>
      </c>
      <c r="H209" s="22" t="s">
        <v>530</v>
      </c>
      <c r="I209" s="25">
        <f>IFERROR(INDEX([1]T_Unload!$K$10:$K$433,MATCH(B209,[1]T_Unload!$B$10:$B$433,0)),0)</f>
        <v>2</v>
      </c>
      <c r="J209" s="26">
        <v>2</v>
      </c>
      <c r="K209" s="27">
        <f t="shared" si="12"/>
        <v>0</v>
      </c>
      <c r="L209" s="28" t="str">
        <f t="shared" si="13"/>
        <v>CLEAN</v>
      </c>
      <c r="M209" s="29">
        <f t="shared" si="14"/>
        <v>0</v>
      </c>
      <c r="N209" s="29">
        <f t="shared" si="15"/>
        <v>0</v>
      </c>
      <c r="O209" s="30" t="s">
        <v>38</v>
      </c>
      <c r="P209" s="22"/>
      <c r="Q209" s="31"/>
    </row>
    <row r="210" spans="1:17" ht="15" customHeight="1">
      <c r="A210" s="32" t="s">
        <v>531</v>
      </c>
      <c r="B210" s="33" t="s">
        <v>532</v>
      </c>
      <c r="C210" s="34" t="s">
        <v>499</v>
      </c>
      <c r="D210" s="35" t="str">
        <f>IFERROR(INDEX([1]M_User!$A$12:$J$67,MATCH(C210,[1]M_User!$D$12:$D$67,0),3),"UNMAPPED")</f>
        <v>Gastory S Msaki</v>
      </c>
      <c r="E210" s="36" t="str">
        <f>IFERROR(INDEX([1]M_User!$A$12:$J$67,MATCH(C210,[1]M_User!$D$12:$D$67,0),5),"UNMAPPED")</f>
        <v>MOS</v>
      </c>
      <c r="F210" s="34" t="s">
        <v>98</v>
      </c>
      <c r="G210" s="35" t="str">
        <f>IFERROR(INDEX([1]M_SKU!$A$18:$J$57,MATCH(F210,[1]M_SKU!$B$18:$B$57,0),1),"UNKNOWN SKU")</f>
        <v>Kilimanjaro Drinking Water 18900 ML</v>
      </c>
      <c r="H210" s="34" t="s">
        <v>102</v>
      </c>
      <c r="I210" s="37">
        <f>IFERROR(INDEX([1]T_Unload!$K$10:$K$433,MATCH(B210,[1]T_Unload!$B$10:$B$433,0)),0)</f>
        <v>1</v>
      </c>
      <c r="J210" s="26">
        <v>1</v>
      </c>
      <c r="K210" s="38">
        <f t="shared" si="12"/>
        <v>0</v>
      </c>
      <c r="L210" s="39" t="str">
        <f t="shared" si="13"/>
        <v>CLEAN</v>
      </c>
      <c r="M210" s="40">
        <f t="shared" si="14"/>
        <v>0</v>
      </c>
      <c r="N210" s="40">
        <f t="shared" si="15"/>
        <v>0</v>
      </c>
      <c r="O210" s="41" t="s">
        <v>38</v>
      </c>
      <c r="P210" s="42"/>
      <c r="Q210" s="43"/>
    </row>
    <row r="211" spans="1:17" ht="15" customHeight="1">
      <c r="A211" s="20" t="s">
        <v>533</v>
      </c>
      <c r="B211" s="21" t="s">
        <v>534</v>
      </c>
      <c r="C211" s="22" t="s">
        <v>499</v>
      </c>
      <c r="D211" s="23" t="str">
        <f>IFERROR(INDEX([1]M_User!$A$12:$J$67,MATCH(C211,[1]M_User!$D$12:$D$67,0),3),"UNMAPPED")</f>
        <v>Gastory S Msaki</v>
      </c>
      <c r="E211" s="24" t="str">
        <f>IFERROR(INDEX([1]M_User!$A$12:$J$67,MATCH(C211,[1]M_User!$D$12:$D$67,0),5),"UNMAPPED")</f>
        <v>MOS</v>
      </c>
      <c r="F211" s="22" t="s">
        <v>109</v>
      </c>
      <c r="G211" s="23" t="str">
        <f>IFERROR(INDEX([1]M_SKU!$A$18:$J$57,MATCH(F211,[1]M_SKU!$B$18:$B$57,0),1),"UNKNOWN SKU")</f>
        <v>Coke Pet 500ML ( x12)</v>
      </c>
      <c r="H211" s="22" t="s">
        <v>226</v>
      </c>
      <c r="I211" s="25">
        <f>IFERROR(INDEX([1]T_Unload!$K$10:$K$433,MATCH(B211,[1]T_Unload!$B$10:$B$433,0)),0)</f>
        <v>14</v>
      </c>
      <c r="J211" s="26">
        <v>14</v>
      </c>
      <c r="K211" s="27">
        <f t="shared" si="12"/>
        <v>0</v>
      </c>
      <c r="L211" s="28" t="str">
        <f t="shared" si="13"/>
        <v>CLEAN</v>
      </c>
      <c r="M211" s="29">
        <f t="shared" si="14"/>
        <v>0</v>
      </c>
      <c r="N211" s="29">
        <f t="shared" si="15"/>
        <v>0</v>
      </c>
      <c r="O211" s="30" t="s">
        <v>38</v>
      </c>
      <c r="P211" s="22"/>
      <c r="Q211" s="31"/>
    </row>
    <row r="212" spans="1:17" ht="15" customHeight="1">
      <c r="A212" s="32" t="s">
        <v>535</v>
      </c>
      <c r="B212" s="33" t="s">
        <v>536</v>
      </c>
      <c r="C212" s="34" t="s">
        <v>499</v>
      </c>
      <c r="D212" s="35" t="str">
        <f>IFERROR(INDEX([1]M_User!$A$12:$J$67,MATCH(C212,[1]M_User!$D$12:$D$67,0),3),"UNMAPPED")</f>
        <v>Gastory S Msaki</v>
      </c>
      <c r="E212" s="36" t="str">
        <f>IFERROR(INDEX([1]M_User!$A$12:$J$67,MATCH(C212,[1]M_User!$D$12:$D$67,0),5),"UNMAPPED")</f>
        <v>MOS</v>
      </c>
      <c r="F212" s="34" t="s">
        <v>113</v>
      </c>
      <c r="G212" s="35" t="str">
        <f>IFERROR(INDEX([1]M_SKU!$A$18:$J$57,MATCH(F212,[1]M_SKU!$B$18:$B$57,0),1),"UNKNOWN SKU")</f>
        <v>Sprite Pet 500ML (x 12)</v>
      </c>
      <c r="H212" s="34" t="s">
        <v>114</v>
      </c>
      <c r="I212" s="37">
        <f>IFERROR(INDEX([1]T_Unload!$K$10:$K$433,MATCH(B212,[1]T_Unload!$B$10:$B$433,0)),0)</f>
        <v>9</v>
      </c>
      <c r="J212" s="26">
        <v>9</v>
      </c>
      <c r="K212" s="38">
        <f t="shared" si="12"/>
        <v>0</v>
      </c>
      <c r="L212" s="39" t="str">
        <f t="shared" si="13"/>
        <v>CLEAN</v>
      </c>
      <c r="M212" s="40">
        <f t="shared" si="14"/>
        <v>0</v>
      </c>
      <c r="N212" s="40">
        <f t="shared" si="15"/>
        <v>0</v>
      </c>
      <c r="O212" s="41" t="s">
        <v>38</v>
      </c>
      <c r="P212" s="42"/>
      <c r="Q212" s="43"/>
    </row>
    <row r="213" spans="1:17" ht="15" customHeight="1">
      <c r="A213" s="20" t="s">
        <v>537</v>
      </c>
      <c r="B213" s="21" t="s">
        <v>538</v>
      </c>
      <c r="C213" s="22" t="s">
        <v>499</v>
      </c>
      <c r="D213" s="23" t="str">
        <f>IFERROR(INDEX([1]M_User!$A$12:$J$67,MATCH(C213,[1]M_User!$D$12:$D$67,0),3),"UNMAPPED")</f>
        <v>Gastory S Msaki</v>
      </c>
      <c r="E213" s="24" t="str">
        <f>IFERROR(INDEX([1]M_User!$A$12:$J$67,MATCH(C213,[1]M_User!$D$12:$D$67,0),5),"UNMAPPED")</f>
        <v>MOS</v>
      </c>
      <c r="F213" s="22" t="s">
        <v>117</v>
      </c>
      <c r="G213" s="23" t="str">
        <f>IFERROR(INDEX([1]M_SKU!$A$18:$J$57,MATCH(F213,[1]M_SKU!$B$18:$B$57,0),1),"UNKNOWN SKU")</f>
        <v>Fanta Orange Pet 500ML ( x 12)</v>
      </c>
      <c r="H213" s="22" t="s">
        <v>231</v>
      </c>
      <c r="I213" s="25">
        <f>IFERROR(INDEX([1]T_Unload!$K$10:$K$433,MATCH(B213,[1]T_Unload!$B$10:$B$433,0)),0)</f>
        <v>7</v>
      </c>
      <c r="J213" s="26">
        <v>7</v>
      </c>
      <c r="K213" s="27">
        <f t="shared" si="12"/>
        <v>0</v>
      </c>
      <c r="L213" s="28" t="str">
        <f t="shared" si="13"/>
        <v>CLEAN</v>
      </c>
      <c r="M213" s="29">
        <f t="shared" si="14"/>
        <v>0</v>
      </c>
      <c r="N213" s="29">
        <f t="shared" si="15"/>
        <v>0</v>
      </c>
      <c r="O213" s="30" t="s">
        <v>38</v>
      </c>
      <c r="P213" s="22"/>
      <c r="Q213" s="31"/>
    </row>
    <row r="214" spans="1:17" ht="15" customHeight="1">
      <c r="A214" s="32" t="s">
        <v>539</v>
      </c>
      <c r="B214" s="33" t="s">
        <v>540</v>
      </c>
      <c r="C214" s="34" t="s">
        <v>499</v>
      </c>
      <c r="D214" s="35" t="str">
        <f>IFERROR(INDEX([1]M_User!$A$12:$J$67,MATCH(C214,[1]M_User!$D$12:$D$67,0),3),"UNMAPPED")</f>
        <v>Gastory S Msaki</v>
      </c>
      <c r="E214" s="36" t="str">
        <f>IFERROR(INDEX([1]M_User!$A$12:$J$67,MATCH(C214,[1]M_User!$D$12:$D$67,0),5),"UNMAPPED")</f>
        <v>MOS</v>
      </c>
      <c r="F214" s="34" t="s">
        <v>121</v>
      </c>
      <c r="G214" s="35" t="str">
        <f>IFERROR(INDEX([1]M_SKU!$A$18:$J$57,MATCH(F214,[1]M_SKU!$B$18:$B$57,0),1),"UNKNOWN SKU")</f>
        <v>Fanta Passion Pet 500ML ( x12)</v>
      </c>
      <c r="H214" s="34" t="s">
        <v>234</v>
      </c>
      <c r="I214" s="37">
        <f>IFERROR(INDEX([1]T_Unload!$K$10:$K$433,MATCH(B214,[1]T_Unload!$B$10:$B$433,0)),0)</f>
        <v>3</v>
      </c>
      <c r="J214" s="26">
        <v>3</v>
      </c>
      <c r="K214" s="38">
        <f t="shared" si="12"/>
        <v>0</v>
      </c>
      <c r="L214" s="39" t="str">
        <f t="shared" si="13"/>
        <v>CLEAN</v>
      </c>
      <c r="M214" s="40">
        <f t="shared" si="14"/>
        <v>0</v>
      </c>
      <c r="N214" s="40">
        <f t="shared" si="15"/>
        <v>0</v>
      </c>
      <c r="O214" s="41" t="s">
        <v>38</v>
      </c>
      <c r="P214" s="42"/>
      <c r="Q214" s="43"/>
    </row>
    <row r="215" spans="1:17" ht="15" customHeight="1">
      <c r="A215" s="20" t="s">
        <v>541</v>
      </c>
      <c r="B215" s="21" t="s">
        <v>542</v>
      </c>
      <c r="C215" s="22" t="s">
        <v>499</v>
      </c>
      <c r="D215" s="23" t="str">
        <f>IFERROR(INDEX([1]M_User!$A$12:$J$67,MATCH(C215,[1]M_User!$D$12:$D$67,0),3),"UNMAPPED")</f>
        <v>Gastory S Msaki</v>
      </c>
      <c r="E215" s="24" t="str">
        <f>IFERROR(INDEX([1]M_User!$A$12:$J$67,MATCH(C215,[1]M_User!$D$12:$D$67,0),5),"UNMAPPED")</f>
        <v>MOS</v>
      </c>
      <c r="F215" s="22" t="s">
        <v>133</v>
      </c>
      <c r="G215" s="23" t="str">
        <f>IFERROR(INDEX([1]M_SKU!$A$18:$J$57,MATCH(F215,[1]M_SKU!$B$18:$B$57,0),1),"UNKNOWN SKU")</f>
        <v>Stoney Tangawizi Pet 500 ml ( x12)</v>
      </c>
      <c r="H215" s="22" t="s">
        <v>237</v>
      </c>
      <c r="I215" s="25">
        <f>IFERROR(INDEX([1]T_Unload!$K$10:$K$433,MATCH(B215,[1]T_Unload!$B$10:$B$433,0)),0)</f>
        <v>2</v>
      </c>
      <c r="J215" s="26">
        <v>2</v>
      </c>
      <c r="K215" s="27">
        <f t="shared" si="12"/>
        <v>0</v>
      </c>
      <c r="L215" s="28" t="str">
        <f t="shared" si="13"/>
        <v>CLEAN</v>
      </c>
      <c r="M215" s="29">
        <f t="shared" si="14"/>
        <v>0</v>
      </c>
      <c r="N215" s="29">
        <f t="shared" si="15"/>
        <v>0</v>
      </c>
      <c r="O215" s="30" t="s">
        <v>38</v>
      </c>
      <c r="P215" s="22"/>
      <c r="Q215" s="31"/>
    </row>
    <row r="216" spans="1:17" ht="15" customHeight="1">
      <c r="A216" s="32" t="s">
        <v>543</v>
      </c>
      <c r="B216" s="33" t="s">
        <v>544</v>
      </c>
      <c r="C216" s="34" t="s">
        <v>499</v>
      </c>
      <c r="D216" s="35" t="str">
        <f>IFERROR(INDEX([1]M_User!$A$12:$J$67,MATCH(C216,[1]M_User!$D$12:$D$67,0),3),"UNMAPPED")</f>
        <v>Gastory S Msaki</v>
      </c>
      <c r="E216" s="36" t="str">
        <f>IFERROR(INDEX([1]M_User!$A$12:$J$67,MATCH(C216,[1]M_User!$D$12:$D$67,0),5),"UNMAPPED")</f>
        <v>MOS</v>
      </c>
      <c r="F216" s="34" t="s">
        <v>137</v>
      </c>
      <c r="G216" s="35" t="str">
        <f>IFERROR(INDEX([1]M_SKU!$A$18:$J$57,MATCH(F216,[1]M_SKU!$B$18:$B$57,0),1),"UNKNOWN SKU")</f>
        <v>Sparletta Pinenut Pet 500 ml ( x12)</v>
      </c>
      <c r="H216" s="34" t="s">
        <v>240</v>
      </c>
      <c r="I216" s="37">
        <f>IFERROR(INDEX([1]T_Unload!$K$10:$K$433,MATCH(B216,[1]T_Unload!$B$10:$B$433,0)),0)</f>
        <v>2</v>
      </c>
      <c r="J216" s="26">
        <v>2</v>
      </c>
      <c r="K216" s="38">
        <f t="shared" si="12"/>
        <v>0</v>
      </c>
      <c r="L216" s="39" t="str">
        <f t="shared" si="13"/>
        <v>CLEAN</v>
      </c>
      <c r="M216" s="40">
        <f t="shared" si="14"/>
        <v>0</v>
      </c>
      <c r="N216" s="40">
        <f t="shared" si="15"/>
        <v>0</v>
      </c>
      <c r="O216" s="41" t="s">
        <v>38</v>
      </c>
      <c r="P216" s="42"/>
      <c r="Q216" s="43"/>
    </row>
    <row r="217" spans="1:17" ht="15" customHeight="1">
      <c r="A217" s="20" t="s">
        <v>545</v>
      </c>
      <c r="B217" s="21" t="s">
        <v>546</v>
      </c>
      <c r="C217" s="22" t="s">
        <v>499</v>
      </c>
      <c r="D217" s="23" t="str">
        <f>IFERROR(INDEX([1]M_User!$A$12:$J$67,MATCH(C217,[1]M_User!$D$12:$D$67,0),3),"UNMAPPED")</f>
        <v>Gastory S Msaki</v>
      </c>
      <c r="E217" s="24" t="str">
        <f>IFERROR(INDEX([1]M_User!$A$12:$J$67,MATCH(C217,[1]M_User!$D$12:$D$67,0),5),"UNMAPPED")</f>
        <v>MOS</v>
      </c>
      <c r="F217" s="22" t="s">
        <v>243</v>
      </c>
      <c r="G217" s="23" t="str">
        <f>IFERROR(INDEX([1]M_SKU!$A$18:$J$57,MATCH(F217,[1]M_SKU!$B$18:$B$57,0),1),"UNKNOWN SKU")</f>
        <v>Sprite Zero Pet 300ML (x 12)</v>
      </c>
      <c r="H217" s="22" t="s">
        <v>244</v>
      </c>
      <c r="I217" s="25">
        <f>IFERROR(INDEX([1]T_Unload!$K$10:$K$433,MATCH(B217,[1]T_Unload!$B$10:$B$433,0)),0)</f>
        <v>1</v>
      </c>
      <c r="J217" s="26">
        <v>1</v>
      </c>
      <c r="K217" s="27">
        <f t="shared" si="12"/>
        <v>0</v>
      </c>
      <c r="L217" s="28" t="str">
        <f t="shared" si="13"/>
        <v>CLEAN</v>
      </c>
      <c r="M217" s="29">
        <f t="shared" si="14"/>
        <v>0</v>
      </c>
      <c r="N217" s="29">
        <f t="shared" si="15"/>
        <v>0</v>
      </c>
      <c r="O217" s="30" t="s">
        <v>38</v>
      </c>
      <c r="P217" s="22"/>
      <c r="Q217" s="31"/>
    </row>
    <row r="218" spans="1:17" ht="15" customHeight="1">
      <c r="A218" s="32" t="s">
        <v>547</v>
      </c>
      <c r="B218" s="33" t="s">
        <v>548</v>
      </c>
      <c r="C218" s="34" t="s">
        <v>499</v>
      </c>
      <c r="D218" s="35" t="str">
        <f>IFERROR(INDEX([1]M_User!$A$12:$J$67,MATCH(C218,[1]M_User!$D$12:$D$67,0),3),"UNMAPPED")</f>
        <v>Gastory S Msaki</v>
      </c>
      <c r="E218" s="36" t="str">
        <f>IFERROR(INDEX([1]M_User!$A$12:$J$67,MATCH(C218,[1]M_User!$D$12:$D$67,0),5),"UNMAPPED")</f>
        <v>MOS</v>
      </c>
      <c r="F218" s="34" t="s">
        <v>148</v>
      </c>
      <c r="G218" s="35" t="str">
        <f>IFERROR(INDEX([1]M_SKU!$A$18:$J$57,MATCH(F218,[1]M_SKU!$B$18:$B$57,0),1),"UNKNOWN SKU")</f>
        <v>Fanta Zero Pet 300ML (x 12)</v>
      </c>
      <c r="H218" s="34" t="s">
        <v>149</v>
      </c>
      <c r="I218" s="37">
        <f>IFERROR(INDEX([1]T_Unload!$K$10:$K$433,MATCH(B218,[1]T_Unload!$B$10:$B$433,0)),0)</f>
        <v>1</v>
      </c>
      <c r="J218" s="26">
        <v>1</v>
      </c>
      <c r="K218" s="38">
        <f t="shared" si="12"/>
        <v>0</v>
      </c>
      <c r="L218" s="39" t="str">
        <f t="shared" si="13"/>
        <v>CLEAN</v>
      </c>
      <c r="M218" s="40">
        <f t="shared" si="14"/>
        <v>0</v>
      </c>
      <c r="N218" s="40">
        <f t="shared" si="15"/>
        <v>0</v>
      </c>
      <c r="O218" s="41" t="s">
        <v>38</v>
      </c>
      <c r="P218" s="42"/>
      <c r="Q218" s="43"/>
    </row>
    <row r="219" spans="1:17" ht="15" customHeight="1">
      <c r="A219" s="20" t="s">
        <v>549</v>
      </c>
      <c r="B219" s="21" t="s">
        <v>550</v>
      </c>
      <c r="C219" s="22" t="s">
        <v>499</v>
      </c>
      <c r="D219" s="23" t="str">
        <f>IFERROR(INDEX([1]M_User!$A$12:$J$67,MATCH(C219,[1]M_User!$D$12:$D$67,0),3),"UNMAPPED")</f>
        <v>Gastory S Msaki</v>
      </c>
      <c r="E219" s="24" t="str">
        <f>IFERROR(INDEX([1]M_User!$A$12:$J$67,MATCH(C219,[1]M_User!$D$12:$D$67,0),5),"UNMAPPED")</f>
        <v>MOS</v>
      </c>
      <c r="F219" s="22" t="s">
        <v>160</v>
      </c>
      <c r="G219" s="23" t="str">
        <f>IFERROR(INDEX([1]M_SKU!$A$18:$J$57,MATCH(F219,[1]M_SKU!$B$18:$B$57,0),1),"UNKNOWN SKU")</f>
        <v>Sparletta Pine Apple Pet 300ML (x 12)</v>
      </c>
      <c r="H219" s="22" t="s">
        <v>161</v>
      </c>
      <c r="I219" s="25">
        <f>IFERROR(INDEX([1]T_Unload!$K$10:$K$433,MATCH(B219,[1]T_Unload!$B$10:$B$433,0)),0)</f>
        <v>5</v>
      </c>
      <c r="J219" s="26">
        <v>5</v>
      </c>
      <c r="K219" s="27">
        <f t="shared" si="12"/>
        <v>0</v>
      </c>
      <c r="L219" s="28" t="str">
        <f t="shared" si="13"/>
        <v>CLEAN</v>
      </c>
      <c r="M219" s="29">
        <f t="shared" si="14"/>
        <v>0</v>
      </c>
      <c r="N219" s="29">
        <f t="shared" si="15"/>
        <v>0</v>
      </c>
      <c r="O219" s="30" t="s">
        <v>38</v>
      </c>
      <c r="P219" s="22"/>
      <c r="Q219" s="31"/>
    </row>
    <row r="220" spans="1:17" ht="15" customHeight="1">
      <c r="A220" s="32" t="s">
        <v>551</v>
      </c>
      <c r="B220" s="33" t="s">
        <v>552</v>
      </c>
      <c r="C220" s="34" t="s">
        <v>553</v>
      </c>
      <c r="D220" s="35" t="str">
        <f>IFERROR(INDEX([1]M_User!$A$12:$J$67,MATCH(C220,[1]M_User!$D$12:$D$67,0),3),"UNMAPPED")</f>
        <v>Riziki Rajabu Mghamba</v>
      </c>
      <c r="E220" s="36" t="str">
        <f>IFERROR(INDEX([1]M_User!$A$12:$J$67,MATCH(C220,[1]M_User!$D$12:$D$67,0),5),"UNMAPPED")</f>
        <v>MOS</v>
      </c>
      <c r="F220" s="34" t="s">
        <v>36</v>
      </c>
      <c r="G220" s="35" t="str">
        <f>IFERROR(INDEX([1]M_SKU!$A$18:$J$57,MATCH(F220,[1]M_SKU!$B$18:$B$57,0),1),"UNKNOWN SKU")</f>
        <v>Coke RGB 350ml</v>
      </c>
      <c r="H220" s="34" t="s">
        <v>554</v>
      </c>
      <c r="I220" s="37">
        <f>IFERROR(INDEX([1]T_Unload!$K$10:$K$433,MATCH(B220,[1]T_Unload!$B$10:$B$433,0)),0)</f>
        <v>3.9248219807673213</v>
      </c>
      <c r="J220" s="26">
        <v>3.2871000000000001</v>
      </c>
      <c r="K220" s="38">
        <f t="shared" si="12"/>
        <v>0.63772198076732112</v>
      </c>
      <c r="L220" s="39" t="str">
        <f t="shared" si="13"/>
        <v>Post to Default Outlet</v>
      </c>
      <c r="M220" s="40">
        <f t="shared" si="14"/>
        <v>0.63772198076732112</v>
      </c>
      <c r="N220" s="40">
        <f t="shared" si="15"/>
        <v>0</v>
      </c>
      <c r="O220" s="41" t="s">
        <v>38</v>
      </c>
      <c r="P220" s="42"/>
      <c r="Q220" s="43"/>
    </row>
    <row r="221" spans="1:17" ht="15" customHeight="1">
      <c r="A221" s="20" t="s">
        <v>555</v>
      </c>
      <c r="B221" s="21" t="s">
        <v>556</v>
      </c>
      <c r="C221" s="22" t="s">
        <v>553</v>
      </c>
      <c r="D221" s="23" t="str">
        <f>IFERROR(INDEX([1]M_User!$A$12:$J$67,MATCH(C221,[1]M_User!$D$12:$D$67,0),3),"UNMAPPED")</f>
        <v>Riziki Rajabu Mghamba</v>
      </c>
      <c r="E221" s="24" t="str">
        <f>IFERROR(INDEX([1]M_User!$A$12:$J$67,MATCH(C221,[1]M_User!$D$12:$D$67,0),5),"UNMAPPED")</f>
        <v>MOS</v>
      </c>
      <c r="F221" s="22" t="s">
        <v>36</v>
      </c>
      <c r="G221" s="23" t="str">
        <f>IFERROR(INDEX([1]M_SKU!$A$18:$J$57,MATCH(F221,[1]M_SKU!$B$18:$B$57,0),1),"UNKNOWN SKU")</f>
        <v>Coke RGB 350ml</v>
      </c>
      <c r="H221" s="22" t="s">
        <v>180</v>
      </c>
      <c r="I221" s="25">
        <f>IFERROR(INDEX([1]T_Unload!$K$10:$K$433,MATCH(B221,[1]T_Unload!$B$10:$B$433,0)),0)</f>
        <v>15.233291046114502</v>
      </c>
      <c r="J221" s="26">
        <v>12.4795</v>
      </c>
      <c r="K221" s="27">
        <f t="shared" si="12"/>
        <v>2.7537910461145021</v>
      </c>
      <c r="L221" s="28" t="str">
        <f t="shared" si="13"/>
        <v>Post to Default Outlet</v>
      </c>
      <c r="M221" s="29">
        <f t="shared" si="14"/>
        <v>2.7537910461145021</v>
      </c>
      <c r="N221" s="29">
        <f t="shared" si="15"/>
        <v>0</v>
      </c>
      <c r="O221" s="30" t="s">
        <v>38</v>
      </c>
      <c r="P221" s="22"/>
      <c r="Q221" s="31"/>
    </row>
    <row r="222" spans="1:17" ht="15" customHeight="1">
      <c r="A222" s="32" t="s">
        <v>557</v>
      </c>
      <c r="B222" s="33" t="s">
        <v>558</v>
      </c>
      <c r="C222" s="34" t="s">
        <v>553</v>
      </c>
      <c r="D222" s="35" t="str">
        <f>IFERROR(INDEX([1]M_User!$A$12:$J$67,MATCH(C222,[1]M_User!$D$12:$D$67,0),3),"UNMAPPED")</f>
        <v>Riziki Rajabu Mghamba</v>
      </c>
      <c r="E222" s="36" t="str">
        <f>IFERROR(INDEX([1]M_User!$A$12:$J$67,MATCH(C222,[1]M_User!$D$12:$D$67,0),5),"UNMAPPED")</f>
        <v>MOS</v>
      </c>
      <c r="F222" s="34" t="s">
        <v>41</v>
      </c>
      <c r="G222" s="35" t="str">
        <f>IFERROR(INDEX([1]M_SKU!$A$18:$J$57,MATCH(F222,[1]M_SKU!$B$18:$B$57,0),1),"UNKNOWN SKU")</f>
        <v>Fanta Orange RGB 350ml</v>
      </c>
      <c r="H222" s="34" t="s">
        <v>183</v>
      </c>
      <c r="I222" s="37">
        <f>IFERROR(INDEX([1]T_Unload!$K$10:$K$433,MATCH(B222,[1]T_Unload!$B$10:$B$433,0)),0)</f>
        <v>6.530374953667291</v>
      </c>
      <c r="J222" s="26">
        <v>5.7952000000000004</v>
      </c>
      <c r="K222" s="38">
        <f t="shared" si="12"/>
        <v>0.73517495366729069</v>
      </c>
      <c r="L222" s="39" t="str">
        <f t="shared" si="13"/>
        <v>Post to Default Outlet</v>
      </c>
      <c r="M222" s="40">
        <f t="shared" si="14"/>
        <v>0.73517495366729069</v>
      </c>
      <c r="N222" s="40">
        <f t="shared" si="15"/>
        <v>0</v>
      </c>
      <c r="O222" s="41" t="s">
        <v>38</v>
      </c>
      <c r="P222" s="42"/>
      <c r="Q222" s="43"/>
    </row>
    <row r="223" spans="1:17" ht="15" customHeight="1">
      <c r="A223" s="20" t="s">
        <v>559</v>
      </c>
      <c r="B223" s="21" t="s">
        <v>560</v>
      </c>
      <c r="C223" s="22" t="s">
        <v>553</v>
      </c>
      <c r="D223" s="23" t="str">
        <f>IFERROR(INDEX([1]M_User!$A$12:$J$67,MATCH(C223,[1]M_User!$D$12:$D$67,0),3),"UNMAPPED")</f>
        <v>Riziki Rajabu Mghamba</v>
      </c>
      <c r="E223" s="24" t="str">
        <f>IFERROR(INDEX([1]M_User!$A$12:$J$67,MATCH(C223,[1]M_User!$D$12:$D$67,0),5),"UNMAPPED")</f>
        <v>MOS</v>
      </c>
      <c r="F223" s="22" t="s">
        <v>45</v>
      </c>
      <c r="G223" s="23" t="str">
        <f>IFERROR(INDEX([1]M_SKU!$A$18:$J$57,MATCH(F223,[1]M_SKU!$B$18:$B$57,0),1),"UNKNOWN SKU")</f>
        <v>Fanta Passion RGB 350ml</v>
      </c>
      <c r="H223" s="22" t="s">
        <v>561</v>
      </c>
      <c r="I223" s="25">
        <f>IFERROR(INDEX([1]T_Unload!$K$10:$K$433,MATCH(B223,[1]T_Unload!$B$10:$B$433,0)),0)</f>
        <v>3.1270046833093197</v>
      </c>
      <c r="J223" s="26">
        <v>2.6747999999999998</v>
      </c>
      <c r="K223" s="27">
        <f t="shared" si="12"/>
        <v>0.45220468330931984</v>
      </c>
      <c r="L223" s="28" t="str">
        <f t="shared" si="13"/>
        <v>Post to Default Outlet</v>
      </c>
      <c r="M223" s="29">
        <f t="shared" si="14"/>
        <v>0.45220468330931984</v>
      </c>
      <c r="N223" s="29">
        <f t="shared" si="15"/>
        <v>0</v>
      </c>
      <c r="O223" s="30" t="s">
        <v>38</v>
      </c>
      <c r="P223" s="22"/>
      <c r="Q223" s="31"/>
    </row>
    <row r="224" spans="1:17" ht="15" customHeight="1">
      <c r="A224" s="32" t="s">
        <v>562</v>
      </c>
      <c r="B224" s="33" t="s">
        <v>563</v>
      </c>
      <c r="C224" s="34" t="s">
        <v>553</v>
      </c>
      <c r="D224" s="35" t="str">
        <f>IFERROR(INDEX([1]M_User!$A$12:$J$67,MATCH(C224,[1]M_User!$D$12:$D$67,0),3),"UNMAPPED")</f>
        <v>Riziki Rajabu Mghamba</v>
      </c>
      <c r="E224" s="36" t="str">
        <f>IFERROR(INDEX([1]M_User!$A$12:$J$67,MATCH(C224,[1]M_User!$D$12:$D$67,0),5),"UNMAPPED")</f>
        <v>MOS</v>
      </c>
      <c r="F224" s="34" t="s">
        <v>49</v>
      </c>
      <c r="G224" s="35" t="str">
        <f>IFERROR(INDEX([1]M_SKU!$A$18:$J$57,MATCH(F224,[1]M_SKU!$B$18:$B$57,0),1),"UNKNOWN SKU")</f>
        <v>Fanta Pineapple RGB 350ml</v>
      </c>
      <c r="H224" s="34" t="s">
        <v>189</v>
      </c>
      <c r="I224" s="37">
        <f>IFERROR(INDEX([1]T_Unload!$K$10:$K$433,MATCH(B224,[1]T_Unload!$B$10:$B$433,0)),0)</f>
        <v>5.0966004677901893</v>
      </c>
      <c r="J224" s="26">
        <v>4.4622999999999999</v>
      </c>
      <c r="K224" s="38">
        <f t="shared" si="12"/>
        <v>0.63430046779018934</v>
      </c>
      <c r="L224" s="39" t="str">
        <f t="shared" si="13"/>
        <v>Post to Default Outlet</v>
      </c>
      <c r="M224" s="40">
        <f t="shared" si="14"/>
        <v>0.63430046779018934</v>
      </c>
      <c r="N224" s="40">
        <f t="shared" si="15"/>
        <v>0</v>
      </c>
      <c r="O224" s="41" t="s">
        <v>38</v>
      </c>
      <c r="P224" s="42"/>
      <c r="Q224" s="43"/>
    </row>
    <row r="225" spans="1:17" ht="15" customHeight="1">
      <c r="A225" s="20" t="s">
        <v>564</v>
      </c>
      <c r="B225" s="21" t="s">
        <v>565</v>
      </c>
      <c r="C225" s="22" t="s">
        <v>553</v>
      </c>
      <c r="D225" s="23" t="str">
        <f>IFERROR(INDEX([1]M_User!$A$12:$J$67,MATCH(C225,[1]M_User!$D$12:$D$67,0),3),"UNMAPPED")</f>
        <v>Riziki Rajabu Mghamba</v>
      </c>
      <c r="E225" s="24" t="str">
        <f>IFERROR(INDEX([1]M_User!$A$12:$J$67,MATCH(C225,[1]M_User!$D$12:$D$67,0),5),"UNMAPPED")</f>
        <v>MOS</v>
      </c>
      <c r="F225" s="22" t="s">
        <v>192</v>
      </c>
      <c r="G225" s="23" t="str">
        <f>IFERROR(INDEX([1]M_SKU!$A$18:$J$57,MATCH(F225,[1]M_SKU!$B$18:$B$57,0),1),"UNKNOWN SKU")</f>
        <v>Fanta Fruit Blast RGB 350 ml</v>
      </c>
      <c r="H225" s="22" t="s">
        <v>193</v>
      </c>
      <c r="I225" s="25">
        <f>IFERROR(INDEX([1]T_Unload!$K$10:$K$433,MATCH(B225,[1]T_Unload!$B$10:$B$433,0)),0)</f>
        <v>3.7713308171044204</v>
      </c>
      <c r="J225" s="26">
        <v>3.077</v>
      </c>
      <c r="K225" s="27">
        <f t="shared" si="12"/>
        <v>0.69433081710442046</v>
      </c>
      <c r="L225" s="28" t="str">
        <f t="shared" si="13"/>
        <v>Post to Default Outlet</v>
      </c>
      <c r="M225" s="29">
        <f t="shared" si="14"/>
        <v>0.69433081710442046</v>
      </c>
      <c r="N225" s="29">
        <f t="shared" si="15"/>
        <v>0</v>
      </c>
      <c r="O225" s="30" t="s">
        <v>38</v>
      </c>
      <c r="P225" s="22"/>
      <c r="Q225" s="31"/>
    </row>
    <row r="226" spans="1:17" ht="15" customHeight="1">
      <c r="A226" s="32" t="s">
        <v>566</v>
      </c>
      <c r="B226" s="33" t="s">
        <v>567</v>
      </c>
      <c r="C226" s="34" t="s">
        <v>553</v>
      </c>
      <c r="D226" s="35" t="str">
        <f>IFERROR(INDEX([1]M_User!$A$12:$J$67,MATCH(C226,[1]M_User!$D$12:$D$67,0),3),"UNMAPPED")</f>
        <v>Riziki Rajabu Mghamba</v>
      </c>
      <c r="E226" s="36" t="str">
        <f>IFERROR(INDEX([1]M_User!$A$12:$J$67,MATCH(C226,[1]M_User!$D$12:$D$67,0),5),"UNMAPPED")</f>
        <v>MOS</v>
      </c>
      <c r="F226" s="34" t="s">
        <v>53</v>
      </c>
      <c r="G226" s="35" t="str">
        <f>IFERROR(INDEX([1]M_SKU!$A$18:$J$57,MATCH(F226,[1]M_SKU!$B$18:$B$57,0),1),"UNKNOWN SKU")</f>
        <v>Sprite 350ml</v>
      </c>
      <c r="H226" s="34" t="s">
        <v>196</v>
      </c>
      <c r="I226" s="37">
        <f>IFERROR(INDEX([1]T_Unload!$K$10:$K$433,MATCH(B226,[1]T_Unload!$B$10:$B$433,0)),0)</f>
        <v>4.1627012206522096</v>
      </c>
      <c r="J226" s="26">
        <v>3.6758999999999999</v>
      </c>
      <c r="K226" s="38">
        <f t="shared" si="12"/>
        <v>0.48680122065220965</v>
      </c>
      <c r="L226" s="39" t="str">
        <f t="shared" si="13"/>
        <v>Post to Default Outlet</v>
      </c>
      <c r="M226" s="40">
        <f t="shared" si="14"/>
        <v>0.48680122065220965</v>
      </c>
      <c r="N226" s="40">
        <f t="shared" si="15"/>
        <v>0</v>
      </c>
      <c r="O226" s="41" t="s">
        <v>38</v>
      </c>
      <c r="P226" s="42"/>
      <c r="Q226" s="43"/>
    </row>
    <row r="227" spans="1:17" ht="15" customHeight="1">
      <c r="A227" s="20" t="s">
        <v>568</v>
      </c>
      <c r="B227" s="21" t="s">
        <v>569</v>
      </c>
      <c r="C227" s="22" t="s">
        <v>553</v>
      </c>
      <c r="D227" s="23" t="str">
        <f>IFERROR(INDEX([1]M_User!$A$12:$J$67,MATCH(C227,[1]M_User!$D$12:$D$67,0),3),"UNMAPPED")</f>
        <v>Riziki Rajabu Mghamba</v>
      </c>
      <c r="E227" s="24" t="str">
        <f>IFERROR(INDEX([1]M_User!$A$12:$J$67,MATCH(C227,[1]M_User!$D$12:$D$67,0),5),"UNMAPPED")</f>
        <v>MOS</v>
      </c>
      <c r="F227" s="22" t="s">
        <v>199</v>
      </c>
      <c r="G227" s="23" t="str">
        <f>IFERROR(INDEX([1]M_SKU!$A$18:$J$57,MATCH(F227,[1]M_SKU!$B$18:$B$57,0),1),"UNKNOWN SKU")</f>
        <v>Stoney Tangawizi RGB 350ml</v>
      </c>
      <c r="H227" s="22" t="s">
        <v>200</v>
      </c>
      <c r="I227" s="25">
        <f>IFERROR(INDEX([1]T_Unload!$K$10:$K$433,MATCH(B227,[1]T_Unload!$B$10:$B$433,0)),0)</f>
        <v>1.1670088952211199</v>
      </c>
      <c r="J227" s="26">
        <v>1.0058</v>
      </c>
      <c r="K227" s="27">
        <f t="shared" si="12"/>
        <v>0.16120889522111992</v>
      </c>
      <c r="L227" s="28" t="str">
        <f t="shared" si="13"/>
        <v>Post to Default Outlet</v>
      </c>
      <c r="M227" s="29">
        <f t="shared" si="14"/>
        <v>0.16120889522111992</v>
      </c>
      <c r="N227" s="29">
        <f t="shared" si="15"/>
        <v>0</v>
      </c>
      <c r="O227" s="30" t="s">
        <v>38</v>
      </c>
      <c r="P227" s="22"/>
      <c r="Q227" s="31"/>
    </row>
    <row r="228" spans="1:17" ht="15" customHeight="1">
      <c r="A228" s="32" t="s">
        <v>570</v>
      </c>
      <c r="B228" s="33" t="s">
        <v>571</v>
      </c>
      <c r="C228" s="34" t="s">
        <v>553</v>
      </c>
      <c r="D228" s="35" t="str">
        <f>IFERROR(INDEX([1]M_User!$A$12:$J$67,MATCH(C228,[1]M_User!$D$12:$D$67,0),3),"UNMAPPED")</f>
        <v>Riziki Rajabu Mghamba</v>
      </c>
      <c r="E228" s="36" t="str">
        <f>IFERROR(INDEX([1]M_User!$A$12:$J$67,MATCH(C228,[1]M_User!$D$12:$D$67,0),5),"UNMAPPED")</f>
        <v>MOS</v>
      </c>
      <c r="F228" s="34" t="s">
        <v>203</v>
      </c>
      <c r="G228" s="35" t="str">
        <f>IFERROR(INDEX([1]M_SKU!$A$18:$J$57,MATCH(F228,[1]M_SKU!$B$18:$B$57,0),1),"UNKNOWN SKU")</f>
        <v>Sparletta Pinenut RGB 350ml</v>
      </c>
      <c r="H228" s="34" t="s">
        <v>204</v>
      </c>
      <c r="I228" s="37">
        <f>IFERROR(INDEX([1]T_Unload!$K$10:$K$433,MATCH(B228,[1]T_Unload!$B$10:$B$433,0)),0)</f>
        <v>1.1199455650791199</v>
      </c>
      <c r="J228" s="26">
        <v>0.99719999999999998</v>
      </c>
      <c r="K228" s="38">
        <f t="shared" si="12"/>
        <v>0.12274556507911993</v>
      </c>
      <c r="L228" s="39" t="str">
        <f t="shared" si="13"/>
        <v>Post to Default Outlet</v>
      </c>
      <c r="M228" s="40">
        <f t="shared" si="14"/>
        <v>0.12274556507911993</v>
      </c>
      <c r="N228" s="40">
        <f t="shared" si="15"/>
        <v>0</v>
      </c>
      <c r="O228" s="41" t="s">
        <v>38</v>
      </c>
      <c r="P228" s="42"/>
      <c r="Q228" s="43"/>
    </row>
    <row r="229" spans="1:17" ht="15" customHeight="1">
      <c r="A229" s="20" t="s">
        <v>572</v>
      </c>
      <c r="B229" s="21" t="s">
        <v>573</v>
      </c>
      <c r="C229" s="22" t="s">
        <v>553</v>
      </c>
      <c r="D229" s="23" t="str">
        <f>IFERROR(INDEX([1]M_User!$A$12:$J$67,MATCH(C229,[1]M_User!$D$12:$D$67,0),3),"UNMAPPED")</f>
        <v>Riziki Rajabu Mghamba</v>
      </c>
      <c r="E229" s="24" t="str">
        <f>IFERROR(INDEX([1]M_User!$A$12:$J$67,MATCH(C229,[1]M_User!$D$12:$D$67,0),5),"UNMAPPED")</f>
        <v>MOS</v>
      </c>
      <c r="F229" s="22" t="s">
        <v>57</v>
      </c>
      <c r="G229" s="23" t="str">
        <f>IFERROR(INDEX([1]M_SKU!$A$18:$J$57,MATCH(F229,[1]M_SKU!$B$18:$B$57,0),1),"UNKNOWN SKU")</f>
        <v>Krest Bitter Lemon RGB 300ml</v>
      </c>
      <c r="H229" s="22" t="s">
        <v>58</v>
      </c>
      <c r="I229" s="25">
        <f>IFERROR(INDEX([1]T_Unload!$K$10:$K$433,MATCH(B229,[1]T_Unload!$B$10:$B$433,0)),0)</f>
        <v>0.49184497334207089</v>
      </c>
      <c r="J229" s="26">
        <v>0.41</v>
      </c>
      <c r="K229" s="27">
        <f t="shared" si="12"/>
        <v>8.1844973342070915E-2</v>
      </c>
      <c r="L229" s="28" t="str">
        <f t="shared" si="13"/>
        <v>Post to Default Outlet</v>
      </c>
      <c r="M229" s="29">
        <f t="shared" si="14"/>
        <v>8.1844973342070915E-2</v>
      </c>
      <c r="N229" s="29">
        <f t="shared" si="15"/>
        <v>0</v>
      </c>
      <c r="O229" s="30" t="s">
        <v>38</v>
      </c>
      <c r="P229" s="22"/>
      <c r="Q229" s="31"/>
    </row>
    <row r="230" spans="1:17" ht="15" customHeight="1">
      <c r="A230" s="32" t="s">
        <v>574</v>
      </c>
      <c r="B230" s="33" t="s">
        <v>575</v>
      </c>
      <c r="C230" s="34" t="s">
        <v>553</v>
      </c>
      <c r="D230" s="35" t="str">
        <f>IFERROR(INDEX([1]M_User!$A$12:$J$67,MATCH(C230,[1]M_User!$D$12:$D$67,0),3),"UNMAPPED")</f>
        <v>Riziki Rajabu Mghamba</v>
      </c>
      <c r="E230" s="36" t="str">
        <f>IFERROR(INDEX([1]M_User!$A$12:$J$67,MATCH(C230,[1]M_User!$D$12:$D$67,0),5),"UNMAPPED")</f>
        <v>MOS</v>
      </c>
      <c r="F230" s="34" t="s">
        <v>61</v>
      </c>
      <c r="G230" s="35" t="str">
        <f>IFERROR(INDEX([1]M_SKU!$A$18:$J$57,MATCH(F230,[1]M_SKU!$B$18:$B$57,0),1),"UNKNOWN SKU")</f>
        <v>Krest Club Soda RGB 300ml</v>
      </c>
      <c r="H230" s="34" t="s">
        <v>62</v>
      </c>
      <c r="I230" s="37">
        <f>IFERROR(INDEX([1]T_Unload!$K$10:$K$433,MATCH(B230,[1]T_Unload!$B$10:$B$433,0)),0)</f>
        <v>0.48905054242649282</v>
      </c>
      <c r="J230" s="26">
        <v>0.40510000000000002</v>
      </c>
      <c r="K230" s="38">
        <f t="shared" si="12"/>
        <v>8.3950542426492802E-2</v>
      </c>
      <c r="L230" s="39" t="str">
        <f t="shared" si="13"/>
        <v>Post to Default Outlet</v>
      </c>
      <c r="M230" s="40">
        <f t="shared" si="14"/>
        <v>8.3950542426492802E-2</v>
      </c>
      <c r="N230" s="40">
        <f t="shared" si="15"/>
        <v>0</v>
      </c>
      <c r="O230" s="41" t="s">
        <v>38</v>
      </c>
      <c r="P230" s="42"/>
      <c r="Q230" s="43"/>
    </row>
    <row r="231" spans="1:17" ht="15" customHeight="1">
      <c r="A231" s="20" t="s">
        <v>576</v>
      </c>
      <c r="B231" s="21" t="s">
        <v>577</v>
      </c>
      <c r="C231" s="22" t="s">
        <v>553</v>
      </c>
      <c r="D231" s="23" t="str">
        <f>IFERROR(INDEX([1]M_User!$A$12:$J$67,MATCH(C231,[1]M_User!$D$12:$D$67,0),3),"UNMAPPED")</f>
        <v>Riziki Rajabu Mghamba</v>
      </c>
      <c r="E231" s="24" t="str">
        <f>IFERROR(INDEX([1]M_User!$A$12:$J$67,MATCH(C231,[1]M_User!$D$12:$D$67,0),5),"UNMAPPED")</f>
        <v>MOS</v>
      </c>
      <c r="F231" s="22" t="s">
        <v>65</v>
      </c>
      <c r="G231" s="23" t="str">
        <f>IFERROR(INDEX([1]M_SKU!$A$18:$J$57,MATCH(F231,[1]M_SKU!$B$18:$B$57,0),1),"UNKNOWN SKU")</f>
        <v>Krest Tonic Water RGB 300ml</v>
      </c>
      <c r="H231" s="22" t="s">
        <v>211</v>
      </c>
      <c r="I231" s="25">
        <f>IFERROR(INDEX([1]T_Unload!$K$10:$K$433,MATCH(B231,[1]T_Unload!$B$10:$B$433,0)),0)</f>
        <v>0.65712728600862214</v>
      </c>
      <c r="J231" s="26">
        <v>0.56899999999999995</v>
      </c>
      <c r="K231" s="27">
        <f t="shared" si="12"/>
        <v>8.8127286008622185E-2</v>
      </c>
      <c r="L231" s="28" t="str">
        <f t="shared" si="13"/>
        <v>Post to Default Outlet</v>
      </c>
      <c r="M231" s="29">
        <f t="shared" si="14"/>
        <v>8.8127286008622185E-2</v>
      </c>
      <c r="N231" s="29">
        <f t="shared" si="15"/>
        <v>0</v>
      </c>
      <c r="O231" s="30" t="s">
        <v>38</v>
      </c>
      <c r="P231" s="22"/>
      <c r="Q231" s="31"/>
    </row>
    <row r="232" spans="1:17" ht="15" customHeight="1">
      <c r="A232" s="32" t="s">
        <v>578</v>
      </c>
      <c r="B232" s="33" t="s">
        <v>579</v>
      </c>
      <c r="C232" s="34" t="s">
        <v>553</v>
      </c>
      <c r="D232" s="35" t="str">
        <f>IFERROR(INDEX([1]M_User!$A$12:$J$67,MATCH(C232,[1]M_User!$D$12:$D$67,0),3),"UNMAPPED")</f>
        <v>Riziki Rajabu Mghamba</v>
      </c>
      <c r="E232" s="36" t="str">
        <f>IFERROR(INDEX([1]M_User!$A$12:$J$67,MATCH(C232,[1]M_User!$D$12:$D$67,0),5),"UNMAPPED")</f>
        <v>MOS</v>
      </c>
      <c r="F232" s="34" t="s">
        <v>69</v>
      </c>
      <c r="G232" s="35" t="str">
        <f>IFERROR(INDEX([1]M_SKU!$A$18:$J$57,MATCH(F232,[1]M_SKU!$B$18:$B$57,0),1),"UNKNOWN SKU")</f>
        <v>Krest Ginger Ale RGB 300ml</v>
      </c>
      <c r="H232" s="34" t="s">
        <v>70</v>
      </c>
      <c r="I232" s="37">
        <f>IFERROR(INDEX([1]T_Unload!$K$10:$K$433,MATCH(B232,[1]T_Unload!$B$10:$B$433,0)),0)</f>
        <v>0.301871175184111</v>
      </c>
      <c r="J232" s="26">
        <v>0.2429</v>
      </c>
      <c r="K232" s="38">
        <f t="shared" si="12"/>
        <v>5.8971175184110991E-2</v>
      </c>
      <c r="L232" s="39" t="str">
        <f t="shared" si="13"/>
        <v>Post to Default Outlet</v>
      </c>
      <c r="M232" s="40">
        <f t="shared" si="14"/>
        <v>5.8971175184110991E-2</v>
      </c>
      <c r="N232" s="40">
        <f t="shared" si="15"/>
        <v>0</v>
      </c>
      <c r="O232" s="41" t="s">
        <v>38</v>
      </c>
      <c r="P232" s="42"/>
      <c r="Q232" s="43"/>
    </row>
    <row r="233" spans="1:17" ht="15" customHeight="1">
      <c r="A233" s="20" t="s">
        <v>580</v>
      </c>
      <c r="B233" s="21" t="s">
        <v>581</v>
      </c>
      <c r="C233" s="22" t="s">
        <v>553</v>
      </c>
      <c r="D233" s="23" t="str">
        <f>IFERROR(INDEX([1]M_User!$A$12:$J$67,MATCH(C233,[1]M_User!$D$12:$D$67,0),3),"UNMAPPED")</f>
        <v>Riziki Rajabu Mghamba</v>
      </c>
      <c r="E233" s="24" t="str">
        <f>IFERROR(INDEX([1]M_User!$A$12:$J$67,MATCH(C233,[1]M_User!$D$12:$D$67,0),5),"UNMAPPED")</f>
        <v>MOS</v>
      </c>
      <c r="F233" s="22" t="s">
        <v>216</v>
      </c>
      <c r="G233" s="23" t="str">
        <f>IFERROR(INDEX([1]M_SKU!$A$18:$J$57,MATCH(F233,[1]M_SKU!$B$18:$B$57,0),1),"UNKNOWN SKU")</f>
        <v>Sparletta Red Apple RGB 350ml</v>
      </c>
      <c r="H233" s="22" t="s">
        <v>217</v>
      </c>
      <c r="I233" s="25">
        <f>IFERROR(INDEX([1]T_Unload!$K$10:$K$433,MATCH(B233,[1]T_Unload!$B$10:$B$433,0)),0)</f>
        <v>0.42927541038174999</v>
      </c>
      <c r="J233" s="26">
        <v>0.36480000000000001</v>
      </c>
      <c r="K233" s="27">
        <f t="shared" si="12"/>
        <v>6.4475410381749976E-2</v>
      </c>
      <c r="L233" s="28" t="str">
        <f t="shared" si="13"/>
        <v>Post to Default Outlet</v>
      </c>
      <c r="M233" s="29">
        <f t="shared" si="14"/>
        <v>6.4475410381749976E-2</v>
      </c>
      <c r="N233" s="29">
        <f t="shared" si="15"/>
        <v>0</v>
      </c>
      <c r="O233" s="30" t="s">
        <v>38</v>
      </c>
      <c r="P233" s="22"/>
      <c r="Q233" s="31"/>
    </row>
    <row r="234" spans="1:17" ht="15" customHeight="1">
      <c r="A234" s="32" t="s">
        <v>582</v>
      </c>
      <c r="B234" s="33" t="s">
        <v>583</v>
      </c>
      <c r="C234" s="34" t="s">
        <v>553</v>
      </c>
      <c r="D234" s="35" t="str">
        <f>IFERROR(INDEX([1]M_User!$A$12:$J$67,MATCH(C234,[1]M_User!$D$12:$D$67,0),3),"UNMAPPED")</f>
        <v>Riziki Rajabu Mghamba</v>
      </c>
      <c r="E234" s="36" t="str">
        <f>IFERROR(INDEX([1]M_User!$A$12:$J$67,MATCH(C234,[1]M_User!$D$12:$D$67,0),5),"UNMAPPED")</f>
        <v>MOS</v>
      </c>
      <c r="F234" s="34" t="s">
        <v>73</v>
      </c>
      <c r="G234" s="35" t="str">
        <f>IFERROR(INDEX([1]M_SKU!$A$18:$J$57,MATCH(F234,[1]M_SKU!$B$18:$B$57,0),1),"UNKNOWN SKU")</f>
        <v>KNMW 500ml</v>
      </c>
      <c r="H234" s="34" t="s">
        <v>220</v>
      </c>
      <c r="I234" s="37">
        <f>IFERROR(INDEX([1]T_Unload!$K$10:$K$433,MATCH(B234,[1]T_Unload!$B$10:$B$433,0)),0)</f>
        <v>32</v>
      </c>
      <c r="J234" s="26">
        <v>28</v>
      </c>
      <c r="K234" s="38">
        <f t="shared" si="12"/>
        <v>4</v>
      </c>
      <c r="L234" s="39" t="str">
        <f t="shared" si="13"/>
        <v>Post to Default Outlet</v>
      </c>
      <c r="M234" s="40">
        <f t="shared" si="14"/>
        <v>4</v>
      </c>
      <c r="N234" s="40">
        <f t="shared" si="15"/>
        <v>0</v>
      </c>
      <c r="O234" s="41" t="s">
        <v>38</v>
      </c>
      <c r="P234" s="42"/>
      <c r="Q234" s="43"/>
    </row>
    <row r="235" spans="1:17" ht="15" customHeight="1">
      <c r="A235" s="20" t="s">
        <v>584</v>
      </c>
      <c r="B235" s="21" t="s">
        <v>585</v>
      </c>
      <c r="C235" s="22" t="s">
        <v>553</v>
      </c>
      <c r="D235" s="23" t="str">
        <f>IFERROR(INDEX([1]M_User!$A$12:$J$67,MATCH(C235,[1]M_User!$D$12:$D$67,0),3),"UNMAPPED")</f>
        <v>Riziki Rajabu Mghamba</v>
      </c>
      <c r="E235" s="24" t="str">
        <f>IFERROR(INDEX([1]M_User!$A$12:$J$67,MATCH(C235,[1]M_User!$D$12:$D$67,0),5),"UNMAPPED")</f>
        <v>MOS</v>
      </c>
      <c r="F235" s="22" t="s">
        <v>83</v>
      </c>
      <c r="G235" s="23" t="str">
        <f>IFERROR(INDEX([1]M_SKU!$A$18:$J$57,MATCH(F235,[1]M_SKU!$B$18:$B$57,0),1),"UNKNOWN SKU")</f>
        <v>KNMW 1500ml</v>
      </c>
      <c r="H235" s="22" t="s">
        <v>586</v>
      </c>
      <c r="I235" s="25">
        <f>IFERROR(INDEX([1]T_Unload!$K$10:$K$433,MATCH(B235,[1]T_Unload!$B$10:$B$433,0)),0)</f>
        <v>31</v>
      </c>
      <c r="J235" s="26">
        <v>27</v>
      </c>
      <c r="K235" s="27">
        <f t="shared" si="12"/>
        <v>4</v>
      </c>
      <c r="L235" s="28" t="str">
        <f t="shared" si="13"/>
        <v>Post to Default Outlet</v>
      </c>
      <c r="M235" s="29">
        <f t="shared" si="14"/>
        <v>4</v>
      </c>
      <c r="N235" s="29">
        <f t="shared" si="15"/>
        <v>0</v>
      </c>
      <c r="O235" s="30" t="s">
        <v>38</v>
      </c>
      <c r="P235" s="22"/>
      <c r="Q235" s="31"/>
    </row>
    <row r="236" spans="1:17" ht="15" customHeight="1">
      <c r="A236" s="32" t="s">
        <v>587</v>
      </c>
      <c r="B236" s="33" t="s">
        <v>588</v>
      </c>
      <c r="C236" s="34" t="s">
        <v>553</v>
      </c>
      <c r="D236" s="35" t="str">
        <f>IFERROR(INDEX([1]M_User!$A$12:$J$67,MATCH(C236,[1]M_User!$D$12:$D$67,0),3),"UNMAPPED")</f>
        <v>Riziki Rajabu Mghamba</v>
      </c>
      <c r="E236" s="36" t="str">
        <f>IFERROR(INDEX([1]M_User!$A$12:$J$67,MATCH(C236,[1]M_User!$D$12:$D$67,0),5),"UNMAPPED")</f>
        <v>MOS</v>
      </c>
      <c r="F236" s="34" t="s">
        <v>109</v>
      </c>
      <c r="G236" s="35" t="str">
        <f>IFERROR(INDEX([1]M_SKU!$A$18:$J$57,MATCH(F236,[1]M_SKU!$B$18:$B$57,0),1),"UNKNOWN SKU")</f>
        <v>Coke Pet 500ML ( x12)</v>
      </c>
      <c r="H236" s="34" t="s">
        <v>226</v>
      </c>
      <c r="I236" s="37">
        <f>IFERROR(INDEX([1]T_Unload!$K$10:$K$433,MATCH(B236,[1]T_Unload!$B$10:$B$433,0)),0)</f>
        <v>24</v>
      </c>
      <c r="J236" s="26">
        <v>20</v>
      </c>
      <c r="K236" s="38">
        <f t="shared" si="12"/>
        <v>4</v>
      </c>
      <c r="L236" s="39" t="str">
        <f t="shared" si="13"/>
        <v>Post to Default Outlet</v>
      </c>
      <c r="M236" s="40">
        <f t="shared" si="14"/>
        <v>4</v>
      </c>
      <c r="N236" s="40">
        <f t="shared" si="15"/>
        <v>0</v>
      </c>
      <c r="O236" s="41" t="s">
        <v>38</v>
      </c>
      <c r="P236" s="42"/>
      <c r="Q236" s="43"/>
    </row>
    <row r="237" spans="1:17" ht="15" customHeight="1">
      <c r="A237" s="20" t="s">
        <v>589</v>
      </c>
      <c r="B237" s="21" t="s">
        <v>590</v>
      </c>
      <c r="C237" s="22" t="s">
        <v>553</v>
      </c>
      <c r="D237" s="23" t="str">
        <f>IFERROR(INDEX([1]M_User!$A$12:$J$67,MATCH(C237,[1]M_User!$D$12:$D$67,0),3),"UNMAPPED")</f>
        <v>Riziki Rajabu Mghamba</v>
      </c>
      <c r="E237" s="24" t="str">
        <f>IFERROR(INDEX([1]M_User!$A$12:$J$67,MATCH(C237,[1]M_User!$D$12:$D$67,0),5),"UNMAPPED")</f>
        <v>MOS</v>
      </c>
      <c r="F237" s="22" t="s">
        <v>113</v>
      </c>
      <c r="G237" s="23" t="str">
        <f>IFERROR(INDEX([1]M_SKU!$A$18:$J$57,MATCH(F237,[1]M_SKU!$B$18:$B$57,0),1),"UNKNOWN SKU")</f>
        <v>Sprite Pet 500ML (x 12)</v>
      </c>
      <c r="H237" s="22" t="s">
        <v>114</v>
      </c>
      <c r="I237" s="25">
        <f>IFERROR(INDEX([1]T_Unload!$K$10:$K$433,MATCH(B237,[1]T_Unload!$B$10:$B$433,0)),0)</f>
        <v>8</v>
      </c>
      <c r="J237" s="26">
        <v>7</v>
      </c>
      <c r="K237" s="27">
        <f t="shared" si="12"/>
        <v>1</v>
      </c>
      <c r="L237" s="28" t="str">
        <f t="shared" si="13"/>
        <v>Post to Default Outlet</v>
      </c>
      <c r="M237" s="29">
        <f t="shared" si="14"/>
        <v>1</v>
      </c>
      <c r="N237" s="29">
        <f t="shared" si="15"/>
        <v>0</v>
      </c>
      <c r="O237" s="30" t="s">
        <v>38</v>
      </c>
      <c r="P237" s="22"/>
      <c r="Q237" s="31"/>
    </row>
    <row r="238" spans="1:17" ht="15" customHeight="1">
      <c r="A238" s="32" t="s">
        <v>591</v>
      </c>
      <c r="B238" s="33" t="s">
        <v>592</v>
      </c>
      <c r="C238" s="34" t="s">
        <v>553</v>
      </c>
      <c r="D238" s="35" t="str">
        <f>IFERROR(INDEX([1]M_User!$A$12:$J$67,MATCH(C238,[1]M_User!$D$12:$D$67,0),3),"UNMAPPED")</f>
        <v>Riziki Rajabu Mghamba</v>
      </c>
      <c r="E238" s="36" t="str">
        <f>IFERROR(INDEX([1]M_User!$A$12:$J$67,MATCH(C238,[1]M_User!$D$12:$D$67,0),5),"UNMAPPED")</f>
        <v>MOS</v>
      </c>
      <c r="F238" s="34" t="s">
        <v>117</v>
      </c>
      <c r="G238" s="35" t="str">
        <f>IFERROR(INDEX([1]M_SKU!$A$18:$J$57,MATCH(F238,[1]M_SKU!$B$18:$B$57,0),1),"UNKNOWN SKU")</f>
        <v>Fanta Orange Pet 500ML ( x 12)</v>
      </c>
      <c r="H238" s="34" t="s">
        <v>231</v>
      </c>
      <c r="I238" s="37">
        <f>IFERROR(INDEX([1]T_Unload!$K$10:$K$433,MATCH(B238,[1]T_Unload!$B$10:$B$433,0)),0)</f>
        <v>14</v>
      </c>
      <c r="J238" s="26">
        <v>12</v>
      </c>
      <c r="K238" s="38">
        <f t="shared" si="12"/>
        <v>2</v>
      </c>
      <c r="L238" s="39" t="str">
        <f t="shared" si="13"/>
        <v>Post to Default Outlet</v>
      </c>
      <c r="M238" s="40">
        <f t="shared" si="14"/>
        <v>2</v>
      </c>
      <c r="N238" s="40">
        <f t="shared" si="15"/>
        <v>0</v>
      </c>
      <c r="O238" s="41" t="s">
        <v>38</v>
      </c>
      <c r="P238" s="42"/>
      <c r="Q238" s="43"/>
    </row>
    <row r="239" spans="1:17" ht="15" customHeight="1">
      <c r="A239" s="20" t="s">
        <v>593</v>
      </c>
      <c r="B239" s="21" t="s">
        <v>594</v>
      </c>
      <c r="C239" s="22" t="s">
        <v>553</v>
      </c>
      <c r="D239" s="23" t="str">
        <f>IFERROR(INDEX([1]M_User!$A$12:$J$67,MATCH(C239,[1]M_User!$D$12:$D$67,0),3),"UNMAPPED")</f>
        <v>Riziki Rajabu Mghamba</v>
      </c>
      <c r="E239" s="24" t="str">
        <f>IFERROR(INDEX([1]M_User!$A$12:$J$67,MATCH(C239,[1]M_User!$D$12:$D$67,0),5),"UNMAPPED")</f>
        <v>MOS</v>
      </c>
      <c r="F239" s="22" t="s">
        <v>121</v>
      </c>
      <c r="G239" s="23" t="str">
        <f>IFERROR(INDEX([1]M_SKU!$A$18:$J$57,MATCH(F239,[1]M_SKU!$B$18:$B$57,0),1),"UNKNOWN SKU")</f>
        <v>Fanta Passion Pet 500ML ( x12)</v>
      </c>
      <c r="H239" s="22" t="s">
        <v>234</v>
      </c>
      <c r="I239" s="25">
        <f>IFERROR(INDEX([1]T_Unload!$K$10:$K$433,MATCH(B239,[1]T_Unload!$B$10:$B$433,0)),0)</f>
        <v>14</v>
      </c>
      <c r="J239" s="26">
        <v>11</v>
      </c>
      <c r="K239" s="27">
        <f t="shared" si="12"/>
        <v>3</v>
      </c>
      <c r="L239" s="28" t="str">
        <f t="shared" si="13"/>
        <v>Post to Default Outlet</v>
      </c>
      <c r="M239" s="29">
        <f t="shared" si="14"/>
        <v>3</v>
      </c>
      <c r="N239" s="29">
        <f t="shared" si="15"/>
        <v>0</v>
      </c>
      <c r="O239" s="30" t="s">
        <v>38</v>
      </c>
      <c r="P239" s="22"/>
      <c r="Q239" s="31"/>
    </row>
    <row r="240" spans="1:17" ht="15" customHeight="1">
      <c r="A240" s="32" t="s">
        <v>595</v>
      </c>
      <c r="B240" s="33" t="s">
        <v>596</v>
      </c>
      <c r="C240" s="34" t="s">
        <v>553</v>
      </c>
      <c r="D240" s="35" t="str">
        <f>IFERROR(INDEX([1]M_User!$A$12:$J$67,MATCH(C240,[1]M_User!$D$12:$D$67,0),3),"UNMAPPED")</f>
        <v>Riziki Rajabu Mghamba</v>
      </c>
      <c r="E240" s="36" t="str">
        <f>IFERROR(INDEX([1]M_User!$A$12:$J$67,MATCH(C240,[1]M_User!$D$12:$D$67,0),5),"UNMAPPED")</f>
        <v>MOS</v>
      </c>
      <c r="F240" s="34" t="s">
        <v>133</v>
      </c>
      <c r="G240" s="35" t="str">
        <f>IFERROR(INDEX([1]M_SKU!$A$18:$J$57,MATCH(F240,[1]M_SKU!$B$18:$B$57,0),1),"UNKNOWN SKU")</f>
        <v>Stoney Tangawizi Pet 500 ml ( x12)</v>
      </c>
      <c r="H240" s="34" t="s">
        <v>237</v>
      </c>
      <c r="I240" s="37">
        <f>IFERROR(INDEX([1]T_Unload!$K$10:$K$433,MATCH(B240,[1]T_Unload!$B$10:$B$433,0)),0)</f>
        <v>3</v>
      </c>
      <c r="J240" s="26">
        <v>2</v>
      </c>
      <c r="K240" s="38">
        <f t="shared" si="12"/>
        <v>1</v>
      </c>
      <c r="L240" s="39" t="str">
        <f t="shared" si="13"/>
        <v>Post to Default Outlet</v>
      </c>
      <c r="M240" s="40">
        <f t="shared" si="14"/>
        <v>1</v>
      </c>
      <c r="N240" s="40">
        <f t="shared" si="15"/>
        <v>0</v>
      </c>
      <c r="O240" s="41" t="s">
        <v>38</v>
      </c>
      <c r="P240" s="42"/>
      <c r="Q240" s="43"/>
    </row>
    <row r="241" spans="1:17" ht="15" customHeight="1">
      <c r="A241" s="20" t="s">
        <v>597</v>
      </c>
      <c r="B241" s="21" t="s">
        <v>598</v>
      </c>
      <c r="C241" s="22" t="s">
        <v>553</v>
      </c>
      <c r="D241" s="23" t="str">
        <f>IFERROR(INDEX([1]M_User!$A$12:$J$67,MATCH(C241,[1]M_User!$D$12:$D$67,0),3),"UNMAPPED")</f>
        <v>Riziki Rajabu Mghamba</v>
      </c>
      <c r="E241" s="24" t="str">
        <f>IFERROR(INDEX([1]M_User!$A$12:$J$67,MATCH(C241,[1]M_User!$D$12:$D$67,0),5),"UNMAPPED")</f>
        <v>MOS</v>
      </c>
      <c r="F241" s="22" t="s">
        <v>137</v>
      </c>
      <c r="G241" s="23" t="str">
        <f>IFERROR(INDEX([1]M_SKU!$A$18:$J$57,MATCH(F241,[1]M_SKU!$B$18:$B$57,0),1),"UNKNOWN SKU")</f>
        <v>Sparletta Pinenut Pet 500 ml ( x12)</v>
      </c>
      <c r="H241" s="22" t="s">
        <v>240</v>
      </c>
      <c r="I241" s="25">
        <f>IFERROR(INDEX([1]T_Unload!$K$10:$K$433,MATCH(B241,[1]T_Unload!$B$10:$B$433,0)),0)</f>
        <v>2</v>
      </c>
      <c r="J241" s="26">
        <v>2</v>
      </c>
      <c r="K241" s="27">
        <f t="shared" si="12"/>
        <v>0</v>
      </c>
      <c r="L241" s="28" t="str">
        <f t="shared" si="13"/>
        <v>CLEAN</v>
      </c>
      <c r="M241" s="29">
        <f t="shared" si="14"/>
        <v>0</v>
      </c>
      <c r="N241" s="29">
        <f t="shared" si="15"/>
        <v>0</v>
      </c>
      <c r="O241" s="30" t="s">
        <v>38</v>
      </c>
      <c r="P241" s="22"/>
      <c r="Q241" s="31"/>
    </row>
    <row r="242" spans="1:17" ht="15" customHeight="1">
      <c r="A242" s="32" t="s">
        <v>599</v>
      </c>
      <c r="B242" s="33" t="s">
        <v>600</v>
      </c>
      <c r="C242" s="34" t="s">
        <v>553</v>
      </c>
      <c r="D242" s="35" t="str">
        <f>IFERROR(INDEX([1]M_User!$A$12:$J$67,MATCH(C242,[1]M_User!$D$12:$D$67,0),3),"UNMAPPED")</f>
        <v>Riziki Rajabu Mghamba</v>
      </c>
      <c r="E242" s="36" t="str">
        <f>IFERROR(INDEX([1]M_User!$A$12:$J$67,MATCH(C242,[1]M_User!$D$12:$D$67,0),5),"UNMAPPED")</f>
        <v>MOS</v>
      </c>
      <c r="F242" s="34" t="s">
        <v>243</v>
      </c>
      <c r="G242" s="35" t="str">
        <f>IFERROR(INDEX([1]M_SKU!$A$18:$J$57,MATCH(F242,[1]M_SKU!$B$18:$B$57,0),1),"UNKNOWN SKU")</f>
        <v>Sprite Zero Pet 300ML (x 12)</v>
      </c>
      <c r="H242" s="34" t="s">
        <v>244</v>
      </c>
      <c r="I242" s="37">
        <f>IFERROR(INDEX([1]T_Unload!$K$10:$K$433,MATCH(B242,[1]T_Unload!$B$10:$B$433,0)),0)</f>
        <v>6</v>
      </c>
      <c r="J242" s="26">
        <v>5</v>
      </c>
      <c r="K242" s="38">
        <f t="shared" si="12"/>
        <v>1</v>
      </c>
      <c r="L242" s="39" t="str">
        <f t="shared" si="13"/>
        <v>Post to Default Outlet</v>
      </c>
      <c r="M242" s="40">
        <f t="shared" si="14"/>
        <v>1</v>
      </c>
      <c r="N242" s="40">
        <f t="shared" si="15"/>
        <v>0</v>
      </c>
      <c r="O242" s="41" t="s">
        <v>38</v>
      </c>
      <c r="P242" s="42"/>
      <c r="Q242" s="43"/>
    </row>
    <row r="243" spans="1:17" ht="15" customHeight="1">
      <c r="A243" s="20" t="s">
        <v>601</v>
      </c>
      <c r="B243" s="21" t="s">
        <v>602</v>
      </c>
      <c r="C243" s="22" t="s">
        <v>553</v>
      </c>
      <c r="D243" s="23" t="str">
        <f>IFERROR(INDEX([1]M_User!$A$12:$J$67,MATCH(C243,[1]M_User!$D$12:$D$67,0),3),"UNMAPPED")</f>
        <v>Riziki Rajabu Mghamba</v>
      </c>
      <c r="E243" s="24" t="str">
        <f>IFERROR(INDEX([1]M_User!$A$12:$J$67,MATCH(C243,[1]M_User!$D$12:$D$67,0),5),"UNMAPPED")</f>
        <v>MOS</v>
      </c>
      <c r="F243" s="22" t="s">
        <v>148</v>
      </c>
      <c r="G243" s="23" t="str">
        <f>IFERROR(INDEX([1]M_SKU!$A$18:$J$57,MATCH(F243,[1]M_SKU!$B$18:$B$57,0),1),"UNKNOWN SKU")</f>
        <v>Fanta Zero Pet 300ML (x 12)</v>
      </c>
      <c r="H243" s="22" t="s">
        <v>149</v>
      </c>
      <c r="I243" s="25">
        <f>IFERROR(INDEX([1]T_Unload!$K$10:$K$433,MATCH(B243,[1]T_Unload!$B$10:$B$433,0)),0)</f>
        <v>2</v>
      </c>
      <c r="J243" s="26">
        <v>2</v>
      </c>
      <c r="K243" s="27">
        <f t="shared" si="12"/>
        <v>0</v>
      </c>
      <c r="L243" s="28" t="str">
        <f t="shared" si="13"/>
        <v>CLEAN</v>
      </c>
      <c r="M243" s="29">
        <f t="shared" si="14"/>
        <v>0</v>
      </c>
      <c r="N243" s="29">
        <f t="shared" si="15"/>
        <v>0</v>
      </c>
      <c r="O243" s="30" t="s">
        <v>38</v>
      </c>
      <c r="P243" s="22"/>
      <c r="Q243" s="31"/>
    </row>
    <row r="244" spans="1:17" ht="15" customHeight="1">
      <c r="A244" s="32" t="s">
        <v>603</v>
      </c>
      <c r="B244" s="33" t="s">
        <v>604</v>
      </c>
      <c r="C244" s="34" t="s">
        <v>553</v>
      </c>
      <c r="D244" s="35" t="str">
        <f>IFERROR(INDEX([1]M_User!$A$12:$J$67,MATCH(C244,[1]M_User!$D$12:$D$67,0),3),"UNMAPPED")</f>
        <v>Riziki Rajabu Mghamba</v>
      </c>
      <c r="E244" s="36" t="str">
        <f>IFERROR(INDEX([1]M_User!$A$12:$J$67,MATCH(C244,[1]M_User!$D$12:$D$67,0),5),"UNMAPPED")</f>
        <v>MOS</v>
      </c>
      <c r="F244" s="34" t="s">
        <v>160</v>
      </c>
      <c r="G244" s="35" t="str">
        <f>IFERROR(INDEX([1]M_SKU!$A$18:$J$57,MATCH(F244,[1]M_SKU!$B$18:$B$57,0),1),"UNKNOWN SKU")</f>
        <v>Sparletta Pine Apple Pet 300ML (x 12)</v>
      </c>
      <c r="H244" s="34" t="s">
        <v>161</v>
      </c>
      <c r="I244" s="37">
        <f>IFERROR(INDEX([1]T_Unload!$K$10:$K$433,MATCH(B244,[1]T_Unload!$B$10:$B$433,0)),0)</f>
        <v>5</v>
      </c>
      <c r="J244" s="26">
        <v>4</v>
      </c>
      <c r="K244" s="38">
        <f t="shared" si="12"/>
        <v>1</v>
      </c>
      <c r="L244" s="39" t="str">
        <f t="shared" si="13"/>
        <v>Post to Default Outlet</v>
      </c>
      <c r="M244" s="40">
        <f t="shared" si="14"/>
        <v>1</v>
      </c>
      <c r="N244" s="40">
        <f t="shared" si="15"/>
        <v>0</v>
      </c>
      <c r="O244" s="41" t="s">
        <v>38</v>
      </c>
      <c r="P244" s="42"/>
      <c r="Q244" s="43"/>
    </row>
    <row r="245" spans="1:17" ht="15" customHeight="1">
      <c r="A245" s="20" t="s">
        <v>605</v>
      </c>
      <c r="B245" s="21" t="s">
        <v>606</v>
      </c>
      <c r="C245" s="22" t="s">
        <v>607</v>
      </c>
      <c r="D245" s="23" t="str">
        <f>IFERROR(INDEX([1]M_User!$A$12:$J$67,MATCH(C245,[1]M_User!$D$12:$D$67,0),3),"UNMAPPED")</f>
        <v>Piniel Julius Singo</v>
      </c>
      <c r="E245" s="24" t="str">
        <f>IFERROR(INDEX([1]M_User!$A$12:$J$67,MATCH(C245,[1]M_User!$D$12:$D$67,0),5),"UNMAPPED")</f>
        <v>MOS</v>
      </c>
      <c r="F245" s="22" t="s">
        <v>36</v>
      </c>
      <c r="G245" s="23" t="str">
        <f>IFERROR(INDEX([1]M_SKU!$A$18:$J$57,MATCH(F245,[1]M_SKU!$B$18:$B$57,0),1),"UNKNOWN SKU")</f>
        <v>Coke RGB 350ml</v>
      </c>
      <c r="H245" s="22" t="s">
        <v>180</v>
      </c>
      <c r="I245" s="25">
        <f>IFERROR(INDEX([1]T_Unload!$K$10:$K$433,MATCH(B245,[1]T_Unload!$B$10:$B$433,0)),0)</f>
        <v>4.111092282109297</v>
      </c>
      <c r="J245" s="26">
        <v>4.1100000000000003</v>
      </c>
      <c r="K245" s="27">
        <f t="shared" si="12"/>
        <v>1.0922821092966828E-3</v>
      </c>
      <c r="L245" s="28" t="str">
        <f t="shared" si="13"/>
        <v>Post to Default Outlet</v>
      </c>
      <c r="M245" s="29">
        <f t="shared" si="14"/>
        <v>1.0922821092966828E-3</v>
      </c>
      <c r="N245" s="29">
        <f t="shared" si="15"/>
        <v>0</v>
      </c>
      <c r="O245" s="30" t="s">
        <v>38</v>
      </c>
      <c r="P245" s="22"/>
      <c r="Q245" s="31"/>
    </row>
    <row r="246" spans="1:17" ht="15" customHeight="1">
      <c r="A246" s="32" t="s">
        <v>608</v>
      </c>
      <c r="B246" s="33" t="s">
        <v>609</v>
      </c>
      <c r="C246" s="34" t="s">
        <v>607</v>
      </c>
      <c r="D246" s="35" t="str">
        <f>IFERROR(INDEX([1]M_User!$A$12:$J$67,MATCH(C246,[1]M_User!$D$12:$D$67,0),3),"UNMAPPED")</f>
        <v>Piniel Julius Singo</v>
      </c>
      <c r="E246" s="36" t="str">
        <f>IFERROR(INDEX([1]M_User!$A$12:$J$67,MATCH(C246,[1]M_User!$D$12:$D$67,0),5),"UNMAPPED")</f>
        <v>MOS</v>
      </c>
      <c r="F246" s="34" t="s">
        <v>41</v>
      </c>
      <c r="G246" s="35" t="str">
        <f>IFERROR(INDEX([1]M_SKU!$A$18:$J$57,MATCH(F246,[1]M_SKU!$B$18:$B$57,0),1),"UNKNOWN SKU")</f>
        <v>Fanta Orange RGB 350ml</v>
      </c>
      <c r="H246" s="34" t="s">
        <v>183</v>
      </c>
      <c r="I246" s="37">
        <f>IFERROR(INDEX([1]T_Unload!$K$10:$K$433,MATCH(B246,[1]T_Unload!$B$10:$B$433,0)),0)</f>
        <v>2.9908209840028093</v>
      </c>
      <c r="J246" s="26">
        <v>2.99</v>
      </c>
      <c r="K246" s="38">
        <f t="shared" si="12"/>
        <v>8.2098400280905537E-4</v>
      </c>
      <c r="L246" s="39" t="str">
        <f t="shared" si="13"/>
        <v>Post to Default Outlet</v>
      </c>
      <c r="M246" s="40">
        <f t="shared" si="14"/>
        <v>8.2098400280905537E-4</v>
      </c>
      <c r="N246" s="40">
        <f t="shared" si="15"/>
        <v>0</v>
      </c>
      <c r="O246" s="41" t="s">
        <v>38</v>
      </c>
      <c r="P246" s="42"/>
      <c r="Q246" s="43"/>
    </row>
    <row r="247" spans="1:17" ht="15" customHeight="1">
      <c r="A247" s="20" t="s">
        <v>610</v>
      </c>
      <c r="B247" s="21" t="s">
        <v>611</v>
      </c>
      <c r="C247" s="22" t="s">
        <v>607</v>
      </c>
      <c r="D247" s="23" t="str">
        <f>IFERROR(INDEX([1]M_User!$A$12:$J$67,MATCH(C247,[1]M_User!$D$12:$D$67,0),3),"UNMAPPED")</f>
        <v>Piniel Julius Singo</v>
      </c>
      <c r="E247" s="24" t="str">
        <f>IFERROR(INDEX([1]M_User!$A$12:$J$67,MATCH(C247,[1]M_User!$D$12:$D$67,0),5),"UNMAPPED")</f>
        <v>MOS</v>
      </c>
      <c r="F247" s="22" t="s">
        <v>45</v>
      </c>
      <c r="G247" s="23" t="str">
        <f>IFERROR(INDEX([1]M_SKU!$A$18:$J$57,MATCH(F247,[1]M_SKU!$B$18:$B$57,0),1),"UNKNOWN SKU")</f>
        <v>Fanta Passion RGB 350ml</v>
      </c>
      <c r="H247" s="22" t="s">
        <v>186</v>
      </c>
      <c r="I247" s="25">
        <f>IFERROR(INDEX([1]T_Unload!$K$10:$K$433,MATCH(B247,[1]T_Unload!$B$10:$B$433,0)),0)</f>
        <v>1.2286301627450493</v>
      </c>
      <c r="J247" s="26">
        <v>1.23</v>
      </c>
      <c r="K247" s="27">
        <f t="shared" si="12"/>
        <v>-1.3698372549506566E-3</v>
      </c>
      <c r="L247" s="28" t="str">
        <f t="shared" si="13"/>
        <v>Adjust Unload Upward</v>
      </c>
      <c r="M247" s="29">
        <f t="shared" si="14"/>
        <v>0</v>
      </c>
      <c r="N247" s="29">
        <f t="shared" si="15"/>
        <v>1.3698372549506566E-3</v>
      </c>
      <c r="O247" s="30" t="s">
        <v>38</v>
      </c>
      <c r="P247" s="22"/>
      <c r="Q247" s="31"/>
    </row>
    <row r="248" spans="1:17" ht="15" customHeight="1">
      <c r="A248" s="32" t="s">
        <v>612</v>
      </c>
      <c r="B248" s="33" t="s">
        <v>613</v>
      </c>
      <c r="C248" s="34" t="s">
        <v>607</v>
      </c>
      <c r="D248" s="35" t="str">
        <f>IFERROR(INDEX([1]M_User!$A$12:$J$67,MATCH(C248,[1]M_User!$D$12:$D$67,0),3),"UNMAPPED")</f>
        <v>Piniel Julius Singo</v>
      </c>
      <c r="E248" s="36" t="str">
        <f>IFERROR(INDEX([1]M_User!$A$12:$J$67,MATCH(C248,[1]M_User!$D$12:$D$67,0),5),"UNMAPPED")</f>
        <v>MOS</v>
      </c>
      <c r="F248" s="34" t="s">
        <v>49</v>
      </c>
      <c r="G248" s="35" t="str">
        <f>IFERROR(INDEX([1]M_SKU!$A$18:$J$57,MATCH(F248,[1]M_SKU!$B$18:$B$57,0),1),"UNKNOWN SKU")</f>
        <v>Fanta Pineapple RGB 350ml</v>
      </c>
      <c r="H248" s="34" t="s">
        <v>189</v>
      </c>
      <c r="I248" s="37">
        <f>IFERROR(INDEX([1]T_Unload!$K$10:$K$433,MATCH(B248,[1]T_Unload!$B$10:$B$433,0)),0)</f>
        <v>0.9980391600426497</v>
      </c>
      <c r="J248" s="26">
        <v>1</v>
      </c>
      <c r="K248" s="38">
        <f t="shared" si="12"/>
        <v>-1.9608399573503021E-3</v>
      </c>
      <c r="L248" s="39" t="str">
        <f t="shared" si="13"/>
        <v>Adjust Unload Upward</v>
      </c>
      <c r="M248" s="40">
        <f t="shared" si="14"/>
        <v>0</v>
      </c>
      <c r="N248" s="40">
        <f t="shared" si="15"/>
        <v>1.9608399573503021E-3</v>
      </c>
      <c r="O248" s="41" t="s">
        <v>38</v>
      </c>
      <c r="P248" s="42"/>
      <c r="Q248" s="43"/>
    </row>
    <row r="249" spans="1:17" ht="15" customHeight="1">
      <c r="A249" s="20" t="s">
        <v>614</v>
      </c>
      <c r="B249" s="21" t="s">
        <v>615</v>
      </c>
      <c r="C249" s="22" t="s">
        <v>607</v>
      </c>
      <c r="D249" s="23" t="str">
        <f>IFERROR(INDEX([1]M_User!$A$12:$J$67,MATCH(C249,[1]M_User!$D$12:$D$67,0),3),"UNMAPPED")</f>
        <v>Piniel Julius Singo</v>
      </c>
      <c r="E249" s="24" t="str">
        <f>IFERROR(INDEX([1]M_User!$A$12:$J$67,MATCH(C249,[1]M_User!$D$12:$D$67,0),5),"UNMAPPED")</f>
        <v>MOS</v>
      </c>
      <c r="F249" s="22" t="s">
        <v>192</v>
      </c>
      <c r="G249" s="23" t="str">
        <f>IFERROR(INDEX([1]M_SKU!$A$18:$J$57,MATCH(F249,[1]M_SKU!$B$18:$B$57,0),1),"UNKNOWN SKU")</f>
        <v>Fanta Fruit Blast RGB 350 ml</v>
      </c>
      <c r="H249" s="22" t="s">
        <v>193</v>
      </c>
      <c r="I249" s="25">
        <f>IFERROR(INDEX([1]T_Unload!$K$10:$K$433,MATCH(B249,[1]T_Unload!$B$10:$B$433,0)),0)</f>
        <v>0.61905102985668581</v>
      </c>
      <c r="J249" s="26">
        <v>0.62</v>
      </c>
      <c r="K249" s="27">
        <f t="shared" si="12"/>
        <v>-9.4897014331418728E-4</v>
      </c>
      <c r="L249" s="28" t="str">
        <f t="shared" si="13"/>
        <v>Adjust Unload Upward</v>
      </c>
      <c r="M249" s="29">
        <f t="shared" si="14"/>
        <v>0</v>
      </c>
      <c r="N249" s="29">
        <f t="shared" si="15"/>
        <v>9.4897014331418728E-4</v>
      </c>
      <c r="O249" s="30" t="s">
        <v>38</v>
      </c>
      <c r="P249" s="22"/>
      <c r="Q249" s="31"/>
    </row>
    <row r="250" spans="1:17" ht="15" customHeight="1">
      <c r="A250" s="32" t="s">
        <v>616</v>
      </c>
      <c r="B250" s="33" t="s">
        <v>617</v>
      </c>
      <c r="C250" s="34" t="s">
        <v>607</v>
      </c>
      <c r="D250" s="35" t="str">
        <f>IFERROR(INDEX([1]M_User!$A$12:$J$67,MATCH(C250,[1]M_User!$D$12:$D$67,0),3),"UNMAPPED")</f>
        <v>Piniel Julius Singo</v>
      </c>
      <c r="E250" s="36" t="str">
        <f>IFERROR(INDEX([1]M_User!$A$12:$J$67,MATCH(C250,[1]M_User!$D$12:$D$67,0),5),"UNMAPPED")</f>
        <v>MOS</v>
      </c>
      <c r="F250" s="34" t="s">
        <v>53</v>
      </c>
      <c r="G250" s="35" t="str">
        <f>IFERROR(INDEX([1]M_SKU!$A$18:$J$57,MATCH(F250,[1]M_SKU!$B$18:$B$57,0),1),"UNKNOWN SKU")</f>
        <v>Sprite 350ml</v>
      </c>
      <c r="H250" s="34" t="s">
        <v>196</v>
      </c>
      <c r="I250" s="37">
        <f>IFERROR(INDEX([1]T_Unload!$K$10:$K$433,MATCH(B250,[1]T_Unload!$B$10:$B$433,0)),0)</f>
        <v>1.1394540761921901</v>
      </c>
      <c r="J250" s="26">
        <v>1.1399999999999999</v>
      </c>
      <c r="K250" s="38">
        <f t="shared" si="12"/>
        <v>-5.4592380780982275E-4</v>
      </c>
      <c r="L250" s="39" t="str">
        <f t="shared" si="13"/>
        <v>Adjust Unload Upward</v>
      </c>
      <c r="M250" s="40">
        <f t="shared" si="14"/>
        <v>0</v>
      </c>
      <c r="N250" s="40">
        <f t="shared" si="15"/>
        <v>5.4592380780982275E-4</v>
      </c>
      <c r="O250" s="41" t="s">
        <v>38</v>
      </c>
      <c r="P250" s="42"/>
      <c r="Q250" s="43"/>
    </row>
    <row r="251" spans="1:17" ht="15" customHeight="1">
      <c r="A251" s="20" t="s">
        <v>618</v>
      </c>
      <c r="B251" s="21" t="s">
        <v>619</v>
      </c>
      <c r="C251" s="22" t="s">
        <v>607</v>
      </c>
      <c r="D251" s="23" t="str">
        <f>IFERROR(INDEX([1]M_User!$A$12:$J$67,MATCH(C251,[1]M_User!$D$12:$D$67,0),3),"UNMAPPED")</f>
        <v>Piniel Julius Singo</v>
      </c>
      <c r="E251" s="24" t="str">
        <f>IFERROR(INDEX([1]M_User!$A$12:$J$67,MATCH(C251,[1]M_User!$D$12:$D$67,0),5),"UNMAPPED")</f>
        <v>MOS</v>
      </c>
      <c r="F251" s="22" t="s">
        <v>199</v>
      </c>
      <c r="G251" s="23" t="str">
        <f>IFERROR(INDEX([1]M_SKU!$A$18:$J$57,MATCH(F251,[1]M_SKU!$B$18:$B$57,0),1),"UNKNOWN SKU")</f>
        <v>Stoney Tangawizi RGB 350ml</v>
      </c>
      <c r="H251" s="22" t="s">
        <v>200</v>
      </c>
      <c r="I251" s="25">
        <f>IFERROR(INDEX([1]T_Unload!$K$10:$K$433,MATCH(B251,[1]T_Unload!$B$10:$B$433,0)),0)</f>
        <v>0.81468075958622022</v>
      </c>
      <c r="J251" s="26">
        <v>0.81</v>
      </c>
      <c r="K251" s="27">
        <f t="shared" si="12"/>
        <v>4.6807595862201623E-3</v>
      </c>
      <c r="L251" s="28" t="str">
        <f t="shared" si="13"/>
        <v>Post to Default Outlet</v>
      </c>
      <c r="M251" s="29">
        <f t="shared" si="14"/>
        <v>4.6807595862201623E-3</v>
      </c>
      <c r="N251" s="29">
        <f t="shared" si="15"/>
        <v>0</v>
      </c>
      <c r="O251" s="30" t="s">
        <v>38</v>
      </c>
      <c r="P251" s="22"/>
      <c r="Q251" s="31"/>
    </row>
    <row r="252" spans="1:17" ht="15" customHeight="1">
      <c r="A252" s="32" t="s">
        <v>620</v>
      </c>
      <c r="B252" s="33" t="s">
        <v>621</v>
      </c>
      <c r="C252" s="34" t="s">
        <v>607</v>
      </c>
      <c r="D252" s="35" t="str">
        <f>IFERROR(INDEX([1]M_User!$A$12:$J$67,MATCH(C252,[1]M_User!$D$12:$D$67,0),3),"UNMAPPED")</f>
        <v>Piniel Julius Singo</v>
      </c>
      <c r="E252" s="36" t="str">
        <f>IFERROR(INDEX([1]M_User!$A$12:$J$67,MATCH(C252,[1]M_User!$D$12:$D$67,0),5),"UNMAPPED")</f>
        <v>MOS</v>
      </c>
      <c r="F252" s="34" t="s">
        <v>203</v>
      </c>
      <c r="G252" s="35" t="str">
        <f>IFERROR(INDEX([1]M_SKU!$A$18:$J$57,MATCH(F252,[1]M_SKU!$B$18:$B$57,0),1),"UNKNOWN SKU")</f>
        <v>Sparletta Pinenut RGB 350ml</v>
      </c>
      <c r="H252" s="34" t="s">
        <v>204</v>
      </c>
      <c r="I252" s="37">
        <f>IFERROR(INDEX([1]T_Unload!$K$10:$K$433,MATCH(B252,[1]T_Unload!$B$10:$B$433,0)),0)</f>
        <v>0.74784407619051674</v>
      </c>
      <c r="J252" s="26">
        <v>0.75</v>
      </c>
      <c r="K252" s="38">
        <f t="shared" si="12"/>
        <v>-2.1559238094832622E-3</v>
      </c>
      <c r="L252" s="39" t="str">
        <f t="shared" si="13"/>
        <v>Adjust Unload Upward</v>
      </c>
      <c r="M252" s="40">
        <f t="shared" si="14"/>
        <v>0</v>
      </c>
      <c r="N252" s="40">
        <f t="shared" si="15"/>
        <v>2.1559238094832622E-3</v>
      </c>
      <c r="O252" s="41" t="s">
        <v>38</v>
      </c>
      <c r="P252" s="42"/>
      <c r="Q252" s="43"/>
    </row>
    <row r="253" spans="1:17" ht="15" customHeight="1">
      <c r="A253" s="20" t="s">
        <v>622</v>
      </c>
      <c r="B253" s="21" t="s">
        <v>623</v>
      </c>
      <c r="C253" s="22" t="s">
        <v>607</v>
      </c>
      <c r="D253" s="23" t="str">
        <f>IFERROR(INDEX([1]M_User!$A$12:$J$67,MATCH(C253,[1]M_User!$D$12:$D$67,0),3),"UNMAPPED")</f>
        <v>Piniel Julius Singo</v>
      </c>
      <c r="E253" s="24" t="str">
        <f>IFERROR(INDEX([1]M_User!$A$12:$J$67,MATCH(C253,[1]M_User!$D$12:$D$67,0),5),"UNMAPPED")</f>
        <v>MOS</v>
      </c>
      <c r="F253" s="22" t="s">
        <v>61</v>
      </c>
      <c r="G253" s="23" t="str">
        <f>IFERROR(INDEX([1]M_SKU!$A$18:$J$57,MATCH(F253,[1]M_SKU!$B$18:$B$57,0),1),"UNKNOWN SKU")</f>
        <v>Krest Club Soda RGB 300ml</v>
      </c>
      <c r="H253" s="22" t="s">
        <v>62</v>
      </c>
      <c r="I253" s="25">
        <f>IFERROR(INDEX([1]T_Unload!$K$10:$K$433,MATCH(B253,[1]T_Unload!$B$10:$B$433,0)),0)</f>
        <v>0.23005047584384997</v>
      </c>
      <c r="J253" s="26">
        <v>0.23</v>
      </c>
      <c r="K253" s="27">
        <f t="shared" si="12"/>
        <v>5.0475843849956403E-5</v>
      </c>
      <c r="L253" s="28" t="str">
        <f t="shared" si="13"/>
        <v>CLEAN</v>
      </c>
      <c r="M253" s="29">
        <f t="shared" si="14"/>
        <v>0</v>
      </c>
      <c r="N253" s="29">
        <f t="shared" si="15"/>
        <v>0</v>
      </c>
      <c r="O253" s="30" t="s">
        <v>38</v>
      </c>
      <c r="P253" s="22"/>
      <c r="Q253" s="31"/>
    </row>
    <row r="254" spans="1:17" ht="15" customHeight="1">
      <c r="A254" s="32" t="s">
        <v>624</v>
      </c>
      <c r="B254" s="33" t="s">
        <v>625</v>
      </c>
      <c r="C254" s="34" t="s">
        <v>607</v>
      </c>
      <c r="D254" s="35" t="str">
        <f>IFERROR(INDEX([1]M_User!$A$12:$J$67,MATCH(C254,[1]M_User!$D$12:$D$67,0),3),"UNMAPPED")</f>
        <v>Piniel Julius Singo</v>
      </c>
      <c r="E254" s="36" t="str">
        <f>IFERROR(INDEX([1]M_User!$A$12:$J$67,MATCH(C254,[1]M_User!$D$12:$D$67,0),5),"UNMAPPED")</f>
        <v>MOS</v>
      </c>
      <c r="F254" s="34" t="s">
        <v>65</v>
      </c>
      <c r="G254" s="35" t="str">
        <f>IFERROR(INDEX([1]M_SKU!$A$18:$J$57,MATCH(F254,[1]M_SKU!$B$18:$B$57,0),1),"UNKNOWN SKU")</f>
        <v>Krest Tonic Water RGB 300ml</v>
      </c>
      <c r="H254" s="34" t="s">
        <v>211</v>
      </c>
      <c r="I254" s="37">
        <f>IFERROR(INDEX([1]T_Unload!$K$10:$K$433,MATCH(B254,[1]T_Unload!$B$10:$B$433,0)),0)</f>
        <v>0.7983028431080097</v>
      </c>
      <c r="J254" s="26">
        <v>0.8</v>
      </c>
      <c r="K254" s="38">
        <f t="shared" si="12"/>
        <v>-1.6971568919903479E-3</v>
      </c>
      <c r="L254" s="39" t="str">
        <f t="shared" si="13"/>
        <v>Adjust Unload Upward</v>
      </c>
      <c r="M254" s="40">
        <f t="shared" si="14"/>
        <v>0</v>
      </c>
      <c r="N254" s="40">
        <f t="shared" si="15"/>
        <v>1.6971568919903479E-3</v>
      </c>
      <c r="O254" s="41" t="s">
        <v>38</v>
      </c>
      <c r="P254" s="42"/>
      <c r="Q254" s="43"/>
    </row>
    <row r="255" spans="1:17" ht="15" customHeight="1">
      <c r="A255" s="20" t="s">
        <v>626</v>
      </c>
      <c r="B255" s="21" t="s">
        <v>627</v>
      </c>
      <c r="C255" s="22" t="s">
        <v>607</v>
      </c>
      <c r="D255" s="23" t="str">
        <f>IFERROR(INDEX([1]M_User!$A$12:$J$67,MATCH(C255,[1]M_User!$D$12:$D$67,0),3),"UNMAPPED")</f>
        <v>Piniel Julius Singo</v>
      </c>
      <c r="E255" s="24" t="str">
        <f>IFERROR(INDEX([1]M_User!$A$12:$J$67,MATCH(C255,[1]M_User!$D$12:$D$67,0),5),"UNMAPPED")</f>
        <v>MOS</v>
      </c>
      <c r="F255" s="22" t="s">
        <v>69</v>
      </c>
      <c r="G255" s="23" t="str">
        <f>IFERROR(INDEX([1]M_SKU!$A$18:$J$57,MATCH(F255,[1]M_SKU!$B$18:$B$57,0),1),"UNKNOWN SKU")</f>
        <v>Krest Ginger Ale RGB 300ml</v>
      </c>
      <c r="H255" s="22" t="s">
        <v>70</v>
      </c>
      <c r="I255" s="25">
        <f>IFERROR(INDEX([1]T_Unload!$K$10:$K$433,MATCH(B255,[1]T_Unload!$B$10:$B$433,0)),0)</f>
        <v>0.50493960025141993</v>
      </c>
      <c r="J255" s="26">
        <v>0.5</v>
      </c>
      <c r="K255" s="27">
        <f t="shared" si="12"/>
        <v>4.9396002514199289E-3</v>
      </c>
      <c r="L255" s="28" t="str">
        <f t="shared" si="13"/>
        <v>Post to Default Outlet</v>
      </c>
      <c r="M255" s="29">
        <f t="shared" si="14"/>
        <v>4.9396002514199289E-3</v>
      </c>
      <c r="N255" s="29">
        <f t="shared" si="15"/>
        <v>0</v>
      </c>
      <c r="O255" s="30" t="s">
        <v>38</v>
      </c>
      <c r="P255" s="22"/>
      <c r="Q255" s="31"/>
    </row>
    <row r="256" spans="1:17" ht="15" customHeight="1">
      <c r="A256" s="32" t="s">
        <v>628</v>
      </c>
      <c r="B256" s="33" t="s">
        <v>629</v>
      </c>
      <c r="C256" s="34" t="s">
        <v>607</v>
      </c>
      <c r="D256" s="35" t="str">
        <f>IFERROR(INDEX([1]M_User!$A$12:$J$67,MATCH(C256,[1]M_User!$D$12:$D$67,0),3),"UNMAPPED")</f>
        <v>Piniel Julius Singo</v>
      </c>
      <c r="E256" s="36" t="str">
        <f>IFERROR(INDEX([1]M_User!$A$12:$J$67,MATCH(C256,[1]M_User!$D$12:$D$67,0),5),"UNMAPPED")</f>
        <v>MOS</v>
      </c>
      <c r="F256" s="34" t="s">
        <v>216</v>
      </c>
      <c r="G256" s="35" t="str">
        <f>IFERROR(INDEX([1]M_SKU!$A$18:$J$57,MATCH(F256,[1]M_SKU!$B$18:$B$57,0),1),"UNKNOWN SKU")</f>
        <v>Sparletta Red Apple RGB 350ml</v>
      </c>
      <c r="H256" s="34" t="s">
        <v>217</v>
      </c>
      <c r="I256" s="37">
        <f>IFERROR(INDEX([1]T_Unload!$K$10:$K$433,MATCH(B256,[1]T_Unload!$B$10:$B$433,0)),0)</f>
        <v>0.20687932441203505</v>
      </c>
      <c r="J256" s="26">
        <v>0.21</v>
      </c>
      <c r="K256" s="38">
        <f t="shared" si="12"/>
        <v>-3.1206755879649439E-3</v>
      </c>
      <c r="L256" s="39" t="str">
        <f t="shared" si="13"/>
        <v>Adjust Unload Upward</v>
      </c>
      <c r="M256" s="40">
        <f t="shared" si="14"/>
        <v>0</v>
      </c>
      <c r="N256" s="40">
        <f t="shared" si="15"/>
        <v>3.1206755879649439E-3</v>
      </c>
      <c r="O256" s="41" t="s">
        <v>38</v>
      </c>
      <c r="P256" s="42"/>
      <c r="Q256" s="43"/>
    </row>
    <row r="257" spans="1:17" ht="15" customHeight="1">
      <c r="A257" s="20" t="s">
        <v>630</v>
      </c>
      <c r="B257" s="21" t="s">
        <v>631</v>
      </c>
      <c r="C257" s="22" t="s">
        <v>607</v>
      </c>
      <c r="D257" s="23" t="str">
        <f>IFERROR(INDEX([1]M_User!$A$12:$J$67,MATCH(C257,[1]M_User!$D$12:$D$67,0),3),"UNMAPPED")</f>
        <v>Piniel Julius Singo</v>
      </c>
      <c r="E257" s="24" t="str">
        <f>IFERROR(INDEX([1]M_User!$A$12:$J$67,MATCH(C257,[1]M_User!$D$12:$D$67,0),5),"UNMAPPED")</f>
        <v>MOS</v>
      </c>
      <c r="F257" s="22" t="s">
        <v>73</v>
      </c>
      <c r="G257" s="23" t="str">
        <f>IFERROR(INDEX([1]M_SKU!$A$18:$J$57,MATCH(F257,[1]M_SKU!$B$18:$B$57,0),1),"UNKNOWN SKU")</f>
        <v>KNMW 500ml</v>
      </c>
      <c r="H257" s="22" t="s">
        <v>220</v>
      </c>
      <c r="I257" s="25">
        <f>IFERROR(INDEX([1]T_Unload!$K$10:$K$433,MATCH(B257,[1]T_Unload!$B$10:$B$433,0)),0)</f>
        <v>7</v>
      </c>
      <c r="J257" s="26">
        <v>7</v>
      </c>
      <c r="K257" s="27">
        <f t="shared" si="12"/>
        <v>0</v>
      </c>
      <c r="L257" s="28" t="str">
        <f t="shared" si="13"/>
        <v>CLEAN</v>
      </c>
      <c r="M257" s="29">
        <f t="shared" si="14"/>
        <v>0</v>
      </c>
      <c r="N257" s="29">
        <f t="shared" si="15"/>
        <v>0</v>
      </c>
      <c r="O257" s="30" t="s">
        <v>38</v>
      </c>
      <c r="P257" s="22"/>
      <c r="Q257" s="31"/>
    </row>
    <row r="258" spans="1:17" ht="15" customHeight="1">
      <c r="A258" s="32" t="s">
        <v>632</v>
      </c>
      <c r="B258" s="33" t="s">
        <v>633</v>
      </c>
      <c r="C258" s="34" t="s">
        <v>607</v>
      </c>
      <c r="D258" s="35" t="str">
        <f>IFERROR(INDEX([1]M_User!$A$12:$J$67,MATCH(C258,[1]M_User!$D$12:$D$67,0),3),"UNMAPPED")</f>
        <v>Piniel Julius Singo</v>
      </c>
      <c r="E258" s="36" t="str">
        <f>IFERROR(INDEX([1]M_User!$A$12:$J$67,MATCH(C258,[1]M_User!$D$12:$D$67,0),5),"UNMAPPED")</f>
        <v>MOS</v>
      </c>
      <c r="F258" s="34" t="s">
        <v>83</v>
      </c>
      <c r="G258" s="35" t="str">
        <f>IFERROR(INDEX([1]M_SKU!$A$18:$J$57,MATCH(F258,[1]M_SKU!$B$18:$B$57,0),1),"UNKNOWN SKU")</f>
        <v>KNMW 1500ml</v>
      </c>
      <c r="H258" s="34" t="s">
        <v>223</v>
      </c>
      <c r="I258" s="37">
        <f>IFERROR(INDEX([1]T_Unload!$K$10:$K$433,MATCH(B258,[1]T_Unload!$B$10:$B$433,0)),0)</f>
        <v>19</v>
      </c>
      <c r="J258" s="26">
        <v>19</v>
      </c>
      <c r="K258" s="38">
        <f t="shared" si="12"/>
        <v>0</v>
      </c>
      <c r="L258" s="39" t="str">
        <f t="shared" si="13"/>
        <v>CLEAN</v>
      </c>
      <c r="M258" s="40">
        <f t="shared" si="14"/>
        <v>0</v>
      </c>
      <c r="N258" s="40">
        <f t="shared" si="15"/>
        <v>0</v>
      </c>
      <c r="O258" s="41" t="s">
        <v>38</v>
      </c>
      <c r="P258" s="42"/>
      <c r="Q258" s="43"/>
    </row>
    <row r="259" spans="1:17" ht="15" customHeight="1">
      <c r="A259" s="20" t="s">
        <v>634</v>
      </c>
      <c r="B259" s="21" t="s">
        <v>635</v>
      </c>
      <c r="C259" s="22" t="s">
        <v>607</v>
      </c>
      <c r="D259" s="23" t="str">
        <f>IFERROR(INDEX([1]M_User!$A$12:$J$67,MATCH(C259,[1]M_User!$D$12:$D$67,0),3),"UNMAPPED")</f>
        <v>Piniel Julius Singo</v>
      </c>
      <c r="E259" s="24" t="str">
        <f>IFERROR(INDEX([1]M_User!$A$12:$J$67,MATCH(C259,[1]M_User!$D$12:$D$67,0),5),"UNMAPPED")</f>
        <v>MOS</v>
      </c>
      <c r="F259" s="22" t="s">
        <v>91</v>
      </c>
      <c r="G259" s="23" t="str">
        <f>IFERROR(INDEX([1]M_SKU!$A$18:$J$57,MATCH(F259,[1]M_SKU!$B$18:$B$57,0),1),"UNKNOWN SKU")</f>
        <v>Kilimanjaro Drinking Water 12000 ML</v>
      </c>
      <c r="H259" s="22" t="s">
        <v>95</v>
      </c>
      <c r="I259" s="25">
        <f>IFERROR(INDEX([1]T_Unload!$K$10:$K$433,MATCH(B259,[1]T_Unload!$B$10:$B$433,0)),0)</f>
        <v>1</v>
      </c>
      <c r="J259" s="26">
        <v>1</v>
      </c>
      <c r="K259" s="27">
        <f t="shared" si="12"/>
        <v>0</v>
      </c>
      <c r="L259" s="28" t="str">
        <f t="shared" si="13"/>
        <v>CLEAN</v>
      </c>
      <c r="M259" s="29">
        <f t="shared" si="14"/>
        <v>0</v>
      </c>
      <c r="N259" s="29">
        <f t="shared" si="15"/>
        <v>0</v>
      </c>
      <c r="O259" s="30" t="s">
        <v>38</v>
      </c>
      <c r="P259" s="22"/>
      <c r="Q259" s="31"/>
    </row>
    <row r="260" spans="1:17" ht="15" customHeight="1">
      <c r="A260" s="32" t="s">
        <v>636</v>
      </c>
      <c r="B260" s="33" t="s">
        <v>637</v>
      </c>
      <c r="C260" s="34" t="s">
        <v>607</v>
      </c>
      <c r="D260" s="35" t="str">
        <f>IFERROR(INDEX([1]M_User!$A$12:$J$67,MATCH(C260,[1]M_User!$D$12:$D$67,0),3),"UNMAPPED")</f>
        <v>Piniel Julius Singo</v>
      </c>
      <c r="E260" s="36" t="str">
        <f>IFERROR(INDEX([1]M_User!$A$12:$J$67,MATCH(C260,[1]M_User!$D$12:$D$67,0),5),"UNMAPPED")</f>
        <v>MOS</v>
      </c>
      <c r="F260" s="34" t="s">
        <v>98</v>
      </c>
      <c r="G260" s="35" t="str">
        <f>IFERROR(INDEX([1]M_SKU!$A$18:$J$57,MATCH(F260,[1]M_SKU!$B$18:$B$57,0),1),"UNKNOWN SKU")</f>
        <v>Kilimanjaro Drinking Water 18900 ML</v>
      </c>
      <c r="H260" s="34" t="s">
        <v>638</v>
      </c>
      <c r="I260" s="37">
        <f>IFERROR(INDEX([1]T_Unload!$K$10:$K$433,MATCH(B260,[1]T_Unload!$B$10:$B$433,0)),0)</f>
        <v>1</v>
      </c>
      <c r="J260" s="26">
        <v>1</v>
      </c>
      <c r="K260" s="38">
        <f t="shared" si="12"/>
        <v>0</v>
      </c>
      <c r="L260" s="39" t="str">
        <f t="shared" si="13"/>
        <v>CLEAN</v>
      </c>
      <c r="M260" s="40">
        <f t="shared" si="14"/>
        <v>0</v>
      </c>
      <c r="N260" s="40">
        <f t="shared" si="15"/>
        <v>0</v>
      </c>
      <c r="O260" s="41" t="s">
        <v>38</v>
      </c>
      <c r="P260" s="42"/>
      <c r="Q260" s="43"/>
    </row>
    <row r="261" spans="1:17" ht="15" customHeight="1">
      <c r="A261" s="20" t="s">
        <v>639</v>
      </c>
      <c r="B261" s="21" t="s">
        <v>640</v>
      </c>
      <c r="C261" s="22" t="s">
        <v>607</v>
      </c>
      <c r="D261" s="23" t="str">
        <f>IFERROR(INDEX([1]M_User!$A$12:$J$67,MATCH(C261,[1]M_User!$D$12:$D$67,0),3),"UNMAPPED")</f>
        <v>Piniel Julius Singo</v>
      </c>
      <c r="E261" s="24" t="str">
        <f>IFERROR(INDEX([1]M_User!$A$12:$J$67,MATCH(C261,[1]M_User!$D$12:$D$67,0),5),"UNMAPPED")</f>
        <v>MOS</v>
      </c>
      <c r="F261" s="22" t="s">
        <v>109</v>
      </c>
      <c r="G261" s="23" t="str">
        <f>IFERROR(INDEX([1]M_SKU!$A$18:$J$57,MATCH(F261,[1]M_SKU!$B$18:$B$57,0),1),"UNKNOWN SKU")</f>
        <v>Coke Pet 500ML ( x12)</v>
      </c>
      <c r="H261" s="22" t="s">
        <v>226</v>
      </c>
      <c r="I261" s="25">
        <f>IFERROR(INDEX([1]T_Unload!$K$10:$K$433,MATCH(B261,[1]T_Unload!$B$10:$B$433,0)),0)</f>
        <v>2</v>
      </c>
      <c r="J261" s="26">
        <v>2</v>
      </c>
      <c r="K261" s="27">
        <f t="shared" si="12"/>
        <v>0</v>
      </c>
      <c r="L261" s="28" t="str">
        <f t="shared" si="13"/>
        <v>CLEAN</v>
      </c>
      <c r="M261" s="29">
        <f t="shared" si="14"/>
        <v>0</v>
      </c>
      <c r="N261" s="29">
        <f t="shared" si="15"/>
        <v>0</v>
      </c>
      <c r="O261" s="30" t="s">
        <v>38</v>
      </c>
      <c r="P261" s="22"/>
      <c r="Q261" s="31"/>
    </row>
    <row r="262" spans="1:17" ht="15" customHeight="1">
      <c r="A262" s="32" t="s">
        <v>641</v>
      </c>
      <c r="B262" s="33" t="s">
        <v>642</v>
      </c>
      <c r="C262" s="34" t="s">
        <v>607</v>
      </c>
      <c r="D262" s="35" t="str">
        <f>IFERROR(INDEX([1]M_User!$A$12:$J$67,MATCH(C262,[1]M_User!$D$12:$D$67,0),3),"UNMAPPED")</f>
        <v>Piniel Julius Singo</v>
      </c>
      <c r="E262" s="36" t="str">
        <f>IFERROR(INDEX([1]M_User!$A$12:$J$67,MATCH(C262,[1]M_User!$D$12:$D$67,0),5),"UNMAPPED")</f>
        <v>MOS</v>
      </c>
      <c r="F262" s="34" t="s">
        <v>113</v>
      </c>
      <c r="G262" s="35" t="str">
        <f>IFERROR(INDEX([1]M_SKU!$A$18:$J$57,MATCH(F262,[1]M_SKU!$B$18:$B$57,0),1),"UNKNOWN SKU")</f>
        <v>Sprite Pet 500ML (x 12)</v>
      </c>
      <c r="H262" s="34" t="s">
        <v>114</v>
      </c>
      <c r="I262" s="37">
        <f>IFERROR(INDEX([1]T_Unload!$K$10:$K$433,MATCH(B262,[1]T_Unload!$B$10:$B$433,0)),0)</f>
        <v>0</v>
      </c>
      <c r="J262" s="26">
        <v>0</v>
      </c>
      <c r="K262" s="38">
        <f t="shared" si="12"/>
        <v>0</v>
      </c>
      <c r="L262" s="39" t="str">
        <f t="shared" si="13"/>
        <v>CLEAN</v>
      </c>
      <c r="M262" s="40">
        <f t="shared" si="14"/>
        <v>0</v>
      </c>
      <c r="N262" s="40">
        <f t="shared" si="15"/>
        <v>0</v>
      </c>
      <c r="O262" s="41" t="s">
        <v>38</v>
      </c>
      <c r="P262" s="42"/>
      <c r="Q262" s="43"/>
    </row>
    <row r="263" spans="1:17" ht="15" customHeight="1">
      <c r="A263" s="20" t="s">
        <v>643</v>
      </c>
      <c r="B263" s="21" t="s">
        <v>644</v>
      </c>
      <c r="C263" s="22" t="s">
        <v>607</v>
      </c>
      <c r="D263" s="23" t="str">
        <f>IFERROR(INDEX([1]M_User!$A$12:$J$67,MATCH(C263,[1]M_User!$D$12:$D$67,0),3),"UNMAPPED")</f>
        <v>Piniel Julius Singo</v>
      </c>
      <c r="E263" s="24" t="str">
        <f>IFERROR(INDEX([1]M_User!$A$12:$J$67,MATCH(C263,[1]M_User!$D$12:$D$67,0),5),"UNMAPPED")</f>
        <v>MOS</v>
      </c>
      <c r="F263" s="22" t="s">
        <v>117</v>
      </c>
      <c r="G263" s="23" t="str">
        <f>IFERROR(INDEX([1]M_SKU!$A$18:$J$57,MATCH(F263,[1]M_SKU!$B$18:$B$57,0),1),"UNKNOWN SKU")</f>
        <v>Fanta Orange Pet 500ML ( x 12)</v>
      </c>
      <c r="H263" s="22" t="s">
        <v>231</v>
      </c>
      <c r="I263" s="25">
        <f>IFERROR(INDEX([1]T_Unload!$K$10:$K$433,MATCH(B263,[1]T_Unload!$B$10:$B$433,0)),0)</f>
        <v>1</v>
      </c>
      <c r="J263" s="26">
        <v>1</v>
      </c>
      <c r="K263" s="27">
        <f t="shared" si="12"/>
        <v>0</v>
      </c>
      <c r="L263" s="28" t="str">
        <f t="shared" si="13"/>
        <v>CLEAN</v>
      </c>
      <c r="M263" s="29">
        <f t="shared" si="14"/>
        <v>0</v>
      </c>
      <c r="N263" s="29">
        <f t="shared" si="15"/>
        <v>0</v>
      </c>
      <c r="O263" s="30" t="s">
        <v>38</v>
      </c>
      <c r="P263" s="22"/>
      <c r="Q263" s="31"/>
    </row>
    <row r="264" spans="1:17" ht="15" customHeight="1">
      <c r="A264" s="32" t="s">
        <v>645</v>
      </c>
      <c r="B264" s="33" t="s">
        <v>646</v>
      </c>
      <c r="C264" s="34" t="s">
        <v>607</v>
      </c>
      <c r="D264" s="35" t="str">
        <f>IFERROR(INDEX([1]M_User!$A$12:$J$67,MATCH(C264,[1]M_User!$D$12:$D$67,0),3),"UNMAPPED")</f>
        <v>Piniel Julius Singo</v>
      </c>
      <c r="E264" s="36" t="str">
        <f>IFERROR(INDEX([1]M_User!$A$12:$J$67,MATCH(C264,[1]M_User!$D$12:$D$67,0),5),"UNMAPPED")</f>
        <v>MOS</v>
      </c>
      <c r="F264" s="34" t="s">
        <v>121</v>
      </c>
      <c r="G264" s="35" t="str">
        <f>IFERROR(INDEX([1]M_SKU!$A$18:$J$57,MATCH(F264,[1]M_SKU!$B$18:$B$57,0),1),"UNKNOWN SKU")</f>
        <v>Fanta Passion Pet 500ML ( x12)</v>
      </c>
      <c r="H264" s="34" t="s">
        <v>234</v>
      </c>
      <c r="I264" s="37">
        <f>IFERROR(INDEX([1]T_Unload!$K$10:$K$433,MATCH(B264,[1]T_Unload!$B$10:$B$433,0)),0)</f>
        <v>1</v>
      </c>
      <c r="J264" s="26">
        <v>1</v>
      </c>
      <c r="K264" s="38">
        <f t="shared" si="12"/>
        <v>0</v>
      </c>
      <c r="L264" s="39" t="str">
        <f t="shared" si="13"/>
        <v>CLEAN</v>
      </c>
      <c r="M264" s="40">
        <f t="shared" si="14"/>
        <v>0</v>
      </c>
      <c r="N264" s="40">
        <f t="shared" si="15"/>
        <v>0</v>
      </c>
      <c r="O264" s="41" t="s">
        <v>38</v>
      </c>
      <c r="P264" s="42"/>
      <c r="Q264" s="43"/>
    </row>
    <row r="265" spans="1:17" ht="15" customHeight="1">
      <c r="A265" s="20" t="s">
        <v>647</v>
      </c>
      <c r="B265" s="21" t="s">
        <v>648</v>
      </c>
      <c r="C265" s="22" t="s">
        <v>607</v>
      </c>
      <c r="D265" s="23" t="str">
        <f>IFERROR(INDEX([1]M_User!$A$12:$J$67,MATCH(C265,[1]M_User!$D$12:$D$67,0),3),"UNMAPPED")</f>
        <v>Piniel Julius Singo</v>
      </c>
      <c r="E265" s="24" t="str">
        <f>IFERROR(INDEX([1]M_User!$A$12:$J$67,MATCH(C265,[1]M_User!$D$12:$D$67,0),5),"UNMAPPED")</f>
        <v>MOS</v>
      </c>
      <c r="F265" s="22" t="s">
        <v>133</v>
      </c>
      <c r="G265" s="23" t="str">
        <f>IFERROR(INDEX([1]M_SKU!$A$18:$J$57,MATCH(F265,[1]M_SKU!$B$18:$B$57,0),1),"UNKNOWN SKU")</f>
        <v>Stoney Tangawizi Pet 500 ml ( x12)</v>
      </c>
      <c r="H265" s="22" t="s">
        <v>237</v>
      </c>
      <c r="I265" s="25">
        <f>IFERROR(INDEX([1]T_Unload!$K$10:$K$433,MATCH(B265,[1]T_Unload!$B$10:$B$433,0)),0)</f>
        <v>0</v>
      </c>
      <c r="J265" s="26">
        <v>0</v>
      </c>
      <c r="K265" s="27">
        <f t="shared" si="12"/>
        <v>0</v>
      </c>
      <c r="L265" s="28" t="str">
        <f t="shared" si="13"/>
        <v>CLEAN</v>
      </c>
      <c r="M265" s="29">
        <f t="shared" si="14"/>
        <v>0</v>
      </c>
      <c r="N265" s="29">
        <f t="shared" si="15"/>
        <v>0</v>
      </c>
      <c r="O265" s="30" t="s">
        <v>38</v>
      </c>
      <c r="P265" s="22"/>
      <c r="Q265" s="31"/>
    </row>
    <row r="266" spans="1:17" ht="15" customHeight="1">
      <c r="A266" s="32" t="s">
        <v>649</v>
      </c>
      <c r="B266" s="33" t="s">
        <v>650</v>
      </c>
      <c r="C266" s="34" t="s">
        <v>607</v>
      </c>
      <c r="D266" s="35" t="str">
        <f>IFERROR(INDEX([1]M_User!$A$12:$J$67,MATCH(C266,[1]M_User!$D$12:$D$67,0),3),"UNMAPPED")</f>
        <v>Piniel Julius Singo</v>
      </c>
      <c r="E266" s="36" t="str">
        <f>IFERROR(INDEX([1]M_User!$A$12:$J$67,MATCH(C266,[1]M_User!$D$12:$D$67,0),5),"UNMAPPED")</f>
        <v>MOS</v>
      </c>
      <c r="F266" s="34" t="s">
        <v>137</v>
      </c>
      <c r="G266" s="35" t="str">
        <f>IFERROR(INDEX([1]M_SKU!$A$18:$J$57,MATCH(F266,[1]M_SKU!$B$18:$B$57,0),1),"UNKNOWN SKU")</f>
        <v>Sparletta Pinenut Pet 500 ml ( x12)</v>
      </c>
      <c r="H266" s="34" t="s">
        <v>240</v>
      </c>
      <c r="I266" s="37">
        <f>IFERROR(INDEX([1]T_Unload!$K$10:$K$433,MATCH(B266,[1]T_Unload!$B$10:$B$433,0)),0)</f>
        <v>0</v>
      </c>
      <c r="J266" s="26">
        <v>0</v>
      </c>
      <c r="K266" s="38">
        <f t="shared" si="12"/>
        <v>0</v>
      </c>
      <c r="L266" s="39" t="str">
        <f t="shared" si="13"/>
        <v>CLEAN</v>
      </c>
      <c r="M266" s="40">
        <f t="shared" si="14"/>
        <v>0</v>
      </c>
      <c r="N266" s="40">
        <f t="shared" si="15"/>
        <v>0</v>
      </c>
      <c r="O266" s="41" t="s">
        <v>38</v>
      </c>
      <c r="P266" s="42"/>
      <c r="Q266" s="43"/>
    </row>
    <row r="267" spans="1:17" ht="15" customHeight="1">
      <c r="A267" s="20" t="s">
        <v>651</v>
      </c>
      <c r="B267" s="21" t="s">
        <v>652</v>
      </c>
      <c r="C267" s="22" t="s">
        <v>653</v>
      </c>
      <c r="D267" s="23" t="str">
        <f>IFERROR(INDEX([1]M_User!$A$12:$J$67,MATCH(C267,[1]M_User!$D$12:$D$67,0),3),"UNMAPPED")</f>
        <v>Raymond P Sangawe</v>
      </c>
      <c r="E267" s="24" t="str">
        <f>IFERROR(INDEX([1]M_User!$A$12:$J$67,MATCH(C267,[1]M_User!$D$12:$D$67,0),5),"UNMAPPED")</f>
        <v>MOS</v>
      </c>
      <c r="F267" s="22" t="s">
        <v>36</v>
      </c>
      <c r="G267" s="23" t="str">
        <f>IFERROR(INDEX([1]M_SKU!$A$18:$J$57,MATCH(F267,[1]M_SKU!$B$18:$B$57,0),1),"UNKNOWN SKU")</f>
        <v>Coke RGB 350ml</v>
      </c>
      <c r="H267" s="22" t="s">
        <v>180</v>
      </c>
      <c r="I267" s="25">
        <f>IFERROR(INDEX([1]T_Unload!$K$10:$K$433,MATCH(B267,[1]T_Unload!$B$10:$B$433,0)),0)</f>
        <v>10.792612934986195</v>
      </c>
      <c r="J267" s="26">
        <v>10.79</v>
      </c>
      <c r="K267" s="27">
        <f t="shared" si="12"/>
        <v>2.6129349861960804E-3</v>
      </c>
      <c r="L267" s="28" t="str">
        <f t="shared" si="13"/>
        <v>Post to Default Outlet</v>
      </c>
      <c r="M267" s="29">
        <f t="shared" si="14"/>
        <v>2.6129349861960804E-3</v>
      </c>
      <c r="N267" s="29">
        <f t="shared" si="15"/>
        <v>0</v>
      </c>
      <c r="O267" s="30" t="s">
        <v>38</v>
      </c>
      <c r="P267" s="22"/>
      <c r="Q267" s="31"/>
    </row>
    <row r="268" spans="1:17" ht="15" customHeight="1">
      <c r="A268" s="32" t="s">
        <v>654</v>
      </c>
      <c r="B268" s="33" t="s">
        <v>655</v>
      </c>
      <c r="C268" s="34" t="s">
        <v>653</v>
      </c>
      <c r="D268" s="35" t="str">
        <f>IFERROR(INDEX([1]M_User!$A$12:$J$67,MATCH(C268,[1]M_User!$D$12:$D$67,0),3),"UNMAPPED")</f>
        <v>Raymond P Sangawe</v>
      </c>
      <c r="E268" s="36" t="str">
        <f>IFERROR(INDEX([1]M_User!$A$12:$J$67,MATCH(C268,[1]M_User!$D$12:$D$67,0),5),"UNMAPPED")</f>
        <v>MOS</v>
      </c>
      <c r="F268" s="34" t="s">
        <v>41</v>
      </c>
      <c r="G268" s="35" t="str">
        <f>IFERROR(INDEX([1]M_SKU!$A$18:$J$57,MATCH(F268,[1]M_SKU!$B$18:$B$57,0),1),"UNKNOWN SKU")</f>
        <v>Fanta Orange RGB 350ml</v>
      </c>
      <c r="H268" s="34" t="s">
        <v>183</v>
      </c>
      <c r="I268" s="37">
        <f>IFERROR(INDEX([1]T_Unload!$K$10:$K$433,MATCH(B268,[1]T_Unload!$B$10:$B$433,0)),0)</f>
        <v>3.4846550723706997</v>
      </c>
      <c r="J268" s="26">
        <v>3.48</v>
      </c>
      <c r="K268" s="38">
        <f t="shared" si="12"/>
        <v>4.655072370699731E-3</v>
      </c>
      <c r="L268" s="39" t="str">
        <f t="shared" si="13"/>
        <v>Post to Default Outlet</v>
      </c>
      <c r="M268" s="40">
        <f t="shared" si="14"/>
        <v>4.655072370699731E-3</v>
      </c>
      <c r="N268" s="40">
        <f t="shared" si="15"/>
        <v>0</v>
      </c>
      <c r="O268" s="41" t="s">
        <v>38</v>
      </c>
      <c r="P268" s="42"/>
      <c r="Q268" s="43"/>
    </row>
    <row r="269" spans="1:17" ht="15" customHeight="1">
      <c r="A269" s="20" t="s">
        <v>656</v>
      </c>
      <c r="B269" s="21" t="s">
        <v>657</v>
      </c>
      <c r="C269" s="22" t="s">
        <v>653</v>
      </c>
      <c r="D269" s="23" t="str">
        <f>IFERROR(INDEX([1]M_User!$A$12:$J$67,MATCH(C269,[1]M_User!$D$12:$D$67,0),3),"UNMAPPED")</f>
        <v>Raymond P Sangawe</v>
      </c>
      <c r="E269" s="24" t="str">
        <f>IFERROR(INDEX([1]M_User!$A$12:$J$67,MATCH(C269,[1]M_User!$D$12:$D$67,0),5),"UNMAPPED")</f>
        <v>MOS</v>
      </c>
      <c r="F269" s="22" t="s">
        <v>45</v>
      </c>
      <c r="G269" s="23" t="str">
        <f>IFERROR(INDEX([1]M_SKU!$A$18:$J$57,MATCH(F269,[1]M_SKU!$B$18:$B$57,0),1),"UNKNOWN SKU")</f>
        <v>Fanta Passion RGB 350ml</v>
      </c>
      <c r="H269" s="22" t="s">
        <v>186</v>
      </c>
      <c r="I269" s="25">
        <f>IFERROR(INDEX([1]T_Unload!$K$10:$K$433,MATCH(B269,[1]T_Unload!$B$10:$B$433,0)),0)</f>
        <v>1.3001014268956794</v>
      </c>
      <c r="J269" s="26">
        <v>1.3</v>
      </c>
      <c r="K269" s="27">
        <f t="shared" ref="K269:K332" si="16">IF(ISBLANK(J269),"",I269-J269)</f>
        <v>1.0142689567937957E-4</v>
      </c>
      <c r="L269" s="28" t="str">
        <f t="shared" ref="L269:L332" si="17">IF(K269="","Awaiting Verification",IF(ABS(K269)&lt;0.0001,"CLEAN",IF(K269&gt;0,"Post to Default Outlet","Adjust Unload Upward")))</f>
        <v>Post to Default Outlet</v>
      </c>
      <c r="M269" s="29">
        <f t="shared" ref="M269:M332" si="18">IF(AND(ISNUMBER(K269),K269&gt;0.0001),K269,0)</f>
        <v>1.0142689567937957E-4</v>
      </c>
      <c r="N269" s="29">
        <f t="shared" ref="N269:N332" si="19">IF(AND(ISNUMBER(K269),K269&lt;-0.0001),-K269,0)</f>
        <v>0</v>
      </c>
      <c r="O269" s="30" t="s">
        <v>38</v>
      </c>
      <c r="P269" s="22"/>
      <c r="Q269" s="31"/>
    </row>
    <row r="270" spans="1:17" ht="15" customHeight="1">
      <c r="A270" s="32" t="s">
        <v>658</v>
      </c>
      <c r="B270" s="33" t="s">
        <v>659</v>
      </c>
      <c r="C270" s="34" t="s">
        <v>653</v>
      </c>
      <c r="D270" s="35" t="str">
        <f>IFERROR(INDEX([1]M_User!$A$12:$J$67,MATCH(C270,[1]M_User!$D$12:$D$67,0),3),"UNMAPPED")</f>
        <v>Raymond P Sangawe</v>
      </c>
      <c r="E270" s="36" t="str">
        <f>IFERROR(INDEX([1]M_User!$A$12:$J$67,MATCH(C270,[1]M_User!$D$12:$D$67,0),5),"UNMAPPED")</f>
        <v>MOS</v>
      </c>
      <c r="F270" s="34" t="s">
        <v>49</v>
      </c>
      <c r="G270" s="35" t="str">
        <f>IFERROR(INDEX([1]M_SKU!$A$18:$J$57,MATCH(F270,[1]M_SKU!$B$18:$B$57,0),1),"UNKNOWN SKU")</f>
        <v>Fanta Pineapple RGB 350ml</v>
      </c>
      <c r="H270" s="34" t="s">
        <v>189</v>
      </c>
      <c r="I270" s="37">
        <f>IFERROR(INDEX([1]T_Unload!$K$10:$K$433,MATCH(B270,[1]T_Unload!$B$10:$B$433,0)),0)</f>
        <v>1.7643569747067112</v>
      </c>
      <c r="J270" s="26">
        <v>1.76</v>
      </c>
      <c r="K270" s="38">
        <f t="shared" si="16"/>
        <v>4.3569747067111475E-3</v>
      </c>
      <c r="L270" s="39" t="str">
        <f t="shared" si="17"/>
        <v>Post to Default Outlet</v>
      </c>
      <c r="M270" s="40">
        <f t="shared" si="18"/>
        <v>4.3569747067111475E-3</v>
      </c>
      <c r="N270" s="40">
        <f t="shared" si="19"/>
        <v>0</v>
      </c>
      <c r="O270" s="41" t="s">
        <v>38</v>
      </c>
      <c r="P270" s="42"/>
      <c r="Q270" s="43"/>
    </row>
    <row r="271" spans="1:17" ht="15" customHeight="1">
      <c r="A271" s="20" t="s">
        <v>660</v>
      </c>
      <c r="B271" s="21" t="s">
        <v>661</v>
      </c>
      <c r="C271" s="22" t="s">
        <v>653</v>
      </c>
      <c r="D271" s="23" t="str">
        <f>IFERROR(INDEX([1]M_User!$A$12:$J$67,MATCH(C271,[1]M_User!$D$12:$D$67,0),3),"UNMAPPED")</f>
        <v>Raymond P Sangawe</v>
      </c>
      <c r="E271" s="24" t="str">
        <f>IFERROR(INDEX([1]M_User!$A$12:$J$67,MATCH(C271,[1]M_User!$D$12:$D$67,0),5),"UNMAPPED")</f>
        <v>MOS</v>
      </c>
      <c r="F271" s="22" t="s">
        <v>192</v>
      </c>
      <c r="G271" s="23" t="str">
        <f>IFERROR(INDEX([1]M_SKU!$A$18:$J$57,MATCH(F271,[1]M_SKU!$B$18:$B$57,0),1),"UNKNOWN SKU")</f>
        <v>Fanta Fruit Blast RGB 350 ml</v>
      </c>
      <c r="H271" s="22" t="s">
        <v>193</v>
      </c>
      <c r="I271" s="25">
        <f>IFERROR(INDEX([1]T_Unload!$K$10:$K$433,MATCH(B271,[1]T_Unload!$B$10:$B$433,0)),0)</f>
        <v>0.31098526066227006</v>
      </c>
      <c r="J271" s="26">
        <v>0.31</v>
      </c>
      <c r="K271" s="27">
        <f t="shared" si="16"/>
        <v>9.8526066227005993E-4</v>
      </c>
      <c r="L271" s="28" t="str">
        <f t="shared" si="17"/>
        <v>Post to Default Outlet</v>
      </c>
      <c r="M271" s="29">
        <f t="shared" si="18"/>
        <v>9.8526066227005993E-4</v>
      </c>
      <c r="N271" s="29">
        <f t="shared" si="19"/>
        <v>0</v>
      </c>
      <c r="O271" s="30" t="s">
        <v>38</v>
      </c>
      <c r="P271" s="22"/>
      <c r="Q271" s="31"/>
    </row>
    <row r="272" spans="1:17" ht="15" customHeight="1">
      <c r="A272" s="32" t="s">
        <v>662</v>
      </c>
      <c r="B272" s="33" t="s">
        <v>663</v>
      </c>
      <c r="C272" s="34" t="s">
        <v>653</v>
      </c>
      <c r="D272" s="35" t="str">
        <f>IFERROR(INDEX([1]M_User!$A$12:$J$67,MATCH(C272,[1]M_User!$D$12:$D$67,0),3),"UNMAPPED")</f>
        <v>Raymond P Sangawe</v>
      </c>
      <c r="E272" s="36" t="str">
        <f>IFERROR(INDEX([1]M_User!$A$12:$J$67,MATCH(C272,[1]M_User!$D$12:$D$67,0),5),"UNMAPPED")</f>
        <v>MOS</v>
      </c>
      <c r="F272" s="34" t="s">
        <v>53</v>
      </c>
      <c r="G272" s="35" t="str">
        <f>IFERROR(INDEX([1]M_SKU!$A$18:$J$57,MATCH(F272,[1]M_SKU!$B$18:$B$57,0),1),"UNKNOWN SKU")</f>
        <v>Sprite 350ml</v>
      </c>
      <c r="H272" s="34" t="s">
        <v>664</v>
      </c>
      <c r="I272" s="37">
        <f>IFERROR(INDEX([1]T_Unload!$K$10:$K$433,MATCH(B272,[1]T_Unload!$B$10:$B$433,0)),0)</f>
        <v>1.4775418349739606</v>
      </c>
      <c r="J272" s="26">
        <v>1.48</v>
      </c>
      <c r="K272" s="38">
        <f t="shared" si="16"/>
        <v>-2.4581650260393495E-3</v>
      </c>
      <c r="L272" s="39" t="str">
        <f t="shared" si="17"/>
        <v>Adjust Unload Upward</v>
      </c>
      <c r="M272" s="40">
        <f t="shared" si="18"/>
        <v>0</v>
      </c>
      <c r="N272" s="40">
        <f t="shared" si="19"/>
        <v>2.4581650260393495E-3</v>
      </c>
      <c r="O272" s="41" t="s">
        <v>38</v>
      </c>
      <c r="P272" s="42"/>
      <c r="Q272" s="43"/>
    </row>
    <row r="273" spans="1:17" ht="15" customHeight="1">
      <c r="A273" s="20" t="s">
        <v>665</v>
      </c>
      <c r="B273" s="21" t="s">
        <v>666</v>
      </c>
      <c r="C273" s="22" t="s">
        <v>653</v>
      </c>
      <c r="D273" s="23" t="str">
        <f>IFERROR(INDEX([1]M_User!$A$12:$J$67,MATCH(C273,[1]M_User!$D$12:$D$67,0),3),"UNMAPPED")</f>
        <v>Raymond P Sangawe</v>
      </c>
      <c r="E273" s="24" t="str">
        <f>IFERROR(INDEX([1]M_User!$A$12:$J$67,MATCH(C273,[1]M_User!$D$12:$D$67,0),5),"UNMAPPED")</f>
        <v>MOS</v>
      </c>
      <c r="F273" s="22" t="s">
        <v>199</v>
      </c>
      <c r="G273" s="23" t="str">
        <f>IFERROR(INDEX([1]M_SKU!$A$18:$J$57,MATCH(F273,[1]M_SKU!$B$18:$B$57,0),1),"UNKNOWN SKU")</f>
        <v>Stoney Tangawizi RGB 350ml</v>
      </c>
      <c r="H273" s="22" t="s">
        <v>200</v>
      </c>
      <c r="I273" s="25">
        <f>IFERROR(INDEX([1]T_Unload!$K$10:$K$433,MATCH(B273,[1]T_Unload!$B$10:$B$433,0)),0)</f>
        <v>0.25369226143960022</v>
      </c>
      <c r="J273" s="26">
        <v>0.25</v>
      </c>
      <c r="K273" s="27">
        <f t="shared" si="16"/>
        <v>3.6922614396002196E-3</v>
      </c>
      <c r="L273" s="28" t="str">
        <f t="shared" si="17"/>
        <v>Post to Default Outlet</v>
      </c>
      <c r="M273" s="29">
        <f t="shared" si="18"/>
        <v>3.6922614396002196E-3</v>
      </c>
      <c r="N273" s="29">
        <f t="shared" si="19"/>
        <v>0</v>
      </c>
      <c r="O273" s="30" t="s">
        <v>38</v>
      </c>
      <c r="P273" s="22"/>
      <c r="Q273" s="31"/>
    </row>
    <row r="274" spans="1:17" ht="15" customHeight="1">
      <c r="A274" s="32" t="s">
        <v>667</v>
      </c>
      <c r="B274" s="33" t="s">
        <v>668</v>
      </c>
      <c r="C274" s="34" t="s">
        <v>653</v>
      </c>
      <c r="D274" s="35" t="str">
        <f>IFERROR(INDEX([1]M_User!$A$12:$J$67,MATCH(C274,[1]M_User!$D$12:$D$67,0),3),"UNMAPPED")</f>
        <v>Raymond P Sangawe</v>
      </c>
      <c r="E274" s="36" t="str">
        <f>IFERROR(INDEX([1]M_User!$A$12:$J$67,MATCH(C274,[1]M_User!$D$12:$D$67,0),5),"UNMAPPED")</f>
        <v>MOS</v>
      </c>
      <c r="F274" s="34" t="s">
        <v>203</v>
      </c>
      <c r="G274" s="35" t="str">
        <f>IFERROR(INDEX([1]M_SKU!$A$18:$J$57,MATCH(F274,[1]M_SKU!$B$18:$B$57,0),1),"UNKNOWN SKU")</f>
        <v>Sparletta Pinenut RGB 350ml</v>
      </c>
      <c r="H274" s="34" t="s">
        <v>204</v>
      </c>
      <c r="I274" s="37">
        <f>IFERROR(INDEX([1]T_Unload!$K$10:$K$433,MATCH(B274,[1]T_Unload!$B$10:$B$433,0)),0)</f>
        <v>0.72229033952053623</v>
      </c>
      <c r="J274" s="26">
        <v>0.72</v>
      </c>
      <c r="K274" s="38">
        <f t="shared" si="16"/>
        <v>2.2903395205362553E-3</v>
      </c>
      <c r="L274" s="39" t="str">
        <f t="shared" si="17"/>
        <v>Post to Default Outlet</v>
      </c>
      <c r="M274" s="40">
        <f t="shared" si="18"/>
        <v>2.2903395205362553E-3</v>
      </c>
      <c r="N274" s="40">
        <f t="shared" si="19"/>
        <v>0</v>
      </c>
      <c r="O274" s="41" t="s">
        <v>38</v>
      </c>
      <c r="P274" s="42"/>
      <c r="Q274" s="43"/>
    </row>
    <row r="275" spans="1:17" ht="15" customHeight="1">
      <c r="A275" s="20" t="s">
        <v>669</v>
      </c>
      <c r="B275" s="21" t="s">
        <v>670</v>
      </c>
      <c r="C275" s="22" t="s">
        <v>653</v>
      </c>
      <c r="D275" s="23" t="str">
        <f>IFERROR(INDEX([1]M_User!$A$12:$J$67,MATCH(C275,[1]M_User!$D$12:$D$67,0),3),"UNMAPPED")</f>
        <v>Raymond P Sangawe</v>
      </c>
      <c r="E275" s="24" t="str">
        <f>IFERROR(INDEX([1]M_User!$A$12:$J$67,MATCH(C275,[1]M_User!$D$12:$D$67,0),5),"UNMAPPED")</f>
        <v>MOS</v>
      </c>
      <c r="F275" s="22" t="s">
        <v>57</v>
      </c>
      <c r="G275" s="23" t="str">
        <f>IFERROR(INDEX([1]M_SKU!$A$18:$J$57,MATCH(F275,[1]M_SKU!$B$18:$B$57,0),1),"UNKNOWN SKU")</f>
        <v>Krest Bitter Lemon RGB 300ml</v>
      </c>
      <c r="H275" s="22" t="s">
        <v>58</v>
      </c>
      <c r="I275" s="25">
        <f>IFERROR(INDEX([1]T_Unload!$K$10:$K$433,MATCH(B275,[1]T_Unload!$B$10:$B$433,0)),0)</f>
        <v>0.39623283877204907</v>
      </c>
      <c r="J275" s="26">
        <v>0.4</v>
      </c>
      <c r="K275" s="27">
        <f t="shared" si="16"/>
        <v>-3.7671612279509548E-3</v>
      </c>
      <c r="L275" s="28" t="str">
        <f t="shared" si="17"/>
        <v>Adjust Unload Upward</v>
      </c>
      <c r="M275" s="29">
        <f t="shared" si="18"/>
        <v>0</v>
      </c>
      <c r="N275" s="29">
        <f t="shared" si="19"/>
        <v>3.7671612279509548E-3</v>
      </c>
      <c r="O275" s="30" t="s">
        <v>38</v>
      </c>
      <c r="P275" s="22"/>
      <c r="Q275" s="31"/>
    </row>
    <row r="276" spans="1:17" ht="15" customHeight="1">
      <c r="A276" s="32" t="s">
        <v>671</v>
      </c>
      <c r="B276" s="33" t="s">
        <v>672</v>
      </c>
      <c r="C276" s="34" t="s">
        <v>653</v>
      </c>
      <c r="D276" s="35" t="str">
        <f>IFERROR(INDEX([1]M_User!$A$12:$J$67,MATCH(C276,[1]M_User!$D$12:$D$67,0),3),"UNMAPPED")</f>
        <v>Raymond P Sangawe</v>
      </c>
      <c r="E276" s="36" t="str">
        <f>IFERROR(INDEX([1]M_User!$A$12:$J$67,MATCH(C276,[1]M_User!$D$12:$D$67,0),5),"UNMAPPED")</f>
        <v>MOS</v>
      </c>
      <c r="F276" s="34" t="s">
        <v>61</v>
      </c>
      <c r="G276" s="35" t="str">
        <f>IFERROR(INDEX([1]M_SKU!$A$18:$J$57,MATCH(F276,[1]M_SKU!$B$18:$B$57,0),1),"UNKNOWN SKU")</f>
        <v>Krest Club Soda RGB 300ml</v>
      </c>
      <c r="H276" s="34" t="s">
        <v>62</v>
      </c>
      <c r="I276" s="37">
        <f>IFERROR(INDEX([1]T_Unload!$K$10:$K$433,MATCH(B276,[1]T_Unload!$B$10:$B$433,0)),0)</f>
        <v>0.41727950704083394</v>
      </c>
      <c r="J276" s="26">
        <v>0.42</v>
      </c>
      <c r="K276" s="38">
        <f t="shared" si="16"/>
        <v>-2.7204929591660432E-3</v>
      </c>
      <c r="L276" s="39" t="str">
        <f t="shared" si="17"/>
        <v>Adjust Unload Upward</v>
      </c>
      <c r="M276" s="40">
        <f t="shared" si="18"/>
        <v>0</v>
      </c>
      <c r="N276" s="40">
        <f t="shared" si="19"/>
        <v>2.7204929591660432E-3</v>
      </c>
      <c r="O276" s="41" t="s">
        <v>38</v>
      </c>
      <c r="P276" s="42"/>
      <c r="Q276" s="43"/>
    </row>
    <row r="277" spans="1:17" ht="15" customHeight="1">
      <c r="A277" s="20" t="s">
        <v>673</v>
      </c>
      <c r="B277" s="21" t="s">
        <v>674</v>
      </c>
      <c r="C277" s="22" t="s">
        <v>653</v>
      </c>
      <c r="D277" s="23" t="str">
        <f>IFERROR(INDEX([1]M_User!$A$12:$J$67,MATCH(C277,[1]M_User!$D$12:$D$67,0),3),"UNMAPPED")</f>
        <v>Raymond P Sangawe</v>
      </c>
      <c r="E277" s="24" t="str">
        <f>IFERROR(INDEX([1]M_User!$A$12:$J$67,MATCH(C277,[1]M_User!$D$12:$D$67,0),5),"UNMAPPED")</f>
        <v>MOS</v>
      </c>
      <c r="F277" s="22" t="s">
        <v>65</v>
      </c>
      <c r="G277" s="23" t="str">
        <f>IFERROR(INDEX([1]M_SKU!$A$18:$J$57,MATCH(F277,[1]M_SKU!$B$18:$B$57,0),1),"UNKNOWN SKU")</f>
        <v>Krest Tonic Water RGB 300ml</v>
      </c>
      <c r="H277" s="22" t="s">
        <v>211</v>
      </c>
      <c r="I277" s="25">
        <f>IFERROR(INDEX([1]T_Unload!$K$10:$K$433,MATCH(B277,[1]T_Unload!$B$10:$B$433,0)),0)</f>
        <v>0.27603239936279511</v>
      </c>
      <c r="J277" s="26">
        <v>0.28000000000000003</v>
      </c>
      <c r="K277" s="27">
        <f t="shared" si="16"/>
        <v>-3.9676006372049155E-3</v>
      </c>
      <c r="L277" s="28" t="str">
        <f t="shared" si="17"/>
        <v>Adjust Unload Upward</v>
      </c>
      <c r="M277" s="29">
        <f t="shared" si="18"/>
        <v>0</v>
      </c>
      <c r="N277" s="29">
        <f t="shared" si="19"/>
        <v>3.9676006372049155E-3</v>
      </c>
      <c r="O277" s="30" t="s">
        <v>38</v>
      </c>
      <c r="P277" s="22"/>
      <c r="Q277" s="31"/>
    </row>
    <row r="278" spans="1:17" ht="15" customHeight="1">
      <c r="A278" s="32" t="s">
        <v>675</v>
      </c>
      <c r="B278" s="33" t="s">
        <v>676</v>
      </c>
      <c r="C278" s="34" t="s">
        <v>653</v>
      </c>
      <c r="D278" s="35" t="str">
        <f>IFERROR(INDEX([1]M_User!$A$12:$J$67,MATCH(C278,[1]M_User!$D$12:$D$67,0),3),"UNMAPPED")</f>
        <v>Raymond P Sangawe</v>
      </c>
      <c r="E278" s="36" t="str">
        <f>IFERROR(INDEX([1]M_User!$A$12:$J$67,MATCH(C278,[1]M_User!$D$12:$D$67,0),5),"UNMAPPED")</f>
        <v>MOS</v>
      </c>
      <c r="F278" s="34" t="s">
        <v>69</v>
      </c>
      <c r="G278" s="35" t="str">
        <f>IFERROR(INDEX([1]M_SKU!$A$18:$J$57,MATCH(F278,[1]M_SKU!$B$18:$B$57,0),1),"UNKNOWN SKU")</f>
        <v>Krest Ginger Ale RGB 300ml</v>
      </c>
      <c r="H278" s="34" t="s">
        <v>70</v>
      </c>
      <c r="I278" s="37">
        <f>IFERROR(INDEX([1]T_Unload!$K$10:$K$433,MATCH(B278,[1]T_Unload!$B$10:$B$433,0)),0)</f>
        <v>0.27447486145900024</v>
      </c>
      <c r="J278" s="26">
        <v>0.27</v>
      </c>
      <c r="K278" s="38">
        <f t="shared" si="16"/>
        <v>4.4748614590002234E-3</v>
      </c>
      <c r="L278" s="39" t="str">
        <f t="shared" si="17"/>
        <v>Post to Default Outlet</v>
      </c>
      <c r="M278" s="40">
        <f t="shared" si="18"/>
        <v>4.4748614590002234E-3</v>
      </c>
      <c r="N278" s="40">
        <f t="shared" si="19"/>
        <v>0</v>
      </c>
      <c r="O278" s="41" t="s">
        <v>38</v>
      </c>
      <c r="P278" s="42"/>
      <c r="Q278" s="43"/>
    </row>
    <row r="279" spans="1:17" ht="15" customHeight="1">
      <c r="A279" s="20" t="s">
        <v>677</v>
      </c>
      <c r="B279" s="21" t="s">
        <v>678</v>
      </c>
      <c r="C279" s="22" t="s">
        <v>653</v>
      </c>
      <c r="D279" s="23" t="str">
        <f>IFERROR(INDEX([1]M_User!$A$12:$J$67,MATCH(C279,[1]M_User!$D$12:$D$67,0),3),"UNMAPPED")</f>
        <v>Raymond P Sangawe</v>
      </c>
      <c r="E279" s="24" t="str">
        <f>IFERROR(INDEX([1]M_User!$A$12:$J$67,MATCH(C279,[1]M_User!$D$12:$D$67,0),5),"UNMAPPED")</f>
        <v>MOS</v>
      </c>
      <c r="F279" s="22" t="s">
        <v>216</v>
      </c>
      <c r="G279" s="23" t="str">
        <f>IFERROR(INDEX([1]M_SKU!$A$18:$J$57,MATCH(F279,[1]M_SKU!$B$18:$B$57,0),1),"UNKNOWN SKU")</f>
        <v>Sparletta Red Apple RGB 350ml</v>
      </c>
      <c r="H279" s="22" t="s">
        <v>217</v>
      </c>
      <c r="I279" s="25">
        <f>IFERROR(INDEX([1]T_Unload!$K$10:$K$433,MATCH(B279,[1]T_Unload!$B$10:$B$433,0)),0)</f>
        <v>0.40817839684587698</v>
      </c>
      <c r="J279" s="26">
        <v>0.41</v>
      </c>
      <c r="K279" s="27">
        <f t="shared" si="16"/>
        <v>-1.8216031541229971E-3</v>
      </c>
      <c r="L279" s="28" t="str">
        <f t="shared" si="17"/>
        <v>Adjust Unload Upward</v>
      </c>
      <c r="M279" s="29">
        <f t="shared" si="18"/>
        <v>0</v>
      </c>
      <c r="N279" s="29">
        <f t="shared" si="19"/>
        <v>1.8216031541229971E-3</v>
      </c>
      <c r="O279" s="30" t="s">
        <v>38</v>
      </c>
      <c r="P279" s="22"/>
      <c r="Q279" s="31"/>
    </row>
    <row r="280" spans="1:17" ht="15" customHeight="1">
      <c r="A280" s="32" t="s">
        <v>679</v>
      </c>
      <c r="B280" s="33" t="s">
        <v>680</v>
      </c>
      <c r="C280" s="34" t="s">
        <v>653</v>
      </c>
      <c r="D280" s="35" t="str">
        <f>IFERROR(INDEX([1]M_User!$A$12:$J$67,MATCH(C280,[1]M_User!$D$12:$D$67,0),3),"UNMAPPED")</f>
        <v>Raymond P Sangawe</v>
      </c>
      <c r="E280" s="36" t="str">
        <f>IFERROR(INDEX([1]M_User!$A$12:$J$67,MATCH(C280,[1]M_User!$D$12:$D$67,0),5),"UNMAPPED")</f>
        <v>MOS</v>
      </c>
      <c r="F280" s="34" t="s">
        <v>73</v>
      </c>
      <c r="G280" s="35" t="str">
        <f>IFERROR(INDEX([1]M_SKU!$A$18:$J$57,MATCH(F280,[1]M_SKU!$B$18:$B$57,0),1),"UNKNOWN SKU")</f>
        <v>KNMW 500ml</v>
      </c>
      <c r="H280" s="34" t="s">
        <v>220</v>
      </c>
      <c r="I280" s="37">
        <f>IFERROR(INDEX([1]T_Unload!$K$10:$K$433,MATCH(B280,[1]T_Unload!$B$10:$B$433,0)),0)</f>
        <v>6</v>
      </c>
      <c r="J280" s="26">
        <v>6</v>
      </c>
      <c r="K280" s="38">
        <f t="shared" si="16"/>
        <v>0</v>
      </c>
      <c r="L280" s="39" t="str">
        <f t="shared" si="17"/>
        <v>CLEAN</v>
      </c>
      <c r="M280" s="40">
        <f t="shared" si="18"/>
        <v>0</v>
      </c>
      <c r="N280" s="40">
        <f t="shared" si="19"/>
        <v>0</v>
      </c>
      <c r="O280" s="41" t="s">
        <v>38</v>
      </c>
      <c r="P280" s="42"/>
      <c r="Q280" s="43"/>
    </row>
    <row r="281" spans="1:17" ht="15" customHeight="1">
      <c r="A281" s="20" t="s">
        <v>681</v>
      </c>
      <c r="B281" s="21" t="s">
        <v>682</v>
      </c>
      <c r="C281" s="22" t="s">
        <v>653</v>
      </c>
      <c r="D281" s="23" t="str">
        <f>IFERROR(INDEX([1]M_User!$A$12:$J$67,MATCH(C281,[1]M_User!$D$12:$D$67,0),3),"UNMAPPED")</f>
        <v>Raymond P Sangawe</v>
      </c>
      <c r="E281" s="24" t="str">
        <f>IFERROR(INDEX([1]M_User!$A$12:$J$67,MATCH(C281,[1]M_User!$D$12:$D$67,0),5),"UNMAPPED")</f>
        <v>MOS</v>
      </c>
      <c r="F281" s="22" t="s">
        <v>83</v>
      </c>
      <c r="G281" s="23" t="str">
        <f>IFERROR(INDEX([1]M_SKU!$A$18:$J$57,MATCH(F281,[1]M_SKU!$B$18:$B$57,0),1),"UNKNOWN SKU")</f>
        <v>KNMW 1500ml</v>
      </c>
      <c r="H281" s="22" t="s">
        <v>223</v>
      </c>
      <c r="I281" s="25">
        <f>IFERROR(INDEX([1]T_Unload!$K$10:$K$433,MATCH(B281,[1]T_Unload!$B$10:$B$433,0)),0)</f>
        <v>22</v>
      </c>
      <c r="J281" s="26">
        <v>22</v>
      </c>
      <c r="K281" s="27">
        <f t="shared" si="16"/>
        <v>0</v>
      </c>
      <c r="L281" s="28" t="str">
        <f t="shared" si="17"/>
        <v>CLEAN</v>
      </c>
      <c r="M281" s="29">
        <f t="shared" si="18"/>
        <v>0</v>
      </c>
      <c r="N281" s="29">
        <f t="shared" si="19"/>
        <v>0</v>
      </c>
      <c r="O281" s="30" t="s">
        <v>38</v>
      </c>
      <c r="P281" s="22"/>
      <c r="Q281" s="31"/>
    </row>
    <row r="282" spans="1:17" ht="15" customHeight="1">
      <c r="A282" s="32" t="s">
        <v>683</v>
      </c>
      <c r="B282" s="33" t="s">
        <v>684</v>
      </c>
      <c r="C282" s="34" t="s">
        <v>653</v>
      </c>
      <c r="D282" s="35" t="str">
        <f>IFERROR(INDEX([1]M_User!$A$12:$J$67,MATCH(C282,[1]M_User!$D$12:$D$67,0),3),"UNMAPPED")</f>
        <v>Raymond P Sangawe</v>
      </c>
      <c r="E282" s="36" t="str">
        <f>IFERROR(INDEX([1]M_User!$A$12:$J$67,MATCH(C282,[1]M_User!$D$12:$D$67,0),5),"UNMAPPED")</f>
        <v>MOS</v>
      </c>
      <c r="F282" s="34" t="s">
        <v>109</v>
      </c>
      <c r="G282" s="35" t="str">
        <f>IFERROR(INDEX([1]M_SKU!$A$18:$J$57,MATCH(F282,[1]M_SKU!$B$18:$B$57,0),1),"UNKNOWN SKU")</f>
        <v>Coke Pet 500ML ( x12)</v>
      </c>
      <c r="H282" s="34" t="s">
        <v>226</v>
      </c>
      <c r="I282" s="37">
        <f>IFERROR(INDEX([1]T_Unload!$K$10:$K$433,MATCH(B282,[1]T_Unload!$B$10:$B$433,0)),0)</f>
        <v>4</v>
      </c>
      <c r="J282" s="26">
        <v>4</v>
      </c>
      <c r="K282" s="38">
        <f t="shared" si="16"/>
        <v>0</v>
      </c>
      <c r="L282" s="39" t="str">
        <f t="shared" si="17"/>
        <v>CLEAN</v>
      </c>
      <c r="M282" s="40">
        <f t="shared" si="18"/>
        <v>0</v>
      </c>
      <c r="N282" s="40">
        <f t="shared" si="19"/>
        <v>0</v>
      </c>
      <c r="O282" s="41" t="s">
        <v>38</v>
      </c>
      <c r="P282" s="42"/>
      <c r="Q282" s="43"/>
    </row>
    <row r="283" spans="1:17" ht="15" customHeight="1">
      <c r="A283" s="20" t="s">
        <v>685</v>
      </c>
      <c r="B283" s="21" t="s">
        <v>686</v>
      </c>
      <c r="C283" s="22" t="s">
        <v>653</v>
      </c>
      <c r="D283" s="23" t="str">
        <f>IFERROR(INDEX([1]M_User!$A$12:$J$67,MATCH(C283,[1]M_User!$D$12:$D$67,0),3),"UNMAPPED")</f>
        <v>Raymond P Sangawe</v>
      </c>
      <c r="E283" s="24" t="str">
        <f>IFERROR(INDEX([1]M_User!$A$12:$J$67,MATCH(C283,[1]M_User!$D$12:$D$67,0),5),"UNMAPPED")</f>
        <v>MOS</v>
      </c>
      <c r="F283" s="22" t="s">
        <v>113</v>
      </c>
      <c r="G283" s="23" t="str">
        <f>IFERROR(INDEX([1]M_SKU!$A$18:$J$57,MATCH(F283,[1]M_SKU!$B$18:$B$57,0),1),"UNKNOWN SKU")</f>
        <v>Sprite Pet 500ML (x 12)</v>
      </c>
      <c r="H283" s="22" t="s">
        <v>114</v>
      </c>
      <c r="I283" s="25">
        <f>IFERROR(INDEX([1]T_Unload!$K$10:$K$433,MATCH(B283,[1]T_Unload!$B$10:$B$433,0)),0)</f>
        <v>1</v>
      </c>
      <c r="J283" s="26">
        <v>1</v>
      </c>
      <c r="K283" s="27">
        <f t="shared" si="16"/>
        <v>0</v>
      </c>
      <c r="L283" s="28" t="str">
        <f t="shared" si="17"/>
        <v>CLEAN</v>
      </c>
      <c r="M283" s="29">
        <f t="shared" si="18"/>
        <v>0</v>
      </c>
      <c r="N283" s="29">
        <f t="shared" si="19"/>
        <v>0</v>
      </c>
      <c r="O283" s="30" t="s">
        <v>38</v>
      </c>
      <c r="P283" s="22"/>
      <c r="Q283" s="31"/>
    </row>
    <row r="284" spans="1:17" ht="15" customHeight="1">
      <c r="A284" s="32" t="s">
        <v>687</v>
      </c>
      <c r="B284" s="33" t="s">
        <v>688</v>
      </c>
      <c r="C284" s="34" t="s">
        <v>653</v>
      </c>
      <c r="D284" s="35" t="str">
        <f>IFERROR(INDEX([1]M_User!$A$12:$J$67,MATCH(C284,[1]M_User!$D$12:$D$67,0),3),"UNMAPPED")</f>
        <v>Raymond P Sangawe</v>
      </c>
      <c r="E284" s="36" t="str">
        <f>IFERROR(INDEX([1]M_User!$A$12:$J$67,MATCH(C284,[1]M_User!$D$12:$D$67,0),5),"UNMAPPED")</f>
        <v>MOS</v>
      </c>
      <c r="F284" s="34" t="s">
        <v>117</v>
      </c>
      <c r="G284" s="35" t="str">
        <f>IFERROR(INDEX([1]M_SKU!$A$18:$J$57,MATCH(F284,[1]M_SKU!$B$18:$B$57,0),1),"UNKNOWN SKU")</f>
        <v>Fanta Orange Pet 500ML ( x 12)</v>
      </c>
      <c r="H284" s="34" t="s">
        <v>231</v>
      </c>
      <c r="I284" s="37">
        <f>IFERROR(INDEX([1]T_Unload!$K$10:$K$433,MATCH(B284,[1]T_Unload!$B$10:$B$433,0)),0)</f>
        <v>2</v>
      </c>
      <c r="J284" s="26">
        <v>2</v>
      </c>
      <c r="K284" s="38">
        <f t="shared" si="16"/>
        <v>0</v>
      </c>
      <c r="L284" s="39" t="str">
        <f t="shared" si="17"/>
        <v>CLEAN</v>
      </c>
      <c r="M284" s="40">
        <f t="shared" si="18"/>
        <v>0</v>
      </c>
      <c r="N284" s="40">
        <f t="shared" si="19"/>
        <v>0</v>
      </c>
      <c r="O284" s="41" t="s">
        <v>38</v>
      </c>
      <c r="P284" s="42"/>
      <c r="Q284" s="43"/>
    </row>
    <row r="285" spans="1:17" ht="15" customHeight="1">
      <c r="A285" s="20" t="s">
        <v>689</v>
      </c>
      <c r="B285" s="21" t="s">
        <v>690</v>
      </c>
      <c r="C285" s="22" t="s">
        <v>653</v>
      </c>
      <c r="D285" s="23" t="str">
        <f>IFERROR(INDEX([1]M_User!$A$12:$J$67,MATCH(C285,[1]M_User!$D$12:$D$67,0),3),"UNMAPPED")</f>
        <v>Raymond P Sangawe</v>
      </c>
      <c r="E285" s="24" t="str">
        <f>IFERROR(INDEX([1]M_User!$A$12:$J$67,MATCH(C285,[1]M_User!$D$12:$D$67,0),5),"UNMAPPED")</f>
        <v>MOS</v>
      </c>
      <c r="F285" s="22" t="s">
        <v>121</v>
      </c>
      <c r="G285" s="23" t="str">
        <f>IFERROR(INDEX([1]M_SKU!$A$18:$J$57,MATCH(F285,[1]M_SKU!$B$18:$B$57,0),1),"UNKNOWN SKU")</f>
        <v>Fanta Passion Pet 500ML ( x12)</v>
      </c>
      <c r="H285" s="22" t="s">
        <v>234</v>
      </c>
      <c r="I285" s="25">
        <f>IFERROR(INDEX([1]T_Unload!$K$10:$K$433,MATCH(B285,[1]T_Unload!$B$10:$B$433,0)),0)</f>
        <v>1</v>
      </c>
      <c r="J285" s="26">
        <v>1</v>
      </c>
      <c r="K285" s="27">
        <f t="shared" si="16"/>
        <v>0</v>
      </c>
      <c r="L285" s="28" t="str">
        <f t="shared" si="17"/>
        <v>CLEAN</v>
      </c>
      <c r="M285" s="29">
        <f t="shared" si="18"/>
        <v>0</v>
      </c>
      <c r="N285" s="29">
        <f t="shared" si="19"/>
        <v>0</v>
      </c>
      <c r="O285" s="30" t="s">
        <v>38</v>
      </c>
      <c r="P285" s="22"/>
      <c r="Q285" s="31"/>
    </row>
    <row r="286" spans="1:17" ht="15" customHeight="1">
      <c r="A286" s="32" t="s">
        <v>691</v>
      </c>
      <c r="B286" s="33" t="s">
        <v>692</v>
      </c>
      <c r="C286" s="34" t="s">
        <v>653</v>
      </c>
      <c r="D286" s="35" t="str">
        <f>IFERROR(INDEX([1]M_User!$A$12:$J$67,MATCH(C286,[1]M_User!$D$12:$D$67,0),3),"UNMAPPED")</f>
        <v>Raymond P Sangawe</v>
      </c>
      <c r="E286" s="36" t="str">
        <f>IFERROR(INDEX([1]M_User!$A$12:$J$67,MATCH(C286,[1]M_User!$D$12:$D$67,0),5),"UNMAPPED")</f>
        <v>MOS</v>
      </c>
      <c r="F286" s="34" t="s">
        <v>133</v>
      </c>
      <c r="G286" s="35" t="str">
        <f>IFERROR(INDEX([1]M_SKU!$A$18:$J$57,MATCH(F286,[1]M_SKU!$B$18:$B$57,0),1),"UNKNOWN SKU")</f>
        <v>Stoney Tangawizi Pet 500 ml ( x12)</v>
      </c>
      <c r="H286" s="34" t="s">
        <v>237</v>
      </c>
      <c r="I286" s="37">
        <f>IFERROR(INDEX([1]T_Unload!$K$10:$K$433,MATCH(B286,[1]T_Unload!$B$10:$B$433,0)),0)</f>
        <v>0</v>
      </c>
      <c r="J286" s="26">
        <v>0</v>
      </c>
      <c r="K286" s="38">
        <f t="shared" si="16"/>
        <v>0</v>
      </c>
      <c r="L286" s="39" t="str">
        <f t="shared" si="17"/>
        <v>CLEAN</v>
      </c>
      <c r="M286" s="40">
        <f t="shared" si="18"/>
        <v>0</v>
      </c>
      <c r="N286" s="40">
        <f t="shared" si="19"/>
        <v>0</v>
      </c>
      <c r="O286" s="41" t="s">
        <v>38</v>
      </c>
      <c r="P286" s="42"/>
      <c r="Q286" s="43"/>
    </row>
    <row r="287" spans="1:17" ht="15" customHeight="1">
      <c r="A287" s="20" t="s">
        <v>693</v>
      </c>
      <c r="B287" s="21" t="s">
        <v>694</v>
      </c>
      <c r="C287" s="22" t="s">
        <v>653</v>
      </c>
      <c r="D287" s="23" t="str">
        <f>IFERROR(INDEX([1]M_User!$A$12:$J$67,MATCH(C287,[1]M_User!$D$12:$D$67,0),3),"UNMAPPED")</f>
        <v>Raymond P Sangawe</v>
      </c>
      <c r="E287" s="24" t="str">
        <f>IFERROR(INDEX([1]M_User!$A$12:$J$67,MATCH(C287,[1]M_User!$D$12:$D$67,0),5),"UNMAPPED")</f>
        <v>MOS</v>
      </c>
      <c r="F287" s="22" t="s">
        <v>137</v>
      </c>
      <c r="G287" s="23" t="str">
        <f>IFERROR(INDEX([1]M_SKU!$A$18:$J$57,MATCH(F287,[1]M_SKU!$B$18:$B$57,0),1),"UNKNOWN SKU")</f>
        <v>Sparletta Pinenut Pet 500 ml ( x12)</v>
      </c>
      <c r="H287" s="22" t="s">
        <v>240</v>
      </c>
      <c r="I287" s="25">
        <f>IFERROR(INDEX([1]T_Unload!$K$10:$K$433,MATCH(B287,[1]T_Unload!$B$10:$B$433,0)),0)</f>
        <v>0</v>
      </c>
      <c r="J287" s="26">
        <v>0</v>
      </c>
      <c r="K287" s="27">
        <f t="shared" si="16"/>
        <v>0</v>
      </c>
      <c r="L287" s="28" t="str">
        <f t="shared" si="17"/>
        <v>CLEAN</v>
      </c>
      <c r="M287" s="29">
        <f t="shared" si="18"/>
        <v>0</v>
      </c>
      <c r="N287" s="29">
        <f t="shared" si="19"/>
        <v>0</v>
      </c>
      <c r="O287" s="30" t="s">
        <v>38</v>
      </c>
      <c r="P287" s="22"/>
      <c r="Q287" s="31"/>
    </row>
    <row r="288" spans="1:17" ht="15" customHeight="1">
      <c r="A288" s="32" t="s">
        <v>695</v>
      </c>
      <c r="B288" s="33" t="s">
        <v>696</v>
      </c>
      <c r="C288" s="34" t="s">
        <v>653</v>
      </c>
      <c r="D288" s="35" t="str">
        <f>IFERROR(INDEX([1]M_User!$A$12:$J$67,MATCH(C288,[1]M_User!$D$12:$D$67,0),3),"UNMAPPED")</f>
        <v>Raymond P Sangawe</v>
      </c>
      <c r="E288" s="36" t="str">
        <f>IFERROR(INDEX([1]M_User!$A$12:$J$67,MATCH(C288,[1]M_User!$D$12:$D$67,0),5),"UNMAPPED")</f>
        <v>MOS</v>
      </c>
      <c r="F288" s="34" t="s">
        <v>243</v>
      </c>
      <c r="G288" s="35" t="str">
        <f>IFERROR(INDEX([1]M_SKU!$A$18:$J$57,MATCH(F288,[1]M_SKU!$B$18:$B$57,0),1),"UNKNOWN SKU")</f>
        <v>Sprite Zero Pet 300ML (x 12)</v>
      </c>
      <c r="H288" s="34" t="s">
        <v>244</v>
      </c>
      <c r="I288" s="37">
        <f>IFERROR(INDEX([1]T_Unload!$K$10:$K$433,MATCH(B288,[1]T_Unload!$B$10:$B$433,0)),0)</f>
        <v>0</v>
      </c>
      <c r="J288" s="26">
        <v>0</v>
      </c>
      <c r="K288" s="38">
        <f t="shared" si="16"/>
        <v>0</v>
      </c>
      <c r="L288" s="39" t="str">
        <f t="shared" si="17"/>
        <v>CLEAN</v>
      </c>
      <c r="M288" s="40">
        <f t="shared" si="18"/>
        <v>0</v>
      </c>
      <c r="N288" s="40">
        <f t="shared" si="19"/>
        <v>0</v>
      </c>
      <c r="O288" s="41" t="s">
        <v>38</v>
      </c>
      <c r="P288" s="42"/>
      <c r="Q288" s="43"/>
    </row>
    <row r="289" spans="1:17" ht="15" customHeight="1">
      <c r="A289" s="20" t="s">
        <v>697</v>
      </c>
      <c r="B289" s="21" t="s">
        <v>698</v>
      </c>
      <c r="C289" s="22" t="s">
        <v>653</v>
      </c>
      <c r="D289" s="23" t="str">
        <f>IFERROR(INDEX([1]M_User!$A$12:$J$67,MATCH(C289,[1]M_User!$D$12:$D$67,0),3),"UNMAPPED")</f>
        <v>Raymond P Sangawe</v>
      </c>
      <c r="E289" s="24" t="str">
        <f>IFERROR(INDEX([1]M_User!$A$12:$J$67,MATCH(C289,[1]M_User!$D$12:$D$67,0),5),"UNMAPPED")</f>
        <v>MOS</v>
      </c>
      <c r="F289" s="22" t="s">
        <v>148</v>
      </c>
      <c r="G289" s="23" t="str">
        <f>IFERROR(INDEX([1]M_SKU!$A$18:$J$57,MATCH(F289,[1]M_SKU!$B$18:$B$57,0),1),"UNKNOWN SKU")</f>
        <v>Fanta Zero Pet 300ML (x 12)</v>
      </c>
      <c r="H289" s="22" t="s">
        <v>149</v>
      </c>
      <c r="I289" s="25">
        <f>IFERROR(INDEX([1]T_Unload!$K$10:$K$433,MATCH(B289,[1]T_Unload!$B$10:$B$433,0)),0)</f>
        <v>0</v>
      </c>
      <c r="J289" s="26">
        <v>0</v>
      </c>
      <c r="K289" s="27">
        <f t="shared" si="16"/>
        <v>0</v>
      </c>
      <c r="L289" s="28" t="str">
        <f t="shared" si="17"/>
        <v>CLEAN</v>
      </c>
      <c r="M289" s="29">
        <f t="shared" si="18"/>
        <v>0</v>
      </c>
      <c r="N289" s="29">
        <f t="shared" si="19"/>
        <v>0</v>
      </c>
      <c r="O289" s="30" t="s">
        <v>38</v>
      </c>
      <c r="P289" s="22"/>
      <c r="Q289" s="31"/>
    </row>
    <row r="290" spans="1:17" ht="15" customHeight="1">
      <c r="A290" s="32" t="s">
        <v>699</v>
      </c>
      <c r="B290" s="33" t="s">
        <v>700</v>
      </c>
      <c r="C290" s="34" t="s">
        <v>653</v>
      </c>
      <c r="D290" s="35" t="str">
        <f>IFERROR(INDEX([1]M_User!$A$12:$J$67,MATCH(C290,[1]M_User!$D$12:$D$67,0),3),"UNMAPPED")</f>
        <v>Raymond P Sangawe</v>
      </c>
      <c r="E290" s="36" t="str">
        <f>IFERROR(INDEX([1]M_User!$A$12:$J$67,MATCH(C290,[1]M_User!$D$12:$D$67,0),5),"UNMAPPED")</f>
        <v>MOS</v>
      </c>
      <c r="F290" s="34" t="s">
        <v>160</v>
      </c>
      <c r="G290" s="35" t="str">
        <f>IFERROR(INDEX([1]M_SKU!$A$18:$J$57,MATCH(F290,[1]M_SKU!$B$18:$B$57,0),1),"UNKNOWN SKU")</f>
        <v>Sparletta Pine Apple Pet 300ML (x 12)</v>
      </c>
      <c r="H290" s="34" t="s">
        <v>161</v>
      </c>
      <c r="I290" s="37">
        <f>IFERROR(INDEX([1]T_Unload!$K$10:$K$433,MATCH(B290,[1]T_Unload!$B$10:$B$433,0)),0)</f>
        <v>0</v>
      </c>
      <c r="J290" s="26">
        <v>0</v>
      </c>
      <c r="K290" s="38">
        <f t="shared" si="16"/>
        <v>0</v>
      </c>
      <c r="L290" s="39" t="str">
        <f t="shared" si="17"/>
        <v>CLEAN</v>
      </c>
      <c r="M290" s="40">
        <f t="shared" si="18"/>
        <v>0</v>
      </c>
      <c r="N290" s="40">
        <f t="shared" si="19"/>
        <v>0</v>
      </c>
      <c r="O290" s="41" t="s">
        <v>38</v>
      </c>
      <c r="P290" s="42"/>
      <c r="Q290" s="43"/>
    </row>
    <row r="291" spans="1:17" ht="15" customHeight="1">
      <c r="A291" s="20" t="s">
        <v>701</v>
      </c>
      <c r="B291" s="21" t="s">
        <v>702</v>
      </c>
      <c r="C291" s="22" t="s">
        <v>703</v>
      </c>
      <c r="D291" s="23" t="str">
        <f>IFERROR(INDEX([1]M_User!$A$12:$J$67,MATCH(C291,[1]M_User!$D$12:$D$67,0),3),"UNMAPPED")</f>
        <v>Zawadi Jastin Laizer</v>
      </c>
      <c r="E291" s="24" t="str">
        <f>IFERROR(INDEX([1]M_User!$A$12:$J$67,MATCH(C291,[1]M_User!$D$12:$D$67,0),5),"UNMAPPED")</f>
        <v>MOS</v>
      </c>
      <c r="F291" s="22" t="s">
        <v>36</v>
      </c>
      <c r="G291" s="23" t="str">
        <f>IFERROR(INDEX([1]M_SKU!$A$18:$J$57,MATCH(F291,[1]M_SKU!$B$18:$B$57,0),1),"UNKNOWN SKU")</f>
        <v>Coke RGB 350ml</v>
      </c>
      <c r="H291" s="22" t="s">
        <v>180</v>
      </c>
      <c r="I291" s="25">
        <f>IFERROR(INDEX([1]T_Unload!$K$10:$K$433,MATCH(B291,[1]T_Unload!$B$10:$B$433,0)),0)</f>
        <v>18.856412843292205</v>
      </c>
      <c r="J291" s="26">
        <v>18.86</v>
      </c>
      <c r="K291" s="27">
        <f t="shared" si="16"/>
        <v>-3.5871567077947475E-3</v>
      </c>
      <c r="L291" s="28" t="str">
        <f t="shared" si="17"/>
        <v>Adjust Unload Upward</v>
      </c>
      <c r="M291" s="29">
        <f t="shared" si="18"/>
        <v>0</v>
      </c>
      <c r="N291" s="29">
        <f t="shared" si="19"/>
        <v>3.5871567077947475E-3</v>
      </c>
      <c r="O291" s="30" t="s">
        <v>38</v>
      </c>
      <c r="P291" s="22"/>
      <c r="Q291" s="31"/>
    </row>
    <row r="292" spans="1:17" ht="15" customHeight="1">
      <c r="A292" s="32" t="s">
        <v>704</v>
      </c>
      <c r="B292" s="33" t="s">
        <v>705</v>
      </c>
      <c r="C292" s="34" t="s">
        <v>703</v>
      </c>
      <c r="D292" s="35" t="str">
        <f>IFERROR(INDEX([1]M_User!$A$12:$J$67,MATCH(C292,[1]M_User!$D$12:$D$67,0),3),"UNMAPPED")</f>
        <v>Zawadi Jastin Laizer</v>
      </c>
      <c r="E292" s="36" t="str">
        <f>IFERROR(INDEX([1]M_User!$A$12:$J$67,MATCH(C292,[1]M_User!$D$12:$D$67,0),5),"UNMAPPED")</f>
        <v>MOS</v>
      </c>
      <c r="F292" s="34" t="s">
        <v>41</v>
      </c>
      <c r="G292" s="35" t="str">
        <f>IFERROR(INDEX([1]M_SKU!$A$18:$J$57,MATCH(F292,[1]M_SKU!$B$18:$B$57,0),1),"UNKNOWN SKU")</f>
        <v>Fanta Orange RGB 350ml</v>
      </c>
      <c r="H292" s="34" t="s">
        <v>183</v>
      </c>
      <c r="I292" s="37">
        <f>IFERROR(INDEX([1]T_Unload!$K$10:$K$433,MATCH(B292,[1]T_Unload!$B$10:$B$433,0)),0)</f>
        <v>5.6607072550333015</v>
      </c>
      <c r="J292" s="26">
        <v>5.66</v>
      </c>
      <c r="K292" s="38">
        <f t="shared" si="16"/>
        <v>7.072550333013794E-4</v>
      </c>
      <c r="L292" s="39" t="str">
        <f t="shared" si="17"/>
        <v>Post to Default Outlet</v>
      </c>
      <c r="M292" s="40">
        <f t="shared" si="18"/>
        <v>7.072550333013794E-4</v>
      </c>
      <c r="N292" s="40">
        <f t="shared" si="19"/>
        <v>0</v>
      </c>
      <c r="O292" s="41" t="s">
        <v>38</v>
      </c>
      <c r="P292" s="42"/>
      <c r="Q292" s="43"/>
    </row>
    <row r="293" spans="1:17" ht="15" customHeight="1">
      <c r="A293" s="20" t="s">
        <v>706</v>
      </c>
      <c r="B293" s="21" t="s">
        <v>707</v>
      </c>
      <c r="C293" s="22" t="s">
        <v>703</v>
      </c>
      <c r="D293" s="23" t="str">
        <f>IFERROR(INDEX([1]M_User!$A$12:$J$67,MATCH(C293,[1]M_User!$D$12:$D$67,0),3),"UNMAPPED")</f>
        <v>Zawadi Jastin Laizer</v>
      </c>
      <c r="E293" s="24" t="str">
        <f>IFERROR(INDEX([1]M_User!$A$12:$J$67,MATCH(C293,[1]M_User!$D$12:$D$67,0),5),"UNMAPPED")</f>
        <v>MOS</v>
      </c>
      <c r="F293" s="22" t="s">
        <v>45</v>
      </c>
      <c r="G293" s="23" t="str">
        <f>IFERROR(INDEX([1]M_SKU!$A$18:$J$57,MATCH(F293,[1]M_SKU!$B$18:$B$57,0),1),"UNKNOWN SKU")</f>
        <v>Fanta Passion RGB 350ml</v>
      </c>
      <c r="H293" s="22" t="s">
        <v>186</v>
      </c>
      <c r="I293" s="25">
        <f>IFERROR(INDEX([1]T_Unload!$K$10:$K$433,MATCH(B293,[1]T_Unload!$B$10:$B$433,0)),0)</f>
        <v>1.5840427254948608</v>
      </c>
      <c r="J293" s="26">
        <v>1.58</v>
      </c>
      <c r="K293" s="27">
        <f t="shared" si="16"/>
        <v>4.0427254948607327E-3</v>
      </c>
      <c r="L293" s="28" t="str">
        <f t="shared" si="17"/>
        <v>Post to Default Outlet</v>
      </c>
      <c r="M293" s="29">
        <f t="shared" si="18"/>
        <v>4.0427254948607327E-3</v>
      </c>
      <c r="N293" s="29">
        <f t="shared" si="19"/>
        <v>0</v>
      </c>
      <c r="O293" s="30" t="s">
        <v>38</v>
      </c>
      <c r="P293" s="22"/>
      <c r="Q293" s="31"/>
    </row>
    <row r="294" spans="1:17" ht="15" customHeight="1">
      <c r="A294" s="32" t="s">
        <v>708</v>
      </c>
      <c r="B294" s="33" t="s">
        <v>709</v>
      </c>
      <c r="C294" s="34" t="s">
        <v>703</v>
      </c>
      <c r="D294" s="35" t="str">
        <f>IFERROR(INDEX([1]M_User!$A$12:$J$67,MATCH(C294,[1]M_User!$D$12:$D$67,0),3),"UNMAPPED")</f>
        <v>Zawadi Jastin Laizer</v>
      </c>
      <c r="E294" s="36" t="str">
        <f>IFERROR(INDEX([1]M_User!$A$12:$J$67,MATCH(C294,[1]M_User!$D$12:$D$67,0),5),"UNMAPPED")</f>
        <v>MOS</v>
      </c>
      <c r="F294" s="34" t="s">
        <v>49</v>
      </c>
      <c r="G294" s="35" t="str">
        <f>IFERROR(INDEX([1]M_SKU!$A$18:$J$57,MATCH(F294,[1]M_SKU!$B$18:$B$57,0),1),"UNKNOWN SKU")</f>
        <v>Fanta Pineapple RGB 350ml</v>
      </c>
      <c r="H294" s="34" t="s">
        <v>189</v>
      </c>
      <c r="I294" s="37">
        <f>IFERROR(INDEX([1]T_Unload!$K$10:$K$433,MATCH(B294,[1]T_Unload!$B$10:$B$433,0)),0)</f>
        <v>3.4041023449725394</v>
      </c>
      <c r="J294" s="26">
        <v>3.4</v>
      </c>
      <c r="K294" s="38">
        <f t="shared" si="16"/>
        <v>4.1023449725394734E-3</v>
      </c>
      <c r="L294" s="39" t="str">
        <f t="shared" si="17"/>
        <v>Post to Default Outlet</v>
      </c>
      <c r="M294" s="40">
        <f t="shared" si="18"/>
        <v>4.1023449725394734E-3</v>
      </c>
      <c r="N294" s="40">
        <f t="shared" si="19"/>
        <v>0</v>
      </c>
      <c r="O294" s="41" t="s">
        <v>38</v>
      </c>
      <c r="P294" s="42"/>
      <c r="Q294" s="43"/>
    </row>
    <row r="295" spans="1:17" ht="15" customHeight="1">
      <c r="A295" s="20" t="s">
        <v>710</v>
      </c>
      <c r="B295" s="21" t="s">
        <v>711</v>
      </c>
      <c r="C295" s="22" t="s">
        <v>703</v>
      </c>
      <c r="D295" s="23" t="str">
        <f>IFERROR(INDEX([1]M_User!$A$12:$J$67,MATCH(C295,[1]M_User!$D$12:$D$67,0),3),"UNMAPPED")</f>
        <v>Zawadi Jastin Laizer</v>
      </c>
      <c r="E295" s="24" t="str">
        <f>IFERROR(INDEX([1]M_User!$A$12:$J$67,MATCH(C295,[1]M_User!$D$12:$D$67,0),5),"UNMAPPED")</f>
        <v>MOS</v>
      </c>
      <c r="F295" s="22" t="s">
        <v>192</v>
      </c>
      <c r="G295" s="23" t="str">
        <f>IFERROR(INDEX([1]M_SKU!$A$18:$J$57,MATCH(F295,[1]M_SKU!$B$18:$B$57,0),1),"UNKNOWN SKU")</f>
        <v>Fanta Fruit Blast RGB 350 ml</v>
      </c>
      <c r="H295" s="22" t="s">
        <v>193</v>
      </c>
      <c r="I295" s="25">
        <f>IFERROR(INDEX([1]T_Unload!$K$10:$K$433,MATCH(B295,[1]T_Unload!$B$10:$B$433,0)),0)</f>
        <v>1.1301437195141899</v>
      </c>
      <c r="J295" s="26">
        <v>1.1299999999999999</v>
      </c>
      <c r="K295" s="27">
        <f t="shared" si="16"/>
        <v>1.437195141900105E-4</v>
      </c>
      <c r="L295" s="28" t="str">
        <f t="shared" si="17"/>
        <v>Post to Default Outlet</v>
      </c>
      <c r="M295" s="29">
        <f t="shared" si="18"/>
        <v>1.437195141900105E-4</v>
      </c>
      <c r="N295" s="29">
        <f t="shared" si="19"/>
        <v>0</v>
      </c>
      <c r="O295" s="30" t="s">
        <v>38</v>
      </c>
      <c r="P295" s="22"/>
      <c r="Q295" s="31"/>
    </row>
    <row r="296" spans="1:17" ht="15" customHeight="1">
      <c r="A296" s="32" t="s">
        <v>712</v>
      </c>
      <c r="B296" s="33" t="s">
        <v>713</v>
      </c>
      <c r="C296" s="34" t="s">
        <v>703</v>
      </c>
      <c r="D296" s="35" t="str">
        <f>IFERROR(INDEX([1]M_User!$A$12:$J$67,MATCH(C296,[1]M_User!$D$12:$D$67,0),3),"UNMAPPED")</f>
        <v>Zawadi Jastin Laizer</v>
      </c>
      <c r="E296" s="36" t="str">
        <f>IFERROR(INDEX([1]M_User!$A$12:$J$67,MATCH(C296,[1]M_User!$D$12:$D$67,0),5),"UNMAPPED")</f>
        <v>MOS</v>
      </c>
      <c r="F296" s="34" t="s">
        <v>53</v>
      </c>
      <c r="G296" s="35" t="str">
        <f>IFERROR(INDEX([1]M_SKU!$A$18:$J$57,MATCH(F296,[1]M_SKU!$B$18:$B$57,0),1),"UNKNOWN SKU")</f>
        <v>Sprite 350ml</v>
      </c>
      <c r="H296" s="34" t="s">
        <v>196</v>
      </c>
      <c r="I296" s="37">
        <f>IFERROR(INDEX([1]T_Unload!$K$10:$K$433,MATCH(B296,[1]T_Unload!$B$10:$B$433,0)),0)</f>
        <v>3.3842523884126585</v>
      </c>
      <c r="J296" s="26">
        <v>3.38</v>
      </c>
      <c r="K296" s="38">
        <f t="shared" si="16"/>
        <v>4.2523884126586253E-3</v>
      </c>
      <c r="L296" s="39" t="str">
        <f t="shared" si="17"/>
        <v>Post to Default Outlet</v>
      </c>
      <c r="M296" s="40">
        <f t="shared" si="18"/>
        <v>4.2523884126586253E-3</v>
      </c>
      <c r="N296" s="40">
        <f t="shared" si="19"/>
        <v>0</v>
      </c>
      <c r="O296" s="41" t="s">
        <v>38</v>
      </c>
      <c r="P296" s="42"/>
      <c r="Q296" s="43"/>
    </row>
    <row r="297" spans="1:17" ht="15" customHeight="1">
      <c r="A297" s="20" t="s">
        <v>714</v>
      </c>
      <c r="B297" s="21" t="s">
        <v>715</v>
      </c>
      <c r="C297" s="22" t="s">
        <v>703</v>
      </c>
      <c r="D297" s="23" t="str">
        <f>IFERROR(INDEX([1]M_User!$A$12:$J$67,MATCH(C297,[1]M_User!$D$12:$D$67,0),3),"UNMAPPED")</f>
        <v>Zawadi Jastin Laizer</v>
      </c>
      <c r="E297" s="24" t="str">
        <f>IFERROR(INDEX([1]M_User!$A$12:$J$67,MATCH(C297,[1]M_User!$D$12:$D$67,0),5),"UNMAPPED")</f>
        <v>MOS</v>
      </c>
      <c r="F297" s="22" t="s">
        <v>199</v>
      </c>
      <c r="G297" s="23" t="str">
        <f>IFERROR(INDEX([1]M_SKU!$A$18:$J$57,MATCH(F297,[1]M_SKU!$B$18:$B$57,0),1),"UNKNOWN SKU")</f>
        <v>Stoney Tangawizi RGB 350ml</v>
      </c>
      <c r="H297" s="22" t="s">
        <v>200</v>
      </c>
      <c r="I297" s="25">
        <f>IFERROR(INDEX([1]T_Unload!$K$10:$K$433,MATCH(B297,[1]T_Unload!$B$10:$B$433,0)),0)</f>
        <v>0.82245389661185531</v>
      </c>
      <c r="J297" s="26">
        <v>0.82</v>
      </c>
      <c r="K297" s="27">
        <f t="shared" si="16"/>
        <v>2.4538966118553551E-3</v>
      </c>
      <c r="L297" s="28" t="str">
        <f t="shared" si="17"/>
        <v>Post to Default Outlet</v>
      </c>
      <c r="M297" s="29">
        <f t="shared" si="18"/>
        <v>2.4538966118553551E-3</v>
      </c>
      <c r="N297" s="29">
        <f t="shared" si="19"/>
        <v>0</v>
      </c>
      <c r="O297" s="30" t="s">
        <v>38</v>
      </c>
      <c r="P297" s="22"/>
      <c r="Q297" s="31"/>
    </row>
    <row r="298" spans="1:17" ht="15" customHeight="1">
      <c r="A298" s="32" t="s">
        <v>716</v>
      </c>
      <c r="B298" s="33" t="s">
        <v>717</v>
      </c>
      <c r="C298" s="34" t="s">
        <v>703</v>
      </c>
      <c r="D298" s="35" t="str">
        <f>IFERROR(INDEX([1]M_User!$A$12:$J$67,MATCH(C298,[1]M_User!$D$12:$D$67,0),3),"UNMAPPED")</f>
        <v>Zawadi Jastin Laizer</v>
      </c>
      <c r="E298" s="36" t="str">
        <f>IFERROR(INDEX([1]M_User!$A$12:$J$67,MATCH(C298,[1]M_User!$D$12:$D$67,0),5),"UNMAPPED")</f>
        <v>MOS</v>
      </c>
      <c r="F298" s="34" t="s">
        <v>203</v>
      </c>
      <c r="G298" s="35" t="str">
        <f>IFERROR(INDEX([1]M_SKU!$A$18:$J$57,MATCH(F298,[1]M_SKU!$B$18:$B$57,0),1),"UNKNOWN SKU")</f>
        <v>Sparletta Pinenut RGB 350ml</v>
      </c>
      <c r="H298" s="34" t="s">
        <v>204</v>
      </c>
      <c r="I298" s="37">
        <f>IFERROR(INDEX([1]T_Unload!$K$10:$K$433,MATCH(B298,[1]T_Unload!$B$10:$B$433,0)),0)</f>
        <v>0.76820012403362004</v>
      </c>
      <c r="J298" s="26">
        <v>0.77</v>
      </c>
      <c r="K298" s="38">
        <f t="shared" si="16"/>
        <v>-1.7998759663799824E-3</v>
      </c>
      <c r="L298" s="39" t="str">
        <f t="shared" si="17"/>
        <v>Adjust Unload Upward</v>
      </c>
      <c r="M298" s="40">
        <f t="shared" si="18"/>
        <v>0</v>
      </c>
      <c r="N298" s="40">
        <f t="shared" si="19"/>
        <v>1.7998759663799824E-3</v>
      </c>
      <c r="O298" s="41" t="s">
        <v>38</v>
      </c>
      <c r="P298" s="42"/>
      <c r="Q298" s="43"/>
    </row>
    <row r="299" spans="1:17" ht="15" customHeight="1">
      <c r="A299" s="20" t="s">
        <v>718</v>
      </c>
      <c r="B299" s="21" t="s">
        <v>719</v>
      </c>
      <c r="C299" s="22" t="s">
        <v>703</v>
      </c>
      <c r="D299" s="23" t="str">
        <f>IFERROR(INDEX([1]M_User!$A$12:$J$67,MATCH(C299,[1]M_User!$D$12:$D$67,0),3),"UNMAPPED")</f>
        <v>Zawadi Jastin Laizer</v>
      </c>
      <c r="E299" s="24" t="str">
        <f>IFERROR(INDEX([1]M_User!$A$12:$J$67,MATCH(C299,[1]M_User!$D$12:$D$67,0),5),"UNMAPPED")</f>
        <v>MOS</v>
      </c>
      <c r="F299" s="22" t="s">
        <v>57</v>
      </c>
      <c r="G299" s="23" t="str">
        <f>IFERROR(INDEX([1]M_SKU!$A$18:$J$57,MATCH(F299,[1]M_SKU!$B$18:$B$57,0),1),"UNKNOWN SKU")</f>
        <v>Krest Bitter Lemon RGB 300ml</v>
      </c>
      <c r="H299" s="22" t="s">
        <v>58</v>
      </c>
      <c r="I299" s="25">
        <f>IFERROR(INDEX([1]T_Unload!$K$10:$K$433,MATCH(B299,[1]T_Unload!$B$10:$B$433,0)),0)</f>
        <v>0.55569628012374084</v>
      </c>
      <c r="J299" s="26">
        <v>0.56000000000000005</v>
      </c>
      <c r="K299" s="27">
        <f t="shared" si="16"/>
        <v>-4.3037198762592155E-3</v>
      </c>
      <c r="L299" s="28" t="str">
        <f t="shared" si="17"/>
        <v>Adjust Unload Upward</v>
      </c>
      <c r="M299" s="29">
        <f t="shared" si="18"/>
        <v>0</v>
      </c>
      <c r="N299" s="29">
        <f t="shared" si="19"/>
        <v>4.3037198762592155E-3</v>
      </c>
      <c r="O299" s="30" t="s">
        <v>38</v>
      </c>
      <c r="P299" s="22"/>
      <c r="Q299" s="31"/>
    </row>
    <row r="300" spans="1:17" ht="15" customHeight="1">
      <c r="A300" s="32" t="s">
        <v>720</v>
      </c>
      <c r="B300" s="33" t="s">
        <v>721</v>
      </c>
      <c r="C300" s="34" t="s">
        <v>703</v>
      </c>
      <c r="D300" s="35" t="str">
        <f>IFERROR(INDEX([1]M_User!$A$12:$J$67,MATCH(C300,[1]M_User!$D$12:$D$67,0),3),"UNMAPPED")</f>
        <v>Zawadi Jastin Laizer</v>
      </c>
      <c r="E300" s="36" t="str">
        <f>IFERROR(INDEX([1]M_User!$A$12:$J$67,MATCH(C300,[1]M_User!$D$12:$D$67,0),5),"UNMAPPED")</f>
        <v>MOS</v>
      </c>
      <c r="F300" s="34" t="s">
        <v>61</v>
      </c>
      <c r="G300" s="35" t="str">
        <f>IFERROR(INDEX([1]M_SKU!$A$18:$J$57,MATCH(F300,[1]M_SKU!$B$18:$B$57,0),1),"UNKNOWN SKU")</f>
        <v>Krest Club Soda RGB 300ml</v>
      </c>
      <c r="H300" s="34" t="s">
        <v>62</v>
      </c>
      <c r="I300" s="37">
        <f>IFERROR(INDEX([1]T_Unload!$K$10:$K$433,MATCH(B300,[1]T_Unload!$B$10:$B$433,0)),0)</f>
        <v>0.67693838912336979</v>
      </c>
      <c r="J300" s="26">
        <v>0.68</v>
      </c>
      <c r="K300" s="38">
        <f t="shared" si="16"/>
        <v>-3.0616108766302608E-3</v>
      </c>
      <c r="L300" s="39" t="str">
        <f t="shared" si="17"/>
        <v>Adjust Unload Upward</v>
      </c>
      <c r="M300" s="40">
        <f t="shared" si="18"/>
        <v>0</v>
      </c>
      <c r="N300" s="40">
        <f t="shared" si="19"/>
        <v>3.0616108766302608E-3</v>
      </c>
      <c r="O300" s="41" t="s">
        <v>38</v>
      </c>
      <c r="P300" s="42"/>
      <c r="Q300" s="43"/>
    </row>
    <row r="301" spans="1:17" ht="15" customHeight="1">
      <c r="A301" s="20" t="s">
        <v>722</v>
      </c>
      <c r="B301" s="21" t="s">
        <v>723</v>
      </c>
      <c r="C301" s="22" t="s">
        <v>703</v>
      </c>
      <c r="D301" s="23" t="str">
        <f>IFERROR(INDEX([1]M_User!$A$12:$J$67,MATCH(C301,[1]M_User!$D$12:$D$67,0),3),"UNMAPPED")</f>
        <v>Zawadi Jastin Laizer</v>
      </c>
      <c r="E301" s="24" t="str">
        <f>IFERROR(INDEX([1]M_User!$A$12:$J$67,MATCH(C301,[1]M_User!$D$12:$D$67,0),5),"UNMAPPED")</f>
        <v>MOS</v>
      </c>
      <c r="F301" s="22" t="s">
        <v>65</v>
      </c>
      <c r="G301" s="23" t="str">
        <f>IFERROR(INDEX([1]M_SKU!$A$18:$J$57,MATCH(F301,[1]M_SKU!$B$18:$B$57,0),1),"UNKNOWN SKU")</f>
        <v>Krest Tonic Water RGB 300ml</v>
      </c>
      <c r="H301" s="22" t="s">
        <v>211</v>
      </c>
      <c r="I301" s="25">
        <f>IFERROR(INDEX([1]T_Unload!$K$10:$K$433,MATCH(B301,[1]T_Unload!$B$10:$B$433,0)),0)</f>
        <v>0.50927121465729686</v>
      </c>
      <c r="J301" s="26">
        <v>0.51</v>
      </c>
      <c r="K301" s="27">
        <f t="shared" si="16"/>
        <v>-7.287853427031532E-4</v>
      </c>
      <c r="L301" s="28" t="str">
        <f t="shared" si="17"/>
        <v>Adjust Unload Upward</v>
      </c>
      <c r="M301" s="29">
        <f t="shared" si="18"/>
        <v>0</v>
      </c>
      <c r="N301" s="29">
        <f t="shared" si="19"/>
        <v>7.287853427031532E-4</v>
      </c>
      <c r="O301" s="30" t="s">
        <v>38</v>
      </c>
      <c r="P301" s="22"/>
      <c r="Q301" s="31"/>
    </row>
    <row r="302" spans="1:17" ht="15" customHeight="1">
      <c r="A302" s="32" t="s">
        <v>724</v>
      </c>
      <c r="B302" s="33" t="s">
        <v>725</v>
      </c>
      <c r="C302" s="34" t="s">
        <v>703</v>
      </c>
      <c r="D302" s="35" t="str">
        <f>IFERROR(INDEX([1]M_User!$A$12:$J$67,MATCH(C302,[1]M_User!$D$12:$D$67,0),3),"UNMAPPED")</f>
        <v>Zawadi Jastin Laizer</v>
      </c>
      <c r="E302" s="36" t="str">
        <f>IFERROR(INDEX([1]M_User!$A$12:$J$67,MATCH(C302,[1]M_User!$D$12:$D$67,0),5),"UNMAPPED")</f>
        <v>MOS</v>
      </c>
      <c r="F302" s="34" t="s">
        <v>69</v>
      </c>
      <c r="G302" s="35" t="str">
        <f>IFERROR(INDEX([1]M_SKU!$A$18:$J$57,MATCH(F302,[1]M_SKU!$B$18:$B$57,0),1),"UNKNOWN SKU")</f>
        <v>Krest Ginger Ale RGB 300ml</v>
      </c>
      <c r="H302" s="34" t="s">
        <v>70</v>
      </c>
      <c r="I302" s="37">
        <f>IFERROR(INDEX([1]T_Unload!$K$10:$K$433,MATCH(B302,[1]T_Unload!$B$10:$B$433,0)),0)</f>
        <v>0.4771569344867741</v>
      </c>
      <c r="J302" s="26">
        <v>0.48</v>
      </c>
      <c r="K302" s="38">
        <f t="shared" si="16"/>
        <v>-2.8430655132258842E-3</v>
      </c>
      <c r="L302" s="39" t="str">
        <f t="shared" si="17"/>
        <v>Adjust Unload Upward</v>
      </c>
      <c r="M302" s="40">
        <f t="shared" si="18"/>
        <v>0</v>
      </c>
      <c r="N302" s="40">
        <f t="shared" si="19"/>
        <v>2.8430655132258842E-3</v>
      </c>
      <c r="O302" s="41" t="s">
        <v>38</v>
      </c>
      <c r="P302" s="42"/>
      <c r="Q302" s="43"/>
    </row>
    <row r="303" spans="1:17" ht="15" customHeight="1">
      <c r="A303" s="20" t="s">
        <v>726</v>
      </c>
      <c r="B303" s="21" t="s">
        <v>727</v>
      </c>
      <c r="C303" s="22" t="s">
        <v>703</v>
      </c>
      <c r="D303" s="23" t="str">
        <f>IFERROR(INDEX([1]M_User!$A$12:$J$67,MATCH(C303,[1]M_User!$D$12:$D$67,0),3),"UNMAPPED")</f>
        <v>Zawadi Jastin Laizer</v>
      </c>
      <c r="E303" s="24" t="str">
        <f>IFERROR(INDEX([1]M_User!$A$12:$J$67,MATCH(C303,[1]M_User!$D$12:$D$67,0),5),"UNMAPPED")</f>
        <v>MOS</v>
      </c>
      <c r="F303" s="22" t="s">
        <v>216</v>
      </c>
      <c r="G303" s="23" t="str">
        <f>IFERROR(INDEX([1]M_SKU!$A$18:$J$57,MATCH(F303,[1]M_SKU!$B$18:$B$57,0),1),"UNKNOWN SKU")</f>
        <v>Sparletta Red Apple RGB 350ml</v>
      </c>
      <c r="H303" s="22" t="s">
        <v>217</v>
      </c>
      <c r="I303" s="25">
        <f>IFERROR(INDEX([1]T_Unload!$K$10:$K$433,MATCH(B303,[1]T_Unload!$B$10:$B$433,0)),0)</f>
        <v>0.36503193694441993</v>
      </c>
      <c r="J303" s="26">
        <v>0.37</v>
      </c>
      <c r="K303" s="27">
        <f t="shared" si="16"/>
        <v>-4.9680630555800631E-3</v>
      </c>
      <c r="L303" s="28" t="str">
        <f t="shared" si="17"/>
        <v>Adjust Unload Upward</v>
      </c>
      <c r="M303" s="29">
        <f t="shared" si="18"/>
        <v>0</v>
      </c>
      <c r="N303" s="29">
        <f t="shared" si="19"/>
        <v>4.9680630555800631E-3</v>
      </c>
      <c r="O303" s="30" t="s">
        <v>38</v>
      </c>
      <c r="P303" s="22"/>
      <c r="Q303" s="31"/>
    </row>
    <row r="304" spans="1:17" ht="15" customHeight="1">
      <c r="A304" s="32" t="s">
        <v>728</v>
      </c>
      <c r="B304" s="33" t="s">
        <v>729</v>
      </c>
      <c r="C304" s="34" t="s">
        <v>703</v>
      </c>
      <c r="D304" s="35" t="str">
        <f>IFERROR(INDEX([1]M_User!$A$12:$J$67,MATCH(C304,[1]M_User!$D$12:$D$67,0),3),"UNMAPPED")</f>
        <v>Zawadi Jastin Laizer</v>
      </c>
      <c r="E304" s="36" t="str">
        <f>IFERROR(INDEX([1]M_User!$A$12:$J$67,MATCH(C304,[1]M_User!$D$12:$D$67,0),5),"UNMAPPED")</f>
        <v>MOS</v>
      </c>
      <c r="F304" s="34" t="s">
        <v>73</v>
      </c>
      <c r="G304" s="35" t="str">
        <f>IFERROR(INDEX([1]M_SKU!$A$18:$J$57,MATCH(F304,[1]M_SKU!$B$18:$B$57,0),1),"UNKNOWN SKU")</f>
        <v>KNMW 500ml</v>
      </c>
      <c r="H304" s="34" t="s">
        <v>220</v>
      </c>
      <c r="I304" s="37">
        <f>IFERROR(INDEX([1]T_Unload!$K$10:$K$433,MATCH(B304,[1]T_Unload!$B$10:$B$433,0)),0)</f>
        <v>8</v>
      </c>
      <c r="J304" s="26">
        <v>8</v>
      </c>
      <c r="K304" s="38">
        <f t="shared" si="16"/>
        <v>0</v>
      </c>
      <c r="L304" s="39" t="str">
        <f t="shared" si="17"/>
        <v>CLEAN</v>
      </c>
      <c r="M304" s="40">
        <f t="shared" si="18"/>
        <v>0</v>
      </c>
      <c r="N304" s="40">
        <f t="shared" si="19"/>
        <v>0</v>
      </c>
      <c r="O304" s="41" t="s">
        <v>38</v>
      </c>
      <c r="P304" s="42"/>
      <c r="Q304" s="43"/>
    </row>
    <row r="305" spans="1:17" ht="15" customHeight="1">
      <c r="A305" s="20" t="s">
        <v>730</v>
      </c>
      <c r="B305" s="21" t="s">
        <v>731</v>
      </c>
      <c r="C305" s="22" t="s">
        <v>703</v>
      </c>
      <c r="D305" s="23" t="str">
        <f>IFERROR(INDEX([1]M_User!$A$12:$J$67,MATCH(C305,[1]M_User!$D$12:$D$67,0),3),"UNMAPPED")</f>
        <v>Zawadi Jastin Laizer</v>
      </c>
      <c r="E305" s="24" t="str">
        <f>IFERROR(INDEX([1]M_User!$A$12:$J$67,MATCH(C305,[1]M_User!$D$12:$D$67,0),5),"UNMAPPED")</f>
        <v>MOS</v>
      </c>
      <c r="F305" s="22" t="s">
        <v>83</v>
      </c>
      <c r="G305" s="23" t="str">
        <f>IFERROR(INDEX([1]M_SKU!$A$18:$J$57,MATCH(F305,[1]M_SKU!$B$18:$B$57,0),1),"UNKNOWN SKU")</f>
        <v>KNMW 1500ml</v>
      </c>
      <c r="H305" s="22" t="s">
        <v>223</v>
      </c>
      <c r="I305" s="25">
        <f>IFERROR(INDEX([1]T_Unload!$K$10:$K$433,MATCH(B305,[1]T_Unload!$B$10:$B$433,0)),0)</f>
        <v>19</v>
      </c>
      <c r="J305" s="26">
        <v>19</v>
      </c>
      <c r="K305" s="27">
        <f t="shared" si="16"/>
        <v>0</v>
      </c>
      <c r="L305" s="28" t="str">
        <f t="shared" si="17"/>
        <v>CLEAN</v>
      </c>
      <c r="M305" s="29">
        <f t="shared" si="18"/>
        <v>0</v>
      </c>
      <c r="N305" s="29">
        <f t="shared" si="19"/>
        <v>0</v>
      </c>
      <c r="O305" s="30" t="s">
        <v>38</v>
      </c>
      <c r="P305" s="22"/>
      <c r="Q305" s="31"/>
    </row>
    <row r="306" spans="1:17" ht="15" customHeight="1">
      <c r="A306" s="32" t="s">
        <v>732</v>
      </c>
      <c r="B306" s="33" t="s">
        <v>733</v>
      </c>
      <c r="C306" s="34" t="s">
        <v>703</v>
      </c>
      <c r="D306" s="35" t="str">
        <f>IFERROR(INDEX([1]M_User!$A$12:$J$67,MATCH(C306,[1]M_User!$D$12:$D$67,0),3),"UNMAPPED")</f>
        <v>Zawadi Jastin Laizer</v>
      </c>
      <c r="E306" s="36" t="str">
        <f>IFERROR(INDEX([1]M_User!$A$12:$J$67,MATCH(C306,[1]M_User!$D$12:$D$67,0),5),"UNMAPPED")</f>
        <v>MOS</v>
      </c>
      <c r="F306" s="34" t="s">
        <v>91</v>
      </c>
      <c r="G306" s="35" t="str">
        <f>IFERROR(INDEX([1]M_SKU!$A$18:$J$57,MATCH(F306,[1]M_SKU!$B$18:$B$57,0),1),"UNKNOWN SKU")</f>
        <v>Kilimanjaro Drinking Water 12000 ML</v>
      </c>
      <c r="H306" s="34" t="s">
        <v>95</v>
      </c>
      <c r="I306" s="37">
        <f>IFERROR(INDEX([1]T_Unload!$K$10:$K$433,MATCH(B306,[1]T_Unload!$B$10:$B$433,0)),0)</f>
        <v>1</v>
      </c>
      <c r="J306" s="26">
        <v>1</v>
      </c>
      <c r="K306" s="38">
        <f t="shared" si="16"/>
        <v>0</v>
      </c>
      <c r="L306" s="39" t="str">
        <f t="shared" si="17"/>
        <v>CLEAN</v>
      </c>
      <c r="M306" s="40">
        <f t="shared" si="18"/>
        <v>0</v>
      </c>
      <c r="N306" s="40">
        <f t="shared" si="19"/>
        <v>0</v>
      </c>
      <c r="O306" s="41" t="s">
        <v>38</v>
      </c>
      <c r="P306" s="42"/>
      <c r="Q306" s="43"/>
    </row>
    <row r="307" spans="1:17" ht="15" customHeight="1">
      <c r="A307" s="20" t="s">
        <v>734</v>
      </c>
      <c r="B307" s="21" t="s">
        <v>735</v>
      </c>
      <c r="C307" s="22" t="s">
        <v>703</v>
      </c>
      <c r="D307" s="23" t="str">
        <f>IFERROR(INDEX([1]M_User!$A$12:$J$67,MATCH(C307,[1]M_User!$D$12:$D$67,0),3),"UNMAPPED")</f>
        <v>Zawadi Jastin Laizer</v>
      </c>
      <c r="E307" s="24" t="str">
        <f>IFERROR(INDEX([1]M_User!$A$12:$J$67,MATCH(C307,[1]M_User!$D$12:$D$67,0),5),"UNMAPPED")</f>
        <v>MOS</v>
      </c>
      <c r="F307" s="22" t="s">
        <v>98</v>
      </c>
      <c r="G307" s="23" t="str">
        <f>IFERROR(INDEX([1]M_SKU!$A$18:$J$57,MATCH(F307,[1]M_SKU!$B$18:$B$57,0),1),"UNKNOWN SKU")</f>
        <v>Kilimanjaro Drinking Water 18900 ML</v>
      </c>
      <c r="H307" s="22" t="s">
        <v>102</v>
      </c>
      <c r="I307" s="25">
        <f>IFERROR(INDEX([1]T_Unload!$K$10:$K$433,MATCH(B307,[1]T_Unload!$B$10:$B$433,0)),0)</f>
        <v>2</v>
      </c>
      <c r="J307" s="26">
        <v>2</v>
      </c>
      <c r="K307" s="27">
        <f t="shared" si="16"/>
        <v>0</v>
      </c>
      <c r="L307" s="28" t="str">
        <f t="shared" si="17"/>
        <v>CLEAN</v>
      </c>
      <c r="M307" s="29">
        <f t="shared" si="18"/>
        <v>0</v>
      </c>
      <c r="N307" s="29">
        <f t="shared" si="19"/>
        <v>0</v>
      </c>
      <c r="O307" s="30" t="s">
        <v>38</v>
      </c>
      <c r="P307" s="22"/>
      <c r="Q307" s="31"/>
    </row>
    <row r="308" spans="1:17" ht="15" customHeight="1">
      <c r="A308" s="32" t="s">
        <v>736</v>
      </c>
      <c r="B308" s="33" t="s">
        <v>737</v>
      </c>
      <c r="C308" s="34" t="s">
        <v>703</v>
      </c>
      <c r="D308" s="35" t="str">
        <f>IFERROR(INDEX([1]M_User!$A$12:$J$67,MATCH(C308,[1]M_User!$D$12:$D$67,0),3),"UNMAPPED")</f>
        <v>Zawadi Jastin Laizer</v>
      </c>
      <c r="E308" s="36" t="str">
        <f>IFERROR(INDEX([1]M_User!$A$12:$J$67,MATCH(C308,[1]M_User!$D$12:$D$67,0),5),"UNMAPPED")</f>
        <v>MOS</v>
      </c>
      <c r="F308" s="34" t="s">
        <v>109</v>
      </c>
      <c r="G308" s="35" t="str">
        <f>IFERROR(INDEX([1]M_SKU!$A$18:$J$57,MATCH(F308,[1]M_SKU!$B$18:$B$57,0),1),"UNKNOWN SKU")</f>
        <v>Coke Pet 500ML ( x12)</v>
      </c>
      <c r="H308" s="34" t="s">
        <v>226</v>
      </c>
      <c r="I308" s="37">
        <f>IFERROR(INDEX([1]T_Unload!$K$10:$K$433,MATCH(B308,[1]T_Unload!$B$10:$B$433,0)),0)</f>
        <v>2</v>
      </c>
      <c r="J308" s="26">
        <v>2</v>
      </c>
      <c r="K308" s="38">
        <f t="shared" si="16"/>
        <v>0</v>
      </c>
      <c r="L308" s="39" t="str">
        <f t="shared" si="17"/>
        <v>CLEAN</v>
      </c>
      <c r="M308" s="40">
        <f t="shared" si="18"/>
        <v>0</v>
      </c>
      <c r="N308" s="40">
        <f t="shared" si="19"/>
        <v>0</v>
      </c>
      <c r="O308" s="41" t="s">
        <v>38</v>
      </c>
      <c r="P308" s="42"/>
      <c r="Q308" s="43"/>
    </row>
    <row r="309" spans="1:17" ht="15" customHeight="1">
      <c r="A309" s="20" t="s">
        <v>738</v>
      </c>
      <c r="B309" s="21" t="s">
        <v>739</v>
      </c>
      <c r="C309" s="22" t="s">
        <v>703</v>
      </c>
      <c r="D309" s="23" t="str">
        <f>IFERROR(INDEX([1]M_User!$A$12:$J$67,MATCH(C309,[1]M_User!$D$12:$D$67,0),3),"UNMAPPED")</f>
        <v>Zawadi Jastin Laizer</v>
      </c>
      <c r="E309" s="24" t="str">
        <f>IFERROR(INDEX([1]M_User!$A$12:$J$67,MATCH(C309,[1]M_User!$D$12:$D$67,0),5),"UNMAPPED")</f>
        <v>MOS</v>
      </c>
      <c r="F309" s="22" t="s">
        <v>113</v>
      </c>
      <c r="G309" s="23" t="str">
        <f>IFERROR(INDEX([1]M_SKU!$A$18:$J$57,MATCH(F309,[1]M_SKU!$B$18:$B$57,0),1),"UNKNOWN SKU")</f>
        <v>Sprite Pet 500ML (x 12)</v>
      </c>
      <c r="H309" s="22" t="s">
        <v>114</v>
      </c>
      <c r="I309" s="25">
        <f>IFERROR(INDEX([1]T_Unload!$K$10:$K$433,MATCH(B309,[1]T_Unload!$B$10:$B$433,0)),0)</f>
        <v>1</v>
      </c>
      <c r="J309" s="26">
        <v>1</v>
      </c>
      <c r="K309" s="27">
        <f t="shared" si="16"/>
        <v>0</v>
      </c>
      <c r="L309" s="28" t="str">
        <f t="shared" si="17"/>
        <v>CLEAN</v>
      </c>
      <c r="M309" s="29">
        <f t="shared" si="18"/>
        <v>0</v>
      </c>
      <c r="N309" s="29">
        <f t="shared" si="19"/>
        <v>0</v>
      </c>
      <c r="O309" s="30" t="s">
        <v>38</v>
      </c>
      <c r="P309" s="22"/>
      <c r="Q309" s="31"/>
    </row>
    <row r="310" spans="1:17" ht="15" customHeight="1">
      <c r="A310" s="32" t="s">
        <v>740</v>
      </c>
      <c r="B310" s="33" t="s">
        <v>741</v>
      </c>
      <c r="C310" s="34" t="s">
        <v>703</v>
      </c>
      <c r="D310" s="35" t="str">
        <f>IFERROR(INDEX([1]M_User!$A$12:$J$67,MATCH(C310,[1]M_User!$D$12:$D$67,0),3),"UNMAPPED")</f>
        <v>Zawadi Jastin Laizer</v>
      </c>
      <c r="E310" s="36" t="str">
        <f>IFERROR(INDEX([1]M_User!$A$12:$J$67,MATCH(C310,[1]M_User!$D$12:$D$67,0),5),"UNMAPPED")</f>
        <v>MOS</v>
      </c>
      <c r="F310" s="34" t="s">
        <v>117</v>
      </c>
      <c r="G310" s="35" t="str">
        <f>IFERROR(INDEX([1]M_SKU!$A$18:$J$57,MATCH(F310,[1]M_SKU!$B$18:$B$57,0),1),"UNKNOWN SKU")</f>
        <v>Fanta Orange Pet 500ML ( x 12)</v>
      </c>
      <c r="H310" s="34" t="s">
        <v>231</v>
      </c>
      <c r="I310" s="37">
        <f>IFERROR(INDEX([1]T_Unload!$K$10:$K$433,MATCH(B310,[1]T_Unload!$B$10:$B$433,0)),0)</f>
        <v>4</v>
      </c>
      <c r="J310" s="26">
        <v>4</v>
      </c>
      <c r="K310" s="38">
        <f t="shared" si="16"/>
        <v>0</v>
      </c>
      <c r="L310" s="39" t="str">
        <f t="shared" si="17"/>
        <v>CLEAN</v>
      </c>
      <c r="M310" s="40">
        <f t="shared" si="18"/>
        <v>0</v>
      </c>
      <c r="N310" s="40">
        <f t="shared" si="19"/>
        <v>0</v>
      </c>
      <c r="O310" s="41" t="s">
        <v>38</v>
      </c>
      <c r="P310" s="42"/>
      <c r="Q310" s="43"/>
    </row>
    <row r="311" spans="1:17" ht="15" customHeight="1">
      <c r="A311" s="20" t="s">
        <v>742</v>
      </c>
      <c r="B311" s="21" t="s">
        <v>743</v>
      </c>
      <c r="C311" s="22" t="s">
        <v>703</v>
      </c>
      <c r="D311" s="23" t="str">
        <f>IFERROR(INDEX([1]M_User!$A$12:$J$67,MATCH(C311,[1]M_User!$D$12:$D$67,0),3),"UNMAPPED")</f>
        <v>Zawadi Jastin Laizer</v>
      </c>
      <c r="E311" s="24" t="str">
        <f>IFERROR(INDEX([1]M_User!$A$12:$J$67,MATCH(C311,[1]M_User!$D$12:$D$67,0),5),"UNMAPPED")</f>
        <v>MOS</v>
      </c>
      <c r="F311" s="22" t="s">
        <v>121</v>
      </c>
      <c r="G311" s="23" t="str">
        <f>IFERROR(INDEX([1]M_SKU!$A$18:$J$57,MATCH(F311,[1]M_SKU!$B$18:$B$57,0),1),"UNKNOWN SKU")</f>
        <v>Fanta Passion Pet 500ML ( x12)</v>
      </c>
      <c r="H311" s="22" t="s">
        <v>234</v>
      </c>
      <c r="I311" s="25">
        <f>IFERROR(INDEX([1]T_Unload!$K$10:$K$433,MATCH(B311,[1]T_Unload!$B$10:$B$433,0)),0)</f>
        <v>1</v>
      </c>
      <c r="J311" s="26">
        <v>1</v>
      </c>
      <c r="K311" s="27">
        <f t="shared" si="16"/>
        <v>0</v>
      </c>
      <c r="L311" s="28" t="str">
        <f t="shared" si="17"/>
        <v>CLEAN</v>
      </c>
      <c r="M311" s="29">
        <f t="shared" si="18"/>
        <v>0</v>
      </c>
      <c r="N311" s="29">
        <f t="shared" si="19"/>
        <v>0</v>
      </c>
      <c r="O311" s="30" t="s">
        <v>38</v>
      </c>
      <c r="P311" s="22"/>
      <c r="Q311" s="31"/>
    </row>
    <row r="312" spans="1:17" ht="15" customHeight="1">
      <c r="A312" s="32" t="s">
        <v>744</v>
      </c>
      <c r="B312" s="33" t="s">
        <v>745</v>
      </c>
      <c r="C312" s="34" t="s">
        <v>703</v>
      </c>
      <c r="D312" s="35" t="str">
        <f>IFERROR(INDEX([1]M_User!$A$12:$J$67,MATCH(C312,[1]M_User!$D$12:$D$67,0),3),"UNMAPPED")</f>
        <v>Zawadi Jastin Laizer</v>
      </c>
      <c r="E312" s="36" t="str">
        <f>IFERROR(INDEX([1]M_User!$A$12:$J$67,MATCH(C312,[1]M_User!$D$12:$D$67,0),5),"UNMAPPED")</f>
        <v>MOS</v>
      </c>
      <c r="F312" s="34" t="s">
        <v>133</v>
      </c>
      <c r="G312" s="35" t="str">
        <f>IFERROR(INDEX([1]M_SKU!$A$18:$J$57,MATCH(F312,[1]M_SKU!$B$18:$B$57,0),1),"UNKNOWN SKU")</f>
        <v>Stoney Tangawizi Pet 500 ml ( x12)</v>
      </c>
      <c r="H312" s="34" t="s">
        <v>237</v>
      </c>
      <c r="I312" s="37">
        <f>IFERROR(INDEX([1]T_Unload!$K$10:$K$433,MATCH(B312,[1]T_Unload!$B$10:$B$433,0)),0)</f>
        <v>0</v>
      </c>
      <c r="J312" s="26">
        <v>0</v>
      </c>
      <c r="K312" s="38">
        <f t="shared" si="16"/>
        <v>0</v>
      </c>
      <c r="L312" s="39" t="str">
        <f t="shared" si="17"/>
        <v>CLEAN</v>
      </c>
      <c r="M312" s="40">
        <f t="shared" si="18"/>
        <v>0</v>
      </c>
      <c r="N312" s="40">
        <f t="shared" si="19"/>
        <v>0</v>
      </c>
      <c r="O312" s="41" t="s">
        <v>38</v>
      </c>
      <c r="P312" s="42"/>
      <c r="Q312" s="43"/>
    </row>
    <row r="313" spans="1:17" ht="15" customHeight="1">
      <c r="A313" s="20" t="s">
        <v>746</v>
      </c>
      <c r="B313" s="21" t="s">
        <v>747</v>
      </c>
      <c r="C313" s="22" t="s">
        <v>703</v>
      </c>
      <c r="D313" s="23" t="str">
        <f>IFERROR(INDEX([1]M_User!$A$12:$J$67,MATCH(C313,[1]M_User!$D$12:$D$67,0),3),"UNMAPPED")</f>
        <v>Zawadi Jastin Laizer</v>
      </c>
      <c r="E313" s="24" t="str">
        <f>IFERROR(INDEX([1]M_User!$A$12:$J$67,MATCH(C313,[1]M_User!$D$12:$D$67,0),5),"UNMAPPED")</f>
        <v>MOS</v>
      </c>
      <c r="F313" s="22" t="s">
        <v>137</v>
      </c>
      <c r="G313" s="23" t="str">
        <f>IFERROR(INDEX([1]M_SKU!$A$18:$J$57,MATCH(F313,[1]M_SKU!$B$18:$B$57,0),1),"UNKNOWN SKU")</f>
        <v>Sparletta Pinenut Pet 500 ml ( x12)</v>
      </c>
      <c r="H313" s="22" t="s">
        <v>240</v>
      </c>
      <c r="I313" s="25">
        <f>IFERROR(INDEX([1]T_Unload!$K$10:$K$433,MATCH(B313,[1]T_Unload!$B$10:$B$433,0)),0)</f>
        <v>1</v>
      </c>
      <c r="J313" s="26">
        <v>1</v>
      </c>
      <c r="K313" s="27">
        <f t="shared" si="16"/>
        <v>0</v>
      </c>
      <c r="L313" s="28" t="str">
        <f t="shared" si="17"/>
        <v>CLEAN</v>
      </c>
      <c r="M313" s="29">
        <f t="shared" si="18"/>
        <v>0</v>
      </c>
      <c r="N313" s="29">
        <f t="shared" si="19"/>
        <v>0</v>
      </c>
      <c r="O313" s="30" t="s">
        <v>38</v>
      </c>
      <c r="P313" s="22"/>
      <c r="Q313" s="31"/>
    </row>
    <row r="314" spans="1:17" ht="15" customHeight="1">
      <c r="A314" s="32" t="s">
        <v>748</v>
      </c>
      <c r="B314" s="33" t="s">
        <v>749</v>
      </c>
      <c r="C314" s="34" t="s">
        <v>703</v>
      </c>
      <c r="D314" s="35" t="str">
        <f>IFERROR(INDEX([1]M_User!$A$12:$J$67,MATCH(C314,[1]M_User!$D$12:$D$67,0),3),"UNMAPPED")</f>
        <v>Zawadi Jastin Laizer</v>
      </c>
      <c r="E314" s="36" t="str">
        <f>IFERROR(INDEX([1]M_User!$A$12:$J$67,MATCH(C314,[1]M_User!$D$12:$D$67,0),5),"UNMAPPED")</f>
        <v>MOS</v>
      </c>
      <c r="F314" s="34" t="s">
        <v>243</v>
      </c>
      <c r="G314" s="35" t="str">
        <f>IFERROR(INDEX([1]M_SKU!$A$18:$J$57,MATCH(F314,[1]M_SKU!$B$18:$B$57,0),1),"UNKNOWN SKU")</f>
        <v>Sprite Zero Pet 300ML (x 12)</v>
      </c>
      <c r="H314" s="34" t="s">
        <v>244</v>
      </c>
      <c r="I314" s="37">
        <f>IFERROR(INDEX([1]T_Unload!$K$10:$K$433,MATCH(B314,[1]T_Unload!$B$10:$B$433,0)),0)</f>
        <v>0</v>
      </c>
      <c r="J314" s="26">
        <v>0</v>
      </c>
      <c r="K314" s="38">
        <f t="shared" si="16"/>
        <v>0</v>
      </c>
      <c r="L314" s="39" t="str">
        <f t="shared" si="17"/>
        <v>CLEAN</v>
      </c>
      <c r="M314" s="40">
        <f t="shared" si="18"/>
        <v>0</v>
      </c>
      <c r="N314" s="40">
        <f t="shared" si="19"/>
        <v>0</v>
      </c>
      <c r="O314" s="41" t="s">
        <v>38</v>
      </c>
      <c r="P314" s="42"/>
      <c r="Q314" s="43"/>
    </row>
    <row r="315" spans="1:17" ht="15" customHeight="1">
      <c r="A315" s="20" t="s">
        <v>750</v>
      </c>
      <c r="B315" s="21" t="s">
        <v>751</v>
      </c>
      <c r="C315" s="22" t="s">
        <v>703</v>
      </c>
      <c r="D315" s="23" t="str">
        <f>IFERROR(INDEX([1]M_User!$A$12:$J$67,MATCH(C315,[1]M_User!$D$12:$D$67,0),3),"UNMAPPED")</f>
        <v>Zawadi Jastin Laizer</v>
      </c>
      <c r="E315" s="24" t="str">
        <f>IFERROR(INDEX([1]M_User!$A$12:$J$67,MATCH(C315,[1]M_User!$D$12:$D$67,0),5),"UNMAPPED")</f>
        <v>MOS</v>
      </c>
      <c r="F315" s="22" t="s">
        <v>148</v>
      </c>
      <c r="G315" s="23" t="str">
        <f>IFERROR(INDEX([1]M_SKU!$A$18:$J$57,MATCH(F315,[1]M_SKU!$B$18:$B$57,0),1),"UNKNOWN SKU")</f>
        <v>Fanta Zero Pet 300ML (x 12)</v>
      </c>
      <c r="H315" s="22" t="s">
        <v>149</v>
      </c>
      <c r="I315" s="25">
        <f>IFERROR(INDEX([1]T_Unload!$K$10:$K$433,MATCH(B315,[1]T_Unload!$B$10:$B$433,0)),0)</f>
        <v>0</v>
      </c>
      <c r="J315" s="26">
        <v>0</v>
      </c>
      <c r="K315" s="27">
        <f t="shared" si="16"/>
        <v>0</v>
      </c>
      <c r="L315" s="28" t="str">
        <f t="shared" si="17"/>
        <v>CLEAN</v>
      </c>
      <c r="M315" s="29">
        <f t="shared" si="18"/>
        <v>0</v>
      </c>
      <c r="N315" s="29">
        <f t="shared" si="19"/>
        <v>0</v>
      </c>
      <c r="O315" s="30" t="s">
        <v>38</v>
      </c>
      <c r="P315" s="22"/>
      <c r="Q315" s="31"/>
    </row>
    <row r="316" spans="1:17" ht="15" customHeight="1">
      <c r="A316" s="32" t="s">
        <v>752</v>
      </c>
      <c r="B316" s="33" t="s">
        <v>753</v>
      </c>
      <c r="C316" s="34" t="s">
        <v>703</v>
      </c>
      <c r="D316" s="35" t="str">
        <f>IFERROR(INDEX([1]M_User!$A$12:$J$67,MATCH(C316,[1]M_User!$D$12:$D$67,0),3),"UNMAPPED")</f>
        <v>Zawadi Jastin Laizer</v>
      </c>
      <c r="E316" s="36" t="str">
        <f>IFERROR(INDEX([1]M_User!$A$12:$J$67,MATCH(C316,[1]M_User!$D$12:$D$67,0),5),"UNMAPPED")</f>
        <v>MOS</v>
      </c>
      <c r="F316" s="34" t="s">
        <v>160</v>
      </c>
      <c r="G316" s="35" t="str">
        <f>IFERROR(INDEX([1]M_SKU!$A$18:$J$57,MATCH(F316,[1]M_SKU!$B$18:$B$57,0),1),"UNKNOWN SKU")</f>
        <v>Sparletta Pine Apple Pet 300ML (x 12)</v>
      </c>
      <c r="H316" s="34" t="s">
        <v>161</v>
      </c>
      <c r="I316" s="37">
        <f>IFERROR(INDEX([1]T_Unload!$K$10:$K$433,MATCH(B316,[1]T_Unload!$B$10:$B$433,0)),0)</f>
        <v>1</v>
      </c>
      <c r="J316" s="26">
        <v>1</v>
      </c>
      <c r="K316" s="38">
        <f t="shared" si="16"/>
        <v>0</v>
      </c>
      <c r="L316" s="39" t="str">
        <f t="shared" si="17"/>
        <v>CLEAN</v>
      </c>
      <c r="M316" s="40">
        <f t="shared" si="18"/>
        <v>0</v>
      </c>
      <c r="N316" s="40">
        <f t="shared" si="19"/>
        <v>0</v>
      </c>
      <c r="O316" s="41" t="s">
        <v>38</v>
      </c>
      <c r="P316" s="42"/>
      <c r="Q316" s="43"/>
    </row>
    <row r="317" spans="1:17" ht="15" customHeight="1">
      <c r="A317" s="20" t="s">
        <v>754</v>
      </c>
      <c r="B317" s="21" t="s">
        <v>755</v>
      </c>
      <c r="C317" s="22" t="s">
        <v>756</v>
      </c>
      <c r="D317" s="23" t="str">
        <f>IFERROR(INDEX([1]M_User!$A$12:$J$67,MATCH(C317,[1]M_User!$D$12:$D$67,0),3),"UNMAPPED")</f>
        <v>Masunga Mwala Ramadhani</v>
      </c>
      <c r="E317" s="24" t="str">
        <f>IFERROR(INDEX([1]M_User!$A$12:$J$67,MATCH(C317,[1]M_User!$D$12:$D$67,0),5),"UNMAPPED")</f>
        <v>MOS</v>
      </c>
      <c r="F317" s="22" t="s">
        <v>36</v>
      </c>
      <c r="G317" s="23" t="str">
        <f>IFERROR(INDEX([1]M_SKU!$A$18:$J$57,MATCH(F317,[1]M_SKU!$B$18:$B$57,0),1),"UNKNOWN SKU")</f>
        <v>Coke RGB 350ml</v>
      </c>
      <c r="H317" s="22" t="s">
        <v>554</v>
      </c>
      <c r="I317" s="25">
        <f>IFERROR(INDEX([1]T_Unload!$K$10:$K$433,MATCH(B317,[1]T_Unload!$B$10:$B$433,0)),0)</f>
        <v>1.1562929978906205</v>
      </c>
      <c r="J317" s="26">
        <v>1.1599999999999999</v>
      </c>
      <c r="K317" s="27">
        <f t="shared" si="16"/>
        <v>-3.7070021093794647E-3</v>
      </c>
      <c r="L317" s="28" t="str">
        <f t="shared" si="17"/>
        <v>Adjust Unload Upward</v>
      </c>
      <c r="M317" s="29">
        <f t="shared" si="18"/>
        <v>0</v>
      </c>
      <c r="N317" s="29">
        <f t="shared" si="19"/>
        <v>3.7070021093794647E-3</v>
      </c>
      <c r="O317" s="30" t="s">
        <v>38</v>
      </c>
      <c r="P317" s="22"/>
      <c r="Q317" s="31"/>
    </row>
    <row r="318" spans="1:17" ht="15" customHeight="1">
      <c r="A318" s="32" t="s">
        <v>757</v>
      </c>
      <c r="B318" s="33" t="s">
        <v>758</v>
      </c>
      <c r="C318" s="34" t="s">
        <v>756</v>
      </c>
      <c r="D318" s="35" t="str">
        <f>IFERROR(INDEX([1]M_User!$A$12:$J$67,MATCH(C318,[1]M_User!$D$12:$D$67,0),3),"UNMAPPED")</f>
        <v>Masunga Mwala Ramadhani</v>
      </c>
      <c r="E318" s="36" t="str">
        <f>IFERROR(INDEX([1]M_User!$A$12:$J$67,MATCH(C318,[1]M_User!$D$12:$D$67,0),5),"UNMAPPED")</f>
        <v>MOS</v>
      </c>
      <c r="F318" s="34" t="s">
        <v>36</v>
      </c>
      <c r="G318" s="35" t="str">
        <f>IFERROR(INDEX([1]M_SKU!$A$18:$J$57,MATCH(F318,[1]M_SKU!$B$18:$B$57,0),1),"UNKNOWN SKU")</f>
        <v>Coke RGB 350ml</v>
      </c>
      <c r="H318" s="34" t="s">
        <v>347</v>
      </c>
      <c r="I318" s="37">
        <f>IFERROR(INDEX([1]T_Unload!$K$10:$K$433,MATCH(B318,[1]T_Unload!$B$10:$B$433,0)),0)</f>
        <v>10.453069529529195</v>
      </c>
      <c r="J318" s="26">
        <v>10.45</v>
      </c>
      <c r="K318" s="38">
        <f t="shared" si="16"/>
        <v>3.0695295291955915E-3</v>
      </c>
      <c r="L318" s="39" t="str">
        <f t="shared" si="17"/>
        <v>Post to Default Outlet</v>
      </c>
      <c r="M318" s="40">
        <f t="shared" si="18"/>
        <v>3.0695295291955915E-3</v>
      </c>
      <c r="N318" s="40">
        <f t="shared" si="19"/>
        <v>0</v>
      </c>
      <c r="O318" s="41" t="s">
        <v>38</v>
      </c>
      <c r="P318" s="42"/>
      <c r="Q318" s="43"/>
    </row>
    <row r="319" spans="1:17" ht="15" customHeight="1">
      <c r="A319" s="20" t="s">
        <v>759</v>
      </c>
      <c r="B319" s="21" t="s">
        <v>760</v>
      </c>
      <c r="C319" s="22" t="s">
        <v>756</v>
      </c>
      <c r="D319" s="23" t="str">
        <f>IFERROR(INDEX([1]M_User!$A$12:$J$67,MATCH(C319,[1]M_User!$D$12:$D$67,0),3),"UNMAPPED")</f>
        <v>Masunga Mwala Ramadhani</v>
      </c>
      <c r="E319" s="24" t="str">
        <f>IFERROR(INDEX([1]M_User!$A$12:$J$67,MATCH(C319,[1]M_User!$D$12:$D$67,0),5),"UNMAPPED")</f>
        <v>MOS</v>
      </c>
      <c r="F319" s="22" t="s">
        <v>41</v>
      </c>
      <c r="G319" s="23" t="str">
        <f>IFERROR(INDEX([1]M_SKU!$A$18:$J$57,MATCH(F319,[1]M_SKU!$B$18:$B$57,0),1),"UNKNOWN SKU")</f>
        <v>Fanta Orange RGB 350ml</v>
      </c>
      <c r="H319" s="22" t="s">
        <v>183</v>
      </c>
      <c r="I319" s="25">
        <f>IFERROR(INDEX([1]T_Unload!$K$10:$K$433,MATCH(B319,[1]T_Unload!$B$10:$B$433,0)),0)</f>
        <v>5.2562031323890004</v>
      </c>
      <c r="J319" s="26">
        <v>5.26</v>
      </c>
      <c r="K319" s="27">
        <f t="shared" si="16"/>
        <v>-3.7968676109993993E-3</v>
      </c>
      <c r="L319" s="28" t="str">
        <f t="shared" si="17"/>
        <v>Adjust Unload Upward</v>
      </c>
      <c r="M319" s="29">
        <f t="shared" si="18"/>
        <v>0</v>
      </c>
      <c r="N319" s="29">
        <f t="shared" si="19"/>
        <v>3.7968676109993993E-3</v>
      </c>
      <c r="O319" s="30" t="s">
        <v>38</v>
      </c>
      <c r="P319" s="22"/>
      <c r="Q319" s="31"/>
    </row>
    <row r="320" spans="1:17" ht="15" customHeight="1">
      <c r="A320" s="32" t="s">
        <v>761</v>
      </c>
      <c r="B320" s="33" t="s">
        <v>762</v>
      </c>
      <c r="C320" s="34" t="s">
        <v>756</v>
      </c>
      <c r="D320" s="35" t="str">
        <f>IFERROR(INDEX([1]M_User!$A$12:$J$67,MATCH(C320,[1]M_User!$D$12:$D$67,0),3),"UNMAPPED")</f>
        <v>Masunga Mwala Ramadhani</v>
      </c>
      <c r="E320" s="36" t="str">
        <f>IFERROR(INDEX([1]M_User!$A$12:$J$67,MATCH(C320,[1]M_User!$D$12:$D$67,0),5),"UNMAPPED")</f>
        <v>MOS</v>
      </c>
      <c r="F320" s="34" t="s">
        <v>45</v>
      </c>
      <c r="G320" s="35" t="str">
        <f>IFERROR(INDEX([1]M_SKU!$A$18:$J$57,MATCH(F320,[1]M_SKU!$B$18:$B$57,0),1),"UNKNOWN SKU")</f>
        <v>Fanta Passion RGB 350ml</v>
      </c>
      <c r="H320" s="34" t="s">
        <v>186</v>
      </c>
      <c r="I320" s="37">
        <f>IFERROR(INDEX([1]T_Unload!$K$10:$K$433,MATCH(B320,[1]T_Unload!$B$10:$B$433,0)),0)</f>
        <v>0.92259230746848964</v>
      </c>
      <c r="J320" s="26">
        <v>0.92</v>
      </c>
      <c r="K320" s="38">
        <f t="shared" si="16"/>
        <v>2.5923074684895964E-3</v>
      </c>
      <c r="L320" s="39" t="str">
        <f t="shared" si="17"/>
        <v>Post to Default Outlet</v>
      </c>
      <c r="M320" s="40">
        <f t="shared" si="18"/>
        <v>2.5923074684895964E-3</v>
      </c>
      <c r="N320" s="40">
        <f t="shared" si="19"/>
        <v>0</v>
      </c>
      <c r="O320" s="41" t="s">
        <v>38</v>
      </c>
      <c r="P320" s="42"/>
      <c r="Q320" s="43"/>
    </row>
    <row r="321" spans="1:17" ht="15" customHeight="1">
      <c r="A321" s="20" t="s">
        <v>763</v>
      </c>
      <c r="B321" s="21" t="s">
        <v>764</v>
      </c>
      <c r="C321" s="22" t="s">
        <v>756</v>
      </c>
      <c r="D321" s="23" t="str">
        <f>IFERROR(INDEX([1]M_User!$A$12:$J$67,MATCH(C321,[1]M_User!$D$12:$D$67,0),3),"UNMAPPED")</f>
        <v>Masunga Mwala Ramadhani</v>
      </c>
      <c r="E321" s="24" t="str">
        <f>IFERROR(INDEX([1]M_User!$A$12:$J$67,MATCH(C321,[1]M_User!$D$12:$D$67,0),5),"UNMAPPED")</f>
        <v>MOS</v>
      </c>
      <c r="F321" s="22" t="s">
        <v>49</v>
      </c>
      <c r="G321" s="23" t="str">
        <f>IFERROR(INDEX([1]M_SKU!$A$18:$J$57,MATCH(F321,[1]M_SKU!$B$18:$B$57,0),1),"UNKNOWN SKU")</f>
        <v>Fanta Pineapple RGB 350ml</v>
      </c>
      <c r="H321" s="22" t="s">
        <v>189</v>
      </c>
      <c r="I321" s="25">
        <f>IFERROR(INDEX([1]T_Unload!$K$10:$K$433,MATCH(B321,[1]T_Unload!$B$10:$B$433,0)),0)</f>
        <v>2.4536650319059294</v>
      </c>
      <c r="J321" s="26">
        <v>2.4500000000000002</v>
      </c>
      <c r="K321" s="27">
        <f t="shared" si="16"/>
        <v>3.6650319059292613E-3</v>
      </c>
      <c r="L321" s="28" t="str">
        <f t="shared" si="17"/>
        <v>Post to Default Outlet</v>
      </c>
      <c r="M321" s="29">
        <f t="shared" si="18"/>
        <v>3.6650319059292613E-3</v>
      </c>
      <c r="N321" s="29">
        <f t="shared" si="19"/>
        <v>0</v>
      </c>
      <c r="O321" s="30" t="s">
        <v>38</v>
      </c>
      <c r="P321" s="22"/>
      <c r="Q321" s="31"/>
    </row>
    <row r="322" spans="1:17" ht="15" customHeight="1">
      <c r="A322" s="32" t="s">
        <v>765</v>
      </c>
      <c r="B322" s="33" t="s">
        <v>766</v>
      </c>
      <c r="C322" s="34" t="s">
        <v>756</v>
      </c>
      <c r="D322" s="35" t="str">
        <f>IFERROR(INDEX([1]M_User!$A$12:$J$67,MATCH(C322,[1]M_User!$D$12:$D$67,0),3),"UNMAPPED")</f>
        <v>Masunga Mwala Ramadhani</v>
      </c>
      <c r="E322" s="36" t="str">
        <f>IFERROR(INDEX([1]M_User!$A$12:$J$67,MATCH(C322,[1]M_User!$D$12:$D$67,0),5),"UNMAPPED")</f>
        <v>MOS</v>
      </c>
      <c r="F322" s="34" t="s">
        <v>192</v>
      </c>
      <c r="G322" s="35" t="str">
        <f>IFERROR(INDEX([1]M_SKU!$A$18:$J$57,MATCH(F322,[1]M_SKU!$B$18:$B$57,0),1),"UNKNOWN SKU")</f>
        <v>Fanta Fruit Blast RGB 350 ml</v>
      </c>
      <c r="H322" s="34" t="s">
        <v>193</v>
      </c>
      <c r="I322" s="37">
        <f>IFERROR(INDEX([1]T_Unload!$K$10:$K$433,MATCH(B322,[1]T_Unload!$B$10:$B$433,0)),0)</f>
        <v>0.60952900502740981</v>
      </c>
      <c r="J322" s="26">
        <v>0.61</v>
      </c>
      <c r="K322" s="38">
        <f t="shared" si="16"/>
        <v>-4.7099497259017742E-4</v>
      </c>
      <c r="L322" s="39" t="str">
        <f t="shared" si="17"/>
        <v>Adjust Unload Upward</v>
      </c>
      <c r="M322" s="40">
        <f t="shared" si="18"/>
        <v>0</v>
      </c>
      <c r="N322" s="40">
        <f t="shared" si="19"/>
        <v>4.7099497259017742E-4</v>
      </c>
      <c r="O322" s="41" t="s">
        <v>38</v>
      </c>
      <c r="P322" s="42"/>
      <c r="Q322" s="43"/>
    </row>
    <row r="323" spans="1:17" ht="15" customHeight="1">
      <c r="A323" s="20" t="s">
        <v>767</v>
      </c>
      <c r="B323" s="21" t="s">
        <v>768</v>
      </c>
      <c r="C323" s="22" t="s">
        <v>756</v>
      </c>
      <c r="D323" s="23" t="str">
        <f>IFERROR(INDEX([1]M_User!$A$12:$J$67,MATCH(C323,[1]M_User!$D$12:$D$67,0),3),"UNMAPPED")</f>
        <v>Masunga Mwala Ramadhani</v>
      </c>
      <c r="E323" s="24" t="str">
        <f>IFERROR(INDEX([1]M_User!$A$12:$J$67,MATCH(C323,[1]M_User!$D$12:$D$67,0),5),"UNMAPPED")</f>
        <v>MOS</v>
      </c>
      <c r="F323" s="22" t="s">
        <v>53</v>
      </c>
      <c r="G323" s="23" t="str">
        <f>IFERROR(INDEX([1]M_SKU!$A$18:$J$57,MATCH(F323,[1]M_SKU!$B$18:$B$57,0),1),"UNKNOWN SKU")</f>
        <v>Sprite 350ml</v>
      </c>
      <c r="H323" s="22" t="s">
        <v>196</v>
      </c>
      <c r="I323" s="25">
        <f>IFERROR(INDEX([1]T_Unload!$K$10:$K$433,MATCH(B323,[1]T_Unload!$B$10:$B$433,0)),0)</f>
        <v>2.0208396097597401</v>
      </c>
      <c r="J323" s="26">
        <v>2.02</v>
      </c>
      <c r="K323" s="27">
        <f t="shared" si="16"/>
        <v>8.3960975974006757E-4</v>
      </c>
      <c r="L323" s="28" t="str">
        <f t="shared" si="17"/>
        <v>Post to Default Outlet</v>
      </c>
      <c r="M323" s="29">
        <f t="shared" si="18"/>
        <v>8.3960975974006757E-4</v>
      </c>
      <c r="N323" s="29">
        <f t="shared" si="19"/>
        <v>0</v>
      </c>
      <c r="O323" s="30" t="s">
        <v>38</v>
      </c>
      <c r="P323" s="22"/>
      <c r="Q323" s="31"/>
    </row>
    <row r="324" spans="1:17" ht="15" customHeight="1">
      <c r="A324" s="32" t="s">
        <v>769</v>
      </c>
      <c r="B324" s="33" t="s">
        <v>770</v>
      </c>
      <c r="C324" s="34" t="s">
        <v>756</v>
      </c>
      <c r="D324" s="35" t="str">
        <f>IFERROR(INDEX([1]M_User!$A$12:$J$67,MATCH(C324,[1]M_User!$D$12:$D$67,0),3),"UNMAPPED")</f>
        <v>Masunga Mwala Ramadhani</v>
      </c>
      <c r="E324" s="36" t="str">
        <f>IFERROR(INDEX([1]M_User!$A$12:$J$67,MATCH(C324,[1]M_User!$D$12:$D$67,0),5),"UNMAPPED")</f>
        <v>MOS</v>
      </c>
      <c r="F324" s="34" t="s">
        <v>199</v>
      </c>
      <c r="G324" s="35" t="str">
        <f>IFERROR(INDEX([1]M_SKU!$A$18:$J$57,MATCH(F324,[1]M_SKU!$B$18:$B$57,0),1),"UNKNOWN SKU")</f>
        <v>Stoney Tangawizi RGB 350ml</v>
      </c>
      <c r="H324" s="34" t="s">
        <v>200</v>
      </c>
      <c r="I324" s="37">
        <f>IFERROR(INDEX([1]T_Unload!$K$10:$K$433,MATCH(B324,[1]T_Unload!$B$10:$B$433,0)),0)</f>
        <v>1.0486707677969491</v>
      </c>
      <c r="J324" s="26">
        <v>1.05</v>
      </c>
      <c r="K324" s="38">
        <f t="shared" si="16"/>
        <v>-1.3292322030509229E-3</v>
      </c>
      <c r="L324" s="39" t="str">
        <f t="shared" si="17"/>
        <v>Adjust Unload Upward</v>
      </c>
      <c r="M324" s="40">
        <f t="shared" si="18"/>
        <v>0</v>
      </c>
      <c r="N324" s="40">
        <f t="shared" si="19"/>
        <v>1.3292322030509229E-3</v>
      </c>
      <c r="O324" s="41" t="s">
        <v>38</v>
      </c>
      <c r="P324" s="42"/>
      <c r="Q324" s="43"/>
    </row>
    <row r="325" spans="1:17" ht="15" customHeight="1">
      <c r="A325" s="20" t="s">
        <v>771</v>
      </c>
      <c r="B325" s="21" t="s">
        <v>772</v>
      </c>
      <c r="C325" s="22" t="s">
        <v>756</v>
      </c>
      <c r="D325" s="23" t="str">
        <f>IFERROR(INDEX([1]M_User!$A$12:$J$67,MATCH(C325,[1]M_User!$D$12:$D$67,0),3),"UNMAPPED")</f>
        <v>Masunga Mwala Ramadhani</v>
      </c>
      <c r="E325" s="24" t="str">
        <f>IFERROR(INDEX([1]M_User!$A$12:$J$67,MATCH(C325,[1]M_User!$D$12:$D$67,0),5),"UNMAPPED")</f>
        <v>MOS</v>
      </c>
      <c r="F325" s="22" t="s">
        <v>203</v>
      </c>
      <c r="G325" s="23" t="str">
        <f>IFERROR(INDEX([1]M_SKU!$A$18:$J$57,MATCH(F325,[1]M_SKU!$B$18:$B$57,0),1),"UNKNOWN SKU")</f>
        <v>Sparletta Pinenut RGB 350ml</v>
      </c>
      <c r="H325" s="22" t="s">
        <v>204</v>
      </c>
      <c r="I325" s="25">
        <f>IFERROR(INDEX([1]T_Unload!$K$10:$K$433,MATCH(B325,[1]T_Unload!$B$10:$B$433,0)),0)</f>
        <v>1.0717758042589303</v>
      </c>
      <c r="J325" s="26">
        <v>1.07</v>
      </c>
      <c r="K325" s="27">
        <f t="shared" si="16"/>
        <v>1.7758042589302026E-3</v>
      </c>
      <c r="L325" s="28" t="str">
        <f t="shared" si="17"/>
        <v>Post to Default Outlet</v>
      </c>
      <c r="M325" s="29">
        <f t="shared" si="18"/>
        <v>1.7758042589302026E-3</v>
      </c>
      <c r="N325" s="29">
        <f t="shared" si="19"/>
        <v>0</v>
      </c>
      <c r="O325" s="30" t="s">
        <v>38</v>
      </c>
      <c r="P325" s="22"/>
      <c r="Q325" s="31"/>
    </row>
    <row r="326" spans="1:17" ht="15" customHeight="1">
      <c r="A326" s="32" t="s">
        <v>773</v>
      </c>
      <c r="B326" s="33" t="s">
        <v>774</v>
      </c>
      <c r="C326" s="34" t="s">
        <v>756</v>
      </c>
      <c r="D326" s="35" t="str">
        <f>IFERROR(INDEX([1]M_User!$A$12:$J$67,MATCH(C326,[1]M_User!$D$12:$D$67,0),3),"UNMAPPED")</f>
        <v>Masunga Mwala Ramadhani</v>
      </c>
      <c r="E326" s="36" t="str">
        <f>IFERROR(INDEX([1]M_User!$A$12:$J$67,MATCH(C326,[1]M_User!$D$12:$D$67,0),5),"UNMAPPED")</f>
        <v>MOS</v>
      </c>
      <c r="F326" s="34" t="s">
        <v>57</v>
      </c>
      <c r="G326" s="35" t="str">
        <f>IFERROR(INDEX([1]M_SKU!$A$18:$J$57,MATCH(F326,[1]M_SKU!$B$18:$B$57,0),1),"UNKNOWN SKU")</f>
        <v>Krest Bitter Lemon RGB 300ml</v>
      </c>
      <c r="H326" s="34" t="s">
        <v>58</v>
      </c>
      <c r="I326" s="37">
        <f>IFERROR(INDEX([1]T_Unload!$K$10:$K$433,MATCH(B326,[1]T_Unload!$B$10:$B$433,0)),0)</f>
        <v>0.54676949403909969</v>
      </c>
      <c r="J326" s="26">
        <v>0.55000000000000004</v>
      </c>
      <c r="K326" s="38">
        <f t="shared" si="16"/>
        <v>-3.2305059609003539E-3</v>
      </c>
      <c r="L326" s="39" t="str">
        <f t="shared" si="17"/>
        <v>Adjust Unload Upward</v>
      </c>
      <c r="M326" s="40">
        <f t="shared" si="18"/>
        <v>0</v>
      </c>
      <c r="N326" s="40">
        <f t="shared" si="19"/>
        <v>3.2305059609003539E-3</v>
      </c>
      <c r="O326" s="41" t="s">
        <v>38</v>
      </c>
      <c r="P326" s="42"/>
      <c r="Q326" s="43"/>
    </row>
    <row r="327" spans="1:17" ht="15" customHeight="1">
      <c r="A327" s="20" t="s">
        <v>775</v>
      </c>
      <c r="B327" s="21" t="s">
        <v>776</v>
      </c>
      <c r="C327" s="22" t="s">
        <v>756</v>
      </c>
      <c r="D327" s="23" t="str">
        <f>IFERROR(INDEX([1]M_User!$A$12:$J$67,MATCH(C327,[1]M_User!$D$12:$D$67,0),3),"UNMAPPED")</f>
        <v>Masunga Mwala Ramadhani</v>
      </c>
      <c r="E327" s="24" t="str">
        <f>IFERROR(INDEX([1]M_User!$A$12:$J$67,MATCH(C327,[1]M_User!$D$12:$D$67,0),5),"UNMAPPED")</f>
        <v>MOS</v>
      </c>
      <c r="F327" s="22" t="s">
        <v>61</v>
      </c>
      <c r="G327" s="23" t="str">
        <f>IFERROR(INDEX([1]M_SKU!$A$18:$J$57,MATCH(F327,[1]M_SKU!$B$18:$B$57,0),1),"UNKNOWN SKU")</f>
        <v>Krest Club Soda RGB 300ml</v>
      </c>
      <c r="H327" s="22" t="s">
        <v>62</v>
      </c>
      <c r="I327" s="25">
        <f>IFERROR(INDEX([1]T_Unload!$K$10:$K$433,MATCH(B327,[1]T_Unload!$B$10:$B$433,0)),0)</f>
        <v>0.87163043137378793</v>
      </c>
      <c r="J327" s="26">
        <v>0.87</v>
      </c>
      <c r="K327" s="27">
        <f t="shared" si="16"/>
        <v>1.6304313737879328E-3</v>
      </c>
      <c r="L327" s="28" t="str">
        <f t="shared" si="17"/>
        <v>Post to Default Outlet</v>
      </c>
      <c r="M327" s="29">
        <f t="shared" si="18"/>
        <v>1.6304313737879328E-3</v>
      </c>
      <c r="N327" s="29">
        <f t="shared" si="19"/>
        <v>0</v>
      </c>
      <c r="O327" s="30" t="s">
        <v>38</v>
      </c>
      <c r="P327" s="22"/>
      <c r="Q327" s="31"/>
    </row>
    <row r="328" spans="1:17" ht="15" customHeight="1">
      <c r="A328" s="32" t="s">
        <v>777</v>
      </c>
      <c r="B328" s="33" t="s">
        <v>778</v>
      </c>
      <c r="C328" s="34" t="s">
        <v>756</v>
      </c>
      <c r="D328" s="35" t="str">
        <f>IFERROR(INDEX([1]M_User!$A$12:$J$67,MATCH(C328,[1]M_User!$D$12:$D$67,0),3),"UNMAPPED")</f>
        <v>Masunga Mwala Ramadhani</v>
      </c>
      <c r="E328" s="36" t="str">
        <f>IFERROR(INDEX([1]M_User!$A$12:$J$67,MATCH(C328,[1]M_User!$D$12:$D$67,0),5),"UNMAPPED")</f>
        <v>MOS</v>
      </c>
      <c r="F328" s="34" t="s">
        <v>65</v>
      </c>
      <c r="G328" s="35" t="str">
        <f>IFERROR(INDEX([1]M_SKU!$A$18:$J$57,MATCH(F328,[1]M_SKU!$B$18:$B$57,0),1),"UNKNOWN SKU")</f>
        <v>Krest Tonic Water RGB 300ml</v>
      </c>
      <c r="H328" s="34" t="s">
        <v>211</v>
      </c>
      <c r="I328" s="37">
        <f>IFERROR(INDEX([1]T_Unload!$K$10:$K$433,MATCH(B328,[1]T_Unload!$B$10:$B$433,0)),0)</f>
        <v>0.58590440599534066</v>
      </c>
      <c r="J328" s="26">
        <v>0.59</v>
      </c>
      <c r="K328" s="38">
        <f t="shared" si="16"/>
        <v>-4.0955940046593087E-3</v>
      </c>
      <c r="L328" s="39" t="str">
        <f t="shared" si="17"/>
        <v>Adjust Unload Upward</v>
      </c>
      <c r="M328" s="40">
        <f t="shared" si="18"/>
        <v>0</v>
      </c>
      <c r="N328" s="40">
        <f t="shared" si="19"/>
        <v>4.0955940046593087E-3</v>
      </c>
      <c r="O328" s="41" t="s">
        <v>38</v>
      </c>
      <c r="P328" s="42"/>
      <c r="Q328" s="43"/>
    </row>
    <row r="329" spans="1:17" ht="15" customHeight="1">
      <c r="A329" s="20" t="s">
        <v>779</v>
      </c>
      <c r="B329" s="21" t="s">
        <v>780</v>
      </c>
      <c r="C329" s="22" t="s">
        <v>756</v>
      </c>
      <c r="D329" s="23" t="str">
        <f>IFERROR(INDEX([1]M_User!$A$12:$J$67,MATCH(C329,[1]M_User!$D$12:$D$67,0),3),"UNMAPPED")</f>
        <v>Masunga Mwala Ramadhani</v>
      </c>
      <c r="E329" s="24" t="str">
        <f>IFERROR(INDEX([1]M_User!$A$12:$J$67,MATCH(C329,[1]M_User!$D$12:$D$67,0),5),"UNMAPPED")</f>
        <v>MOS</v>
      </c>
      <c r="F329" s="22" t="s">
        <v>69</v>
      </c>
      <c r="G329" s="23" t="str">
        <f>IFERROR(INDEX([1]M_SKU!$A$18:$J$57,MATCH(F329,[1]M_SKU!$B$18:$B$57,0),1),"UNKNOWN SKU")</f>
        <v>Krest Ginger Ale RGB 300ml</v>
      </c>
      <c r="H329" s="22" t="s">
        <v>70</v>
      </c>
      <c r="I329" s="25">
        <f>IFERROR(INDEX([1]T_Unload!$K$10:$K$433,MATCH(B329,[1]T_Unload!$B$10:$B$433,0)),0)</f>
        <v>0.69605159089369018</v>
      </c>
      <c r="J329" s="26">
        <v>0.7</v>
      </c>
      <c r="K329" s="27">
        <f t="shared" si="16"/>
        <v>-3.9484091063097804E-3</v>
      </c>
      <c r="L329" s="28" t="str">
        <f t="shared" si="17"/>
        <v>Adjust Unload Upward</v>
      </c>
      <c r="M329" s="29">
        <f t="shared" si="18"/>
        <v>0</v>
      </c>
      <c r="N329" s="29">
        <f t="shared" si="19"/>
        <v>3.9484091063097804E-3</v>
      </c>
      <c r="O329" s="30" t="s">
        <v>38</v>
      </c>
      <c r="P329" s="22"/>
      <c r="Q329" s="31"/>
    </row>
    <row r="330" spans="1:17" ht="15" customHeight="1">
      <c r="A330" s="32" t="s">
        <v>781</v>
      </c>
      <c r="B330" s="33" t="s">
        <v>782</v>
      </c>
      <c r="C330" s="34" t="s">
        <v>756</v>
      </c>
      <c r="D330" s="35" t="str">
        <f>IFERROR(INDEX([1]M_User!$A$12:$J$67,MATCH(C330,[1]M_User!$D$12:$D$67,0),3),"UNMAPPED")</f>
        <v>Masunga Mwala Ramadhani</v>
      </c>
      <c r="E330" s="36" t="str">
        <f>IFERROR(INDEX([1]M_User!$A$12:$J$67,MATCH(C330,[1]M_User!$D$12:$D$67,0),5),"UNMAPPED")</f>
        <v>MOS</v>
      </c>
      <c r="F330" s="34" t="s">
        <v>216</v>
      </c>
      <c r="G330" s="35" t="str">
        <f>IFERROR(INDEX([1]M_SKU!$A$18:$J$57,MATCH(F330,[1]M_SKU!$B$18:$B$57,0),1),"UNKNOWN SKU")</f>
        <v>Sparletta Red Apple RGB 350ml</v>
      </c>
      <c r="H330" s="34" t="s">
        <v>217</v>
      </c>
      <c r="I330" s="37">
        <f>IFERROR(INDEX([1]T_Unload!$K$10:$K$433,MATCH(B330,[1]T_Unload!$B$10:$B$433,0)),0)</f>
        <v>0.25769793094867</v>
      </c>
      <c r="J330" s="26">
        <v>0.26</v>
      </c>
      <c r="K330" s="38">
        <f t="shared" si="16"/>
        <v>-2.3020690513300135E-3</v>
      </c>
      <c r="L330" s="39" t="str">
        <f t="shared" si="17"/>
        <v>Adjust Unload Upward</v>
      </c>
      <c r="M330" s="40">
        <f t="shared" si="18"/>
        <v>0</v>
      </c>
      <c r="N330" s="40">
        <f t="shared" si="19"/>
        <v>2.3020690513300135E-3</v>
      </c>
      <c r="O330" s="41" t="s">
        <v>38</v>
      </c>
      <c r="P330" s="42"/>
      <c r="Q330" s="43"/>
    </row>
    <row r="331" spans="1:17" ht="15" customHeight="1">
      <c r="A331" s="20" t="s">
        <v>783</v>
      </c>
      <c r="B331" s="21" t="s">
        <v>784</v>
      </c>
      <c r="C331" s="22" t="s">
        <v>756</v>
      </c>
      <c r="D331" s="23" t="str">
        <f>IFERROR(INDEX([1]M_User!$A$12:$J$67,MATCH(C331,[1]M_User!$D$12:$D$67,0),3),"UNMAPPED")</f>
        <v>Masunga Mwala Ramadhani</v>
      </c>
      <c r="E331" s="24" t="str">
        <f>IFERROR(INDEX([1]M_User!$A$12:$J$67,MATCH(C331,[1]M_User!$D$12:$D$67,0),5),"UNMAPPED")</f>
        <v>MOS</v>
      </c>
      <c r="F331" s="22" t="s">
        <v>73</v>
      </c>
      <c r="G331" s="23" t="str">
        <f>IFERROR(INDEX([1]M_SKU!$A$18:$J$57,MATCH(F331,[1]M_SKU!$B$18:$B$57,0),1),"UNKNOWN SKU")</f>
        <v>KNMW 500ml</v>
      </c>
      <c r="H331" s="22" t="s">
        <v>220</v>
      </c>
      <c r="I331" s="25">
        <f>IFERROR(INDEX([1]T_Unload!$K$10:$K$433,MATCH(B331,[1]T_Unload!$B$10:$B$433,0)),0)</f>
        <v>9</v>
      </c>
      <c r="J331" s="26">
        <v>9</v>
      </c>
      <c r="K331" s="27">
        <f t="shared" si="16"/>
        <v>0</v>
      </c>
      <c r="L331" s="28" t="str">
        <f t="shared" si="17"/>
        <v>CLEAN</v>
      </c>
      <c r="M331" s="29">
        <f t="shared" si="18"/>
        <v>0</v>
      </c>
      <c r="N331" s="29">
        <f t="shared" si="19"/>
        <v>0</v>
      </c>
      <c r="O331" s="30" t="s">
        <v>38</v>
      </c>
      <c r="P331" s="22"/>
      <c r="Q331" s="31"/>
    </row>
    <row r="332" spans="1:17" ht="15" customHeight="1">
      <c r="A332" s="32" t="s">
        <v>785</v>
      </c>
      <c r="B332" s="33" t="s">
        <v>786</v>
      </c>
      <c r="C332" s="34" t="s">
        <v>756</v>
      </c>
      <c r="D332" s="35" t="str">
        <f>IFERROR(INDEX([1]M_User!$A$12:$J$67,MATCH(C332,[1]M_User!$D$12:$D$67,0),3),"UNMAPPED")</f>
        <v>Masunga Mwala Ramadhani</v>
      </c>
      <c r="E332" s="36" t="str">
        <f>IFERROR(INDEX([1]M_User!$A$12:$J$67,MATCH(C332,[1]M_User!$D$12:$D$67,0),5),"UNMAPPED")</f>
        <v>MOS</v>
      </c>
      <c r="F332" s="34" t="s">
        <v>83</v>
      </c>
      <c r="G332" s="35" t="str">
        <f>IFERROR(INDEX([1]M_SKU!$A$18:$J$57,MATCH(F332,[1]M_SKU!$B$18:$B$57,0),1),"UNKNOWN SKU")</f>
        <v>KNMW 1500ml</v>
      </c>
      <c r="H332" s="34" t="s">
        <v>223</v>
      </c>
      <c r="I332" s="37">
        <f>IFERROR(INDEX([1]T_Unload!$K$10:$K$433,MATCH(B332,[1]T_Unload!$B$10:$B$433,0)),0)</f>
        <v>45</v>
      </c>
      <c r="J332" s="26">
        <v>45</v>
      </c>
      <c r="K332" s="38">
        <f t="shared" si="16"/>
        <v>0</v>
      </c>
      <c r="L332" s="39" t="str">
        <f t="shared" si="17"/>
        <v>CLEAN</v>
      </c>
      <c r="M332" s="40">
        <f t="shared" si="18"/>
        <v>0</v>
      </c>
      <c r="N332" s="40">
        <f t="shared" si="19"/>
        <v>0</v>
      </c>
      <c r="O332" s="41" t="s">
        <v>38</v>
      </c>
      <c r="P332" s="42"/>
      <c r="Q332" s="43"/>
    </row>
    <row r="333" spans="1:17" ht="15" customHeight="1">
      <c r="A333" s="20" t="s">
        <v>787</v>
      </c>
      <c r="B333" s="21" t="s">
        <v>788</v>
      </c>
      <c r="C333" s="22" t="s">
        <v>756</v>
      </c>
      <c r="D333" s="23" t="str">
        <f>IFERROR(INDEX([1]M_User!$A$12:$J$67,MATCH(C333,[1]M_User!$D$12:$D$67,0),3),"UNMAPPED")</f>
        <v>Masunga Mwala Ramadhani</v>
      </c>
      <c r="E333" s="24" t="str">
        <f>IFERROR(INDEX([1]M_User!$A$12:$J$67,MATCH(C333,[1]M_User!$D$12:$D$67,0),5),"UNMAPPED")</f>
        <v>MOS</v>
      </c>
      <c r="F333" s="22" t="s">
        <v>109</v>
      </c>
      <c r="G333" s="23" t="str">
        <f>IFERROR(INDEX([1]M_SKU!$A$18:$J$57,MATCH(F333,[1]M_SKU!$B$18:$B$57,0),1),"UNKNOWN SKU")</f>
        <v>Coke Pet 500ML ( x12)</v>
      </c>
      <c r="H333" s="22" t="s">
        <v>226</v>
      </c>
      <c r="I333" s="25">
        <f>IFERROR(INDEX([1]T_Unload!$K$10:$K$433,MATCH(B333,[1]T_Unload!$B$10:$B$433,0)),0)</f>
        <v>11</v>
      </c>
      <c r="J333" s="26">
        <v>11</v>
      </c>
      <c r="K333" s="27">
        <f t="shared" ref="K333:K341" si="20">IF(ISBLANK(J333),"",I333-J333)</f>
        <v>0</v>
      </c>
      <c r="L333" s="28" t="str">
        <f t="shared" ref="L333:L341" si="21">IF(K333="","Awaiting Verification",IF(ABS(K333)&lt;0.0001,"CLEAN",IF(K333&gt;0,"Post to Default Outlet","Adjust Unload Upward")))</f>
        <v>CLEAN</v>
      </c>
      <c r="M333" s="29">
        <f t="shared" ref="M333:M341" si="22">IF(AND(ISNUMBER(K333),K333&gt;0.0001),K333,0)</f>
        <v>0</v>
      </c>
      <c r="N333" s="29">
        <f t="shared" ref="N333:N341" si="23">IF(AND(ISNUMBER(K333),K333&lt;-0.0001),-K333,0)</f>
        <v>0</v>
      </c>
      <c r="O333" s="30" t="s">
        <v>38</v>
      </c>
      <c r="P333" s="22"/>
      <c r="Q333" s="31"/>
    </row>
    <row r="334" spans="1:17" ht="15" customHeight="1">
      <c r="A334" s="32" t="s">
        <v>789</v>
      </c>
      <c r="B334" s="33" t="s">
        <v>790</v>
      </c>
      <c r="C334" s="34" t="s">
        <v>756</v>
      </c>
      <c r="D334" s="35" t="str">
        <f>IFERROR(INDEX([1]M_User!$A$12:$J$67,MATCH(C334,[1]M_User!$D$12:$D$67,0),3),"UNMAPPED")</f>
        <v>Masunga Mwala Ramadhani</v>
      </c>
      <c r="E334" s="36" t="str">
        <f>IFERROR(INDEX([1]M_User!$A$12:$J$67,MATCH(C334,[1]M_User!$D$12:$D$67,0),5),"UNMAPPED")</f>
        <v>MOS</v>
      </c>
      <c r="F334" s="34" t="s">
        <v>113</v>
      </c>
      <c r="G334" s="35" t="str">
        <f>IFERROR(INDEX([1]M_SKU!$A$18:$J$57,MATCH(F334,[1]M_SKU!$B$18:$B$57,0),1),"UNKNOWN SKU")</f>
        <v>Sprite Pet 500ML (x 12)</v>
      </c>
      <c r="H334" s="34" t="s">
        <v>114</v>
      </c>
      <c r="I334" s="37">
        <f>IFERROR(INDEX([1]T_Unload!$K$10:$K$433,MATCH(B334,[1]T_Unload!$B$10:$B$433,0)),0)</f>
        <v>2</v>
      </c>
      <c r="J334" s="26">
        <v>2</v>
      </c>
      <c r="K334" s="38">
        <f t="shared" si="20"/>
        <v>0</v>
      </c>
      <c r="L334" s="39" t="str">
        <f t="shared" si="21"/>
        <v>CLEAN</v>
      </c>
      <c r="M334" s="40">
        <f t="shared" si="22"/>
        <v>0</v>
      </c>
      <c r="N334" s="40">
        <f t="shared" si="23"/>
        <v>0</v>
      </c>
      <c r="O334" s="41" t="s">
        <v>38</v>
      </c>
      <c r="P334" s="42"/>
      <c r="Q334" s="43"/>
    </row>
    <row r="335" spans="1:17" ht="15" customHeight="1">
      <c r="A335" s="20" t="s">
        <v>791</v>
      </c>
      <c r="B335" s="21" t="s">
        <v>792</v>
      </c>
      <c r="C335" s="22" t="s">
        <v>756</v>
      </c>
      <c r="D335" s="23" t="str">
        <f>IFERROR(INDEX([1]M_User!$A$12:$J$67,MATCH(C335,[1]M_User!$D$12:$D$67,0),3),"UNMAPPED")</f>
        <v>Masunga Mwala Ramadhani</v>
      </c>
      <c r="E335" s="24" t="str">
        <f>IFERROR(INDEX([1]M_User!$A$12:$J$67,MATCH(C335,[1]M_User!$D$12:$D$67,0),5),"UNMAPPED")</f>
        <v>MOS</v>
      </c>
      <c r="F335" s="22" t="s">
        <v>117</v>
      </c>
      <c r="G335" s="23" t="str">
        <f>IFERROR(INDEX([1]M_SKU!$A$18:$J$57,MATCH(F335,[1]M_SKU!$B$18:$B$57,0),1),"UNKNOWN SKU")</f>
        <v>Fanta Orange Pet 500ML ( x 12)</v>
      </c>
      <c r="H335" s="22" t="s">
        <v>231</v>
      </c>
      <c r="I335" s="25">
        <f>IFERROR(INDEX([1]T_Unload!$K$10:$K$433,MATCH(B335,[1]T_Unload!$B$10:$B$433,0)),0)</f>
        <v>3</v>
      </c>
      <c r="J335" s="26">
        <v>3</v>
      </c>
      <c r="K335" s="27">
        <f t="shared" si="20"/>
        <v>0</v>
      </c>
      <c r="L335" s="28" t="str">
        <f t="shared" si="21"/>
        <v>CLEAN</v>
      </c>
      <c r="M335" s="29">
        <f t="shared" si="22"/>
        <v>0</v>
      </c>
      <c r="N335" s="29">
        <f t="shared" si="23"/>
        <v>0</v>
      </c>
      <c r="O335" s="30" t="s">
        <v>38</v>
      </c>
      <c r="P335" s="22"/>
      <c r="Q335" s="31"/>
    </row>
    <row r="336" spans="1:17" ht="15" customHeight="1">
      <c r="A336" s="32" t="s">
        <v>793</v>
      </c>
      <c r="B336" s="33" t="s">
        <v>794</v>
      </c>
      <c r="C336" s="34" t="s">
        <v>756</v>
      </c>
      <c r="D336" s="35" t="str">
        <f>IFERROR(INDEX([1]M_User!$A$12:$J$67,MATCH(C336,[1]M_User!$D$12:$D$67,0),3),"UNMAPPED")</f>
        <v>Masunga Mwala Ramadhani</v>
      </c>
      <c r="E336" s="36" t="str">
        <f>IFERROR(INDEX([1]M_User!$A$12:$J$67,MATCH(C336,[1]M_User!$D$12:$D$67,0),5),"UNMAPPED")</f>
        <v>MOS</v>
      </c>
      <c r="F336" s="34" t="s">
        <v>121</v>
      </c>
      <c r="G336" s="35" t="str">
        <f>IFERROR(INDEX([1]M_SKU!$A$18:$J$57,MATCH(F336,[1]M_SKU!$B$18:$B$57,0),1),"UNKNOWN SKU")</f>
        <v>Fanta Passion Pet 500ML ( x12)</v>
      </c>
      <c r="H336" s="34" t="s">
        <v>234</v>
      </c>
      <c r="I336" s="37">
        <f>IFERROR(INDEX([1]T_Unload!$K$10:$K$433,MATCH(B336,[1]T_Unload!$B$10:$B$433,0)),0)</f>
        <v>2</v>
      </c>
      <c r="J336" s="26">
        <v>2</v>
      </c>
      <c r="K336" s="38">
        <f t="shared" si="20"/>
        <v>0</v>
      </c>
      <c r="L336" s="39" t="str">
        <f t="shared" si="21"/>
        <v>CLEAN</v>
      </c>
      <c r="M336" s="40">
        <f t="shared" si="22"/>
        <v>0</v>
      </c>
      <c r="N336" s="40">
        <f t="shared" si="23"/>
        <v>0</v>
      </c>
      <c r="O336" s="41" t="s">
        <v>38</v>
      </c>
      <c r="P336" s="42"/>
      <c r="Q336" s="43"/>
    </row>
    <row r="337" spans="1:17" ht="15" customHeight="1">
      <c r="A337" s="20" t="s">
        <v>795</v>
      </c>
      <c r="B337" s="21" t="s">
        <v>796</v>
      </c>
      <c r="C337" s="22" t="s">
        <v>756</v>
      </c>
      <c r="D337" s="23" t="str">
        <f>IFERROR(INDEX([1]M_User!$A$12:$J$67,MATCH(C337,[1]M_User!$D$12:$D$67,0),3),"UNMAPPED")</f>
        <v>Masunga Mwala Ramadhani</v>
      </c>
      <c r="E337" s="24" t="str">
        <f>IFERROR(INDEX([1]M_User!$A$12:$J$67,MATCH(C337,[1]M_User!$D$12:$D$67,0),5),"UNMAPPED")</f>
        <v>MOS</v>
      </c>
      <c r="F337" s="22" t="s">
        <v>133</v>
      </c>
      <c r="G337" s="23" t="str">
        <f>IFERROR(INDEX([1]M_SKU!$A$18:$J$57,MATCH(F337,[1]M_SKU!$B$18:$B$57,0),1),"UNKNOWN SKU")</f>
        <v>Stoney Tangawizi Pet 500 ml ( x12)</v>
      </c>
      <c r="H337" s="22" t="s">
        <v>237</v>
      </c>
      <c r="I337" s="25">
        <f>IFERROR(INDEX([1]T_Unload!$K$10:$K$433,MATCH(B337,[1]T_Unload!$B$10:$B$433,0)),0)</f>
        <v>1</v>
      </c>
      <c r="J337" s="26">
        <v>1</v>
      </c>
      <c r="K337" s="27">
        <f t="shared" si="20"/>
        <v>0</v>
      </c>
      <c r="L337" s="28" t="str">
        <f t="shared" si="21"/>
        <v>CLEAN</v>
      </c>
      <c r="M337" s="29">
        <f t="shared" si="22"/>
        <v>0</v>
      </c>
      <c r="N337" s="29">
        <f t="shared" si="23"/>
        <v>0</v>
      </c>
      <c r="O337" s="30" t="s">
        <v>38</v>
      </c>
      <c r="P337" s="22"/>
      <c r="Q337" s="31"/>
    </row>
    <row r="338" spans="1:17" ht="15" customHeight="1">
      <c r="A338" s="32" t="s">
        <v>797</v>
      </c>
      <c r="B338" s="33" t="s">
        <v>798</v>
      </c>
      <c r="C338" s="34" t="s">
        <v>756</v>
      </c>
      <c r="D338" s="35" t="str">
        <f>IFERROR(INDEX([1]M_User!$A$12:$J$67,MATCH(C338,[1]M_User!$D$12:$D$67,0),3),"UNMAPPED")</f>
        <v>Masunga Mwala Ramadhani</v>
      </c>
      <c r="E338" s="36" t="str">
        <f>IFERROR(INDEX([1]M_User!$A$12:$J$67,MATCH(C338,[1]M_User!$D$12:$D$67,0),5),"UNMAPPED")</f>
        <v>MOS</v>
      </c>
      <c r="F338" s="34" t="s">
        <v>137</v>
      </c>
      <c r="G338" s="35" t="str">
        <f>IFERROR(INDEX([1]M_SKU!$A$18:$J$57,MATCH(F338,[1]M_SKU!$B$18:$B$57,0),1),"UNKNOWN SKU")</f>
        <v>Sparletta Pinenut Pet 500 ml ( x12)</v>
      </c>
      <c r="H338" s="34" t="s">
        <v>240</v>
      </c>
      <c r="I338" s="37">
        <f>IFERROR(INDEX([1]T_Unload!$K$10:$K$433,MATCH(B338,[1]T_Unload!$B$10:$B$433,0)),0)</f>
        <v>1</v>
      </c>
      <c r="J338" s="26">
        <v>1</v>
      </c>
      <c r="K338" s="38">
        <f t="shared" si="20"/>
        <v>0</v>
      </c>
      <c r="L338" s="39" t="str">
        <f t="shared" si="21"/>
        <v>CLEAN</v>
      </c>
      <c r="M338" s="40">
        <f t="shared" si="22"/>
        <v>0</v>
      </c>
      <c r="N338" s="40">
        <f t="shared" si="23"/>
        <v>0</v>
      </c>
      <c r="O338" s="41" t="s">
        <v>38</v>
      </c>
      <c r="P338" s="42"/>
      <c r="Q338" s="43"/>
    </row>
    <row r="339" spans="1:17" ht="15" customHeight="1">
      <c r="A339" s="20" t="s">
        <v>799</v>
      </c>
      <c r="B339" s="21" t="s">
        <v>800</v>
      </c>
      <c r="C339" s="22" t="s">
        <v>756</v>
      </c>
      <c r="D339" s="23" t="str">
        <f>IFERROR(INDEX([1]M_User!$A$12:$J$67,MATCH(C339,[1]M_User!$D$12:$D$67,0),3),"UNMAPPED")</f>
        <v>Masunga Mwala Ramadhani</v>
      </c>
      <c r="E339" s="24" t="str">
        <f>IFERROR(INDEX([1]M_User!$A$12:$J$67,MATCH(C339,[1]M_User!$D$12:$D$67,0),5),"UNMAPPED")</f>
        <v>MOS</v>
      </c>
      <c r="F339" s="22" t="s">
        <v>243</v>
      </c>
      <c r="G339" s="23" t="str">
        <f>IFERROR(INDEX([1]M_SKU!$A$18:$J$57,MATCH(F339,[1]M_SKU!$B$18:$B$57,0),1),"UNKNOWN SKU")</f>
        <v>Sprite Zero Pet 300ML (x 12)</v>
      </c>
      <c r="H339" s="22" t="s">
        <v>244</v>
      </c>
      <c r="I339" s="25">
        <f>IFERROR(INDEX([1]T_Unload!$K$10:$K$433,MATCH(B339,[1]T_Unload!$B$10:$B$433,0)),0)</f>
        <v>0</v>
      </c>
      <c r="J339" s="26">
        <v>0</v>
      </c>
      <c r="K339" s="27">
        <f t="shared" si="20"/>
        <v>0</v>
      </c>
      <c r="L339" s="28" t="str">
        <f t="shared" si="21"/>
        <v>CLEAN</v>
      </c>
      <c r="M339" s="29">
        <f t="shared" si="22"/>
        <v>0</v>
      </c>
      <c r="N339" s="29">
        <f t="shared" si="23"/>
        <v>0</v>
      </c>
      <c r="O339" s="30" t="s">
        <v>38</v>
      </c>
      <c r="P339" s="22"/>
      <c r="Q339" s="31"/>
    </row>
    <row r="340" spans="1:17" ht="15" customHeight="1">
      <c r="A340" s="32" t="s">
        <v>801</v>
      </c>
      <c r="B340" s="33" t="s">
        <v>802</v>
      </c>
      <c r="C340" s="34" t="s">
        <v>756</v>
      </c>
      <c r="D340" s="35" t="str">
        <f>IFERROR(INDEX([1]M_User!$A$12:$J$67,MATCH(C340,[1]M_User!$D$12:$D$67,0),3),"UNMAPPED")</f>
        <v>Masunga Mwala Ramadhani</v>
      </c>
      <c r="E340" s="36" t="str">
        <f>IFERROR(INDEX([1]M_User!$A$12:$J$67,MATCH(C340,[1]M_User!$D$12:$D$67,0),5),"UNMAPPED")</f>
        <v>MOS</v>
      </c>
      <c r="F340" s="34" t="s">
        <v>148</v>
      </c>
      <c r="G340" s="35" t="str">
        <f>IFERROR(INDEX([1]M_SKU!$A$18:$J$57,MATCH(F340,[1]M_SKU!$B$18:$B$57,0),1),"UNKNOWN SKU")</f>
        <v>Fanta Zero Pet 300ML (x 12)</v>
      </c>
      <c r="H340" s="34" t="s">
        <v>149</v>
      </c>
      <c r="I340" s="37">
        <f>IFERROR(INDEX([1]T_Unload!$K$10:$K$433,MATCH(B340,[1]T_Unload!$B$10:$B$433,0)),0)</f>
        <v>1</v>
      </c>
      <c r="J340" s="26">
        <v>1</v>
      </c>
      <c r="K340" s="38">
        <f t="shared" si="20"/>
        <v>0</v>
      </c>
      <c r="L340" s="39" t="str">
        <f t="shared" si="21"/>
        <v>CLEAN</v>
      </c>
      <c r="M340" s="40">
        <f t="shared" si="22"/>
        <v>0</v>
      </c>
      <c r="N340" s="40">
        <f t="shared" si="23"/>
        <v>0</v>
      </c>
      <c r="O340" s="41" t="s">
        <v>38</v>
      </c>
      <c r="P340" s="42"/>
      <c r="Q340" s="43"/>
    </row>
    <row r="341" spans="1:17" ht="15" customHeight="1">
      <c r="A341" s="20" t="s">
        <v>803</v>
      </c>
      <c r="B341" s="21" t="s">
        <v>804</v>
      </c>
      <c r="C341" s="22" t="s">
        <v>756</v>
      </c>
      <c r="D341" s="23" t="str">
        <f>IFERROR(INDEX([1]M_User!$A$12:$J$67,MATCH(C341,[1]M_User!$D$12:$D$67,0),3),"UNMAPPED")</f>
        <v>Masunga Mwala Ramadhani</v>
      </c>
      <c r="E341" s="24" t="str">
        <f>IFERROR(INDEX([1]M_User!$A$12:$J$67,MATCH(C341,[1]M_User!$D$12:$D$67,0),5),"UNMAPPED")</f>
        <v>MOS</v>
      </c>
      <c r="F341" s="22" t="s">
        <v>160</v>
      </c>
      <c r="G341" s="23" t="str">
        <f>IFERROR(INDEX([1]M_SKU!$A$18:$J$57,MATCH(F341,[1]M_SKU!$B$18:$B$57,0),1),"UNKNOWN SKU")</f>
        <v>Sparletta Pine Apple Pet 300ML (x 12)</v>
      </c>
      <c r="H341" s="22" t="s">
        <v>161</v>
      </c>
      <c r="I341" s="25">
        <f>IFERROR(INDEX([1]T_Unload!$K$10:$K$433,MATCH(B341,[1]T_Unload!$B$10:$B$433,0)),0)</f>
        <v>2</v>
      </c>
      <c r="J341" s="26">
        <v>2</v>
      </c>
      <c r="K341" s="27">
        <f t="shared" si="20"/>
        <v>0</v>
      </c>
      <c r="L341" s="28" t="str">
        <f t="shared" si="21"/>
        <v>CLEAN</v>
      </c>
      <c r="M341" s="29">
        <f t="shared" si="22"/>
        <v>0</v>
      </c>
      <c r="N341" s="29">
        <f t="shared" si="23"/>
        <v>0</v>
      </c>
      <c r="O341" s="30" t="s">
        <v>38</v>
      </c>
      <c r="P341" s="22"/>
      <c r="Q341" s="31"/>
    </row>
    <row r="342" spans="1:17" ht="15" customHeight="1">
      <c r="A342" s="32" t="s">
        <v>805</v>
      </c>
      <c r="B342" s="33" t="s">
        <v>806</v>
      </c>
      <c r="C342" s="34" t="s">
        <v>807</v>
      </c>
      <c r="D342" s="35" t="str">
        <f>IFERROR(INDEX([1]M_User!$A$12:$J$67,MATCH(C342,[1]M_User!$D$12:$D$67,0),3),"UNMAPPED")</f>
        <v>UNMAPPED</v>
      </c>
      <c r="E342" s="36" t="str">
        <f>IFERROR(INDEX([1]M_User!$A$12:$J$67,MATCH(C342,[1]M_User!$D$12:$D$67,0),5),"UNMAPPED")</f>
        <v>UNMAPPED</v>
      </c>
      <c r="F342" s="34" t="s">
        <v>36</v>
      </c>
      <c r="G342" s="35" t="str">
        <f>IFERROR(INDEX([1]M_SKU!$A$18:$J$57,MATCH(F342,[1]M_SKU!$B$18:$B$57,0),1),"UNKNOWN SKU")</f>
        <v>Coke RGB 350ml</v>
      </c>
      <c r="H342" s="34" t="s">
        <v>180</v>
      </c>
      <c r="I342" s="37">
        <f>IFERROR(INDEX([1]T_Unload!$K$10:$K$433,MATCH(B342,[1]T_Unload!$B$10:$B$433,0)),0)</f>
        <v>40</v>
      </c>
      <c r="J342" s="44"/>
      <c r="K342" s="45"/>
      <c r="L342" s="39" t="s">
        <v>808</v>
      </c>
      <c r="M342" s="46"/>
      <c r="N342" s="46"/>
      <c r="O342" s="47" t="s">
        <v>809</v>
      </c>
      <c r="P342" s="42"/>
      <c r="Q342" s="43"/>
    </row>
    <row r="343" spans="1:17" ht="15" customHeight="1">
      <c r="A343" s="20" t="s">
        <v>810</v>
      </c>
      <c r="B343" s="21" t="s">
        <v>811</v>
      </c>
      <c r="C343" s="22" t="s">
        <v>807</v>
      </c>
      <c r="D343" s="23" t="str">
        <f>IFERROR(INDEX([1]M_User!$A$12:$J$67,MATCH(C343,[1]M_User!$D$12:$D$67,0),3),"UNMAPPED")</f>
        <v>UNMAPPED</v>
      </c>
      <c r="E343" s="24" t="str">
        <f>IFERROR(INDEX([1]M_User!$A$12:$J$67,MATCH(C343,[1]M_User!$D$12:$D$67,0),5),"UNMAPPED")</f>
        <v>UNMAPPED</v>
      </c>
      <c r="F343" s="22" t="s">
        <v>41</v>
      </c>
      <c r="G343" s="23" t="str">
        <f>IFERROR(INDEX([1]M_SKU!$A$18:$J$57,MATCH(F343,[1]M_SKU!$B$18:$B$57,0),1),"UNKNOWN SKU")</f>
        <v>Fanta Orange RGB 350ml</v>
      </c>
      <c r="H343" s="22" t="s">
        <v>183</v>
      </c>
      <c r="I343" s="25">
        <f>IFERROR(INDEX([1]T_Unload!$K$10:$K$433,MATCH(B343,[1]T_Unload!$B$10:$B$433,0)),0)</f>
        <v>15</v>
      </c>
      <c r="J343" s="44"/>
      <c r="K343" s="48"/>
      <c r="L343" s="28" t="s">
        <v>808</v>
      </c>
      <c r="M343" s="48"/>
      <c r="N343" s="48"/>
      <c r="O343" s="28" t="s">
        <v>809</v>
      </c>
      <c r="P343" s="22"/>
      <c r="Q343" s="31"/>
    </row>
    <row r="344" spans="1:17" ht="15" customHeight="1">
      <c r="A344" s="32" t="s">
        <v>812</v>
      </c>
      <c r="B344" s="33" t="s">
        <v>813</v>
      </c>
      <c r="C344" s="34" t="s">
        <v>807</v>
      </c>
      <c r="D344" s="35" t="str">
        <f>IFERROR(INDEX([1]M_User!$A$12:$J$67,MATCH(C344,[1]M_User!$D$12:$D$67,0),3),"UNMAPPED")</f>
        <v>UNMAPPED</v>
      </c>
      <c r="E344" s="36" t="str">
        <f>IFERROR(INDEX([1]M_User!$A$12:$J$67,MATCH(C344,[1]M_User!$D$12:$D$67,0),5),"UNMAPPED")</f>
        <v>UNMAPPED</v>
      </c>
      <c r="F344" s="34" t="s">
        <v>45</v>
      </c>
      <c r="G344" s="35" t="str">
        <f>IFERROR(INDEX([1]M_SKU!$A$18:$J$57,MATCH(F344,[1]M_SKU!$B$18:$B$57,0),1),"UNKNOWN SKU")</f>
        <v>Fanta Passion RGB 350ml</v>
      </c>
      <c r="H344" s="34" t="s">
        <v>186</v>
      </c>
      <c r="I344" s="37">
        <f>IFERROR(INDEX([1]T_Unload!$K$10:$K$433,MATCH(B344,[1]T_Unload!$B$10:$B$433,0)),0)</f>
        <v>7</v>
      </c>
      <c r="J344" s="44"/>
      <c r="K344" s="45"/>
      <c r="L344" s="39" t="s">
        <v>808</v>
      </c>
      <c r="M344" s="46"/>
      <c r="N344" s="46"/>
      <c r="O344" s="47" t="s">
        <v>809</v>
      </c>
      <c r="P344" s="42"/>
      <c r="Q344" s="43"/>
    </row>
    <row r="345" spans="1:17" ht="15" customHeight="1">
      <c r="A345" s="20" t="s">
        <v>814</v>
      </c>
      <c r="B345" s="21" t="s">
        <v>815</v>
      </c>
      <c r="C345" s="22" t="s">
        <v>807</v>
      </c>
      <c r="D345" s="23" t="str">
        <f>IFERROR(INDEX([1]M_User!$A$12:$J$67,MATCH(C345,[1]M_User!$D$12:$D$67,0),3),"UNMAPPED")</f>
        <v>UNMAPPED</v>
      </c>
      <c r="E345" s="24" t="str">
        <f>IFERROR(INDEX([1]M_User!$A$12:$J$67,MATCH(C345,[1]M_User!$D$12:$D$67,0),5),"UNMAPPED")</f>
        <v>UNMAPPED</v>
      </c>
      <c r="F345" s="22" t="s">
        <v>49</v>
      </c>
      <c r="G345" s="23" t="str">
        <f>IFERROR(INDEX([1]M_SKU!$A$18:$J$57,MATCH(F345,[1]M_SKU!$B$18:$B$57,0),1),"UNKNOWN SKU")</f>
        <v>Fanta Pineapple RGB 350ml</v>
      </c>
      <c r="H345" s="22" t="s">
        <v>189</v>
      </c>
      <c r="I345" s="25">
        <f>IFERROR(INDEX([1]T_Unload!$K$10:$K$433,MATCH(B345,[1]T_Unload!$B$10:$B$433,0)),0)</f>
        <v>7</v>
      </c>
      <c r="J345" s="44"/>
      <c r="K345" s="48"/>
      <c r="L345" s="28" t="s">
        <v>808</v>
      </c>
      <c r="M345" s="48"/>
      <c r="N345" s="48"/>
      <c r="O345" s="28" t="s">
        <v>809</v>
      </c>
      <c r="P345" s="22"/>
      <c r="Q345" s="31"/>
    </row>
    <row r="346" spans="1:17" ht="15" customHeight="1">
      <c r="A346" s="32" t="s">
        <v>816</v>
      </c>
      <c r="B346" s="33" t="s">
        <v>817</v>
      </c>
      <c r="C346" s="34" t="s">
        <v>807</v>
      </c>
      <c r="D346" s="35" t="str">
        <f>IFERROR(INDEX([1]M_User!$A$12:$J$67,MATCH(C346,[1]M_User!$D$12:$D$67,0),3),"UNMAPPED")</f>
        <v>UNMAPPED</v>
      </c>
      <c r="E346" s="36" t="str">
        <f>IFERROR(INDEX([1]M_User!$A$12:$J$67,MATCH(C346,[1]M_User!$D$12:$D$67,0),5),"UNMAPPED")</f>
        <v>UNMAPPED</v>
      </c>
      <c r="F346" s="34" t="s">
        <v>192</v>
      </c>
      <c r="G346" s="35" t="str">
        <f>IFERROR(INDEX([1]M_SKU!$A$18:$J$57,MATCH(F346,[1]M_SKU!$B$18:$B$57,0),1),"UNKNOWN SKU")</f>
        <v>Fanta Fruit Blast RGB 350 ml</v>
      </c>
      <c r="H346" s="34" t="s">
        <v>193</v>
      </c>
      <c r="I346" s="37">
        <f>IFERROR(INDEX([1]T_Unload!$K$10:$K$433,MATCH(B346,[1]T_Unload!$B$10:$B$433,0)),0)</f>
        <v>5</v>
      </c>
      <c r="J346" s="44"/>
      <c r="K346" s="45"/>
      <c r="L346" s="39" t="s">
        <v>808</v>
      </c>
      <c r="M346" s="46"/>
      <c r="N346" s="46"/>
      <c r="O346" s="47" t="s">
        <v>809</v>
      </c>
      <c r="P346" s="42"/>
      <c r="Q346" s="43"/>
    </row>
    <row r="347" spans="1:17" ht="15" customHeight="1">
      <c r="A347" s="20" t="s">
        <v>818</v>
      </c>
      <c r="B347" s="21" t="s">
        <v>819</v>
      </c>
      <c r="C347" s="22" t="s">
        <v>807</v>
      </c>
      <c r="D347" s="23" t="str">
        <f>IFERROR(INDEX([1]M_User!$A$12:$J$67,MATCH(C347,[1]M_User!$D$12:$D$67,0),3),"UNMAPPED")</f>
        <v>UNMAPPED</v>
      </c>
      <c r="E347" s="24" t="str">
        <f>IFERROR(INDEX([1]M_User!$A$12:$J$67,MATCH(C347,[1]M_User!$D$12:$D$67,0),5),"UNMAPPED")</f>
        <v>UNMAPPED</v>
      </c>
      <c r="F347" s="22" t="s">
        <v>53</v>
      </c>
      <c r="G347" s="23" t="str">
        <f>IFERROR(INDEX([1]M_SKU!$A$18:$J$57,MATCH(F347,[1]M_SKU!$B$18:$B$57,0),1),"UNKNOWN SKU")</f>
        <v>Sprite 350ml</v>
      </c>
      <c r="H347" s="22" t="s">
        <v>196</v>
      </c>
      <c r="I347" s="25">
        <f>IFERROR(INDEX([1]T_Unload!$K$10:$K$433,MATCH(B347,[1]T_Unload!$B$10:$B$433,0)),0)</f>
        <v>7</v>
      </c>
      <c r="J347" s="44"/>
      <c r="K347" s="48"/>
      <c r="L347" s="28" t="s">
        <v>808</v>
      </c>
      <c r="M347" s="48"/>
      <c r="N347" s="48"/>
      <c r="O347" s="28" t="s">
        <v>809</v>
      </c>
      <c r="P347" s="22"/>
      <c r="Q347" s="31"/>
    </row>
    <row r="348" spans="1:17" ht="15" customHeight="1">
      <c r="A348" s="32" t="s">
        <v>820</v>
      </c>
      <c r="B348" s="33" t="s">
        <v>821</v>
      </c>
      <c r="C348" s="34" t="s">
        <v>807</v>
      </c>
      <c r="D348" s="35" t="str">
        <f>IFERROR(INDEX([1]M_User!$A$12:$J$67,MATCH(C348,[1]M_User!$D$12:$D$67,0),3),"UNMAPPED")</f>
        <v>UNMAPPED</v>
      </c>
      <c r="E348" s="36" t="str">
        <f>IFERROR(INDEX([1]M_User!$A$12:$J$67,MATCH(C348,[1]M_User!$D$12:$D$67,0),5),"UNMAPPED")</f>
        <v>UNMAPPED</v>
      </c>
      <c r="F348" s="34" t="s">
        <v>199</v>
      </c>
      <c r="G348" s="35" t="str">
        <f>IFERROR(INDEX([1]M_SKU!$A$18:$J$57,MATCH(F348,[1]M_SKU!$B$18:$B$57,0),1),"UNKNOWN SKU")</f>
        <v>Stoney Tangawizi RGB 350ml</v>
      </c>
      <c r="H348" s="34" t="s">
        <v>200</v>
      </c>
      <c r="I348" s="37">
        <f>IFERROR(INDEX([1]T_Unload!$K$10:$K$433,MATCH(B348,[1]T_Unload!$B$10:$B$433,0)),0)</f>
        <v>5</v>
      </c>
      <c r="J348" s="44"/>
      <c r="K348" s="45"/>
      <c r="L348" s="39" t="s">
        <v>808</v>
      </c>
      <c r="M348" s="46"/>
      <c r="N348" s="46"/>
      <c r="O348" s="47" t="s">
        <v>809</v>
      </c>
      <c r="P348" s="42"/>
      <c r="Q348" s="43"/>
    </row>
    <row r="349" spans="1:17" ht="15" customHeight="1">
      <c r="A349" s="20" t="s">
        <v>822</v>
      </c>
      <c r="B349" s="21" t="s">
        <v>823</v>
      </c>
      <c r="C349" s="22" t="s">
        <v>807</v>
      </c>
      <c r="D349" s="23" t="str">
        <f>IFERROR(INDEX([1]M_User!$A$12:$J$67,MATCH(C349,[1]M_User!$D$12:$D$67,0),3),"UNMAPPED")</f>
        <v>UNMAPPED</v>
      </c>
      <c r="E349" s="24" t="str">
        <f>IFERROR(INDEX([1]M_User!$A$12:$J$67,MATCH(C349,[1]M_User!$D$12:$D$67,0),5),"UNMAPPED")</f>
        <v>UNMAPPED</v>
      </c>
      <c r="F349" s="22" t="s">
        <v>203</v>
      </c>
      <c r="G349" s="23" t="str">
        <f>IFERROR(INDEX([1]M_SKU!$A$18:$J$57,MATCH(F349,[1]M_SKU!$B$18:$B$57,0),1),"UNKNOWN SKU")</f>
        <v>Sparletta Pinenut RGB 350ml</v>
      </c>
      <c r="H349" s="22" t="s">
        <v>204</v>
      </c>
      <c r="I349" s="25">
        <f>IFERROR(INDEX([1]T_Unload!$K$10:$K$433,MATCH(B349,[1]T_Unload!$B$10:$B$433,0)),0)</f>
        <v>5</v>
      </c>
      <c r="J349" s="44"/>
      <c r="K349" s="48"/>
      <c r="L349" s="28" t="s">
        <v>808</v>
      </c>
      <c r="M349" s="48"/>
      <c r="N349" s="48"/>
      <c r="O349" s="28" t="s">
        <v>809</v>
      </c>
      <c r="P349" s="22"/>
      <c r="Q349" s="31"/>
    </row>
    <row r="350" spans="1:17" ht="15" customHeight="1">
      <c r="A350" s="32" t="s">
        <v>824</v>
      </c>
      <c r="B350" s="33" t="s">
        <v>825</v>
      </c>
      <c r="C350" s="34" t="s">
        <v>807</v>
      </c>
      <c r="D350" s="35" t="str">
        <f>IFERROR(INDEX([1]M_User!$A$12:$J$67,MATCH(C350,[1]M_User!$D$12:$D$67,0),3),"UNMAPPED")</f>
        <v>UNMAPPED</v>
      </c>
      <c r="E350" s="36" t="str">
        <f>IFERROR(INDEX([1]M_User!$A$12:$J$67,MATCH(C350,[1]M_User!$D$12:$D$67,0),5),"UNMAPPED")</f>
        <v>UNMAPPED</v>
      </c>
      <c r="F350" s="34" t="s">
        <v>57</v>
      </c>
      <c r="G350" s="35" t="str">
        <f>IFERROR(INDEX([1]M_SKU!$A$18:$J$57,MATCH(F350,[1]M_SKU!$B$18:$B$57,0),1),"UNKNOWN SKU")</f>
        <v>Krest Bitter Lemon RGB 300ml</v>
      </c>
      <c r="H350" s="34" t="s">
        <v>58</v>
      </c>
      <c r="I350" s="37">
        <f>IFERROR(INDEX([1]T_Unload!$K$10:$K$433,MATCH(B350,[1]T_Unload!$B$10:$B$433,0)),0)</f>
        <v>3</v>
      </c>
      <c r="J350" s="44"/>
      <c r="K350" s="45"/>
      <c r="L350" s="39" t="s">
        <v>808</v>
      </c>
      <c r="M350" s="46"/>
      <c r="N350" s="46"/>
      <c r="O350" s="47" t="s">
        <v>809</v>
      </c>
      <c r="P350" s="42"/>
      <c r="Q350" s="43"/>
    </row>
    <row r="351" spans="1:17" ht="15" customHeight="1">
      <c r="A351" s="20" t="s">
        <v>826</v>
      </c>
      <c r="B351" s="21" t="s">
        <v>827</v>
      </c>
      <c r="C351" s="22" t="s">
        <v>807</v>
      </c>
      <c r="D351" s="23" t="str">
        <f>IFERROR(INDEX([1]M_User!$A$12:$J$67,MATCH(C351,[1]M_User!$D$12:$D$67,0),3),"UNMAPPED")</f>
        <v>UNMAPPED</v>
      </c>
      <c r="E351" s="24" t="str">
        <f>IFERROR(INDEX([1]M_User!$A$12:$J$67,MATCH(C351,[1]M_User!$D$12:$D$67,0),5),"UNMAPPED")</f>
        <v>UNMAPPED</v>
      </c>
      <c r="F351" s="22" t="s">
        <v>61</v>
      </c>
      <c r="G351" s="23" t="str">
        <f>IFERROR(INDEX([1]M_SKU!$A$18:$J$57,MATCH(F351,[1]M_SKU!$B$18:$B$57,0),1),"UNKNOWN SKU")</f>
        <v>Krest Club Soda RGB 300ml</v>
      </c>
      <c r="H351" s="22" t="s">
        <v>62</v>
      </c>
      <c r="I351" s="25">
        <f>IFERROR(INDEX([1]T_Unload!$K$10:$K$433,MATCH(B351,[1]T_Unload!$B$10:$B$433,0)),0)</f>
        <v>3</v>
      </c>
      <c r="J351" s="44"/>
      <c r="K351" s="48"/>
      <c r="L351" s="28" t="s">
        <v>808</v>
      </c>
      <c r="M351" s="48"/>
      <c r="N351" s="48"/>
      <c r="O351" s="28" t="s">
        <v>809</v>
      </c>
      <c r="P351" s="22"/>
      <c r="Q351" s="31"/>
    </row>
    <row r="352" spans="1:17" ht="15" customHeight="1">
      <c r="A352" s="32" t="s">
        <v>828</v>
      </c>
      <c r="B352" s="33" t="s">
        <v>829</v>
      </c>
      <c r="C352" s="34" t="s">
        <v>807</v>
      </c>
      <c r="D352" s="35" t="str">
        <f>IFERROR(INDEX([1]M_User!$A$12:$J$67,MATCH(C352,[1]M_User!$D$12:$D$67,0),3),"UNMAPPED")</f>
        <v>UNMAPPED</v>
      </c>
      <c r="E352" s="36" t="str">
        <f>IFERROR(INDEX([1]M_User!$A$12:$J$67,MATCH(C352,[1]M_User!$D$12:$D$67,0),5),"UNMAPPED")</f>
        <v>UNMAPPED</v>
      </c>
      <c r="F352" s="34" t="s">
        <v>65</v>
      </c>
      <c r="G352" s="35" t="str">
        <f>IFERROR(INDEX([1]M_SKU!$A$18:$J$57,MATCH(F352,[1]M_SKU!$B$18:$B$57,0),1),"UNKNOWN SKU")</f>
        <v>Krest Tonic Water RGB 300ml</v>
      </c>
      <c r="H352" s="34" t="s">
        <v>211</v>
      </c>
      <c r="I352" s="37">
        <f>IFERROR(INDEX([1]T_Unload!$K$10:$K$433,MATCH(B352,[1]T_Unload!$B$10:$B$433,0)),0)</f>
        <v>3</v>
      </c>
      <c r="J352" s="44"/>
      <c r="K352" s="45"/>
      <c r="L352" s="39" t="s">
        <v>808</v>
      </c>
      <c r="M352" s="46"/>
      <c r="N352" s="46"/>
      <c r="O352" s="47" t="s">
        <v>809</v>
      </c>
      <c r="P352" s="42"/>
      <c r="Q352" s="43"/>
    </row>
    <row r="353" spans="1:17" ht="15" customHeight="1">
      <c r="A353" s="20" t="s">
        <v>830</v>
      </c>
      <c r="B353" s="21" t="s">
        <v>831</v>
      </c>
      <c r="C353" s="22" t="s">
        <v>807</v>
      </c>
      <c r="D353" s="23" t="str">
        <f>IFERROR(INDEX([1]M_User!$A$12:$J$67,MATCH(C353,[1]M_User!$D$12:$D$67,0),3),"UNMAPPED")</f>
        <v>UNMAPPED</v>
      </c>
      <c r="E353" s="24" t="str">
        <f>IFERROR(INDEX([1]M_User!$A$12:$J$67,MATCH(C353,[1]M_User!$D$12:$D$67,0),5),"UNMAPPED")</f>
        <v>UNMAPPED</v>
      </c>
      <c r="F353" s="22" t="s">
        <v>69</v>
      </c>
      <c r="G353" s="23" t="str">
        <f>IFERROR(INDEX([1]M_SKU!$A$18:$J$57,MATCH(F353,[1]M_SKU!$B$18:$B$57,0),1),"UNKNOWN SKU")</f>
        <v>Krest Ginger Ale RGB 300ml</v>
      </c>
      <c r="H353" s="22" t="s">
        <v>70</v>
      </c>
      <c r="I353" s="25">
        <f>IFERROR(INDEX([1]T_Unload!$K$10:$K$433,MATCH(B353,[1]T_Unload!$B$10:$B$433,0)),0)</f>
        <v>3</v>
      </c>
      <c r="J353" s="44"/>
      <c r="K353" s="48"/>
      <c r="L353" s="28" t="s">
        <v>808</v>
      </c>
      <c r="M353" s="48"/>
      <c r="N353" s="48"/>
      <c r="O353" s="28" t="s">
        <v>809</v>
      </c>
      <c r="P353" s="22"/>
      <c r="Q353" s="31"/>
    </row>
    <row r="354" spans="1:17" ht="15" customHeight="1">
      <c r="A354" s="32" t="s">
        <v>832</v>
      </c>
      <c r="B354" s="33" t="s">
        <v>833</v>
      </c>
      <c r="C354" s="34" t="s">
        <v>807</v>
      </c>
      <c r="D354" s="35" t="str">
        <f>IFERROR(INDEX([1]M_User!$A$12:$J$67,MATCH(C354,[1]M_User!$D$12:$D$67,0),3),"UNMAPPED")</f>
        <v>UNMAPPED</v>
      </c>
      <c r="E354" s="36" t="str">
        <f>IFERROR(INDEX([1]M_User!$A$12:$J$67,MATCH(C354,[1]M_User!$D$12:$D$67,0),5),"UNMAPPED")</f>
        <v>UNMAPPED</v>
      </c>
      <c r="F354" s="34" t="s">
        <v>216</v>
      </c>
      <c r="G354" s="35" t="str">
        <f>IFERROR(INDEX([1]M_SKU!$A$18:$J$57,MATCH(F354,[1]M_SKU!$B$18:$B$57,0),1),"UNKNOWN SKU")</f>
        <v>Sparletta Red Apple RGB 350ml</v>
      </c>
      <c r="H354" s="34" t="s">
        <v>217</v>
      </c>
      <c r="I354" s="37">
        <f>IFERROR(INDEX([1]T_Unload!$K$10:$K$433,MATCH(B354,[1]T_Unload!$B$10:$B$433,0)),0)</f>
        <v>2</v>
      </c>
      <c r="J354" s="44"/>
      <c r="K354" s="45"/>
      <c r="L354" s="39" t="s">
        <v>808</v>
      </c>
      <c r="M354" s="46"/>
      <c r="N354" s="46"/>
      <c r="O354" s="47" t="s">
        <v>809</v>
      </c>
      <c r="P354" s="42"/>
      <c r="Q354" s="43"/>
    </row>
    <row r="355" spans="1:17" ht="15" customHeight="1">
      <c r="A355" s="20" t="s">
        <v>834</v>
      </c>
      <c r="B355" s="21" t="s">
        <v>835</v>
      </c>
      <c r="C355" s="22" t="s">
        <v>807</v>
      </c>
      <c r="D355" s="23" t="str">
        <f>IFERROR(INDEX([1]M_User!$A$12:$J$67,MATCH(C355,[1]M_User!$D$12:$D$67,0),3),"UNMAPPED")</f>
        <v>UNMAPPED</v>
      </c>
      <c r="E355" s="24" t="str">
        <f>IFERROR(INDEX([1]M_User!$A$12:$J$67,MATCH(C355,[1]M_User!$D$12:$D$67,0),5),"UNMAPPED")</f>
        <v>UNMAPPED</v>
      </c>
      <c r="F355" s="22" t="s">
        <v>73</v>
      </c>
      <c r="G355" s="23" t="str">
        <f>IFERROR(INDEX([1]M_SKU!$A$18:$J$57,MATCH(F355,[1]M_SKU!$B$18:$B$57,0),1),"UNKNOWN SKU")</f>
        <v>KNMW 500ml</v>
      </c>
      <c r="H355" s="22" t="s">
        <v>220</v>
      </c>
      <c r="I355" s="25">
        <f>IFERROR(INDEX([1]T_Unload!$K$10:$K$433,MATCH(B355,[1]T_Unload!$B$10:$B$433,0)),0)</f>
        <v>50</v>
      </c>
      <c r="J355" s="44"/>
      <c r="K355" s="48"/>
      <c r="L355" s="28" t="s">
        <v>808</v>
      </c>
      <c r="M355" s="48"/>
      <c r="N355" s="48"/>
      <c r="O355" s="28" t="s">
        <v>809</v>
      </c>
      <c r="P355" s="22"/>
      <c r="Q355" s="31"/>
    </row>
    <row r="356" spans="1:17" ht="15" customHeight="1">
      <c r="A356" s="32" t="s">
        <v>836</v>
      </c>
      <c r="B356" s="33" t="s">
        <v>837</v>
      </c>
      <c r="C356" s="34" t="s">
        <v>807</v>
      </c>
      <c r="D356" s="35" t="str">
        <f>IFERROR(INDEX([1]M_User!$A$12:$J$67,MATCH(C356,[1]M_User!$D$12:$D$67,0),3),"UNMAPPED")</f>
        <v>UNMAPPED</v>
      </c>
      <c r="E356" s="36" t="str">
        <f>IFERROR(INDEX([1]M_User!$A$12:$J$67,MATCH(C356,[1]M_User!$D$12:$D$67,0),5),"UNMAPPED")</f>
        <v>UNMAPPED</v>
      </c>
      <c r="F356" s="34" t="s">
        <v>83</v>
      </c>
      <c r="G356" s="35" t="str">
        <f>IFERROR(INDEX([1]M_SKU!$A$18:$J$57,MATCH(F356,[1]M_SKU!$B$18:$B$57,0),1),"UNKNOWN SKU")</f>
        <v>KNMW 1500ml</v>
      </c>
      <c r="H356" s="34" t="s">
        <v>223</v>
      </c>
      <c r="I356" s="37">
        <f>IFERROR(INDEX([1]T_Unload!$K$10:$K$433,MATCH(B356,[1]T_Unload!$B$10:$B$433,0)),0)</f>
        <v>90</v>
      </c>
      <c r="J356" s="44"/>
      <c r="K356" s="45"/>
      <c r="L356" s="39" t="s">
        <v>808</v>
      </c>
      <c r="M356" s="46"/>
      <c r="N356" s="46"/>
      <c r="O356" s="47" t="s">
        <v>809</v>
      </c>
      <c r="P356" s="42"/>
      <c r="Q356" s="43"/>
    </row>
    <row r="357" spans="1:17" ht="15" customHeight="1">
      <c r="A357" s="20" t="s">
        <v>838</v>
      </c>
      <c r="B357" s="21" t="s">
        <v>839</v>
      </c>
      <c r="C357" s="22" t="s">
        <v>807</v>
      </c>
      <c r="D357" s="23" t="str">
        <f>IFERROR(INDEX([1]M_User!$A$12:$J$67,MATCH(C357,[1]M_User!$D$12:$D$67,0),3),"UNMAPPED")</f>
        <v>UNMAPPED</v>
      </c>
      <c r="E357" s="24" t="str">
        <f>IFERROR(INDEX([1]M_User!$A$12:$J$67,MATCH(C357,[1]M_User!$D$12:$D$67,0),5),"UNMAPPED")</f>
        <v>UNMAPPED</v>
      </c>
      <c r="F357" s="22" t="s">
        <v>109</v>
      </c>
      <c r="G357" s="23" t="str">
        <f>IFERROR(INDEX([1]M_SKU!$A$18:$J$57,MATCH(F357,[1]M_SKU!$B$18:$B$57,0),1),"UNKNOWN SKU")</f>
        <v>Coke Pet 500ML ( x12)</v>
      </c>
      <c r="H357" s="22" t="s">
        <v>226</v>
      </c>
      <c r="I357" s="25">
        <f>IFERROR(INDEX([1]T_Unload!$K$10:$K$433,MATCH(B357,[1]T_Unload!$B$10:$B$433,0)),0)</f>
        <v>20</v>
      </c>
      <c r="J357" s="44"/>
      <c r="K357" s="48"/>
      <c r="L357" s="28" t="s">
        <v>808</v>
      </c>
      <c r="M357" s="48"/>
      <c r="N357" s="48"/>
      <c r="O357" s="28" t="s">
        <v>809</v>
      </c>
      <c r="P357" s="22"/>
      <c r="Q357" s="31"/>
    </row>
    <row r="358" spans="1:17" ht="15" customHeight="1">
      <c r="A358" s="32" t="s">
        <v>840</v>
      </c>
      <c r="B358" s="33" t="s">
        <v>841</v>
      </c>
      <c r="C358" s="34" t="s">
        <v>807</v>
      </c>
      <c r="D358" s="35" t="str">
        <f>IFERROR(INDEX([1]M_User!$A$12:$J$67,MATCH(C358,[1]M_User!$D$12:$D$67,0),3),"UNMAPPED")</f>
        <v>UNMAPPED</v>
      </c>
      <c r="E358" s="36" t="str">
        <f>IFERROR(INDEX([1]M_User!$A$12:$J$67,MATCH(C358,[1]M_User!$D$12:$D$67,0),5),"UNMAPPED")</f>
        <v>UNMAPPED</v>
      </c>
      <c r="F358" s="34" t="s">
        <v>113</v>
      </c>
      <c r="G358" s="35" t="str">
        <f>IFERROR(INDEX([1]M_SKU!$A$18:$J$57,MATCH(F358,[1]M_SKU!$B$18:$B$57,0),1),"UNKNOWN SKU")</f>
        <v>Sprite Pet 500ML (x 12)</v>
      </c>
      <c r="H358" s="34" t="s">
        <v>114</v>
      </c>
      <c r="I358" s="37">
        <f>IFERROR(INDEX([1]T_Unload!$K$10:$K$433,MATCH(B358,[1]T_Unload!$B$10:$B$433,0)),0)</f>
        <v>10</v>
      </c>
      <c r="J358" s="44"/>
      <c r="K358" s="45"/>
      <c r="L358" s="39" t="s">
        <v>808</v>
      </c>
      <c r="M358" s="46"/>
      <c r="N358" s="46"/>
      <c r="O358" s="47" t="s">
        <v>809</v>
      </c>
      <c r="P358" s="42"/>
      <c r="Q358" s="43"/>
    </row>
    <row r="359" spans="1:17" ht="15" customHeight="1">
      <c r="A359" s="20" t="s">
        <v>842</v>
      </c>
      <c r="B359" s="21" t="s">
        <v>843</v>
      </c>
      <c r="C359" s="22" t="s">
        <v>807</v>
      </c>
      <c r="D359" s="23" t="str">
        <f>IFERROR(INDEX([1]M_User!$A$12:$J$67,MATCH(C359,[1]M_User!$D$12:$D$67,0),3),"UNMAPPED")</f>
        <v>UNMAPPED</v>
      </c>
      <c r="E359" s="24" t="str">
        <f>IFERROR(INDEX([1]M_User!$A$12:$J$67,MATCH(C359,[1]M_User!$D$12:$D$67,0),5),"UNMAPPED")</f>
        <v>UNMAPPED</v>
      </c>
      <c r="F359" s="22" t="s">
        <v>117</v>
      </c>
      <c r="G359" s="23" t="str">
        <f>IFERROR(INDEX([1]M_SKU!$A$18:$J$57,MATCH(F359,[1]M_SKU!$B$18:$B$57,0),1),"UNKNOWN SKU")</f>
        <v>Fanta Orange Pet 500ML ( x 12)</v>
      </c>
      <c r="H359" s="22" t="s">
        <v>231</v>
      </c>
      <c r="I359" s="25">
        <f>IFERROR(INDEX([1]T_Unload!$K$10:$K$433,MATCH(B359,[1]T_Unload!$B$10:$B$433,0)),0)</f>
        <v>10</v>
      </c>
      <c r="J359" s="44"/>
      <c r="K359" s="48"/>
      <c r="L359" s="28" t="s">
        <v>808</v>
      </c>
      <c r="M359" s="48"/>
      <c r="N359" s="48"/>
      <c r="O359" s="28" t="s">
        <v>809</v>
      </c>
      <c r="P359" s="22"/>
      <c r="Q359" s="31"/>
    </row>
    <row r="360" spans="1:17" ht="15" customHeight="1">
      <c r="A360" s="32" t="s">
        <v>844</v>
      </c>
      <c r="B360" s="33" t="s">
        <v>845</v>
      </c>
      <c r="C360" s="34" t="s">
        <v>807</v>
      </c>
      <c r="D360" s="35" t="str">
        <f>IFERROR(INDEX([1]M_User!$A$12:$J$67,MATCH(C360,[1]M_User!$D$12:$D$67,0),3),"UNMAPPED")</f>
        <v>UNMAPPED</v>
      </c>
      <c r="E360" s="36" t="str">
        <f>IFERROR(INDEX([1]M_User!$A$12:$J$67,MATCH(C360,[1]M_User!$D$12:$D$67,0),5),"UNMAPPED")</f>
        <v>UNMAPPED</v>
      </c>
      <c r="F360" s="34" t="s">
        <v>121</v>
      </c>
      <c r="G360" s="35" t="str">
        <f>IFERROR(INDEX([1]M_SKU!$A$18:$J$57,MATCH(F360,[1]M_SKU!$B$18:$B$57,0),1),"UNKNOWN SKU")</f>
        <v>Fanta Passion Pet 500ML ( x12)</v>
      </c>
      <c r="H360" s="34" t="s">
        <v>234</v>
      </c>
      <c r="I360" s="37">
        <f>IFERROR(INDEX([1]T_Unload!$K$10:$K$433,MATCH(B360,[1]T_Unload!$B$10:$B$433,0)),0)</f>
        <v>10</v>
      </c>
      <c r="J360" s="44"/>
      <c r="K360" s="45"/>
      <c r="L360" s="39" t="s">
        <v>808</v>
      </c>
      <c r="M360" s="46"/>
      <c r="N360" s="46"/>
      <c r="O360" s="47" t="s">
        <v>809</v>
      </c>
      <c r="P360" s="42"/>
      <c r="Q360" s="43"/>
    </row>
    <row r="361" spans="1:17" ht="15" customHeight="1">
      <c r="A361" s="20" t="s">
        <v>846</v>
      </c>
      <c r="B361" s="21" t="s">
        <v>847</v>
      </c>
      <c r="C361" s="22" t="s">
        <v>807</v>
      </c>
      <c r="D361" s="23" t="str">
        <f>IFERROR(INDEX([1]M_User!$A$12:$J$67,MATCH(C361,[1]M_User!$D$12:$D$67,0),3),"UNMAPPED")</f>
        <v>UNMAPPED</v>
      </c>
      <c r="E361" s="24" t="str">
        <f>IFERROR(INDEX([1]M_User!$A$12:$J$67,MATCH(C361,[1]M_User!$D$12:$D$67,0),5),"UNMAPPED")</f>
        <v>UNMAPPED</v>
      </c>
      <c r="F361" s="22" t="s">
        <v>133</v>
      </c>
      <c r="G361" s="23" t="str">
        <f>IFERROR(INDEX([1]M_SKU!$A$18:$J$57,MATCH(F361,[1]M_SKU!$B$18:$B$57,0),1),"UNKNOWN SKU")</f>
        <v>Stoney Tangawizi Pet 500 ml ( x12)</v>
      </c>
      <c r="H361" s="22" t="s">
        <v>237</v>
      </c>
      <c r="I361" s="25">
        <f>IFERROR(INDEX([1]T_Unload!$K$10:$K$433,MATCH(B361,[1]T_Unload!$B$10:$B$433,0)),0)</f>
        <v>5</v>
      </c>
      <c r="J361" s="44"/>
      <c r="K361" s="48"/>
      <c r="L361" s="28" t="s">
        <v>808</v>
      </c>
      <c r="M361" s="48"/>
      <c r="N361" s="48"/>
      <c r="O361" s="28" t="s">
        <v>809</v>
      </c>
      <c r="P361" s="22"/>
      <c r="Q361" s="31"/>
    </row>
    <row r="362" spans="1:17" ht="15" customHeight="1">
      <c r="A362" s="32" t="s">
        <v>848</v>
      </c>
      <c r="B362" s="33" t="s">
        <v>849</v>
      </c>
      <c r="C362" s="34" t="s">
        <v>807</v>
      </c>
      <c r="D362" s="35" t="str">
        <f>IFERROR(INDEX([1]M_User!$A$12:$J$67,MATCH(C362,[1]M_User!$D$12:$D$67,0),3),"UNMAPPED")</f>
        <v>UNMAPPED</v>
      </c>
      <c r="E362" s="36" t="str">
        <f>IFERROR(INDEX([1]M_User!$A$12:$J$67,MATCH(C362,[1]M_User!$D$12:$D$67,0),5),"UNMAPPED")</f>
        <v>UNMAPPED</v>
      </c>
      <c r="F362" s="34" t="s">
        <v>137</v>
      </c>
      <c r="G362" s="35" t="str">
        <f>IFERROR(INDEX([1]M_SKU!$A$18:$J$57,MATCH(F362,[1]M_SKU!$B$18:$B$57,0),1),"UNKNOWN SKU")</f>
        <v>Sparletta Pinenut Pet 500 ml ( x12)</v>
      </c>
      <c r="H362" s="34" t="s">
        <v>240</v>
      </c>
      <c r="I362" s="37">
        <f>IFERROR(INDEX([1]T_Unload!$K$10:$K$433,MATCH(B362,[1]T_Unload!$B$10:$B$433,0)),0)</f>
        <v>5</v>
      </c>
      <c r="J362" s="44"/>
      <c r="K362" s="45"/>
      <c r="L362" s="39" t="s">
        <v>808</v>
      </c>
      <c r="M362" s="46"/>
      <c r="N362" s="46"/>
      <c r="O362" s="47" t="s">
        <v>809</v>
      </c>
      <c r="P362" s="42"/>
      <c r="Q362" s="43"/>
    </row>
    <row r="363" spans="1:17" ht="15" customHeight="1">
      <c r="A363" s="20" t="s">
        <v>850</v>
      </c>
      <c r="B363" s="21" t="s">
        <v>851</v>
      </c>
      <c r="C363" s="22" t="s">
        <v>807</v>
      </c>
      <c r="D363" s="23" t="str">
        <f>IFERROR(INDEX([1]M_User!$A$12:$J$67,MATCH(C363,[1]M_User!$D$12:$D$67,0),3),"UNMAPPED")</f>
        <v>UNMAPPED</v>
      </c>
      <c r="E363" s="24" t="str">
        <f>IFERROR(INDEX([1]M_User!$A$12:$J$67,MATCH(C363,[1]M_User!$D$12:$D$67,0),5),"UNMAPPED")</f>
        <v>UNMAPPED</v>
      </c>
      <c r="F363" s="22" t="s">
        <v>243</v>
      </c>
      <c r="G363" s="23" t="str">
        <f>IFERROR(INDEX([1]M_SKU!$A$18:$J$57,MATCH(F363,[1]M_SKU!$B$18:$B$57,0),1),"UNKNOWN SKU")</f>
        <v>Sprite Zero Pet 300ML (x 12)</v>
      </c>
      <c r="H363" s="22" t="s">
        <v>244</v>
      </c>
      <c r="I363" s="25">
        <f>IFERROR(INDEX([1]T_Unload!$K$10:$K$433,MATCH(B363,[1]T_Unload!$B$10:$B$433,0)),0)</f>
        <v>5</v>
      </c>
      <c r="J363" s="44"/>
      <c r="K363" s="48"/>
      <c r="L363" s="28" t="s">
        <v>808</v>
      </c>
      <c r="M363" s="48"/>
      <c r="N363" s="48"/>
      <c r="O363" s="28" t="s">
        <v>809</v>
      </c>
      <c r="P363" s="22"/>
      <c r="Q363" s="31"/>
    </row>
    <row r="364" spans="1:17" ht="15" customHeight="1">
      <c r="A364" s="32" t="s">
        <v>852</v>
      </c>
      <c r="B364" s="33" t="s">
        <v>853</v>
      </c>
      <c r="C364" s="34" t="s">
        <v>807</v>
      </c>
      <c r="D364" s="35" t="str">
        <f>IFERROR(INDEX([1]M_User!$A$12:$J$67,MATCH(C364,[1]M_User!$D$12:$D$67,0),3),"UNMAPPED")</f>
        <v>UNMAPPED</v>
      </c>
      <c r="E364" s="36" t="str">
        <f>IFERROR(INDEX([1]M_User!$A$12:$J$67,MATCH(C364,[1]M_User!$D$12:$D$67,0),5),"UNMAPPED")</f>
        <v>UNMAPPED</v>
      </c>
      <c r="F364" s="34" t="s">
        <v>152</v>
      </c>
      <c r="G364" s="35" t="str">
        <f>IFERROR(INDEX([1]M_SKU!$A$18:$J$57,MATCH(F364,[1]M_SKU!$B$18:$B$57,0),1),"UNKNOWN SKU")</f>
        <v>Sparletta Red Apple Pet 300ML(x 12)</v>
      </c>
      <c r="H364" s="34" t="s">
        <v>153</v>
      </c>
      <c r="I364" s="37">
        <f>IFERROR(INDEX([1]T_Unload!$K$10:$K$433,MATCH(B364,[1]T_Unload!$B$10:$B$433,0)),0)</f>
        <v>5</v>
      </c>
      <c r="J364" s="44"/>
      <c r="K364" s="45"/>
      <c r="L364" s="39" t="s">
        <v>808</v>
      </c>
      <c r="M364" s="46"/>
      <c r="N364" s="46"/>
      <c r="O364" s="47" t="s">
        <v>809</v>
      </c>
      <c r="P364" s="42"/>
      <c r="Q364" s="43"/>
    </row>
    <row r="365" spans="1:17" ht="15" customHeight="1">
      <c r="A365" s="20" t="s">
        <v>854</v>
      </c>
      <c r="B365" s="21" t="s">
        <v>855</v>
      </c>
      <c r="C365" s="22" t="s">
        <v>807</v>
      </c>
      <c r="D365" s="23" t="str">
        <f>IFERROR(INDEX([1]M_User!$A$12:$J$67,MATCH(C365,[1]M_User!$D$12:$D$67,0),3),"UNMAPPED")</f>
        <v>UNMAPPED</v>
      </c>
      <c r="E365" s="24" t="str">
        <f>IFERROR(INDEX([1]M_User!$A$12:$J$67,MATCH(C365,[1]M_User!$D$12:$D$67,0),5),"UNMAPPED")</f>
        <v>UNMAPPED</v>
      </c>
      <c r="F365" s="22" t="s">
        <v>160</v>
      </c>
      <c r="G365" s="23" t="str">
        <f>IFERROR(INDEX([1]M_SKU!$A$18:$J$57,MATCH(F365,[1]M_SKU!$B$18:$B$57,0),1),"UNKNOWN SKU")</f>
        <v>Sparletta Pine Apple Pet 300ML (x 12)</v>
      </c>
      <c r="H365" s="22" t="s">
        <v>161</v>
      </c>
      <c r="I365" s="25">
        <f>IFERROR(INDEX([1]T_Unload!$K$10:$K$433,MATCH(B365,[1]T_Unload!$B$10:$B$433,0)),0)</f>
        <v>5</v>
      </c>
      <c r="J365" s="44"/>
      <c r="K365" s="48"/>
      <c r="L365" s="28" t="s">
        <v>808</v>
      </c>
      <c r="M365" s="48"/>
      <c r="N365" s="48"/>
      <c r="O365" s="28" t="s">
        <v>809</v>
      </c>
      <c r="P365" s="22"/>
      <c r="Q365" s="31"/>
    </row>
    <row r="366" spans="1:17" ht="15" customHeight="1">
      <c r="A366" s="32" t="s">
        <v>856</v>
      </c>
      <c r="B366" s="33" t="s">
        <v>857</v>
      </c>
      <c r="C366" s="34" t="s">
        <v>858</v>
      </c>
      <c r="D366" s="35" t="str">
        <f>IFERROR(INDEX([1]M_User!$A$12:$J$67,MATCH(C366,[1]M_User!$D$12:$D$67,0),3),"UNMAPPED")</f>
        <v>Joyline J Lyimo</v>
      </c>
      <c r="E366" s="36" t="str">
        <f>IFERROR(INDEX([1]M_User!$A$12:$J$67,MATCH(C366,[1]M_User!$D$12:$D$67,0),5),"UNMAPPED")</f>
        <v>MOS</v>
      </c>
      <c r="F366" s="34" t="s">
        <v>36</v>
      </c>
      <c r="G366" s="35" t="str">
        <f>IFERROR(INDEX([1]M_SKU!$A$18:$J$57,MATCH(F366,[1]M_SKU!$B$18:$B$57,0),1),"UNKNOWN SKU")</f>
        <v>Coke RGB 350ml</v>
      </c>
      <c r="H366" s="34" t="s">
        <v>347</v>
      </c>
      <c r="I366" s="37">
        <f>IFERROR(INDEX([1]T_Unload!$K$10:$K$433,MATCH(B366,[1]T_Unload!$B$10:$B$433,0)),0)</f>
        <v>1.6546747661119952</v>
      </c>
      <c r="J366" s="26">
        <v>1.74</v>
      </c>
      <c r="K366" s="38">
        <f t="shared" ref="K366:K429" si="24">IF(ISBLANK(J366),"",I366-J366)</f>
        <v>-8.5325233888004837E-2</v>
      </c>
      <c r="L366" s="39" t="str">
        <f t="shared" ref="L366:L429" si="25">IF(K366="","Awaiting Verification",IF(ABS(K366)&lt;0.0001,"CLEAN",IF(K366&gt;0,"Post to Default Outlet","Adjust Unload Upward")))</f>
        <v>Adjust Unload Upward</v>
      </c>
      <c r="M366" s="40">
        <f t="shared" ref="M366:M429" si="26">IF(AND(ISNUMBER(K366),K366&gt;0.0001),K366,0)</f>
        <v>0</v>
      </c>
      <c r="N366" s="40">
        <f t="shared" ref="N366:N429" si="27">IF(AND(ISNUMBER(K366),K366&lt;-0.0001),-K366,0)</f>
        <v>8.5325233888004837E-2</v>
      </c>
      <c r="O366" s="41" t="s">
        <v>38</v>
      </c>
      <c r="P366" s="42"/>
      <c r="Q366" s="43"/>
    </row>
    <row r="367" spans="1:17" ht="15" customHeight="1">
      <c r="A367" s="20" t="s">
        <v>859</v>
      </c>
      <c r="B367" s="21" t="s">
        <v>860</v>
      </c>
      <c r="C367" s="22" t="s">
        <v>858</v>
      </c>
      <c r="D367" s="23" t="str">
        <f>IFERROR(INDEX([1]M_User!$A$12:$J$67,MATCH(C367,[1]M_User!$D$12:$D$67,0),3),"UNMAPPED")</f>
        <v>Joyline J Lyimo</v>
      </c>
      <c r="E367" s="24" t="str">
        <f>IFERROR(INDEX([1]M_User!$A$12:$J$67,MATCH(C367,[1]M_User!$D$12:$D$67,0),5),"UNMAPPED")</f>
        <v>MOS</v>
      </c>
      <c r="F367" s="22" t="s">
        <v>41</v>
      </c>
      <c r="G367" s="23" t="str">
        <f>IFERROR(INDEX([1]M_SKU!$A$18:$J$57,MATCH(F367,[1]M_SKU!$B$18:$B$57,0),1),"UNKNOWN SKU")</f>
        <v>Fanta Orange RGB 350ml</v>
      </c>
      <c r="H367" s="22" t="s">
        <v>183</v>
      </c>
      <c r="I367" s="25">
        <f>IFERROR(INDEX([1]T_Unload!$K$10:$K$433,MATCH(B367,[1]T_Unload!$B$10:$B$433,0)),0)</f>
        <v>-0.62874905232670031</v>
      </c>
      <c r="J367" s="26">
        <v>1.63</v>
      </c>
      <c r="K367" s="27">
        <f t="shared" si="24"/>
        <v>-2.2587490523267002</v>
      </c>
      <c r="L367" s="28" t="str">
        <f t="shared" si="25"/>
        <v>Adjust Unload Upward</v>
      </c>
      <c r="M367" s="29">
        <f t="shared" si="26"/>
        <v>0</v>
      </c>
      <c r="N367" s="29">
        <f t="shared" si="27"/>
        <v>2.2587490523267002</v>
      </c>
      <c r="O367" s="30" t="s">
        <v>38</v>
      </c>
      <c r="P367" s="22"/>
      <c r="Q367" s="31"/>
    </row>
    <row r="368" spans="1:17" ht="15" customHeight="1">
      <c r="A368" s="32" t="s">
        <v>861</v>
      </c>
      <c r="B368" s="33" t="s">
        <v>862</v>
      </c>
      <c r="C368" s="34" t="s">
        <v>858</v>
      </c>
      <c r="D368" s="35" t="str">
        <f>IFERROR(INDEX([1]M_User!$A$12:$J$67,MATCH(C368,[1]M_User!$D$12:$D$67,0),3),"UNMAPPED")</f>
        <v>Joyline J Lyimo</v>
      </c>
      <c r="E368" s="36" t="str">
        <f>IFERROR(INDEX([1]M_User!$A$12:$J$67,MATCH(C368,[1]M_User!$D$12:$D$67,0),5),"UNMAPPED")</f>
        <v>MOS</v>
      </c>
      <c r="F368" s="34" t="s">
        <v>45</v>
      </c>
      <c r="G368" s="35" t="str">
        <f>IFERROR(INDEX([1]M_SKU!$A$18:$J$57,MATCH(F368,[1]M_SKU!$B$18:$B$57,0),1),"UNKNOWN SKU")</f>
        <v>Fanta Passion RGB 350ml</v>
      </c>
      <c r="H368" s="34" t="s">
        <v>186</v>
      </c>
      <c r="I368" s="37">
        <f>IFERROR(INDEX([1]T_Unload!$K$10:$K$433,MATCH(B368,[1]T_Unload!$B$10:$B$433,0)),0)</f>
        <v>0.26136294147338024</v>
      </c>
      <c r="J368" s="26">
        <v>1</v>
      </c>
      <c r="K368" s="38">
        <f t="shared" si="24"/>
        <v>-0.73863705852661976</v>
      </c>
      <c r="L368" s="39" t="str">
        <f t="shared" si="25"/>
        <v>Adjust Unload Upward</v>
      </c>
      <c r="M368" s="40">
        <f t="shared" si="26"/>
        <v>0</v>
      </c>
      <c r="N368" s="40">
        <f t="shared" si="27"/>
        <v>0.73863705852661976</v>
      </c>
      <c r="O368" s="41" t="s">
        <v>38</v>
      </c>
      <c r="P368" s="42"/>
      <c r="Q368" s="43"/>
    </row>
    <row r="369" spans="1:17" ht="15" customHeight="1">
      <c r="A369" s="20" t="s">
        <v>863</v>
      </c>
      <c r="B369" s="21" t="s">
        <v>864</v>
      </c>
      <c r="C369" s="22" t="s">
        <v>858</v>
      </c>
      <c r="D369" s="23" t="str">
        <f>IFERROR(INDEX([1]M_User!$A$12:$J$67,MATCH(C369,[1]M_User!$D$12:$D$67,0),3),"UNMAPPED")</f>
        <v>Joyline J Lyimo</v>
      </c>
      <c r="E369" s="24" t="str">
        <f>IFERROR(INDEX([1]M_User!$A$12:$J$67,MATCH(C369,[1]M_User!$D$12:$D$67,0),5),"UNMAPPED")</f>
        <v>MOS</v>
      </c>
      <c r="F369" s="22" t="s">
        <v>49</v>
      </c>
      <c r="G369" s="23" t="str">
        <f>IFERROR(INDEX([1]M_SKU!$A$18:$J$57,MATCH(F369,[1]M_SKU!$B$18:$B$57,0),1),"UNKNOWN SKU")</f>
        <v>Fanta Pineapple RGB 350ml</v>
      </c>
      <c r="H369" s="22" t="s">
        <v>189</v>
      </c>
      <c r="I369" s="25">
        <f>IFERROR(INDEX([1]T_Unload!$K$10:$K$433,MATCH(B369,[1]T_Unload!$B$10:$B$433,0)),0)</f>
        <v>-0.5202421853070085</v>
      </c>
      <c r="J369" s="26">
        <v>1.52</v>
      </c>
      <c r="K369" s="27">
        <f t="shared" si="24"/>
        <v>-2.0402421853070085</v>
      </c>
      <c r="L369" s="28" t="str">
        <f t="shared" si="25"/>
        <v>Adjust Unload Upward</v>
      </c>
      <c r="M369" s="29">
        <f t="shared" si="26"/>
        <v>0</v>
      </c>
      <c r="N369" s="29">
        <f t="shared" si="27"/>
        <v>2.0402421853070085</v>
      </c>
      <c r="O369" s="30" t="s">
        <v>38</v>
      </c>
      <c r="P369" s="22"/>
      <c r="Q369" s="31"/>
    </row>
    <row r="370" spans="1:17" ht="15" customHeight="1">
      <c r="A370" s="32" t="s">
        <v>865</v>
      </c>
      <c r="B370" s="33" t="s">
        <v>866</v>
      </c>
      <c r="C370" s="34" t="s">
        <v>858</v>
      </c>
      <c r="D370" s="35" t="str">
        <f>IFERROR(INDEX([1]M_User!$A$12:$J$67,MATCH(C370,[1]M_User!$D$12:$D$67,0),3),"UNMAPPED")</f>
        <v>Joyline J Lyimo</v>
      </c>
      <c r="E370" s="36" t="str">
        <f>IFERROR(INDEX([1]M_User!$A$12:$J$67,MATCH(C370,[1]M_User!$D$12:$D$67,0),5),"UNMAPPED")</f>
        <v>MOS</v>
      </c>
      <c r="F370" s="34" t="s">
        <v>192</v>
      </c>
      <c r="G370" s="35" t="str">
        <f>IFERROR(INDEX([1]M_SKU!$A$18:$J$57,MATCH(F370,[1]M_SKU!$B$18:$B$57,0),1),"UNKNOWN SKU")</f>
        <v>Fanta Fruit Blast RGB 350 ml</v>
      </c>
      <c r="H370" s="34" t="s">
        <v>193</v>
      </c>
      <c r="I370" s="37">
        <f>IFERROR(INDEX([1]T_Unload!$K$10:$K$433,MATCH(B370,[1]T_Unload!$B$10:$B$433,0)),0)</f>
        <v>1.2526006246500465E-2</v>
      </c>
      <c r="J370" s="26">
        <v>1</v>
      </c>
      <c r="K370" s="38">
        <f t="shared" si="24"/>
        <v>-0.98747399375349953</v>
      </c>
      <c r="L370" s="39" t="str">
        <f t="shared" si="25"/>
        <v>Adjust Unload Upward</v>
      </c>
      <c r="M370" s="40">
        <f t="shared" si="26"/>
        <v>0</v>
      </c>
      <c r="N370" s="40">
        <f t="shared" si="27"/>
        <v>0.98747399375349953</v>
      </c>
      <c r="O370" s="41" t="s">
        <v>38</v>
      </c>
      <c r="P370" s="42"/>
      <c r="Q370" s="43"/>
    </row>
    <row r="371" spans="1:17" ht="15" customHeight="1">
      <c r="A371" s="20" t="s">
        <v>867</v>
      </c>
      <c r="B371" s="21" t="s">
        <v>868</v>
      </c>
      <c r="C371" s="22" t="s">
        <v>858</v>
      </c>
      <c r="D371" s="23" t="str">
        <f>IFERROR(INDEX([1]M_User!$A$12:$J$67,MATCH(C371,[1]M_User!$D$12:$D$67,0),3),"UNMAPPED")</f>
        <v>Joyline J Lyimo</v>
      </c>
      <c r="E371" s="24" t="str">
        <f>IFERROR(INDEX([1]M_User!$A$12:$J$67,MATCH(C371,[1]M_User!$D$12:$D$67,0),5),"UNMAPPED")</f>
        <v>MOS</v>
      </c>
      <c r="F371" s="22" t="s">
        <v>53</v>
      </c>
      <c r="G371" s="23" t="str">
        <f>IFERROR(INDEX([1]M_SKU!$A$18:$J$57,MATCH(F371,[1]M_SKU!$B$18:$B$57,0),1),"UNKNOWN SKU")</f>
        <v>Sprite 350ml</v>
      </c>
      <c r="H371" s="22" t="s">
        <v>196</v>
      </c>
      <c r="I371" s="25">
        <f>IFERROR(INDEX([1]T_Unload!$K$10:$K$433,MATCH(B371,[1]T_Unload!$B$10:$B$433,0)),0)</f>
        <v>-0.32368994558122921</v>
      </c>
      <c r="J371" s="26">
        <v>1.32</v>
      </c>
      <c r="K371" s="27">
        <f t="shared" si="24"/>
        <v>-1.6436899455812293</v>
      </c>
      <c r="L371" s="28" t="str">
        <f t="shared" si="25"/>
        <v>Adjust Unload Upward</v>
      </c>
      <c r="M371" s="29">
        <f t="shared" si="26"/>
        <v>0</v>
      </c>
      <c r="N371" s="29">
        <f t="shared" si="27"/>
        <v>1.6436899455812293</v>
      </c>
      <c r="O371" s="30" t="s">
        <v>38</v>
      </c>
      <c r="P371" s="22"/>
      <c r="Q371" s="31"/>
    </row>
    <row r="372" spans="1:17" ht="15" customHeight="1">
      <c r="A372" s="32" t="s">
        <v>869</v>
      </c>
      <c r="B372" s="33" t="s">
        <v>870</v>
      </c>
      <c r="C372" s="34" t="s">
        <v>858</v>
      </c>
      <c r="D372" s="35" t="str">
        <f>IFERROR(INDEX([1]M_User!$A$12:$J$67,MATCH(C372,[1]M_User!$D$12:$D$67,0),3),"UNMAPPED")</f>
        <v>Joyline J Lyimo</v>
      </c>
      <c r="E372" s="36" t="str">
        <f>IFERROR(INDEX([1]M_User!$A$12:$J$67,MATCH(C372,[1]M_User!$D$12:$D$67,0),5),"UNMAPPED")</f>
        <v>MOS</v>
      </c>
      <c r="F372" s="34" t="s">
        <v>199</v>
      </c>
      <c r="G372" s="35" t="str">
        <f>IFERROR(INDEX([1]M_SKU!$A$18:$J$57,MATCH(F372,[1]M_SKU!$B$18:$B$57,0),1),"UNKNOWN SKU")</f>
        <v>Stoney Tangawizi RGB 350ml</v>
      </c>
      <c r="H372" s="34" t="s">
        <v>200</v>
      </c>
      <c r="I372" s="37">
        <f>IFERROR(INDEX([1]T_Unload!$K$10:$K$433,MATCH(B372,[1]T_Unload!$B$10:$B$433,0)),0)</f>
        <v>6.4297058832420095E-2</v>
      </c>
      <c r="J372" s="26">
        <v>1</v>
      </c>
      <c r="K372" s="38">
        <f t="shared" si="24"/>
        <v>-0.9357029411675799</v>
      </c>
      <c r="L372" s="39" t="str">
        <f t="shared" si="25"/>
        <v>Adjust Unload Upward</v>
      </c>
      <c r="M372" s="40">
        <f t="shared" si="26"/>
        <v>0</v>
      </c>
      <c r="N372" s="40">
        <f t="shared" si="27"/>
        <v>0.9357029411675799</v>
      </c>
      <c r="O372" s="41" t="s">
        <v>38</v>
      </c>
      <c r="P372" s="42"/>
      <c r="Q372" s="43"/>
    </row>
    <row r="373" spans="1:17" ht="15" customHeight="1">
      <c r="A373" s="20" t="s">
        <v>871</v>
      </c>
      <c r="B373" s="21" t="s">
        <v>872</v>
      </c>
      <c r="C373" s="22" t="s">
        <v>858</v>
      </c>
      <c r="D373" s="23" t="str">
        <f>IFERROR(INDEX([1]M_User!$A$12:$J$67,MATCH(C373,[1]M_User!$D$12:$D$67,0),3),"UNMAPPED")</f>
        <v>Joyline J Lyimo</v>
      </c>
      <c r="E373" s="24" t="str">
        <f>IFERROR(INDEX([1]M_User!$A$12:$J$67,MATCH(C373,[1]M_User!$D$12:$D$67,0),5),"UNMAPPED")</f>
        <v>MOS</v>
      </c>
      <c r="F373" s="22" t="s">
        <v>203</v>
      </c>
      <c r="G373" s="23" t="str">
        <f>IFERROR(INDEX([1]M_SKU!$A$18:$J$57,MATCH(F373,[1]M_SKU!$B$18:$B$57,0),1),"UNKNOWN SKU")</f>
        <v>Sparletta Pinenut RGB 350ml</v>
      </c>
      <c r="H373" s="22" t="s">
        <v>204</v>
      </c>
      <c r="I373" s="25">
        <f>IFERROR(INDEX([1]T_Unload!$K$10:$K$433,MATCH(B373,[1]T_Unload!$B$10:$B$433,0)),0)</f>
        <v>7.7674220484090117E-2</v>
      </c>
      <c r="J373" s="26">
        <v>1</v>
      </c>
      <c r="K373" s="27">
        <f t="shared" si="24"/>
        <v>-0.92232577951590988</v>
      </c>
      <c r="L373" s="28" t="str">
        <f t="shared" si="25"/>
        <v>Adjust Unload Upward</v>
      </c>
      <c r="M373" s="29">
        <f t="shared" si="26"/>
        <v>0</v>
      </c>
      <c r="N373" s="29">
        <f t="shared" si="27"/>
        <v>0.92232577951590988</v>
      </c>
      <c r="O373" s="30" t="s">
        <v>38</v>
      </c>
      <c r="P373" s="22"/>
      <c r="Q373" s="31"/>
    </row>
    <row r="374" spans="1:17" ht="15" customHeight="1">
      <c r="A374" s="32" t="s">
        <v>873</v>
      </c>
      <c r="B374" s="33" t="s">
        <v>874</v>
      </c>
      <c r="C374" s="34" t="s">
        <v>858</v>
      </c>
      <c r="D374" s="35" t="str">
        <f>IFERROR(INDEX([1]M_User!$A$12:$J$67,MATCH(C374,[1]M_User!$D$12:$D$67,0),3),"UNMAPPED")</f>
        <v>Joyline J Lyimo</v>
      </c>
      <c r="E374" s="36" t="str">
        <f>IFERROR(INDEX([1]M_User!$A$12:$J$67,MATCH(C374,[1]M_User!$D$12:$D$67,0),5),"UNMAPPED")</f>
        <v>MOS</v>
      </c>
      <c r="F374" s="34" t="s">
        <v>57</v>
      </c>
      <c r="G374" s="35" t="str">
        <f>IFERROR(INDEX([1]M_SKU!$A$18:$J$57,MATCH(F374,[1]M_SKU!$B$18:$B$57,0),1),"UNKNOWN SKU")</f>
        <v>Krest Bitter Lemon RGB 300ml</v>
      </c>
      <c r="H374" s="34" t="s">
        <v>58</v>
      </c>
      <c r="I374" s="37">
        <f>IFERROR(INDEX([1]T_Unload!$K$10:$K$433,MATCH(B374,[1]T_Unload!$B$10:$B$433,0)),0)</f>
        <v>6.5510554578827929E-2</v>
      </c>
      <c r="J374" s="26">
        <v>1</v>
      </c>
      <c r="K374" s="38">
        <f t="shared" si="24"/>
        <v>-0.93448944542117207</v>
      </c>
      <c r="L374" s="39" t="str">
        <f t="shared" si="25"/>
        <v>Adjust Unload Upward</v>
      </c>
      <c r="M374" s="40">
        <f t="shared" si="26"/>
        <v>0</v>
      </c>
      <c r="N374" s="40">
        <f t="shared" si="27"/>
        <v>0.93448944542117207</v>
      </c>
      <c r="O374" s="41" t="s">
        <v>38</v>
      </c>
      <c r="P374" s="42"/>
      <c r="Q374" s="43"/>
    </row>
    <row r="375" spans="1:17" ht="15" customHeight="1">
      <c r="A375" s="20" t="s">
        <v>875</v>
      </c>
      <c r="B375" s="21" t="s">
        <v>876</v>
      </c>
      <c r="C375" s="22" t="s">
        <v>858</v>
      </c>
      <c r="D375" s="23" t="str">
        <f>IFERROR(INDEX([1]M_User!$A$12:$J$67,MATCH(C375,[1]M_User!$D$12:$D$67,0),3),"UNMAPPED")</f>
        <v>Joyline J Lyimo</v>
      </c>
      <c r="E375" s="24" t="str">
        <f>IFERROR(INDEX([1]M_User!$A$12:$J$67,MATCH(C375,[1]M_User!$D$12:$D$67,0),5),"UNMAPPED")</f>
        <v>MOS</v>
      </c>
      <c r="F375" s="22" t="s">
        <v>61</v>
      </c>
      <c r="G375" s="23" t="str">
        <f>IFERROR(INDEX([1]M_SKU!$A$18:$J$57,MATCH(F375,[1]M_SKU!$B$18:$B$57,0),1),"UNKNOWN SKU")</f>
        <v>Krest Club Soda RGB 300ml</v>
      </c>
      <c r="H375" s="22" t="s">
        <v>62</v>
      </c>
      <c r="I375" s="25">
        <f>IFERROR(INDEX([1]T_Unload!$K$10:$K$433,MATCH(B375,[1]T_Unload!$B$10:$B$433,0)),0)</f>
        <v>9.5763908530339892E-2</v>
      </c>
      <c r="J375" s="26">
        <v>1</v>
      </c>
      <c r="K375" s="27">
        <f t="shared" si="24"/>
        <v>-0.90423609146966011</v>
      </c>
      <c r="L375" s="28" t="str">
        <f t="shared" si="25"/>
        <v>Adjust Unload Upward</v>
      </c>
      <c r="M375" s="29">
        <f t="shared" si="26"/>
        <v>0</v>
      </c>
      <c r="N375" s="29">
        <f t="shared" si="27"/>
        <v>0.90423609146966011</v>
      </c>
      <c r="O375" s="30" t="s">
        <v>38</v>
      </c>
      <c r="P375" s="22"/>
      <c r="Q375" s="31"/>
    </row>
    <row r="376" spans="1:17" ht="15" customHeight="1">
      <c r="A376" s="32" t="s">
        <v>877</v>
      </c>
      <c r="B376" s="33" t="s">
        <v>878</v>
      </c>
      <c r="C376" s="34" t="s">
        <v>858</v>
      </c>
      <c r="D376" s="35" t="str">
        <f>IFERROR(INDEX([1]M_User!$A$12:$J$67,MATCH(C376,[1]M_User!$D$12:$D$67,0),3),"UNMAPPED")</f>
        <v>Joyline J Lyimo</v>
      </c>
      <c r="E376" s="36" t="str">
        <f>IFERROR(INDEX([1]M_User!$A$12:$J$67,MATCH(C376,[1]M_User!$D$12:$D$67,0),5),"UNMAPPED")</f>
        <v>MOS</v>
      </c>
      <c r="F376" s="34" t="s">
        <v>65</v>
      </c>
      <c r="G376" s="35" t="str">
        <f>IFERROR(INDEX([1]M_SKU!$A$18:$J$57,MATCH(F376,[1]M_SKU!$B$18:$B$57,0),1),"UNKNOWN SKU")</f>
        <v>Krest Tonic Water RGB 300ml</v>
      </c>
      <c r="H376" s="34" t="s">
        <v>211</v>
      </c>
      <c r="I376" s="37">
        <f>IFERROR(INDEX([1]T_Unload!$K$10:$K$433,MATCH(B376,[1]T_Unload!$B$10:$B$433,0)),0)</f>
        <v>3.3375304079718005E-2</v>
      </c>
      <c r="J376" s="26">
        <v>1</v>
      </c>
      <c r="K376" s="38">
        <f t="shared" si="24"/>
        <v>-0.966624695920282</v>
      </c>
      <c r="L376" s="39" t="str">
        <f t="shared" si="25"/>
        <v>Adjust Unload Upward</v>
      </c>
      <c r="M376" s="40">
        <f t="shared" si="26"/>
        <v>0</v>
      </c>
      <c r="N376" s="40">
        <f t="shared" si="27"/>
        <v>0.966624695920282</v>
      </c>
      <c r="O376" s="41" t="s">
        <v>38</v>
      </c>
      <c r="P376" s="42"/>
      <c r="Q376" s="43"/>
    </row>
    <row r="377" spans="1:17" ht="15" customHeight="1">
      <c r="A377" s="20" t="s">
        <v>879</v>
      </c>
      <c r="B377" s="21" t="s">
        <v>880</v>
      </c>
      <c r="C377" s="22" t="s">
        <v>858</v>
      </c>
      <c r="D377" s="23" t="str">
        <f>IFERROR(INDEX([1]M_User!$A$12:$J$67,MATCH(C377,[1]M_User!$D$12:$D$67,0),3),"UNMAPPED")</f>
        <v>Joyline J Lyimo</v>
      </c>
      <c r="E377" s="24" t="str">
        <f>IFERROR(INDEX([1]M_User!$A$12:$J$67,MATCH(C377,[1]M_User!$D$12:$D$67,0),5),"UNMAPPED")</f>
        <v>MOS</v>
      </c>
      <c r="F377" s="22" t="s">
        <v>69</v>
      </c>
      <c r="G377" s="23" t="str">
        <f>IFERROR(INDEX([1]M_SKU!$A$18:$J$57,MATCH(F377,[1]M_SKU!$B$18:$B$57,0),1),"UNKNOWN SKU")</f>
        <v>Krest Ginger Ale RGB 300ml</v>
      </c>
      <c r="H377" s="22" t="s">
        <v>70</v>
      </c>
      <c r="I377" s="25">
        <f>IFERROR(INDEX([1]T_Unload!$K$10:$K$433,MATCH(B377,[1]T_Unload!$B$10:$B$433,0)),0)</f>
        <v>3.67374600326551E-2</v>
      </c>
      <c r="J377" s="26">
        <v>1</v>
      </c>
      <c r="K377" s="27">
        <f t="shared" si="24"/>
        <v>-0.9632625399673449</v>
      </c>
      <c r="L377" s="28" t="str">
        <f t="shared" si="25"/>
        <v>Adjust Unload Upward</v>
      </c>
      <c r="M377" s="29">
        <f t="shared" si="26"/>
        <v>0</v>
      </c>
      <c r="N377" s="29">
        <f t="shared" si="27"/>
        <v>0.9632625399673449</v>
      </c>
      <c r="O377" s="30" t="s">
        <v>38</v>
      </c>
      <c r="P377" s="22"/>
      <c r="Q377" s="31"/>
    </row>
    <row r="378" spans="1:17" ht="15" customHeight="1">
      <c r="A378" s="32" t="s">
        <v>881</v>
      </c>
      <c r="B378" s="33" t="s">
        <v>882</v>
      </c>
      <c r="C378" s="34" t="s">
        <v>858</v>
      </c>
      <c r="D378" s="35" t="str">
        <f>IFERROR(INDEX([1]M_User!$A$12:$J$67,MATCH(C378,[1]M_User!$D$12:$D$67,0),3),"UNMAPPED")</f>
        <v>Joyline J Lyimo</v>
      </c>
      <c r="E378" s="36" t="str">
        <f>IFERROR(INDEX([1]M_User!$A$12:$J$67,MATCH(C378,[1]M_User!$D$12:$D$67,0),5),"UNMAPPED")</f>
        <v>MOS</v>
      </c>
      <c r="F378" s="34" t="s">
        <v>73</v>
      </c>
      <c r="G378" s="35" t="str">
        <f>IFERROR(INDEX([1]M_SKU!$A$18:$J$57,MATCH(F378,[1]M_SKU!$B$18:$B$57,0),1),"UNKNOWN SKU")</f>
        <v>KNMW 500ml</v>
      </c>
      <c r="H378" s="34" t="s">
        <v>220</v>
      </c>
      <c r="I378" s="37">
        <f>IFERROR(INDEX([1]T_Unload!$K$10:$K$433,MATCH(B378,[1]T_Unload!$B$10:$B$433,0)),0)</f>
        <v>2</v>
      </c>
      <c r="J378" s="26">
        <v>3</v>
      </c>
      <c r="K378" s="38">
        <f t="shared" si="24"/>
        <v>-1</v>
      </c>
      <c r="L378" s="39" t="str">
        <f t="shared" si="25"/>
        <v>Adjust Unload Upward</v>
      </c>
      <c r="M378" s="40">
        <f t="shared" si="26"/>
        <v>0</v>
      </c>
      <c r="N378" s="40">
        <f t="shared" si="27"/>
        <v>1</v>
      </c>
      <c r="O378" s="41" t="s">
        <v>38</v>
      </c>
      <c r="P378" s="42"/>
      <c r="Q378" s="43"/>
    </row>
    <row r="379" spans="1:17" ht="15" customHeight="1">
      <c r="A379" s="20" t="s">
        <v>883</v>
      </c>
      <c r="B379" s="21" t="s">
        <v>884</v>
      </c>
      <c r="C379" s="22" t="s">
        <v>858</v>
      </c>
      <c r="D379" s="23" t="str">
        <f>IFERROR(INDEX([1]M_User!$A$12:$J$67,MATCH(C379,[1]M_User!$D$12:$D$67,0),3),"UNMAPPED")</f>
        <v>Joyline J Lyimo</v>
      </c>
      <c r="E379" s="24" t="str">
        <f>IFERROR(INDEX([1]M_User!$A$12:$J$67,MATCH(C379,[1]M_User!$D$12:$D$67,0),5),"UNMAPPED")</f>
        <v>MOS</v>
      </c>
      <c r="F379" s="22" t="s">
        <v>83</v>
      </c>
      <c r="G379" s="23" t="str">
        <f>IFERROR(INDEX([1]M_SKU!$A$18:$J$57,MATCH(F379,[1]M_SKU!$B$18:$B$57,0),1),"UNKNOWN SKU")</f>
        <v>KNMW 1500ml</v>
      </c>
      <c r="H379" s="22" t="s">
        <v>223</v>
      </c>
      <c r="I379" s="25">
        <f>IFERROR(INDEX([1]T_Unload!$K$10:$K$433,MATCH(B379,[1]T_Unload!$B$10:$B$433,0)),0)</f>
        <v>-3</v>
      </c>
      <c r="J379" s="26">
        <v>4</v>
      </c>
      <c r="K379" s="27">
        <f t="shared" si="24"/>
        <v>-7</v>
      </c>
      <c r="L379" s="28" t="str">
        <f t="shared" si="25"/>
        <v>Adjust Unload Upward</v>
      </c>
      <c r="M379" s="29">
        <f t="shared" si="26"/>
        <v>0</v>
      </c>
      <c r="N379" s="29">
        <f t="shared" si="27"/>
        <v>7</v>
      </c>
      <c r="O379" s="30" t="s">
        <v>38</v>
      </c>
      <c r="P379" s="22"/>
      <c r="Q379" s="31"/>
    </row>
    <row r="380" spans="1:17" ht="15" customHeight="1">
      <c r="A380" s="32" t="s">
        <v>885</v>
      </c>
      <c r="B380" s="33" t="s">
        <v>886</v>
      </c>
      <c r="C380" s="34" t="s">
        <v>858</v>
      </c>
      <c r="D380" s="35" t="str">
        <f>IFERROR(INDEX([1]M_User!$A$12:$J$67,MATCH(C380,[1]M_User!$D$12:$D$67,0),3),"UNMAPPED")</f>
        <v>Joyline J Lyimo</v>
      </c>
      <c r="E380" s="36" t="str">
        <f>IFERROR(INDEX([1]M_User!$A$12:$J$67,MATCH(C380,[1]M_User!$D$12:$D$67,0),5),"UNMAPPED")</f>
        <v>MOS</v>
      </c>
      <c r="F380" s="34" t="s">
        <v>109</v>
      </c>
      <c r="G380" s="35" t="str">
        <f>IFERROR(INDEX([1]M_SKU!$A$18:$J$57,MATCH(F380,[1]M_SKU!$B$18:$B$57,0),1),"UNKNOWN SKU")</f>
        <v>Coke Pet 500ML ( x12)</v>
      </c>
      <c r="H380" s="34" t="s">
        <v>226</v>
      </c>
      <c r="I380" s="37">
        <f>IFERROR(INDEX([1]T_Unload!$K$10:$K$433,MATCH(B380,[1]T_Unload!$B$10:$B$433,0)),0)</f>
        <v>-3</v>
      </c>
      <c r="J380" s="26">
        <v>4</v>
      </c>
      <c r="K380" s="38">
        <f t="shared" si="24"/>
        <v>-7</v>
      </c>
      <c r="L380" s="39" t="str">
        <f t="shared" si="25"/>
        <v>Adjust Unload Upward</v>
      </c>
      <c r="M380" s="40">
        <f t="shared" si="26"/>
        <v>0</v>
      </c>
      <c r="N380" s="40">
        <f t="shared" si="27"/>
        <v>7</v>
      </c>
      <c r="O380" s="41" t="s">
        <v>38</v>
      </c>
      <c r="P380" s="42"/>
      <c r="Q380" s="43"/>
    </row>
    <row r="381" spans="1:17" ht="15" customHeight="1">
      <c r="A381" s="20" t="s">
        <v>887</v>
      </c>
      <c r="B381" s="21" t="s">
        <v>888</v>
      </c>
      <c r="C381" s="22" t="s">
        <v>858</v>
      </c>
      <c r="D381" s="23" t="str">
        <f>IFERROR(INDEX([1]M_User!$A$12:$J$67,MATCH(C381,[1]M_User!$D$12:$D$67,0),3),"UNMAPPED")</f>
        <v>Joyline J Lyimo</v>
      </c>
      <c r="E381" s="24" t="str">
        <f>IFERROR(INDEX([1]M_User!$A$12:$J$67,MATCH(C381,[1]M_User!$D$12:$D$67,0),5),"UNMAPPED")</f>
        <v>MOS</v>
      </c>
      <c r="F381" s="22" t="s">
        <v>113</v>
      </c>
      <c r="G381" s="23" t="str">
        <f>IFERROR(INDEX([1]M_SKU!$A$18:$J$57,MATCH(F381,[1]M_SKU!$B$18:$B$57,0),1),"UNKNOWN SKU")</f>
        <v>Sprite Pet 500ML (x 12)</v>
      </c>
      <c r="H381" s="22" t="s">
        <v>114</v>
      </c>
      <c r="I381" s="25">
        <f>IFERROR(INDEX([1]T_Unload!$K$10:$K$433,MATCH(B381,[1]T_Unload!$B$10:$B$433,0)),0)</f>
        <v>0</v>
      </c>
      <c r="J381" s="26">
        <v>1</v>
      </c>
      <c r="K381" s="27">
        <f t="shared" si="24"/>
        <v>-1</v>
      </c>
      <c r="L381" s="28" t="str">
        <f t="shared" si="25"/>
        <v>Adjust Unload Upward</v>
      </c>
      <c r="M381" s="29">
        <f t="shared" si="26"/>
        <v>0</v>
      </c>
      <c r="N381" s="29">
        <f t="shared" si="27"/>
        <v>1</v>
      </c>
      <c r="O381" s="30" t="s">
        <v>38</v>
      </c>
      <c r="P381" s="22"/>
      <c r="Q381" s="31"/>
    </row>
    <row r="382" spans="1:17" ht="15" customHeight="1">
      <c r="A382" s="32" t="s">
        <v>889</v>
      </c>
      <c r="B382" s="33" t="s">
        <v>890</v>
      </c>
      <c r="C382" s="34" t="s">
        <v>858</v>
      </c>
      <c r="D382" s="35" t="str">
        <f>IFERROR(INDEX([1]M_User!$A$12:$J$67,MATCH(C382,[1]M_User!$D$12:$D$67,0),3),"UNMAPPED")</f>
        <v>Joyline J Lyimo</v>
      </c>
      <c r="E382" s="36" t="str">
        <f>IFERROR(INDEX([1]M_User!$A$12:$J$67,MATCH(C382,[1]M_User!$D$12:$D$67,0),5),"UNMAPPED")</f>
        <v>MOS</v>
      </c>
      <c r="F382" s="34" t="s">
        <v>117</v>
      </c>
      <c r="G382" s="35" t="str">
        <f>IFERROR(INDEX([1]M_SKU!$A$18:$J$57,MATCH(F382,[1]M_SKU!$B$18:$B$57,0),1),"UNKNOWN SKU")</f>
        <v>Fanta Orange Pet 500ML ( x 12)</v>
      </c>
      <c r="H382" s="34" t="s">
        <v>231</v>
      </c>
      <c r="I382" s="37">
        <f>IFERROR(INDEX([1]T_Unload!$K$10:$K$433,MATCH(B382,[1]T_Unload!$B$10:$B$433,0)),0)</f>
        <v>2</v>
      </c>
      <c r="J382" s="26">
        <v>3</v>
      </c>
      <c r="K382" s="38">
        <f t="shared" si="24"/>
        <v>-1</v>
      </c>
      <c r="L382" s="39" t="str">
        <f t="shared" si="25"/>
        <v>Adjust Unload Upward</v>
      </c>
      <c r="M382" s="40">
        <f t="shared" si="26"/>
        <v>0</v>
      </c>
      <c r="N382" s="40">
        <f t="shared" si="27"/>
        <v>1</v>
      </c>
      <c r="O382" s="41" t="s">
        <v>38</v>
      </c>
      <c r="P382" s="42"/>
      <c r="Q382" s="43"/>
    </row>
    <row r="383" spans="1:17" ht="15" customHeight="1">
      <c r="A383" s="20" t="s">
        <v>891</v>
      </c>
      <c r="B383" s="21" t="s">
        <v>892</v>
      </c>
      <c r="C383" s="22" t="s">
        <v>858</v>
      </c>
      <c r="D383" s="23" t="str">
        <f>IFERROR(INDEX([1]M_User!$A$12:$J$67,MATCH(C383,[1]M_User!$D$12:$D$67,0),3),"UNMAPPED")</f>
        <v>Joyline J Lyimo</v>
      </c>
      <c r="E383" s="24" t="str">
        <f>IFERROR(INDEX([1]M_User!$A$12:$J$67,MATCH(C383,[1]M_User!$D$12:$D$67,0),5),"UNMAPPED")</f>
        <v>MOS</v>
      </c>
      <c r="F383" s="22" t="s">
        <v>121</v>
      </c>
      <c r="G383" s="23" t="str">
        <f>IFERROR(INDEX([1]M_SKU!$A$18:$J$57,MATCH(F383,[1]M_SKU!$B$18:$B$57,0),1),"UNKNOWN SKU")</f>
        <v>Fanta Passion Pet 500ML ( x12)</v>
      </c>
      <c r="H383" s="22" t="s">
        <v>234</v>
      </c>
      <c r="I383" s="25">
        <f>IFERROR(INDEX([1]T_Unload!$K$10:$K$433,MATCH(B383,[1]T_Unload!$B$10:$B$433,0)),0)</f>
        <v>0</v>
      </c>
      <c r="J383" s="26">
        <v>1</v>
      </c>
      <c r="K383" s="27">
        <f t="shared" si="24"/>
        <v>-1</v>
      </c>
      <c r="L383" s="28" t="str">
        <f t="shared" si="25"/>
        <v>Adjust Unload Upward</v>
      </c>
      <c r="M383" s="29">
        <f t="shared" si="26"/>
        <v>0</v>
      </c>
      <c r="N383" s="29">
        <f t="shared" si="27"/>
        <v>1</v>
      </c>
      <c r="O383" s="30" t="s">
        <v>38</v>
      </c>
      <c r="P383" s="22"/>
      <c r="Q383" s="31"/>
    </row>
    <row r="384" spans="1:17" ht="15" customHeight="1">
      <c r="A384" s="32" t="s">
        <v>893</v>
      </c>
      <c r="B384" s="33" t="s">
        <v>894</v>
      </c>
      <c r="C384" s="34" t="s">
        <v>858</v>
      </c>
      <c r="D384" s="35" t="str">
        <f>IFERROR(INDEX([1]M_User!$A$12:$J$67,MATCH(C384,[1]M_User!$D$12:$D$67,0),3),"UNMAPPED")</f>
        <v>Joyline J Lyimo</v>
      </c>
      <c r="E384" s="36" t="str">
        <f>IFERROR(INDEX([1]M_User!$A$12:$J$67,MATCH(C384,[1]M_User!$D$12:$D$67,0),5),"UNMAPPED")</f>
        <v>MOS</v>
      </c>
      <c r="F384" s="34" t="s">
        <v>133</v>
      </c>
      <c r="G384" s="35" t="str">
        <f>IFERROR(INDEX([1]M_SKU!$A$18:$J$57,MATCH(F384,[1]M_SKU!$B$18:$B$57,0),1),"UNKNOWN SKU")</f>
        <v>Stoney Tangawizi Pet 500 ml ( x12)</v>
      </c>
      <c r="H384" s="34" t="s">
        <v>237</v>
      </c>
      <c r="I384" s="37">
        <f>IFERROR(INDEX([1]T_Unload!$K$10:$K$433,MATCH(B384,[1]T_Unload!$B$10:$B$433,0)),0)</f>
        <v>0</v>
      </c>
      <c r="J384" s="26">
        <v>1</v>
      </c>
      <c r="K384" s="38">
        <f t="shared" si="24"/>
        <v>-1</v>
      </c>
      <c r="L384" s="39" t="str">
        <f t="shared" si="25"/>
        <v>Adjust Unload Upward</v>
      </c>
      <c r="M384" s="40">
        <f t="shared" si="26"/>
        <v>0</v>
      </c>
      <c r="N384" s="40">
        <f t="shared" si="27"/>
        <v>1</v>
      </c>
      <c r="O384" s="41" t="s">
        <v>38</v>
      </c>
      <c r="P384" s="42"/>
      <c r="Q384" s="43"/>
    </row>
    <row r="385" spans="1:17" ht="15" customHeight="1">
      <c r="A385" s="20" t="s">
        <v>895</v>
      </c>
      <c r="B385" s="21" t="s">
        <v>896</v>
      </c>
      <c r="C385" s="22" t="s">
        <v>858</v>
      </c>
      <c r="D385" s="23" t="str">
        <f>IFERROR(INDEX([1]M_User!$A$12:$J$67,MATCH(C385,[1]M_User!$D$12:$D$67,0),3),"UNMAPPED")</f>
        <v>Joyline J Lyimo</v>
      </c>
      <c r="E385" s="24" t="str">
        <f>IFERROR(INDEX([1]M_User!$A$12:$J$67,MATCH(C385,[1]M_User!$D$12:$D$67,0),5),"UNMAPPED")</f>
        <v>MOS</v>
      </c>
      <c r="F385" s="22" t="s">
        <v>137</v>
      </c>
      <c r="G385" s="23" t="str">
        <f>IFERROR(INDEX([1]M_SKU!$A$18:$J$57,MATCH(F385,[1]M_SKU!$B$18:$B$57,0),1),"UNKNOWN SKU")</f>
        <v>Sparletta Pinenut Pet 500 ml ( x12)</v>
      </c>
      <c r="H385" s="22" t="s">
        <v>240</v>
      </c>
      <c r="I385" s="25">
        <f>IFERROR(INDEX([1]T_Unload!$K$10:$K$433,MATCH(B385,[1]T_Unload!$B$10:$B$433,0)),0)</f>
        <v>0</v>
      </c>
      <c r="J385" s="26">
        <v>1</v>
      </c>
      <c r="K385" s="27">
        <f t="shared" si="24"/>
        <v>-1</v>
      </c>
      <c r="L385" s="28" t="str">
        <f t="shared" si="25"/>
        <v>Adjust Unload Upward</v>
      </c>
      <c r="M385" s="29">
        <f t="shared" si="26"/>
        <v>0</v>
      </c>
      <c r="N385" s="29">
        <f t="shared" si="27"/>
        <v>1</v>
      </c>
      <c r="O385" s="30" t="s">
        <v>38</v>
      </c>
      <c r="P385" s="22"/>
      <c r="Q385" s="31"/>
    </row>
    <row r="386" spans="1:17" ht="15" customHeight="1">
      <c r="A386" s="32" t="s">
        <v>897</v>
      </c>
      <c r="B386" s="33" t="s">
        <v>898</v>
      </c>
      <c r="C386" s="34" t="s">
        <v>858</v>
      </c>
      <c r="D386" s="35" t="str">
        <f>IFERROR(INDEX([1]M_User!$A$12:$J$67,MATCH(C386,[1]M_User!$D$12:$D$67,0),3),"UNMAPPED")</f>
        <v>Joyline J Lyimo</v>
      </c>
      <c r="E386" s="36" t="str">
        <f>IFERROR(INDEX([1]M_User!$A$12:$J$67,MATCH(C386,[1]M_User!$D$12:$D$67,0),5),"UNMAPPED")</f>
        <v>MOS</v>
      </c>
      <c r="F386" s="34" t="s">
        <v>243</v>
      </c>
      <c r="G386" s="35" t="str">
        <f>IFERROR(INDEX([1]M_SKU!$A$18:$J$57,MATCH(F386,[1]M_SKU!$B$18:$B$57,0),1),"UNKNOWN SKU")</f>
        <v>Sprite Zero Pet 300ML (x 12)</v>
      </c>
      <c r="H386" s="34" t="s">
        <v>244</v>
      </c>
      <c r="I386" s="37">
        <f>IFERROR(INDEX([1]T_Unload!$K$10:$K$433,MATCH(B386,[1]T_Unload!$B$10:$B$433,0)),0)</f>
        <v>0</v>
      </c>
      <c r="J386" s="26">
        <v>1</v>
      </c>
      <c r="K386" s="38">
        <f t="shared" si="24"/>
        <v>-1</v>
      </c>
      <c r="L386" s="39" t="str">
        <f t="shared" si="25"/>
        <v>Adjust Unload Upward</v>
      </c>
      <c r="M386" s="40">
        <f t="shared" si="26"/>
        <v>0</v>
      </c>
      <c r="N386" s="40">
        <f t="shared" si="27"/>
        <v>1</v>
      </c>
      <c r="O386" s="41" t="s">
        <v>38</v>
      </c>
      <c r="P386" s="42"/>
      <c r="Q386" s="43"/>
    </row>
    <row r="387" spans="1:17" ht="15" customHeight="1">
      <c r="A387" s="20" t="s">
        <v>899</v>
      </c>
      <c r="B387" s="21" t="s">
        <v>900</v>
      </c>
      <c r="C387" s="22" t="s">
        <v>858</v>
      </c>
      <c r="D387" s="23" t="str">
        <f>IFERROR(INDEX([1]M_User!$A$12:$J$67,MATCH(C387,[1]M_User!$D$12:$D$67,0),3),"UNMAPPED")</f>
        <v>Joyline J Lyimo</v>
      </c>
      <c r="E387" s="24" t="str">
        <f>IFERROR(INDEX([1]M_User!$A$12:$J$67,MATCH(C387,[1]M_User!$D$12:$D$67,0),5),"UNMAPPED")</f>
        <v>MOS</v>
      </c>
      <c r="F387" s="22" t="s">
        <v>148</v>
      </c>
      <c r="G387" s="23" t="str">
        <f>IFERROR(INDEX([1]M_SKU!$A$18:$J$57,MATCH(F387,[1]M_SKU!$B$18:$B$57,0),1),"UNKNOWN SKU")</f>
        <v>Fanta Zero Pet 300ML (x 12)</v>
      </c>
      <c r="H387" s="22" t="s">
        <v>149</v>
      </c>
      <c r="I387" s="25">
        <f>IFERROR(INDEX([1]T_Unload!$K$10:$K$433,MATCH(B387,[1]T_Unload!$B$10:$B$433,0)),0)</f>
        <v>0</v>
      </c>
      <c r="J387" s="26">
        <v>1</v>
      </c>
      <c r="K387" s="27">
        <f t="shared" si="24"/>
        <v>-1</v>
      </c>
      <c r="L387" s="28" t="str">
        <f t="shared" si="25"/>
        <v>Adjust Unload Upward</v>
      </c>
      <c r="M387" s="29">
        <f t="shared" si="26"/>
        <v>0</v>
      </c>
      <c r="N387" s="29">
        <f t="shared" si="27"/>
        <v>1</v>
      </c>
      <c r="O387" s="30" t="s">
        <v>38</v>
      </c>
      <c r="P387" s="22"/>
      <c r="Q387" s="31"/>
    </row>
    <row r="388" spans="1:17" ht="15" customHeight="1">
      <c r="A388" s="32" t="s">
        <v>901</v>
      </c>
      <c r="B388" s="33" t="s">
        <v>902</v>
      </c>
      <c r="C388" s="34" t="s">
        <v>858</v>
      </c>
      <c r="D388" s="35" t="str">
        <f>IFERROR(INDEX([1]M_User!$A$12:$J$67,MATCH(C388,[1]M_User!$D$12:$D$67,0),3),"UNMAPPED")</f>
        <v>Joyline J Lyimo</v>
      </c>
      <c r="E388" s="36" t="str">
        <f>IFERROR(INDEX([1]M_User!$A$12:$J$67,MATCH(C388,[1]M_User!$D$12:$D$67,0),5),"UNMAPPED")</f>
        <v>MOS</v>
      </c>
      <c r="F388" s="34" t="s">
        <v>160</v>
      </c>
      <c r="G388" s="35" t="str">
        <f>IFERROR(INDEX([1]M_SKU!$A$18:$J$57,MATCH(F388,[1]M_SKU!$B$18:$B$57,0),1),"UNKNOWN SKU")</f>
        <v>Sparletta Pine Apple Pet 300ML (x 12)</v>
      </c>
      <c r="H388" s="34" t="s">
        <v>161</v>
      </c>
      <c r="I388" s="37">
        <f>IFERROR(INDEX([1]T_Unload!$K$10:$K$433,MATCH(B388,[1]T_Unload!$B$10:$B$433,0)),0)</f>
        <v>0</v>
      </c>
      <c r="J388" s="26">
        <v>1</v>
      </c>
      <c r="K388" s="38">
        <f t="shared" si="24"/>
        <v>-1</v>
      </c>
      <c r="L388" s="39" t="str">
        <f t="shared" si="25"/>
        <v>Adjust Unload Upward</v>
      </c>
      <c r="M388" s="40">
        <f t="shared" si="26"/>
        <v>0</v>
      </c>
      <c r="N388" s="40">
        <f t="shared" si="27"/>
        <v>1</v>
      </c>
      <c r="O388" s="41" t="s">
        <v>38</v>
      </c>
      <c r="P388" s="42"/>
      <c r="Q388" s="43"/>
    </row>
    <row r="389" spans="1:17" ht="15" customHeight="1">
      <c r="A389" s="20" t="s">
        <v>903</v>
      </c>
      <c r="B389" s="21" t="s">
        <v>904</v>
      </c>
      <c r="C389" s="22" t="s">
        <v>905</v>
      </c>
      <c r="D389" s="23" t="str">
        <f>IFERROR(INDEX([1]M_User!$A$12:$J$67,MATCH(C389,[1]M_User!$D$12:$D$67,0),3),"UNMAPPED")</f>
        <v>Alice Jonathan Mfuru</v>
      </c>
      <c r="E389" s="24" t="str">
        <f>IFERROR(INDEX([1]M_User!$A$12:$J$67,MATCH(C389,[1]M_User!$D$12:$D$67,0),5),"UNMAPPED")</f>
        <v>MOS</v>
      </c>
      <c r="F389" s="22" t="s">
        <v>36</v>
      </c>
      <c r="G389" s="23" t="str">
        <f>IFERROR(INDEX([1]M_SKU!$A$18:$J$57,MATCH(F389,[1]M_SKU!$B$18:$B$57,0),1),"UNKNOWN SKU")</f>
        <v>Coke RGB 350ml</v>
      </c>
      <c r="H389" s="22" t="s">
        <v>180</v>
      </c>
      <c r="I389" s="25">
        <f>IFERROR(INDEX([1]T_Unload!$K$10:$K$433,MATCH(B389,[1]T_Unload!$B$10:$B$433,0)),0)</f>
        <v>6.4299090006428941</v>
      </c>
      <c r="J389" s="26">
        <v>6.43</v>
      </c>
      <c r="K389" s="27">
        <f t="shared" si="24"/>
        <v>-9.0999357105658873E-5</v>
      </c>
      <c r="L389" s="28" t="str">
        <f t="shared" si="25"/>
        <v>CLEAN</v>
      </c>
      <c r="M389" s="29">
        <f t="shared" si="26"/>
        <v>0</v>
      </c>
      <c r="N389" s="29">
        <f t="shared" si="27"/>
        <v>0</v>
      </c>
      <c r="O389" s="30" t="s">
        <v>38</v>
      </c>
      <c r="P389" s="22"/>
      <c r="Q389" s="31"/>
    </row>
    <row r="390" spans="1:17" ht="15" customHeight="1">
      <c r="A390" s="32" t="s">
        <v>906</v>
      </c>
      <c r="B390" s="33" t="s">
        <v>907</v>
      </c>
      <c r="C390" s="34" t="s">
        <v>905</v>
      </c>
      <c r="D390" s="35" t="str">
        <f>IFERROR(INDEX([1]M_User!$A$12:$J$67,MATCH(C390,[1]M_User!$D$12:$D$67,0),3),"UNMAPPED")</f>
        <v>Alice Jonathan Mfuru</v>
      </c>
      <c r="E390" s="36" t="str">
        <f>IFERROR(INDEX([1]M_User!$A$12:$J$67,MATCH(C390,[1]M_User!$D$12:$D$67,0),5),"UNMAPPED")</f>
        <v>MOS</v>
      </c>
      <c r="F390" s="34" t="s">
        <v>41</v>
      </c>
      <c r="G390" s="35" t="str">
        <f>IFERROR(INDEX([1]M_SKU!$A$18:$J$57,MATCH(F390,[1]M_SKU!$B$18:$B$57,0),1),"UNKNOWN SKU")</f>
        <v>Fanta Orange RGB 350ml</v>
      </c>
      <c r="H390" s="34" t="s">
        <v>183</v>
      </c>
      <c r="I390" s="37">
        <f>IFERROR(INDEX([1]T_Unload!$K$10:$K$433,MATCH(B390,[1]T_Unload!$B$10:$B$433,0)),0)</f>
        <v>1.358660722555431</v>
      </c>
      <c r="J390" s="26">
        <v>1.36</v>
      </c>
      <c r="K390" s="38">
        <f t="shared" si="24"/>
        <v>-1.3392774445690758E-3</v>
      </c>
      <c r="L390" s="39" t="str">
        <f t="shared" si="25"/>
        <v>Adjust Unload Upward</v>
      </c>
      <c r="M390" s="40">
        <f t="shared" si="26"/>
        <v>0</v>
      </c>
      <c r="N390" s="40">
        <f t="shared" si="27"/>
        <v>1.3392774445690758E-3</v>
      </c>
      <c r="O390" s="41" t="s">
        <v>38</v>
      </c>
      <c r="P390" s="42"/>
      <c r="Q390" s="43"/>
    </row>
    <row r="391" spans="1:17" ht="15" customHeight="1">
      <c r="A391" s="20" t="s">
        <v>908</v>
      </c>
      <c r="B391" s="21" t="s">
        <v>909</v>
      </c>
      <c r="C391" s="22" t="s">
        <v>905</v>
      </c>
      <c r="D391" s="23" t="str">
        <f>IFERROR(INDEX([1]M_User!$A$12:$J$67,MATCH(C391,[1]M_User!$D$12:$D$67,0),3),"UNMAPPED")</f>
        <v>Alice Jonathan Mfuru</v>
      </c>
      <c r="E391" s="24" t="str">
        <f>IFERROR(INDEX([1]M_User!$A$12:$J$67,MATCH(C391,[1]M_User!$D$12:$D$67,0),5),"UNMAPPED")</f>
        <v>MOS</v>
      </c>
      <c r="F391" s="22" t="s">
        <v>45</v>
      </c>
      <c r="G391" s="23" t="str">
        <f>IFERROR(INDEX([1]M_SKU!$A$18:$J$57,MATCH(F391,[1]M_SKU!$B$18:$B$57,0),1),"UNKNOWN SKU")</f>
        <v>Fanta Passion RGB 350ml</v>
      </c>
      <c r="H391" s="22" t="s">
        <v>186</v>
      </c>
      <c r="I391" s="25">
        <f>IFERROR(INDEX([1]T_Unload!$K$10:$K$433,MATCH(B391,[1]T_Unload!$B$10:$B$433,0)),0)</f>
        <v>1.4730125046582394</v>
      </c>
      <c r="J391" s="26">
        <v>1.47</v>
      </c>
      <c r="K391" s="27">
        <f t="shared" si="24"/>
        <v>3.0125046582394344E-3</v>
      </c>
      <c r="L391" s="28" t="str">
        <f t="shared" si="25"/>
        <v>Post to Default Outlet</v>
      </c>
      <c r="M391" s="29">
        <f t="shared" si="26"/>
        <v>3.0125046582394344E-3</v>
      </c>
      <c r="N391" s="29">
        <f t="shared" si="27"/>
        <v>0</v>
      </c>
      <c r="O391" s="30" t="s">
        <v>38</v>
      </c>
      <c r="P391" s="22"/>
      <c r="Q391" s="31"/>
    </row>
    <row r="392" spans="1:17" ht="15" customHeight="1">
      <c r="A392" s="32" t="s">
        <v>910</v>
      </c>
      <c r="B392" s="33" t="s">
        <v>911</v>
      </c>
      <c r="C392" s="34" t="s">
        <v>905</v>
      </c>
      <c r="D392" s="35" t="str">
        <f>IFERROR(INDEX([1]M_User!$A$12:$J$67,MATCH(C392,[1]M_User!$D$12:$D$67,0),3),"UNMAPPED")</f>
        <v>Alice Jonathan Mfuru</v>
      </c>
      <c r="E392" s="36" t="str">
        <f>IFERROR(INDEX([1]M_User!$A$12:$J$67,MATCH(C392,[1]M_User!$D$12:$D$67,0),5),"UNMAPPED")</f>
        <v>MOS</v>
      </c>
      <c r="F392" s="34" t="s">
        <v>49</v>
      </c>
      <c r="G392" s="35" t="str">
        <f>IFERROR(INDEX([1]M_SKU!$A$18:$J$57,MATCH(F392,[1]M_SKU!$B$18:$B$57,0),1),"UNKNOWN SKU")</f>
        <v>Fanta Pineapple RGB 350ml</v>
      </c>
      <c r="H392" s="34" t="s">
        <v>189</v>
      </c>
      <c r="I392" s="37">
        <f>IFERROR(INDEX([1]T_Unload!$K$10:$K$433,MATCH(B392,[1]T_Unload!$B$10:$B$433,0)),0)</f>
        <v>1.2534311924598303</v>
      </c>
      <c r="J392" s="26">
        <v>1.25</v>
      </c>
      <c r="K392" s="38">
        <f t="shared" si="24"/>
        <v>3.4311924598302568E-3</v>
      </c>
      <c r="L392" s="39" t="str">
        <f t="shared" si="25"/>
        <v>Post to Default Outlet</v>
      </c>
      <c r="M392" s="40">
        <f t="shared" si="26"/>
        <v>3.4311924598302568E-3</v>
      </c>
      <c r="N392" s="40">
        <f t="shared" si="27"/>
        <v>0</v>
      </c>
      <c r="O392" s="41" t="s">
        <v>38</v>
      </c>
      <c r="P392" s="42"/>
      <c r="Q392" s="43"/>
    </row>
    <row r="393" spans="1:17" ht="15" customHeight="1">
      <c r="A393" s="20" t="s">
        <v>912</v>
      </c>
      <c r="B393" s="21" t="s">
        <v>913</v>
      </c>
      <c r="C393" s="22" t="s">
        <v>905</v>
      </c>
      <c r="D393" s="23" t="str">
        <f>IFERROR(INDEX([1]M_User!$A$12:$J$67,MATCH(C393,[1]M_User!$D$12:$D$67,0),3),"UNMAPPED")</f>
        <v>Alice Jonathan Mfuru</v>
      </c>
      <c r="E393" s="24" t="str">
        <f>IFERROR(INDEX([1]M_User!$A$12:$J$67,MATCH(C393,[1]M_User!$D$12:$D$67,0),5),"UNMAPPED")</f>
        <v>MOS</v>
      </c>
      <c r="F393" s="22" t="s">
        <v>192</v>
      </c>
      <c r="G393" s="23" t="str">
        <f>IFERROR(INDEX([1]M_SKU!$A$18:$J$57,MATCH(F393,[1]M_SKU!$B$18:$B$57,0),1),"UNKNOWN SKU")</f>
        <v>Fanta Fruit Blast RGB 350 ml</v>
      </c>
      <c r="H393" s="22" t="s">
        <v>193</v>
      </c>
      <c r="I393" s="25">
        <f>IFERROR(INDEX([1]T_Unload!$K$10:$K$433,MATCH(B393,[1]T_Unload!$B$10:$B$433,0)),0)</f>
        <v>0.3921107167399609</v>
      </c>
      <c r="J393" s="26">
        <v>0.39</v>
      </c>
      <c r="K393" s="27">
        <f t="shared" si="24"/>
        <v>2.1107167399608828E-3</v>
      </c>
      <c r="L393" s="28" t="str">
        <f t="shared" si="25"/>
        <v>Post to Default Outlet</v>
      </c>
      <c r="M393" s="29">
        <f t="shared" si="26"/>
        <v>2.1107167399608828E-3</v>
      </c>
      <c r="N393" s="29">
        <f t="shared" si="27"/>
        <v>0</v>
      </c>
      <c r="O393" s="30" t="s">
        <v>38</v>
      </c>
      <c r="P393" s="22"/>
      <c r="Q393" s="31"/>
    </row>
    <row r="394" spans="1:17" ht="15" customHeight="1">
      <c r="A394" s="32" t="s">
        <v>914</v>
      </c>
      <c r="B394" s="33" t="s">
        <v>915</v>
      </c>
      <c r="C394" s="34" t="s">
        <v>905</v>
      </c>
      <c r="D394" s="35" t="str">
        <f>IFERROR(INDEX([1]M_User!$A$12:$J$67,MATCH(C394,[1]M_User!$D$12:$D$67,0),3),"UNMAPPED")</f>
        <v>Alice Jonathan Mfuru</v>
      </c>
      <c r="E394" s="36" t="str">
        <f>IFERROR(INDEX([1]M_User!$A$12:$J$67,MATCH(C394,[1]M_User!$D$12:$D$67,0),5),"UNMAPPED")</f>
        <v>MOS</v>
      </c>
      <c r="F394" s="34" t="s">
        <v>53</v>
      </c>
      <c r="G394" s="35" t="str">
        <f>IFERROR(INDEX([1]M_SKU!$A$18:$J$57,MATCH(F394,[1]M_SKU!$B$18:$B$57,0),1),"UNKNOWN SKU")</f>
        <v>Sprite 350ml</v>
      </c>
      <c r="H394" s="34" t="s">
        <v>196</v>
      </c>
      <c r="I394" s="37">
        <f>IFERROR(INDEX([1]T_Unload!$K$10:$K$433,MATCH(B394,[1]T_Unload!$B$10:$B$433,0)),0)</f>
        <v>1.1092311507082506</v>
      </c>
      <c r="J394" s="26">
        <v>1.1100000000000001</v>
      </c>
      <c r="K394" s="38">
        <f t="shared" si="24"/>
        <v>-7.6884929174947381E-4</v>
      </c>
      <c r="L394" s="39" t="str">
        <f t="shared" si="25"/>
        <v>Adjust Unload Upward</v>
      </c>
      <c r="M394" s="40">
        <f t="shared" si="26"/>
        <v>0</v>
      </c>
      <c r="N394" s="40">
        <f t="shared" si="27"/>
        <v>7.6884929174947381E-4</v>
      </c>
      <c r="O394" s="41" t="s">
        <v>38</v>
      </c>
      <c r="P394" s="42"/>
      <c r="Q394" s="43"/>
    </row>
    <row r="395" spans="1:17" ht="15" customHeight="1">
      <c r="A395" s="20" t="s">
        <v>916</v>
      </c>
      <c r="B395" s="21" t="s">
        <v>917</v>
      </c>
      <c r="C395" s="22" t="s">
        <v>905</v>
      </c>
      <c r="D395" s="23" t="str">
        <f>IFERROR(INDEX([1]M_User!$A$12:$J$67,MATCH(C395,[1]M_User!$D$12:$D$67,0),3),"UNMAPPED")</f>
        <v>Alice Jonathan Mfuru</v>
      </c>
      <c r="E395" s="24" t="str">
        <f>IFERROR(INDEX([1]M_User!$A$12:$J$67,MATCH(C395,[1]M_User!$D$12:$D$67,0),5),"UNMAPPED")</f>
        <v>MOS</v>
      </c>
      <c r="F395" s="22" t="s">
        <v>199</v>
      </c>
      <c r="G395" s="23" t="str">
        <f>IFERROR(INDEX([1]M_SKU!$A$18:$J$57,MATCH(F395,[1]M_SKU!$B$18:$B$57,0),1),"UNKNOWN SKU")</f>
        <v>Stoney Tangawizi RGB 350ml</v>
      </c>
      <c r="H395" s="22" t="s">
        <v>200</v>
      </c>
      <c r="I395" s="25">
        <f>IFERROR(INDEX([1]T_Unload!$K$10:$K$433,MATCH(B395,[1]T_Unload!$B$10:$B$433,0)),0)</f>
        <v>0.41898964544019979</v>
      </c>
      <c r="J395" s="26">
        <v>0.42</v>
      </c>
      <c r="K395" s="27">
        <f t="shared" si="24"/>
        <v>-1.0103545598001973E-3</v>
      </c>
      <c r="L395" s="28" t="str">
        <f t="shared" si="25"/>
        <v>Adjust Unload Upward</v>
      </c>
      <c r="M395" s="29">
        <f t="shared" si="26"/>
        <v>0</v>
      </c>
      <c r="N395" s="29">
        <f t="shared" si="27"/>
        <v>1.0103545598001973E-3</v>
      </c>
      <c r="O395" s="30" t="s">
        <v>38</v>
      </c>
      <c r="P395" s="22"/>
      <c r="Q395" s="31"/>
    </row>
    <row r="396" spans="1:17" ht="15" customHeight="1">
      <c r="A396" s="32" t="s">
        <v>918</v>
      </c>
      <c r="B396" s="33" t="s">
        <v>919</v>
      </c>
      <c r="C396" s="34" t="s">
        <v>905</v>
      </c>
      <c r="D396" s="35" t="str">
        <f>IFERROR(INDEX([1]M_User!$A$12:$J$67,MATCH(C396,[1]M_User!$D$12:$D$67,0),3),"UNMAPPED")</f>
        <v>Alice Jonathan Mfuru</v>
      </c>
      <c r="E396" s="36" t="str">
        <f>IFERROR(INDEX([1]M_User!$A$12:$J$67,MATCH(C396,[1]M_User!$D$12:$D$67,0),5),"UNMAPPED")</f>
        <v>MOS</v>
      </c>
      <c r="F396" s="34" t="s">
        <v>203</v>
      </c>
      <c r="G396" s="35" t="str">
        <f>IFERROR(INDEX([1]M_SKU!$A$18:$J$57,MATCH(F396,[1]M_SKU!$B$18:$B$57,0),1),"UNKNOWN SKU")</f>
        <v>Sparletta Pinenut RGB 350ml</v>
      </c>
      <c r="H396" s="34" t="s">
        <v>204</v>
      </c>
      <c r="I396" s="37">
        <f>IFERROR(INDEX([1]T_Unload!$K$10:$K$433,MATCH(B396,[1]T_Unload!$B$10:$B$433,0)),0)</f>
        <v>0.19262888238287723</v>
      </c>
      <c r="J396" s="26">
        <v>0.19</v>
      </c>
      <c r="K396" s="38">
        <f t="shared" si="24"/>
        <v>2.628882382877229E-3</v>
      </c>
      <c r="L396" s="39" t="str">
        <f t="shared" si="25"/>
        <v>Post to Default Outlet</v>
      </c>
      <c r="M396" s="40">
        <f t="shared" si="26"/>
        <v>2.628882382877229E-3</v>
      </c>
      <c r="N396" s="40">
        <f t="shared" si="27"/>
        <v>0</v>
      </c>
      <c r="O396" s="41" t="s">
        <v>38</v>
      </c>
      <c r="P396" s="42"/>
      <c r="Q396" s="43"/>
    </row>
    <row r="397" spans="1:17" ht="15" customHeight="1">
      <c r="A397" s="20" t="s">
        <v>920</v>
      </c>
      <c r="B397" s="21" t="s">
        <v>921</v>
      </c>
      <c r="C397" s="22" t="s">
        <v>905</v>
      </c>
      <c r="D397" s="23" t="str">
        <f>IFERROR(INDEX([1]M_User!$A$12:$J$67,MATCH(C397,[1]M_User!$D$12:$D$67,0),3),"UNMAPPED")</f>
        <v>Alice Jonathan Mfuru</v>
      </c>
      <c r="E397" s="24" t="str">
        <f>IFERROR(INDEX([1]M_User!$A$12:$J$67,MATCH(C397,[1]M_User!$D$12:$D$67,0),5),"UNMAPPED")</f>
        <v>MOS</v>
      </c>
      <c r="F397" s="22" t="s">
        <v>216</v>
      </c>
      <c r="G397" s="23" t="str">
        <f>IFERROR(INDEX([1]M_SKU!$A$18:$J$57,MATCH(F397,[1]M_SKU!$B$18:$B$57,0),1),"UNKNOWN SKU")</f>
        <v>Sparletta Red Apple RGB 350ml</v>
      </c>
      <c r="H397" s="22" t="s">
        <v>217</v>
      </c>
      <c r="I397" s="25">
        <f>IFERROR(INDEX([1]T_Unload!$K$10:$K$433,MATCH(B397,[1]T_Unload!$B$10:$B$433,0)),0)</f>
        <v>0.31825785338051715</v>
      </c>
      <c r="J397" s="26">
        <v>0.32</v>
      </c>
      <c r="K397" s="27">
        <f t="shared" si="24"/>
        <v>-1.7421466194828539E-3</v>
      </c>
      <c r="L397" s="28" t="str">
        <f t="shared" si="25"/>
        <v>Adjust Unload Upward</v>
      </c>
      <c r="M397" s="29">
        <f t="shared" si="26"/>
        <v>0</v>
      </c>
      <c r="N397" s="29">
        <f t="shared" si="27"/>
        <v>1.7421466194828539E-3</v>
      </c>
      <c r="O397" s="30" t="s">
        <v>38</v>
      </c>
      <c r="P397" s="22"/>
      <c r="Q397" s="31"/>
    </row>
    <row r="398" spans="1:17" ht="15" customHeight="1">
      <c r="A398" s="32" t="s">
        <v>922</v>
      </c>
      <c r="B398" s="33" t="s">
        <v>923</v>
      </c>
      <c r="C398" s="34" t="s">
        <v>905</v>
      </c>
      <c r="D398" s="35" t="str">
        <f>IFERROR(INDEX([1]M_User!$A$12:$J$67,MATCH(C398,[1]M_User!$D$12:$D$67,0),3),"UNMAPPED")</f>
        <v>Alice Jonathan Mfuru</v>
      </c>
      <c r="E398" s="36" t="str">
        <f>IFERROR(INDEX([1]M_User!$A$12:$J$67,MATCH(C398,[1]M_User!$D$12:$D$67,0),5),"UNMAPPED")</f>
        <v>MOS</v>
      </c>
      <c r="F398" s="34" t="s">
        <v>73</v>
      </c>
      <c r="G398" s="35" t="str">
        <f>IFERROR(INDEX([1]M_SKU!$A$18:$J$57,MATCH(F398,[1]M_SKU!$B$18:$B$57,0),1),"UNKNOWN SKU")</f>
        <v>KNMW 500ml</v>
      </c>
      <c r="H398" s="34" t="s">
        <v>220</v>
      </c>
      <c r="I398" s="37">
        <f>IFERROR(INDEX([1]T_Unload!$K$10:$K$433,MATCH(B398,[1]T_Unload!$B$10:$B$433,0)),0)</f>
        <v>2</v>
      </c>
      <c r="J398" s="26">
        <v>2</v>
      </c>
      <c r="K398" s="38">
        <f t="shared" si="24"/>
        <v>0</v>
      </c>
      <c r="L398" s="39" t="str">
        <f t="shared" si="25"/>
        <v>CLEAN</v>
      </c>
      <c r="M398" s="40">
        <f t="shared" si="26"/>
        <v>0</v>
      </c>
      <c r="N398" s="40">
        <f t="shared" si="27"/>
        <v>0</v>
      </c>
      <c r="O398" s="41" t="s">
        <v>38</v>
      </c>
      <c r="P398" s="42"/>
      <c r="Q398" s="43"/>
    </row>
    <row r="399" spans="1:17" ht="15" customHeight="1">
      <c r="A399" s="20" t="s">
        <v>924</v>
      </c>
      <c r="B399" s="21" t="s">
        <v>925</v>
      </c>
      <c r="C399" s="22" t="s">
        <v>905</v>
      </c>
      <c r="D399" s="23" t="str">
        <f>IFERROR(INDEX([1]M_User!$A$12:$J$67,MATCH(C399,[1]M_User!$D$12:$D$67,0),3),"UNMAPPED")</f>
        <v>Alice Jonathan Mfuru</v>
      </c>
      <c r="E399" s="24" t="str">
        <f>IFERROR(INDEX([1]M_User!$A$12:$J$67,MATCH(C399,[1]M_User!$D$12:$D$67,0),5),"UNMAPPED")</f>
        <v>MOS</v>
      </c>
      <c r="F399" s="22" t="s">
        <v>83</v>
      </c>
      <c r="G399" s="23" t="str">
        <f>IFERROR(INDEX([1]M_SKU!$A$18:$J$57,MATCH(F399,[1]M_SKU!$B$18:$B$57,0),1),"UNKNOWN SKU")</f>
        <v>KNMW 1500ml</v>
      </c>
      <c r="H399" s="22" t="s">
        <v>223</v>
      </c>
      <c r="I399" s="25">
        <f>IFERROR(INDEX([1]T_Unload!$K$10:$K$433,MATCH(B399,[1]T_Unload!$B$10:$B$433,0)),0)</f>
        <v>21</v>
      </c>
      <c r="J399" s="26">
        <v>21</v>
      </c>
      <c r="K399" s="27">
        <f t="shared" si="24"/>
        <v>0</v>
      </c>
      <c r="L399" s="28" t="str">
        <f t="shared" si="25"/>
        <v>CLEAN</v>
      </c>
      <c r="M399" s="29">
        <f t="shared" si="26"/>
        <v>0</v>
      </c>
      <c r="N399" s="29">
        <f t="shared" si="27"/>
        <v>0</v>
      </c>
      <c r="O399" s="30" t="s">
        <v>38</v>
      </c>
      <c r="P399" s="22"/>
      <c r="Q399" s="31"/>
    </row>
    <row r="400" spans="1:17" ht="15" customHeight="1">
      <c r="A400" s="32" t="s">
        <v>926</v>
      </c>
      <c r="B400" s="33" t="s">
        <v>927</v>
      </c>
      <c r="C400" s="34" t="s">
        <v>905</v>
      </c>
      <c r="D400" s="35" t="str">
        <f>IFERROR(INDEX([1]M_User!$A$12:$J$67,MATCH(C400,[1]M_User!$D$12:$D$67,0),3),"UNMAPPED")</f>
        <v>Alice Jonathan Mfuru</v>
      </c>
      <c r="E400" s="36" t="str">
        <f>IFERROR(INDEX([1]M_User!$A$12:$J$67,MATCH(C400,[1]M_User!$D$12:$D$67,0),5),"UNMAPPED")</f>
        <v>MOS</v>
      </c>
      <c r="F400" s="34" t="s">
        <v>91</v>
      </c>
      <c r="G400" s="35" t="str">
        <f>IFERROR(INDEX([1]M_SKU!$A$18:$J$57,MATCH(F400,[1]M_SKU!$B$18:$B$57,0),1),"UNKNOWN SKU")</f>
        <v>Kilimanjaro Drinking Water 12000 ML</v>
      </c>
      <c r="H400" s="34" t="s">
        <v>95</v>
      </c>
      <c r="I400" s="37">
        <f>IFERROR(INDEX([1]T_Unload!$K$10:$K$433,MATCH(B400,[1]T_Unload!$B$10:$B$433,0)),0)</f>
        <v>1</v>
      </c>
      <c r="J400" s="26">
        <v>1</v>
      </c>
      <c r="K400" s="38">
        <f t="shared" si="24"/>
        <v>0</v>
      </c>
      <c r="L400" s="39" t="str">
        <f t="shared" si="25"/>
        <v>CLEAN</v>
      </c>
      <c r="M400" s="40">
        <f t="shared" si="26"/>
        <v>0</v>
      </c>
      <c r="N400" s="40">
        <f t="shared" si="27"/>
        <v>0</v>
      </c>
      <c r="O400" s="41" t="s">
        <v>38</v>
      </c>
      <c r="P400" s="42"/>
      <c r="Q400" s="43"/>
    </row>
    <row r="401" spans="1:17" ht="15" customHeight="1">
      <c r="A401" s="20" t="s">
        <v>928</v>
      </c>
      <c r="B401" s="21" t="s">
        <v>929</v>
      </c>
      <c r="C401" s="22" t="s">
        <v>905</v>
      </c>
      <c r="D401" s="23" t="str">
        <f>IFERROR(INDEX([1]M_User!$A$12:$J$67,MATCH(C401,[1]M_User!$D$12:$D$67,0),3),"UNMAPPED")</f>
        <v>Alice Jonathan Mfuru</v>
      </c>
      <c r="E401" s="24" t="str">
        <f>IFERROR(INDEX([1]M_User!$A$12:$J$67,MATCH(C401,[1]M_User!$D$12:$D$67,0),5),"UNMAPPED")</f>
        <v>MOS</v>
      </c>
      <c r="F401" s="22" t="s">
        <v>98</v>
      </c>
      <c r="G401" s="23" t="str">
        <f>IFERROR(INDEX([1]M_SKU!$A$18:$J$57,MATCH(F401,[1]M_SKU!$B$18:$B$57,0),1),"UNKNOWN SKU")</f>
        <v>Kilimanjaro Drinking Water 18900 ML</v>
      </c>
      <c r="H401" s="22" t="s">
        <v>102</v>
      </c>
      <c r="I401" s="25">
        <f>IFERROR(INDEX([1]T_Unload!$K$10:$K$433,MATCH(B401,[1]T_Unload!$B$10:$B$433,0)),0)</f>
        <v>1</v>
      </c>
      <c r="J401" s="26">
        <v>1</v>
      </c>
      <c r="K401" s="27">
        <f t="shared" si="24"/>
        <v>0</v>
      </c>
      <c r="L401" s="28" t="str">
        <f t="shared" si="25"/>
        <v>CLEAN</v>
      </c>
      <c r="M401" s="29">
        <f t="shared" si="26"/>
        <v>0</v>
      </c>
      <c r="N401" s="29">
        <f t="shared" si="27"/>
        <v>0</v>
      </c>
      <c r="O401" s="30" t="s">
        <v>38</v>
      </c>
      <c r="P401" s="22"/>
      <c r="Q401" s="31"/>
    </row>
    <row r="402" spans="1:17" ht="15" customHeight="1">
      <c r="A402" s="32" t="s">
        <v>930</v>
      </c>
      <c r="B402" s="33" t="s">
        <v>931</v>
      </c>
      <c r="C402" s="34" t="s">
        <v>905</v>
      </c>
      <c r="D402" s="35" t="str">
        <f>IFERROR(INDEX([1]M_User!$A$12:$J$67,MATCH(C402,[1]M_User!$D$12:$D$67,0),3),"UNMAPPED")</f>
        <v>Alice Jonathan Mfuru</v>
      </c>
      <c r="E402" s="36" t="str">
        <f>IFERROR(INDEX([1]M_User!$A$12:$J$67,MATCH(C402,[1]M_User!$D$12:$D$67,0),5),"UNMAPPED")</f>
        <v>MOS</v>
      </c>
      <c r="F402" s="34" t="s">
        <v>109</v>
      </c>
      <c r="G402" s="35" t="str">
        <f>IFERROR(INDEX([1]M_SKU!$A$18:$J$57,MATCH(F402,[1]M_SKU!$B$18:$B$57,0),1),"UNKNOWN SKU")</f>
        <v>Coke Pet 500ML ( x12)</v>
      </c>
      <c r="H402" s="34" t="s">
        <v>226</v>
      </c>
      <c r="I402" s="37">
        <f>IFERROR(INDEX([1]T_Unload!$K$10:$K$433,MATCH(B402,[1]T_Unload!$B$10:$B$433,0)),0)</f>
        <v>12</v>
      </c>
      <c r="J402" s="26">
        <v>12</v>
      </c>
      <c r="K402" s="38">
        <f t="shared" si="24"/>
        <v>0</v>
      </c>
      <c r="L402" s="39" t="str">
        <f t="shared" si="25"/>
        <v>CLEAN</v>
      </c>
      <c r="M402" s="40">
        <f t="shared" si="26"/>
        <v>0</v>
      </c>
      <c r="N402" s="40">
        <f t="shared" si="27"/>
        <v>0</v>
      </c>
      <c r="O402" s="41" t="s">
        <v>38</v>
      </c>
      <c r="P402" s="42"/>
      <c r="Q402" s="43"/>
    </row>
    <row r="403" spans="1:17" ht="15" customHeight="1">
      <c r="A403" s="20" t="s">
        <v>932</v>
      </c>
      <c r="B403" s="21" t="s">
        <v>933</v>
      </c>
      <c r="C403" s="22" t="s">
        <v>905</v>
      </c>
      <c r="D403" s="23" t="str">
        <f>IFERROR(INDEX([1]M_User!$A$12:$J$67,MATCH(C403,[1]M_User!$D$12:$D$67,0),3),"UNMAPPED")</f>
        <v>Alice Jonathan Mfuru</v>
      </c>
      <c r="E403" s="24" t="str">
        <f>IFERROR(INDEX([1]M_User!$A$12:$J$67,MATCH(C403,[1]M_User!$D$12:$D$67,0),5),"UNMAPPED")</f>
        <v>MOS</v>
      </c>
      <c r="F403" s="22" t="s">
        <v>113</v>
      </c>
      <c r="G403" s="23" t="str">
        <f>IFERROR(INDEX([1]M_SKU!$A$18:$J$57,MATCH(F403,[1]M_SKU!$B$18:$B$57,0),1),"UNKNOWN SKU")</f>
        <v>Sprite Pet 500ML (x 12)</v>
      </c>
      <c r="H403" s="22" t="s">
        <v>114</v>
      </c>
      <c r="I403" s="25">
        <f>IFERROR(INDEX([1]T_Unload!$K$10:$K$433,MATCH(B403,[1]T_Unload!$B$10:$B$433,0)),0)</f>
        <v>3</v>
      </c>
      <c r="J403" s="26">
        <v>3</v>
      </c>
      <c r="K403" s="27">
        <f t="shared" si="24"/>
        <v>0</v>
      </c>
      <c r="L403" s="28" t="str">
        <f t="shared" si="25"/>
        <v>CLEAN</v>
      </c>
      <c r="M403" s="29">
        <f t="shared" si="26"/>
        <v>0</v>
      </c>
      <c r="N403" s="29">
        <f t="shared" si="27"/>
        <v>0</v>
      </c>
      <c r="O403" s="30" t="s">
        <v>38</v>
      </c>
      <c r="P403" s="22"/>
      <c r="Q403" s="31"/>
    </row>
    <row r="404" spans="1:17" ht="15" customHeight="1">
      <c r="A404" s="32" t="s">
        <v>934</v>
      </c>
      <c r="B404" s="33" t="s">
        <v>935</v>
      </c>
      <c r="C404" s="34" t="s">
        <v>905</v>
      </c>
      <c r="D404" s="35" t="str">
        <f>IFERROR(INDEX([1]M_User!$A$12:$J$67,MATCH(C404,[1]M_User!$D$12:$D$67,0),3),"UNMAPPED")</f>
        <v>Alice Jonathan Mfuru</v>
      </c>
      <c r="E404" s="36" t="str">
        <f>IFERROR(INDEX([1]M_User!$A$12:$J$67,MATCH(C404,[1]M_User!$D$12:$D$67,0),5),"UNMAPPED")</f>
        <v>MOS</v>
      </c>
      <c r="F404" s="34" t="s">
        <v>117</v>
      </c>
      <c r="G404" s="35" t="str">
        <f>IFERROR(INDEX([1]M_SKU!$A$18:$J$57,MATCH(F404,[1]M_SKU!$B$18:$B$57,0),1),"UNKNOWN SKU")</f>
        <v>Fanta Orange Pet 500ML ( x 12)</v>
      </c>
      <c r="H404" s="34" t="s">
        <v>231</v>
      </c>
      <c r="I404" s="37">
        <f>IFERROR(INDEX([1]T_Unload!$K$10:$K$433,MATCH(B404,[1]T_Unload!$B$10:$B$433,0)),0)</f>
        <v>6</v>
      </c>
      <c r="J404" s="26">
        <v>6</v>
      </c>
      <c r="K404" s="38">
        <f t="shared" si="24"/>
        <v>0</v>
      </c>
      <c r="L404" s="39" t="str">
        <f t="shared" si="25"/>
        <v>CLEAN</v>
      </c>
      <c r="M404" s="40">
        <f t="shared" si="26"/>
        <v>0</v>
      </c>
      <c r="N404" s="40">
        <f t="shared" si="27"/>
        <v>0</v>
      </c>
      <c r="O404" s="41" t="s">
        <v>38</v>
      </c>
      <c r="P404" s="42"/>
      <c r="Q404" s="43"/>
    </row>
    <row r="405" spans="1:17" ht="15" customHeight="1">
      <c r="A405" s="20" t="s">
        <v>936</v>
      </c>
      <c r="B405" s="21" t="s">
        <v>937</v>
      </c>
      <c r="C405" s="22" t="s">
        <v>905</v>
      </c>
      <c r="D405" s="23" t="str">
        <f>IFERROR(INDEX([1]M_User!$A$12:$J$67,MATCH(C405,[1]M_User!$D$12:$D$67,0),3),"UNMAPPED")</f>
        <v>Alice Jonathan Mfuru</v>
      </c>
      <c r="E405" s="24" t="str">
        <f>IFERROR(INDEX([1]M_User!$A$12:$J$67,MATCH(C405,[1]M_User!$D$12:$D$67,0),5),"UNMAPPED")</f>
        <v>MOS</v>
      </c>
      <c r="F405" s="22" t="s">
        <v>121</v>
      </c>
      <c r="G405" s="23" t="str">
        <f>IFERROR(INDEX([1]M_SKU!$A$18:$J$57,MATCH(F405,[1]M_SKU!$B$18:$B$57,0),1),"UNKNOWN SKU")</f>
        <v>Fanta Passion Pet 500ML ( x12)</v>
      </c>
      <c r="H405" s="22" t="s">
        <v>234</v>
      </c>
      <c r="I405" s="25">
        <f>IFERROR(INDEX([1]T_Unload!$K$10:$K$433,MATCH(B405,[1]T_Unload!$B$10:$B$433,0)),0)</f>
        <v>1</v>
      </c>
      <c r="J405" s="26">
        <v>1</v>
      </c>
      <c r="K405" s="27">
        <f t="shared" si="24"/>
        <v>0</v>
      </c>
      <c r="L405" s="28" t="str">
        <f t="shared" si="25"/>
        <v>CLEAN</v>
      </c>
      <c r="M405" s="29">
        <f t="shared" si="26"/>
        <v>0</v>
      </c>
      <c r="N405" s="29">
        <f t="shared" si="27"/>
        <v>0</v>
      </c>
      <c r="O405" s="30" t="s">
        <v>38</v>
      </c>
      <c r="P405" s="22"/>
      <c r="Q405" s="31"/>
    </row>
    <row r="406" spans="1:17" ht="15" customHeight="1">
      <c r="A406" s="32" t="s">
        <v>938</v>
      </c>
      <c r="B406" s="33" t="s">
        <v>939</v>
      </c>
      <c r="C406" s="34" t="s">
        <v>905</v>
      </c>
      <c r="D406" s="35" t="str">
        <f>IFERROR(INDEX([1]M_User!$A$12:$J$67,MATCH(C406,[1]M_User!$D$12:$D$67,0),3),"UNMAPPED")</f>
        <v>Alice Jonathan Mfuru</v>
      </c>
      <c r="E406" s="36" t="str">
        <f>IFERROR(INDEX([1]M_User!$A$12:$J$67,MATCH(C406,[1]M_User!$D$12:$D$67,0),5),"UNMAPPED")</f>
        <v>MOS</v>
      </c>
      <c r="F406" s="34" t="s">
        <v>133</v>
      </c>
      <c r="G406" s="35" t="str">
        <f>IFERROR(INDEX([1]M_SKU!$A$18:$J$57,MATCH(F406,[1]M_SKU!$B$18:$B$57,0),1),"UNKNOWN SKU")</f>
        <v>Stoney Tangawizi Pet 500 ml ( x12)</v>
      </c>
      <c r="H406" s="34" t="s">
        <v>237</v>
      </c>
      <c r="I406" s="37">
        <f>IFERROR(INDEX([1]T_Unload!$K$10:$K$433,MATCH(B406,[1]T_Unload!$B$10:$B$433,0)),0)</f>
        <v>1</v>
      </c>
      <c r="J406" s="26">
        <v>1</v>
      </c>
      <c r="K406" s="38">
        <f t="shared" si="24"/>
        <v>0</v>
      </c>
      <c r="L406" s="39" t="str">
        <f t="shared" si="25"/>
        <v>CLEAN</v>
      </c>
      <c r="M406" s="40">
        <f t="shared" si="26"/>
        <v>0</v>
      </c>
      <c r="N406" s="40">
        <f t="shared" si="27"/>
        <v>0</v>
      </c>
      <c r="O406" s="41" t="s">
        <v>38</v>
      </c>
      <c r="P406" s="42"/>
      <c r="Q406" s="43"/>
    </row>
    <row r="407" spans="1:17" ht="15" customHeight="1">
      <c r="A407" s="20" t="s">
        <v>940</v>
      </c>
      <c r="B407" s="21" t="s">
        <v>941</v>
      </c>
      <c r="C407" s="22" t="s">
        <v>905</v>
      </c>
      <c r="D407" s="23" t="str">
        <f>IFERROR(INDEX([1]M_User!$A$12:$J$67,MATCH(C407,[1]M_User!$D$12:$D$67,0),3),"UNMAPPED")</f>
        <v>Alice Jonathan Mfuru</v>
      </c>
      <c r="E407" s="24" t="str">
        <f>IFERROR(INDEX([1]M_User!$A$12:$J$67,MATCH(C407,[1]M_User!$D$12:$D$67,0),5),"UNMAPPED")</f>
        <v>MOS</v>
      </c>
      <c r="F407" s="22" t="s">
        <v>137</v>
      </c>
      <c r="G407" s="23" t="str">
        <f>IFERROR(INDEX([1]M_SKU!$A$18:$J$57,MATCH(F407,[1]M_SKU!$B$18:$B$57,0),1),"UNKNOWN SKU")</f>
        <v>Sparletta Pinenut Pet 500 ml ( x12)</v>
      </c>
      <c r="H407" s="22" t="s">
        <v>240</v>
      </c>
      <c r="I407" s="25">
        <f>IFERROR(INDEX([1]T_Unload!$K$10:$K$433,MATCH(B407,[1]T_Unload!$B$10:$B$433,0)),0)</f>
        <v>0</v>
      </c>
      <c r="J407" s="26">
        <v>0</v>
      </c>
      <c r="K407" s="27">
        <f t="shared" si="24"/>
        <v>0</v>
      </c>
      <c r="L407" s="28" t="str">
        <f t="shared" si="25"/>
        <v>CLEAN</v>
      </c>
      <c r="M407" s="29">
        <f t="shared" si="26"/>
        <v>0</v>
      </c>
      <c r="N407" s="29">
        <f t="shared" si="27"/>
        <v>0</v>
      </c>
      <c r="O407" s="30" t="s">
        <v>38</v>
      </c>
      <c r="P407" s="22"/>
      <c r="Q407" s="31"/>
    </row>
    <row r="408" spans="1:17" ht="15" customHeight="1">
      <c r="A408" s="32" t="s">
        <v>942</v>
      </c>
      <c r="B408" s="33" t="s">
        <v>943</v>
      </c>
      <c r="C408" s="34" t="s">
        <v>944</v>
      </c>
      <c r="D408" s="35" t="str">
        <f>IFERROR(INDEX([1]M_User!$A$12:$J$67,MATCH(C408,[1]M_User!$D$12:$D$67,0),3),"UNMAPPED")</f>
        <v>Samson Felix Ngowi</v>
      </c>
      <c r="E408" s="36" t="str">
        <f>IFERROR(INDEX([1]M_User!$A$12:$J$67,MATCH(C408,[1]M_User!$D$12:$D$67,0),5),"UNMAPPED")</f>
        <v>MOS</v>
      </c>
      <c r="F408" s="34" t="s">
        <v>36</v>
      </c>
      <c r="G408" s="35" t="str">
        <f>IFERROR(INDEX([1]M_SKU!$A$18:$J$57,MATCH(F408,[1]M_SKU!$B$18:$B$57,0),1),"UNKNOWN SKU")</f>
        <v>Coke RGB 350ml</v>
      </c>
      <c r="H408" s="34" t="s">
        <v>180</v>
      </c>
      <c r="I408" s="37">
        <f>IFERROR(INDEX([1]T_Unload!$K$10:$K$433,MATCH(B408,[1]T_Unload!$B$10:$B$433,0)),0)</f>
        <v>7.6790697581331315</v>
      </c>
      <c r="J408" s="26">
        <v>7.68</v>
      </c>
      <c r="K408" s="38">
        <f t="shared" si="24"/>
        <v>-9.3024186686818666E-4</v>
      </c>
      <c r="L408" s="39" t="str">
        <f t="shared" si="25"/>
        <v>Adjust Unload Upward</v>
      </c>
      <c r="M408" s="40">
        <f t="shared" si="26"/>
        <v>0</v>
      </c>
      <c r="N408" s="40">
        <f t="shared" si="27"/>
        <v>9.3024186686818666E-4</v>
      </c>
      <c r="O408" s="41" t="s">
        <v>38</v>
      </c>
      <c r="P408" s="42"/>
      <c r="Q408" s="43"/>
    </row>
    <row r="409" spans="1:17" ht="15" customHeight="1">
      <c r="A409" s="20" t="s">
        <v>945</v>
      </c>
      <c r="B409" s="21" t="s">
        <v>946</v>
      </c>
      <c r="C409" s="22" t="s">
        <v>944</v>
      </c>
      <c r="D409" s="23" t="str">
        <f>IFERROR(INDEX([1]M_User!$A$12:$J$67,MATCH(C409,[1]M_User!$D$12:$D$67,0),3),"UNMAPPED")</f>
        <v>Samson Felix Ngowi</v>
      </c>
      <c r="E409" s="24" t="str">
        <f>IFERROR(INDEX([1]M_User!$A$12:$J$67,MATCH(C409,[1]M_User!$D$12:$D$67,0),5),"UNMAPPED")</f>
        <v>MOS</v>
      </c>
      <c r="F409" s="22" t="s">
        <v>36</v>
      </c>
      <c r="G409" s="23" t="str">
        <f>IFERROR(INDEX([1]M_SKU!$A$18:$J$57,MATCH(F409,[1]M_SKU!$B$18:$B$57,0),1),"UNKNOWN SKU")</f>
        <v>Coke RGB 350ml</v>
      </c>
      <c r="H409" s="22" t="s">
        <v>347</v>
      </c>
      <c r="I409" s="25">
        <f>IFERROR(INDEX([1]T_Unload!$K$10:$K$433,MATCH(B409,[1]T_Unload!$B$10:$B$433,0)),0)</f>
        <v>0.73140578875404927</v>
      </c>
      <c r="J409" s="26">
        <v>0.73</v>
      </c>
      <c r="K409" s="27">
        <f t="shared" si="24"/>
        <v>1.4057887540492864E-3</v>
      </c>
      <c r="L409" s="28" t="str">
        <f t="shared" si="25"/>
        <v>Post to Default Outlet</v>
      </c>
      <c r="M409" s="29">
        <f t="shared" si="26"/>
        <v>1.4057887540492864E-3</v>
      </c>
      <c r="N409" s="29">
        <f t="shared" si="27"/>
        <v>0</v>
      </c>
      <c r="O409" s="30" t="s">
        <v>38</v>
      </c>
      <c r="P409" s="22"/>
      <c r="Q409" s="31"/>
    </row>
    <row r="410" spans="1:17" ht="15" customHeight="1">
      <c r="A410" s="32" t="s">
        <v>947</v>
      </c>
      <c r="B410" s="33" t="s">
        <v>948</v>
      </c>
      <c r="C410" s="34" t="s">
        <v>944</v>
      </c>
      <c r="D410" s="35" t="str">
        <f>IFERROR(INDEX([1]M_User!$A$12:$J$67,MATCH(C410,[1]M_User!$D$12:$D$67,0),3),"UNMAPPED")</f>
        <v>Samson Felix Ngowi</v>
      </c>
      <c r="E410" s="36" t="str">
        <f>IFERROR(INDEX([1]M_User!$A$12:$J$67,MATCH(C410,[1]M_User!$D$12:$D$67,0),5),"UNMAPPED")</f>
        <v>MOS</v>
      </c>
      <c r="F410" s="34" t="s">
        <v>41</v>
      </c>
      <c r="G410" s="35" t="str">
        <f>IFERROR(INDEX([1]M_SKU!$A$18:$J$57,MATCH(F410,[1]M_SKU!$B$18:$B$57,0),1),"UNKNOWN SKU")</f>
        <v>Fanta Orange RGB 350ml</v>
      </c>
      <c r="H410" s="34" t="s">
        <v>949</v>
      </c>
      <c r="I410" s="37">
        <f>IFERROR(INDEX([1]T_Unload!$K$10:$K$433,MATCH(B410,[1]T_Unload!$B$10:$B$433,0)),0)</f>
        <v>0.24370074511783102</v>
      </c>
      <c r="J410" s="26">
        <v>0.24</v>
      </c>
      <c r="K410" s="38">
        <f t="shared" si="24"/>
        <v>3.700745117831028E-3</v>
      </c>
      <c r="L410" s="39" t="str">
        <f t="shared" si="25"/>
        <v>Post to Default Outlet</v>
      </c>
      <c r="M410" s="40">
        <f t="shared" si="26"/>
        <v>3.700745117831028E-3</v>
      </c>
      <c r="N410" s="40">
        <f t="shared" si="27"/>
        <v>0</v>
      </c>
      <c r="O410" s="41" t="s">
        <v>38</v>
      </c>
      <c r="P410" s="42"/>
      <c r="Q410" s="43"/>
    </row>
    <row r="411" spans="1:17" ht="15" customHeight="1">
      <c r="A411" s="20" t="s">
        <v>950</v>
      </c>
      <c r="B411" s="21" t="s">
        <v>951</v>
      </c>
      <c r="C411" s="22" t="s">
        <v>944</v>
      </c>
      <c r="D411" s="23" t="str">
        <f>IFERROR(INDEX([1]M_User!$A$12:$J$67,MATCH(C411,[1]M_User!$D$12:$D$67,0),3),"UNMAPPED")</f>
        <v>Samson Felix Ngowi</v>
      </c>
      <c r="E411" s="24" t="str">
        <f>IFERROR(INDEX([1]M_User!$A$12:$J$67,MATCH(C411,[1]M_User!$D$12:$D$67,0),5),"UNMAPPED")</f>
        <v>MOS</v>
      </c>
      <c r="F411" s="22" t="s">
        <v>41</v>
      </c>
      <c r="G411" s="23" t="str">
        <f>IFERROR(INDEX([1]M_SKU!$A$18:$J$57,MATCH(F411,[1]M_SKU!$B$18:$B$57,0),1),"UNKNOWN SKU")</f>
        <v>Fanta Orange RGB 350ml</v>
      </c>
      <c r="H411" s="22" t="s">
        <v>183</v>
      </c>
      <c r="I411" s="25">
        <f>IFERROR(INDEX([1]T_Unload!$K$10:$K$433,MATCH(B411,[1]T_Unload!$B$10:$B$433,0)),0)</f>
        <v>2.6461316408451605</v>
      </c>
      <c r="J411" s="26">
        <v>2.65</v>
      </c>
      <c r="K411" s="27">
        <f t="shared" si="24"/>
        <v>-3.868359154839407E-3</v>
      </c>
      <c r="L411" s="28" t="str">
        <f t="shared" si="25"/>
        <v>Adjust Unload Upward</v>
      </c>
      <c r="M411" s="29">
        <f t="shared" si="26"/>
        <v>0</v>
      </c>
      <c r="N411" s="29">
        <f t="shared" si="27"/>
        <v>3.868359154839407E-3</v>
      </c>
      <c r="O411" s="30" t="s">
        <v>38</v>
      </c>
      <c r="P411" s="22"/>
      <c r="Q411" s="31"/>
    </row>
    <row r="412" spans="1:17" ht="15" customHeight="1">
      <c r="A412" s="32" t="s">
        <v>952</v>
      </c>
      <c r="B412" s="33" t="s">
        <v>953</v>
      </c>
      <c r="C412" s="34" t="s">
        <v>944</v>
      </c>
      <c r="D412" s="35" t="str">
        <f>IFERROR(INDEX([1]M_User!$A$12:$J$67,MATCH(C412,[1]M_User!$D$12:$D$67,0),3),"UNMAPPED")</f>
        <v>Samson Felix Ngowi</v>
      </c>
      <c r="E412" s="36" t="str">
        <f>IFERROR(INDEX([1]M_User!$A$12:$J$67,MATCH(C412,[1]M_User!$D$12:$D$67,0),5),"UNMAPPED")</f>
        <v>MOS</v>
      </c>
      <c r="F412" s="34" t="s">
        <v>45</v>
      </c>
      <c r="G412" s="35" t="str">
        <f>IFERROR(INDEX([1]M_SKU!$A$18:$J$57,MATCH(F412,[1]M_SKU!$B$18:$B$57,0),1),"UNKNOWN SKU")</f>
        <v>Fanta Passion RGB 350ml</v>
      </c>
      <c r="H412" s="34" t="s">
        <v>186</v>
      </c>
      <c r="I412" s="37">
        <f>IFERROR(INDEX([1]T_Unload!$K$10:$K$433,MATCH(B412,[1]T_Unload!$B$10:$B$433,0)),0)</f>
        <v>1.4938243551809105</v>
      </c>
      <c r="J412" s="26">
        <v>1.49</v>
      </c>
      <c r="K412" s="38">
        <f t="shared" si="24"/>
        <v>3.8243551809105103E-3</v>
      </c>
      <c r="L412" s="39" t="str">
        <f t="shared" si="25"/>
        <v>Post to Default Outlet</v>
      </c>
      <c r="M412" s="40">
        <f t="shared" si="26"/>
        <v>3.8243551809105103E-3</v>
      </c>
      <c r="N412" s="40">
        <f t="shared" si="27"/>
        <v>0</v>
      </c>
      <c r="O412" s="41" t="s">
        <v>38</v>
      </c>
      <c r="P412" s="42"/>
      <c r="Q412" s="43"/>
    </row>
    <row r="413" spans="1:17" ht="15" customHeight="1">
      <c r="A413" s="20" t="s">
        <v>954</v>
      </c>
      <c r="B413" s="21" t="s">
        <v>955</v>
      </c>
      <c r="C413" s="22" t="s">
        <v>944</v>
      </c>
      <c r="D413" s="23" t="str">
        <f>IFERROR(INDEX([1]M_User!$A$12:$J$67,MATCH(C413,[1]M_User!$D$12:$D$67,0),3),"UNMAPPED")</f>
        <v>Samson Felix Ngowi</v>
      </c>
      <c r="E413" s="24" t="str">
        <f>IFERROR(INDEX([1]M_User!$A$12:$J$67,MATCH(C413,[1]M_User!$D$12:$D$67,0),5),"UNMAPPED")</f>
        <v>MOS</v>
      </c>
      <c r="F413" s="22" t="s">
        <v>45</v>
      </c>
      <c r="G413" s="23" t="str">
        <f>IFERROR(INDEX([1]M_SKU!$A$18:$J$57,MATCH(F413,[1]M_SKU!$B$18:$B$57,0),1),"UNKNOWN SKU")</f>
        <v>Fanta Passion RGB 350ml</v>
      </c>
      <c r="H413" s="22" t="s">
        <v>561</v>
      </c>
      <c r="I413" s="25">
        <f>IFERROR(INDEX([1]T_Unload!$K$10:$K$433,MATCH(B413,[1]T_Unload!$B$10:$B$433,0)),0)</f>
        <v>0.16708048675457499</v>
      </c>
      <c r="J413" s="26">
        <v>0.17</v>
      </c>
      <c r="K413" s="27">
        <f t="shared" si="24"/>
        <v>-2.9195132454250261E-3</v>
      </c>
      <c r="L413" s="28" t="str">
        <f t="shared" si="25"/>
        <v>Adjust Unload Upward</v>
      </c>
      <c r="M413" s="29">
        <f t="shared" si="26"/>
        <v>0</v>
      </c>
      <c r="N413" s="29">
        <f t="shared" si="27"/>
        <v>2.9195132454250261E-3</v>
      </c>
      <c r="O413" s="30" t="s">
        <v>38</v>
      </c>
      <c r="P413" s="22"/>
      <c r="Q413" s="31"/>
    </row>
    <row r="414" spans="1:17" ht="15" customHeight="1">
      <c r="A414" s="32" t="s">
        <v>956</v>
      </c>
      <c r="B414" s="33" t="s">
        <v>957</v>
      </c>
      <c r="C414" s="34" t="s">
        <v>944</v>
      </c>
      <c r="D414" s="35" t="str">
        <f>IFERROR(INDEX([1]M_User!$A$12:$J$67,MATCH(C414,[1]M_User!$D$12:$D$67,0),3),"UNMAPPED")</f>
        <v>Samson Felix Ngowi</v>
      </c>
      <c r="E414" s="36" t="str">
        <f>IFERROR(INDEX([1]M_User!$A$12:$J$67,MATCH(C414,[1]M_User!$D$12:$D$67,0),5),"UNMAPPED")</f>
        <v>MOS</v>
      </c>
      <c r="F414" s="34" t="s">
        <v>49</v>
      </c>
      <c r="G414" s="35" t="str">
        <f>IFERROR(INDEX([1]M_SKU!$A$18:$J$57,MATCH(F414,[1]M_SKU!$B$18:$B$57,0),1),"UNKNOWN SKU")</f>
        <v>Fanta Pineapple RGB 350ml</v>
      </c>
      <c r="H414" s="34" t="s">
        <v>189</v>
      </c>
      <c r="I414" s="37">
        <f>IFERROR(INDEX([1]T_Unload!$K$10:$K$433,MATCH(B414,[1]T_Unload!$B$10:$B$433,0)),0)</f>
        <v>1.8330468657928325</v>
      </c>
      <c r="J414" s="26">
        <v>1.83</v>
      </c>
      <c r="K414" s="38">
        <f t="shared" si="24"/>
        <v>3.0468657928324205E-3</v>
      </c>
      <c r="L414" s="39" t="str">
        <f t="shared" si="25"/>
        <v>Post to Default Outlet</v>
      </c>
      <c r="M414" s="40">
        <f t="shared" si="26"/>
        <v>3.0468657928324205E-3</v>
      </c>
      <c r="N414" s="40">
        <f t="shared" si="27"/>
        <v>0</v>
      </c>
      <c r="O414" s="41" t="s">
        <v>38</v>
      </c>
      <c r="P414" s="42"/>
      <c r="Q414" s="43"/>
    </row>
    <row r="415" spans="1:17" ht="15" customHeight="1">
      <c r="A415" s="20" t="s">
        <v>958</v>
      </c>
      <c r="B415" s="21" t="s">
        <v>959</v>
      </c>
      <c r="C415" s="22" t="s">
        <v>944</v>
      </c>
      <c r="D415" s="23" t="str">
        <f>IFERROR(INDEX([1]M_User!$A$12:$J$67,MATCH(C415,[1]M_User!$D$12:$D$67,0),3),"UNMAPPED")</f>
        <v>Samson Felix Ngowi</v>
      </c>
      <c r="E415" s="24" t="str">
        <f>IFERROR(INDEX([1]M_User!$A$12:$J$67,MATCH(C415,[1]M_User!$D$12:$D$67,0),5),"UNMAPPED")</f>
        <v>MOS</v>
      </c>
      <c r="F415" s="22" t="s">
        <v>192</v>
      </c>
      <c r="G415" s="23" t="str">
        <f>IFERROR(INDEX([1]M_SKU!$A$18:$J$57,MATCH(F415,[1]M_SKU!$B$18:$B$57,0),1),"UNKNOWN SKU")</f>
        <v>Fanta Fruit Blast RGB 350 ml</v>
      </c>
      <c r="H415" s="22" t="s">
        <v>193</v>
      </c>
      <c r="I415" s="25">
        <f>IFERROR(INDEX([1]T_Unload!$K$10:$K$433,MATCH(B415,[1]T_Unload!$B$10:$B$433,0)),0)</f>
        <v>0.32371397120891698</v>
      </c>
      <c r="J415" s="26">
        <v>0.32</v>
      </c>
      <c r="K415" s="27">
        <f t="shared" si="24"/>
        <v>3.7139712089169774E-3</v>
      </c>
      <c r="L415" s="28" t="str">
        <f t="shared" si="25"/>
        <v>Post to Default Outlet</v>
      </c>
      <c r="M415" s="29">
        <f t="shared" si="26"/>
        <v>3.7139712089169774E-3</v>
      </c>
      <c r="N415" s="29">
        <f t="shared" si="27"/>
        <v>0</v>
      </c>
      <c r="O415" s="30" t="s">
        <v>38</v>
      </c>
      <c r="P415" s="22"/>
      <c r="Q415" s="31"/>
    </row>
    <row r="416" spans="1:17" ht="15" customHeight="1">
      <c r="A416" s="32" t="s">
        <v>960</v>
      </c>
      <c r="B416" s="33" t="s">
        <v>961</v>
      </c>
      <c r="C416" s="34" t="s">
        <v>944</v>
      </c>
      <c r="D416" s="35" t="str">
        <f>IFERROR(INDEX([1]M_User!$A$12:$J$67,MATCH(C416,[1]M_User!$D$12:$D$67,0),3),"UNMAPPED")</f>
        <v>Samson Felix Ngowi</v>
      </c>
      <c r="E416" s="36" t="str">
        <f>IFERROR(INDEX([1]M_User!$A$12:$J$67,MATCH(C416,[1]M_User!$D$12:$D$67,0),5),"UNMAPPED")</f>
        <v>MOS</v>
      </c>
      <c r="F416" s="34" t="s">
        <v>53</v>
      </c>
      <c r="G416" s="35" t="str">
        <f>IFERROR(INDEX([1]M_SKU!$A$18:$J$57,MATCH(F416,[1]M_SKU!$B$18:$B$57,0),1),"UNKNOWN SKU")</f>
        <v>Sprite 350ml</v>
      </c>
      <c r="H416" s="34" t="s">
        <v>196</v>
      </c>
      <c r="I416" s="37">
        <f>IFERROR(INDEX([1]T_Unload!$K$10:$K$433,MATCH(B416,[1]T_Unload!$B$10:$B$433,0)),0)</f>
        <v>1.4516773534690213</v>
      </c>
      <c r="J416" s="26">
        <v>1.45</v>
      </c>
      <c r="K416" s="38">
        <f t="shared" si="24"/>
        <v>1.6773534690213143E-3</v>
      </c>
      <c r="L416" s="39" t="str">
        <f t="shared" si="25"/>
        <v>Post to Default Outlet</v>
      </c>
      <c r="M416" s="40">
        <f t="shared" si="26"/>
        <v>1.6773534690213143E-3</v>
      </c>
      <c r="N416" s="40">
        <f t="shared" si="27"/>
        <v>0</v>
      </c>
      <c r="O416" s="41" t="s">
        <v>38</v>
      </c>
      <c r="P416" s="42"/>
      <c r="Q416" s="43"/>
    </row>
    <row r="417" spans="1:17" ht="15" customHeight="1">
      <c r="A417" s="20" t="s">
        <v>962</v>
      </c>
      <c r="B417" s="21" t="s">
        <v>963</v>
      </c>
      <c r="C417" s="22" t="s">
        <v>944</v>
      </c>
      <c r="D417" s="23" t="str">
        <f>IFERROR(INDEX([1]M_User!$A$12:$J$67,MATCH(C417,[1]M_User!$D$12:$D$67,0),3),"UNMAPPED")</f>
        <v>Samson Felix Ngowi</v>
      </c>
      <c r="E417" s="24" t="str">
        <f>IFERROR(INDEX([1]M_User!$A$12:$J$67,MATCH(C417,[1]M_User!$D$12:$D$67,0),5),"UNMAPPED")</f>
        <v>MOS</v>
      </c>
      <c r="F417" s="22" t="s">
        <v>199</v>
      </c>
      <c r="G417" s="23" t="str">
        <f>IFERROR(INDEX([1]M_SKU!$A$18:$J$57,MATCH(F417,[1]M_SKU!$B$18:$B$57,0),1),"UNKNOWN SKU")</f>
        <v>Stoney Tangawizi RGB 350ml</v>
      </c>
      <c r="H417" s="22" t="s">
        <v>200</v>
      </c>
      <c r="I417" s="25">
        <f>IFERROR(INDEX([1]T_Unload!$K$10:$K$433,MATCH(B417,[1]T_Unload!$B$10:$B$433,0)),0)</f>
        <v>0.78240277222094523</v>
      </c>
      <c r="J417" s="26">
        <v>0.78</v>
      </c>
      <c r="K417" s="27">
        <f t="shared" si="24"/>
        <v>2.402772220945204E-3</v>
      </c>
      <c r="L417" s="28" t="str">
        <f t="shared" si="25"/>
        <v>Post to Default Outlet</v>
      </c>
      <c r="M417" s="29">
        <f t="shared" si="26"/>
        <v>2.402772220945204E-3</v>
      </c>
      <c r="N417" s="29">
        <f t="shared" si="27"/>
        <v>0</v>
      </c>
      <c r="O417" s="30" t="s">
        <v>38</v>
      </c>
      <c r="P417" s="22"/>
      <c r="Q417" s="31"/>
    </row>
    <row r="418" spans="1:17" ht="15" customHeight="1">
      <c r="A418" s="32" t="s">
        <v>964</v>
      </c>
      <c r="B418" s="33" t="s">
        <v>965</v>
      </c>
      <c r="C418" s="34" t="s">
        <v>944</v>
      </c>
      <c r="D418" s="35" t="str">
        <f>IFERROR(INDEX([1]M_User!$A$12:$J$67,MATCH(C418,[1]M_User!$D$12:$D$67,0),3),"UNMAPPED")</f>
        <v>Samson Felix Ngowi</v>
      </c>
      <c r="E418" s="36" t="str">
        <f>IFERROR(INDEX([1]M_User!$A$12:$J$67,MATCH(C418,[1]M_User!$D$12:$D$67,0),5),"UNMAPPED")</f>
        <v>MOS</v>
      </c>
      <c r="F418" s="34" t="s">
        <v>203</v>
      </c>
      <c r="G418" s="35" t="str">
        <f>IFERROR(INDEX([1]M_SKU!$A$18:$J$57,MATCH(F418,[1]M_SKU!$B$18:$B$57,0),1),"UNKNOWN SKU")</f>
        <v>Sparletta Pinenut RGB 350ml</v>
      </c>
      <c r="H418" s="34" t="s">
        <v>966</v>
      </c>
      <c r="I418" s="37">
        <f>IFERROR(INDEX([1]T_Unload!$K$10:$K$433,MATCH(B418,[1]T_Unload!$B$10:$B$433,0)),0)</f>
        <v>0.23015610017441201</v>
      </c>
      <c r="J418" s="26">
        <v>0.23</v>
      </c>
      <c r="K418" s="38">
        <f t="shared" si="24"/>
        <v>1.5610017441200497E-4</v>
      </c>
      <c r="L418" s="39" t="str">
        <f t="shared" si="25"/>
        <v>Post to Default Outlet</v>
      </c>
      <c r="M418" s="40">
        <f t="shared" si="26"/>
        <v>1.5610017441200497E-4</v>
      </c>
      <c r="N418" s="40">
        <f t="shared" si="27"/>
        <v>0</v>
      </c>
      <c r="O418" s="41" t="s">
        <v>38</v>
      </c>
      <c r="P418" s="42"/>
      <c r="Q418" s="43"/>
    </row>
    <row r="419" spans="1:17" ht="15" customHeight="1">
      <c r="A419" s="20" t="s">
        <v>967</v>
      </c>
      <c r="B419" s="21" t="s">
        <v>968</v>
      </c>
      <c r="C419" s="22" t="s">
        <v>944</v>
      </c>
      <c r="D419" s="23" t="str">
        <f>IFERROR(INDEX([1]M_User!$A$12:$J$67,MATCH(C419,[1]M_User!$D$12:$D$67,0),3),"UNMAPPED")</f>
        <v>Samson Felix Ngowi</v>
      </c>
      <c r="E419" s="24" t="str">
        <f>IFERROR(INDEX([1]M_User!$A$12:$J$67,MATCH(C419,[1]M_User!$D$12:$D$67,0),5),"UNMAPPED")</f>
        <v>MOS</v>
      </c>
      <c r="F419" s="22" t="s">
        <v>203</v>
      </c>
      <c r="G419" s="23" t="str">
        <f>IFERROR(INDEX([1]M_SKU!$A$18:$J$57,MATCH(F419,[1]M_SKU!$B$18:$B$57,0),1),"UNKNOWN SKU")</f>
        <v>Sparletta Pinenut RGB 350ml</v>
      </c>
      <c r="H419" s="22" t="s">
        <v>409</v>
      </c>
      <c r="I419" s="25">
        <f>IFERROR(INDEX([1]T_Unload!$K$10:$K$433,MATCH(B419,[1]T_Unload!$B$10:$B$433,0)),0)</f>
        <v>0.29818450893886084</v>
      </c>
      <c r="J419" s="26">
        <v>0.3</v>
      </c>
      <c r="K419" s="27">
        <f t="shared" si="24"/>
        <v>-1.8154910611391517E-3</v>
      </c>
      <c r="L419" s="28" t="str">
        <f t="shared" si="25"/>
        <v>Adjust Unload Upward</v>
      </c>
      <c r="M419" s="29">
        <f t="shared" si="26"/>
        <v>0</v>
      </c>
      <c r="N419" s="29">
        <f t="shared" si="27"/>
        <v>1.8154910611391517E-3</v>
      </c>
      <c r="O419" s="30" t="s">
        <v>38</v>
      </c>
      <c r="P419" s="22"/>
      <c r="Q419" s="31"/>
    </row>
    <row r="420" spans="1:17" ht="15" customHeight="1">
      <c r="A420" s="32" t="s">
        <v>969</v>
      </c>
      <c r="B420" s="33" t="s">
        <v>970</v>
      </c>
      <c r="C420" s="34" t="s">
        <v>944</v>
      </c>
      <c r="D420" s="35" t="str">
        <f>IFERROR(INDEX([1]M_User!$A$12:$J$67,MATCH(C420,[1]M_User!$D$12:$D$67,0),3),"UNMAPPED")</f>
        <v>Samson Felix Ngowi</v>
      </c>
      <c r="E420" s="36" t="str">
        <f>IFERROR(INDEX([1]M_User!$A$12:$J$67,MATCH(C420,[1]M_User!$D$12:$D$67,0),5),"UNMAPPED")</f>
        <v>MOS</v>
      </c>
      <c r="F420" s="34" t="s">
        <v>57</v>
      </c>
      <c r="G420" s="35" t="str">
        <f>IFERROR(INDEX([1]M_SKU!$A$18:$J$57,MATCH(F420,[1]M_SKU!$B$18:$B$57,0),1),"UNKNOWN SKU")</f>
        <v>Krest Bitter Lemon RGB 300ml</v>
      </c>
      <c r="H420" s="34" t="s">
        <v>58</v>
      </c>
      <c r="I420" s="37">
        <f>IFERROR(INDEX([1]T_Unload!$K$10:$K$433,MATCH(B420,[1]T_Unload!$B$10:$B$433,0)),0)</f>
        <v>0.64032234513542807</v>
      </c>
      <c r="J420" s="26">
        <v>0.64</v>
      </c>
      <c r="K420" s="38">
        <f t="shared" si="24"/>
        <v>3.2234513542805932E-4</v>
      </c>
      <c r="L420" s="39" t="str">
        <f t="shared" si="25"/>
        <v>Post to Default Outlet</v>
      </c>
      <c r="M420" s="40">
        <f t="shared" si="26"/>
        <v>3.2234513542805932E-4</v>
      </c>
      <c r="N420" s="40">
        <f t="shared" si="27"/>
        <v>0</v>
      </c>
      <c r="O420" s="41" t="s">
        <v>38</v>
      </c>
      <c r="P420" s="42"/>
      <c r="Q420" s="43"/>
    </row>
    <row r="421" spans="1:17" ht="15" customHeight="1">
      <c r="A421" s="20" t="s">
        <v>971</v>
      </c>
      <c r="B421" s="21" t="s">
        <v>972</v>
      </c>
      <c r="C421" s="22" t="s">
        <v>944</v>
      </c>
      <c r="D421" s="23" t="str">
        <f>IFERROR(INDEX([1]M_User!$A$12:$J$67,MATCH(C421,[1]M_User!$D$12:$D$67,0),3),"UNMAPPED")</f>
        <v>Samson Felix Ngowi</v>
      </c>
      <c r="E421" s="24" t="str">
        <f>IFERROR(INDEX([1]M_User!$A$12:$J$67,MATCH(C421,[1]M_User!$D$12:$D$67,0),5),"UNMAPPED")</f>
        <v>MOS</v>
      </c>
      <c r="F421" s="22" t="s">
        <v>61</v>
      </c>
      <c r="G421" s="23" t="str">
        <f>IFERROR(INDEX([1]M_SKU!$A$18:$J$57,MATCH(F421,[1]M_SKU!$B$18:$B$57,0),1),"UNKNOWN SKU")</f>
        <v>Krest Club Soda RGB 300ml</v>
      </c>
      <c r="H421" s="22" t="s">
        <v>973</v>
      </c>
      <c r="I421" s="25">
        <f>IFERROR(INDEX([1]T_Unload!$K$10:$K$433,MATCH(B421,[1]T_Unload!$B$10:$B$433,0)),0)</f>
        <v>0.16195098477514602</v>
      </c>
      <c r="J421" s="26">
        <v>0.16</v>
      </c>
      <c r="K421" s="27">
        <f t="shared" si="24"/>
        <v>1.9509847751460196E-3</v>
      </c>
      <c r="L421" s="28" t="str">
        <f t="shared" si="25"/>
        <v>Post to Default Outlet</v>
      </c>
      <c r="M421" s="29">
        <f t="shared" si="26"/>
        <v>1.9509847751460196E-3</v>
      </c>
      <c r="N421" s="29">
        <f t="shared" si="27"/>
        <v>0</v>
      </c>
      <c r="O421" s="30" t="s">
        <v>38</v>
      </c>
      <c r="P421" s="22"/>
      <c r="Q421" s="31"/>
    </row>
    <row r="422" spans="1:17" ht="15" customHeight="1">
      <c r="A422" s="32" t="s">
        <v>974</v>
      </c>
      <c r="B422" s="33" t="s">
        <v>975</v>
      </c>
      <c r="C422" s="34" t="s">
        <v>944</v>
      </c>
      <c r="D422" s="35" t="str">
        <f>IFERROR(INDEX([1]M_User!$A$12:$J$67,MATCH(C422,[1]M_User!$D$12:$D$67,0),3),"UNMAPPED")</f>
        <v>Samson Felix Ngowi</v>
      </c>
      <c r="E422" s="36" t="str">
        <f>IFERROR(INDEX([1]M_User!$A$12:$J$67,MATCH(C422,[1]M_User!$D$12:$D$67,0),5),"UNMAPPED")</f>
        <v>MOS</v>
      </c>
      <c r="F422" s="34" t="s">
        <v>61</v>
      </c>
      <c r="G422" s="35" t="str">
        <f>IFERROR(INDEX([1]M_SKU!$A$18:$J$57,MATCH(F422,[1]M_SKU!$B$18:$B$57,0),1),"UNKNOWN SKU")</f>
        <v>Krest Club Soda RGB 300ml</v>
      </c>
      <c r="H422" s="34" t="s">
        <v>62</v>
      </c>
      <c r="I422" s="37">
        <f>IFERROR(INDEX([1]T_Unload!$K$10:$K$433,MATCH(B422,[1]T_Unload!$B$10:$B$433,0)),0)</f>
        <v>0.28255133302749114</v>
      </c>
      <c r="J422" s="26">
        <v>0.28000000000000003</v>
      </c>
      <c r="K422" s="38">
        <f t="shared" si="24"/>
        <v>2.5513330274911095E-3</v>
      </c>
      <c r="L422" s="39" t="str">
        <f t="shared" si="25"/>
        <v>Post to Default Outlet</v>
      </c>
      <c r="M422" s="40">
        <f t="shared" si="26"/>
        <v>2.5513330274911095E-3</v>
      </c>
      <c r="N422" s="40">
        <f t="shared" si="27"/>
        <v>0</v>
      </c>
      <c r="O422" s="41" t="s">
        <v>38</v>
      </c>
      <c r="P422" s="42"/>
      <c r="Q422" s="43"/>
    </row>
    <row r="423" spans="1:17" ht="15" customHeight="1">
      <c r="A423" s="20" t="s">
        <v>976</v>
      </c>
      <c r="B423" s="21" t="s">
        <v>977</v>
      </c>
      <c r="C423" s="22" t="s">
        <v>944</v>
      </c>
      <c r="D423" s="23" t="str">
        <f>IFERROR(INDEX([1]M_User!$A$12:$J$67,MATCH(C423,[1]M_User!$D$12:$D$67,0),3),"UNMAPPED")</f>
        <v>Samson Felix Ngowi</v>
      </c>
      <c r="E423" s="24" t="str">
        <f>IFERROR(INDEX([1]M_User!$A$12:$J$67,MATCH(C423,[1]M_User!$D$12:$D$67,0),5),"UNMAPPED")</f>
        <v>MOS</v>
      </c>
      <c r="F423" s="22" t="s">
        <v>65</v>
      </c>
      <c r="G423" s="23" t="str">
        <f>IFERROR(INDEX([1]M_SKU!$A$18:$J$57,MATCH(F423,[1]M_SKU!$B$18:$B$57,0),1),"UNKNOWN SKU")</f>
        <v>Krest Tonic Water RGB 300ml</v>
      </c>
      <c r="H423" s="22" t="s">
        <v>211</v>
      </c>
      <c r="I423" s="25">
        <f>IFERROR(INDEX([1]T_Unload!$K$10:$K$433,MATCH(B423,[1]T_Unload!$B$10:$B$433,0)),0)</f>
        <v>0.32559931937561482</v>
      </c>
      <c r="J423" s="26">
        <v>0.33</v>
      </c>
      <c r="K423" s="27">
        <f t="shared" si="24"/>
        <v>-4.4006806243852004E-3</v>
      </c>
      <c r="L423" s="28" t="str">
        <f t="shared" si="25"/>
        <v>Adjust Unload Upward</v>
      </c>
      <c r="M423" s="29">
        <f t="shared" si="26"/>
        <v>0</v>
      </c>
      <c r="N423" s="29">
        <f t="shared" si="27"/>
        <v>4.4006806243852004E-3</v>
      </c>
      <c r="O423" s="30" t="s">
        <v>38</v>
      </c>
      <c r="P423" s="22"/>
      <c r="Q423" s="31"/>
    </row>
    <row r="424" spans="1:17" ht="15" customHeight="1">
      <c r="A424" s="32" t="s">
        <v>978</v>
      </c>
      <c r="B424" s="33" t="s">
        <v>979</v>
      </c>
      <c r="C424" s="34" t="s">
        <v>944</v>
      </c>
      <c r="D424" s="35" t="str">
        <f>IFERROR(INDEX([1]M_User!$A$12:$J$67,MATCH(C424,[1]M_User!$D$12:$D$67,0),3),"UNMAPPED")</f>
        <v>Samson Felix Ngowi</v>
      </c>
      <c r="E424" s="36" t="str">
        <f>IFERROR(INDEX([1]M_User!$A$12:$J$67,MATCH(C424,[1]M_User!$D$12:$D$67,0),5),"UNMAPPED")</f>
        <v>MOS</v>
      </c>
      <c r="F424" s="34" t="s">
        <v>69</v>
      </c>
      <c r="G424" s="35" t="str">
        <f>IFERROR(INDEX([1]M_SKU!$A$18:$J$57,MATCH(F424,[1]M_SKU!$B$18:$B$57,0),1),"UNKNOWN SKU")</f>
        <v>Krest Ginger Ale RGB 300ml</v>
      </c>
      <c r="H424" s="34" t="s">
        <v>70</v>
      </c>
      <c r="I424" s="37">
        <f>IFERROR(INDEX([1]T_Unload!$K$10:$K$433,MATCH(B424,[1]T_Unload!$B$10:$B$433,0)),0)</f>
        <v>0.42624938357706021</v>
      </c>
      <c r="J424" s="26">
        <v>0.43</v>
      </c>
      <c r="K424" s="38">
        <f t="shared" si="24"/>
        <v>-3.7506164229397787E-3</v>
      </c>
      <c r="L424" s="39" t="str">
        <f t="shared" si="25"/>
        <v>Adjust Unload Upward</v>
      </c>
      <c r="M424" s="40">
        <f t="shared" si="26"/>
        <v>0</v>
      </c>
      <c r="N424" s="40">
        <f t="shared" si="27"/>
        <v>3.7506164229397787E-3</v>
      </c>
      <c r="O424" s="41" t="s">
        <v>38</v>
      </c>
      <c r="P424" s="42"/>
      <c r="Q424" s="43"/>
    </row>
    <row r="425" spans="1:17" ht="15" customHeight="1">
      <c r="A425" s="20" t="s">
        <v>980</v>
      </c>
      <c r="B425" s="21" t="s">
        <v>981</v>
      </c>
      <c r="C425" s="22" t="s">
        <v>944</v>
      </c>
      <c r="D425" s="23" t="str">
        <f>IFERROR(INDEX([1]M_User!$A$12:$J$67,MATCH(C425,[1]M_User!$D$12:$D$67,0),3),"UNMAPPED")</f>
        <v>Samson Felix Ngowi</v>
      </c>
      <c r="E425" s="24" t="str">
        <f>IFERROR(INDEX([1]M_User!$A$12:$J$67,MATCH(C425,[1]M_User!$D$12:$D$67,0),5),"UNMAPPED")</f>
        <v>MOS</v>
      </c>
      <c r="F425" s="22" t="s">
        <v>216</v>
      </c>
      <c r="G425" s="23" t="str">
        <f>IFERROR(INDEX([1]M_SKU!$A$18:$J$57,MATCH(F425,[1]M_SKU!$B$18:$B$57,0),1),"UNKNOWN SKU")</f>
        <v>Sparletta Red Apple RGB 350ml</v>
      </c>
      <c r="H425" s="22" t="s">
        <v>217</v>
      </c>
      <c r="I425" s="25">
        <f>IFERROR(INDEX([1]T_Unload!$K$10:$K$433,MATCH(B425,[1]T_Unload!$B$10:$B$433,0)),0)</f>
        <v>0.30041942809417788</v>
      </c>
      <c r="J425" s="26">
        <v>0.3</v>
      </c>
      <c r="K425" s="27">
        <f t="shared" si="24"/>
        <v>4.1942809417788718E-4</v>
      </c>
      <c r="L425" s="28" t="str">
        <f t="shared" si="25"/>
        <v>Post to Default Outlet</v>
      </c>
      <c r="M425" s="29">
        <f t="shared" si="26"/>
        <v>4.1942809417788718E-4</v>
      </c>
      <c r="N425" s="29">
        <f t="shared" si="27"/>
        <v>0</v>
      </c>
      <c r="O425" s="30" t="s">
        <v>38</v>
      </c>
      <c r="P425" s="22"/>
      <c r="Q425" s="31"/>
    </row>
    <row r="426" spans="1:17" ht="15" customHeight="1">
      <c r="A426" s="32" t="s">
        <v>982</v>
      </c>
      <c r="B426" s="33" t="s">
        <v>983</v>
      </c>
      <c r="C426" s="34" t="s">
        <v>944</v>
      </c>
      <c r="D426" s="35" t="str">
        <f>IFERROR(INDEX([1]M_User!$A$12:$J$67,MATCH(C426,[1]M_User!$D$12:$D$67,0),3),"UNMAPPED")</f>
        <v>Samson Felix Ngowi</v>
      </c>
      <c r="E426" s="36" t="str">
        <f>IFERROR(INDEX([1]M_User!$A$12:$J$67,MATCH(C426,[1]M_User!$D$12:$D$67,0),5),"UNMAPPED")</f>
        <v>MOS</v>
      </c>
      <c r="F426" s="34" t="s">
        <v>73</v>
      </c>
      <c r="G426" s="35" t="str">
        <f>IFERROR(INDEX([1]M_SKU!$A$18:$J$57,MATCH(F426,[1]M_SKU!$B$18:$B$57,0),1),"UNKNOWN SKU")</f>
        <v>KNMW 500ml</v>
      </c>
      <c r="H426" s="34" t="s">
        <v>984</v>
      </c>
      <c r="I426" s="37">
        <f>IFERROR(INDEX([1]T_Unload!$K$10:$K$433,MATCH(B426,[1]T_Unload!$B$10:$B$433,0)),0)</f>
        <v>7</v>
      </c>
      <c r="J426" s="26">
        <v>7</v>
      </c>
      <c r="K426" s="38">
        <f t="shared" si="24"/>
        <v>0</v>
      </c>
      <c r="L426" s="39" t="str">
        <f t="shared" si="25"/>
        <v>CLEAN</v>
      </c>
      <c r="M426" s="40">
        <f t="shared" si="26"/>
        <v>0</v>
      </c>
      <c r="N426" s="40">
        <f t="shared" si="27"/>
        <v>0</v>
      </c>
      <c r="O426" s="41" t="s">
        <v>38</v>
      </c>
      <c r="P426" s="42"/>
      <c r="Q426" s="43"/>
    </row>
    <row r="427" spans="1:17" ht="15" customHeight="1">
      <c r="A427" s="20" t="s">
        <v>985</v>
      </c>
      <c r="B427" s="21" t="s">
        <v>986</v>
      </c>
      <c r="C427" s="22" t="s">
        <v>944</v>
      </c>
      <c r="D427" s="23" t="str">
        <f>IFERROR(INDEX([1]M_User!$A$12:$J$67,MATCH(C427,[1]M_User!$D$12:$D$67,0),3),"UNMAPPED")</f>
        <v>Samson Felix Ngowi</v>
      </c>
      <c r="E427" s="24" t="str">
        <f>IFERROR(INDEX([1]M_User!$A$12:$J$67,MATCH(C427,[1]M_User!$D$12:$D$67,0),5),"UNMAPPED")</f>
        <v>MOS</v>
      </c>
      <c r="F427" s="22" t="s">
        <v>73</v>
      </c>
      <c r="G427" s="23" t="str">
        <f>IFERROR(INDEX([1]M_SKU!$A$18:$J$57,MATCH(F427,[1]M_SKU!$B$18:$B$57,0),1),"UNKNOWN SKU")</f>
        <v>KNMW 500ml</v>
      </c>
      <c r="H427" s="22" t="s">
        <v>220</v>
      </c>
      <c r="I427" s="25">
        <f>IFERROR(INDEX([1]T_Unload!$K$10:$K$433,MATCH(B427,[1]T_Unload!$B$10:$B$433,0)),0)</f>
        <v>9</v>
      </c>
      <c r="J427" s="26">
        <v>9</v>
      </c>
      <c r="K427" s="27">
        <f t="shared" si="24"/>
        <v>0</v>
      </c>
      <c r="L427" s="28" t="str">
        <f t="shared" si="25"/>
        <v>CLEAN</v>
      </c>
      <c r="M427" s="29">
        <f t="shared" si="26"/>
        <v>0</v>
      </c>
      <c r="N427" s="29">
        <f t="shared" si="27"/>
        <v>0</v>
      </c>
      <c r="O427" s="30" t="s">
        <v>38</v>
      </c>
      <c r="P427" s="22"/>
      <c r="Q427" s="31"/>
    </row>
    <row r="428" spans="1:17" ht="15" customHeight="1">
      <c r="A428" s="32" t="s">
        <v>987</v>
      </c>
      <c r="B428" s="33" t="s">
        <v>988</v>
      </c>
      <c r="C428" s="34" t="s">
        <v>944</v>
      </c>
      <c r="D428" s="35" t="str">
        <f>IFERROR(INDEX([1]M_User!$A$12:$J$67,MATCH(C428,[1]M_User!$D$12:$D$67,0),3),"UNMAPPED")</f>
        <v>Samson Felix Ngowi</v>
      </c>
      <c r="E428" s="36" t="str">
        <f>IFERROR(INDEX([1]M_User!$A$12:$J$67,MATCH(C428,[1]M_User!$D$12:$D$67,0),5),"UNMAPPED")</f>
        <v>MOS</v>
      </c>
      <c r="F428" s="34" t="s">
        <v>83</v>
      </c>
      <c r="G428" s="35" t="str">
        <f>IFERROR(INDEX([1]M_SKU!$A$18:$J$57,MATCH(F428,[1]M_SKU!$B$18:$B$57,0),1),"UNKNOWN SKU")</f>
        <v>KNMW 1500ml</v>
      </c>
      <c r="H428" s="34" t="s">
        <v>223</v>
      </c>
      <c r="I428" s="37">
        <f>IFERROR(INDEX([1]T_Unload!$K$10:$K$433,MATCH(B428,[1]T_Unload!$B$10:$B$433,0)),0)</f>
        <v>21</v>
      </c>
      <c r="J428" s="26">
        <v>21</v>
      </c>
      <c r="K428" s="38">
        <f t="shared" si="24"/>
        <v>0</v>
      </c>
      <c r="L428" s="39" t="str">
        <f t="shared" si="25"/>
        <v>CLEAN</v>
      </c>
      <c r="M428" s="40">
        <f t="shared" si="26"/>
        <v>0</v>
      </c>
      <c r="N428" s="40">
        <f t="shared" si="27"/>
        <v>0</v>
      </c>
      <c r="O428" s="41" t="s">
        <v>38</v>
      </c>
      <c r="P428" s="42"/>
      <c r="Q428" s="43"/>
    </row>
    <row r="429" spans="1:17" ht="15" customHeight="1">
      <c r="A429" s="20" t="s">
        <v>989</v>
      </c>
      <c r="B429" s="21" t="s">
        <v>990</v>
      </c>
      <c r="C429" s="22" t="s">
        <v>944</v>
      </c>
      <c r="D429" s="23" t="str">
        <f>IFERROR(INDEX([1]M_User!$A$12:$J$67,MATCH(C429,[1]M_User!$D$12:$D$67,0),3),"UNMAPPED")</f>
        <v>Samson Felix Ngowi</v>
      </c>
      <c r="E429" s="24" t="str">
        <f>IFERROR(INDEX([1]M_User!$A$12:$J$67,MATCH(C429,[1]M_User!$D$12:$D$67,0),5),"UNMAPPED")</f>
        <v>MOS</v>
      </c>
      <c r="F429" s="22" t="s">
        <v>98</v>
      </c>
      <c r="G429" s="23" t="str">
        <f>IFERROR(INDEX([1]M_SKU!$A$18:$J$57,MATCH(F429,[1]M_SKU!$B$18:$B$57,0),1),"UNKNOWN SKU")</f>
        <v>Kilimanjaro Drinking Water 18900 ML</v>
      </c>
      <c r="H429" s="22" t="s">
        <v>102</v>
      </c>
      <c r="I429" s="25">
        <f>IFERROR(INDEX([1]T_Unload!$K$10:$K$433,MATCH(B429,[1]T_Unload!$B$10:$B$433,0)),0)</f>
        <v>2</v>
      </c>
      <c r="J429" s="26">
        <v>2</v>
      </c>
      <c r="K429" s="27">
        <f t="shared" si="24"/>
        <v>0</v>
      </c>
      <c r="L429" s="28" t="str">
        <f t="shared" si="25"/>
        <v>CLEAN</v>
      </c>
      <c r="M429" s="29">
        <f t="shared" si="26"/>
        <v>0</v>
      </c>
      <c r="N429" s="29">
        <f t="shared" si="27"/>
        <v>0</v>
      </c>
      <c r="O429" s="30" t="s">
        <v>38</v>
      </c>
      <c r="P429" s="22"/>
      <c r="Q429" s="31"/>
    </row>
    <row r="430" spans="1:17" ht="15" customHeight="1">
      <c r="A430" s="32" t="s">
        <v>991</v>
      </c>
      <c r="B430" s="33" t="s">
        <v>992</v>
      </c>
      <c r="C430" s="34" t="s">
        <v>944</v>
      </c>
      <c r="D430" s="35" t="str">
        <f>IFERROR(INDEX([1]M_User!$A$12:$J$67,MATCH(C430,[1]M_User!$D$12:$D$67,0),3),"UNMAPPED")</f>
        <v>Samson Felix Ngowi</v>
      </c>
      <c r="E430" s="36" t="str">
        <f>IFERROR(INDEX([1]M_User!$A$12:$J$67,MATCH(C430,[1]M_User!$D$12:$D$67,0),5),"UNMAPPED")</f>
        <v>MOS</v>
      </c>
      <c r="F430" s="34" t="s">
        <v>109</v>
      </c>
      <c r="G430" s="35" t="str">
        <f>IFERROR(INDEX([1]M_SKU!$A$18:$J$57,MATCH(F430,[1]M_SKU!$B$18:$B$57,0),1),"UNKNOWN SKU")</f>
        <v>Coke Pet 500ML ( x12)</v>
      </c>
      <c r="H430" s="34" t="s">
        <v>226</v>
      </c>
      <c r="I430" s="37">
        <f>IFERROR(INDEX([1]T_Unload!$K$10:$K$433,MATCH(B430,[1]T_Unload!$B$10:$B$433,0)),0)</f>
        <v>6</v>
      </c>
      <c r="J430" s="26">
        <v>6</v>
      </c>
      <c r="K430" s="38">
        <f t="shared" ref="K430:K436" si="28">IF(ISBLANK(J430),"",I430-J430)</f>
        <v>0</v>
      </c>
      <c r="L430" s="39" t="str">
        <f t="shared" ref="L430:L436" si="29">IF(K430="","Awaiting Verification",IF(ABS(K430)&lt;0.0001,"CLEAN",IF(K430&gt;0,"Post to Default Outlet","Adjust Unload Upward")))</f>
        <v>CLEAN</v>
      </c>
      <c r="M430" s="40">
        <f t="shared" ref="M430:M436" si="30">IF(AND(ISNUMBER(K430),K430&gt;0.0001),K430,0)</f>
        <v>0</v>
      </c>
      <c r="N430" s="40">
        <f t="shared" ref="N430:N436" si="31">IF(AND(ISNUMBER(K430),K430&lt;-0.0001),-K430,0)</f>
        <v>0</v>
      </c>
      <c r="O430" s="41" t="s">
        <v>38</v>
      </c>
      <c r="P430" s="42"/>
      <c r="Q430" s="43"/>
    </row>
    <row r="431" spans="1:17" ht="15" customHeight="1">
      <c r="A431" s="20" t="s">
        <v>993</v>
      </c>
      <c r="B431" s="21" t="s">
        <v>994</v>
      </c>
      <c r="C431" s="22" t="s">
        <v>944</v>
      </c>
      <c r="D431" s="23" t="str">
        <f>IFERROR(INDEX([1]M_User!$A$12:$J$67,MATCH(C431,[1]M_User!$D$12:$D$67,0),3),"UNMAPPED")</f>
        <v>Samson Felix Ngowi</v>
      </c>
      <c r="E431" s="24" t="str">
        <f>IFERROR(INDEX([1]M_User!$A$12:$J$67,MATCH(C431,[1]M_User!$D$12:$D$67,0),5),"UNMAPPED")</f>
        <v>MOS</v>
      </c>
      <c r="F431" s="22" t="s">
        <v>113</v>
      </c>
      <c r="G431" s="23" t="str">
        <f>IFERROR(INDEX([1]M_SKU!$A$18:$J$57,MATCH(F431,[1]M_SKU!$B$18:$B$57,0),1),"UNKNOWN SKU")</f>
        <v>Sprite Pet 500ML (x 12)</v>
      </c>
      <c r="H431" s="22" t="s">
        <v>114</v>
      </c>
      <c r="I431" s="25">
        <f>IFERROR(INDEX([1]T_Unload!$K$10:$K$433,MATCH(B431,[1]T_Unload!$B$10:$B$433,0)),0)</f>
        <v>1</v>
      </c>
      <c r="J431" s="26">
        <v>1</v>
      </c>
      <c r="K431" s="27">
        <f t="shared" si="28"/>
        <v>0</v>
      </c>
      <c r="L431" s="28" t="str">
        <f t="shared" si="29"/>
        <v>CLEAN</v>
      </c>
      <c r="M431" s="29">
        <f t="shared" si="30"/>
        <v>0</v>
      </c>
      <c r="N431" s="29">
        <f t="shared" si="31"/>
        <v>0</v>
      </c>
      <c r="O431" s="30" t="s">
        <v>38</v>
      </c>
      <c r="P431" s="22"/>
      <c r="Q431" s="31"/>
    </row>
    <row r="432" spans="1:17" ht="15" customHeight="1">
      <c r="A432" s="32" t="s">
        <v>995</v>
      </c>
      <c r="B432" s="33" t="s">
        <v>996</v>
      </c>
      <c r="C432" s="34" t="s">
        <v>944</v>
      </c>
      <c r="D432" s="35" t="str">
        <f>IFERROR(INDEX([1]M_User!$A$12:$J$67,MATCH(C432,[1]M_User!$D$12:$D$67,0),3),"UNMAPPED")</f>
        <v>Samson Felix Ngowi</v>
      </c>
      <c r="E432" s="36" t="str">
        <f>IFERROR(INDEX([1]M_User!$A$12:$J$67,MATCH(C432,[1]M_User!$D$12:$D$67,0),5),"UNMAPPED")</f>
        <v>MOS</v>
      </c>
      <c r="F432" s="34" t="s">
        <v>117</v>
      </c>
      <c r="G432" s="35" t="str">
        <f>IFERROR(INDEX([1]M_SKU!$A$18:$J$57,MATCH(F432,[1]M_SKU!$B$18:$B$57,0),1),"UNKNOWN SKU")</f>
        <v>Fanta Orange Pet 500ML ( x 12)</v>
      </c>
      <c r="H432" s="34" t="s">
        <v>231</v>
      </c>
      <c r="I432" s="37">
        <f>IFERROR(INDEX([1]T_Unload!$K$10:$K$433,MATCH(B432,[1]T_Unload!$B$10:$B$433,0)),0)</f>
        <v>4</v>
      </c>
      <c r="J432" s="26">
        <v>4</v>
      </c>
      <c r="K432" s="38">
        <f t="shared" si="28"/>
        <v>0</v>
      </c>
      <c r="L432" s="39" t="str">
        <f t="shared" si="29"/>
        <v>CLEAN</v>
      </c>
      <c r="M432" s="40">
        <f t="shared" si="30"/>
        <v>0</v>
      </c>
      <c r="N432" s="40">
        <f t="shared" si="31"/>
        <v>0</v>
      </c>
      <c r="O432" s="41" t="s">
        <v>38</v>
      </c>
      <c r="P432" s="42"/>
      <c r="Q432" s="43"/>
    </row>
    <row r="433" spans="1:17" ht="15" customHeight="1">
      <c r="A433" s="20" t="s">
        <v>997</v>
      </c>
      <c r="B433" s="21" t="s">
        <v>998</v>
      </c>
      <c r="C433" s="22" t="s">
        <v>944</v>
      </c>
      <c r="D433" s="23" t="str">
        <f>IFERROR(INDEX([1]M_User!$A$12:$J$67,MATCH(C433,[1]M_User!$D$12:$D$67,0),3),"UNMAPPED")</f>
        <v>Samson Felix Ngowi</v>
      </c>
      <c r="E433" s="24" t="str">
        <f>IFERROR(INDEX([1]M_User!$A$12:$J$67,MATCH(C433,[1]M_User!$D$12:$D$67,0),5),"UNMAPPED")</f>
        <v>MOS</v>
      </c>
      <c r="F433" s="22" t="s">
        <v>121</v>
      </c>
      <c r="G433" s="23" t="str">
        <f>IFERROR(INDEX([1]M_SKU!$A$18:$J$57,MATCH(F433,[1]M_SKU!$B$18:$B$57,0),1),"UNKNOWN SKU")</f>
        <v>Fanta Passion Pet 500ML ( x12)</v>
      </c>
      <c r="H433" s="22" t="s">
        <v>234</v>
      </c>
      <c r="I433" s="25">
        <f>IFERROR(INDEX([1]T_Unload!$K$10:$K$433,MATCH(B433,[1]T_Unload!$B$10:$B$433,0)),0)</f>
        <v>2</v>
      </c>
      <c r="J433" s="26">
        <v>2</v>
      </c>
      <c r="K433" s="27">
        <f t="shared" si="28"/>
        <v>0</v>
      </c>
      <c r="L433" s="28" t="str">
        <f t="shared" si="29"/>
        <v>CLEAN</v>
      </c>
      <c r="M433" s="29">
        <f t="shared" si="30"/>
        <v>0</v>
      </c>
      <c r="N433" s="29">
        <f t="shared" si="31"/>
        <v>0</v>
      </c>
      <c r="O433" s="30" t="s">
        <v>38</v>
      </c>
      <c r="P433" s="22"/>
      <c r="Q433" s="31"/>
    </row>
    <row r="434" spans="1:17" ht="15" customHeight="1">
      <c r="A434" s="32" t="s">
        <v>999</v>
      </c>
      <c r="B434" s="33" t="s">
        <v>1000</v>
      </c>
      <c r="C434" s="34" t="s">
        <v>944</v>
      </c>
      <c r="D434" s="35" t="str">
        <f>IFERROR(INDEX([1]M_User!$A$12:$J$67,MATCH(C434,[1]M_User!$D$12:$D$67,0),3),"UNMAPPED")</f>
        <v>Samson Felix Ngowi</v>
      </c>
      <c r="E434" s="36" t="str">
        <f>IFERROR(INDEX([1]M_User!$A$12:$J$67,MATCH(C434,[1]M_User!$D$12:$D$67,0),5),"UNMAPPED")</f>
        <v>MOS</v>
      </c>
      <c r="F434" s="34" t="s">
        <v>133</v>
      </c>
      <c r="G434" s="35" t="str">
        <f>IFERROR(INDEX([1]M_SKU!$A$18:$J$57,MATCH(F434,[1]M_SKU!$B$18:$B$57,0),1),"UNKNOWN SKU")</f>
        <v>Stoney Tangawizi Pet 500 ml ( x12)</v>
      </c>
      <c r="H434" s="34" t="s">
        <v>237</v>
      </c>
      <c r="I434" s="37">
        <f>IFERROR(INDEX([1]T_Unload!$K$10:$K$433,MATCH(B434,[1]T_Unload!$B$10:$B$433,0)),0)</f>
        <v>1</v>
      </c>
      <c r="J434" s="26">
        <v>1</v>
      </c>
      <c r="K434" s="38">
        <f t="shared" si="28"/>
        <v>0</v>
      </c>
      <c r="L434" s="39" t="str">
        <f t="shared" si="29"/>
        <v>CLEAN</v>
      </c>
      <c r="M434" s="40">
        <f t="shared" si="30"/>
        <v>0</v>
      </c>
      <c r="N434" s="40">
        <f t="shared" si="31"/>
        <v>0</v>
      </c>
      <c r="O434" s="41" t="s">
        <v>38</v>
      </c>
      <c r="P434" s="42"/>
      <c r="Q434" s="43"/>
    </row>
    <row r="435" spans="1:17" ht="15" customHeight="1">
      <c r="A435" s="20" t="s">
        <v>1001</v>
      </c>
      <c r="B435" s="21" t="s">
        <v>1002</v>
      </c>
      <c r="C435" s="22" t="s">
        <v>944</v>
      </c>
      <c r="D435" s="23" t="str">
        <f>IFERROR(INDEX([1]M_User!$A$12:$J$67,MATCH(C435,[1]M_User!$D$12:$D$67,0),3),"UNMAPPED")</f>
        <v>Samson Felix Ngowi</v>
      </c>
      <c r="E435" s="24" t="str">
        <f>IFERROR(INDEX([1]M_User!$A$12:$J$67,MATCH(C435,[1]M_User!$D$12:$D$67,0),5),"UNMAPPED")</f>
        <v>MOS</v>
      </c>
      <c r="F435" s="22" t="s">
        <v>137</v>
      </c>
      <c r="G435" s="23" t="str">
        <f>IFERROR(INDEX([1]M_SKU!$A$18:$J$57,MATCH(F435,[1]M_SKU!$B$18:$B$57,0),1),"UNKNOWN SKU")</f>
        <v>Sparletta Pinenut Pet 500 ml ( x12)</v>
      </c>
      <c r="H435" s="22" t="s">
        <v>240</v>
      </c>
      <c r="I435" s="25">
        <f>IFERROR(INDEX([1]T_Unload!$K$10:$K$433,MATCH(B435,[1]T_Unload!$B$10:$B$433,0)),0)</f>
        <v>1</v>
      </c>
      <c r="J435" s="26">
        <v>1</v>
      </c>
      <c r="K435" s="27">
        <f t="shared" si="28"/>
        <v>0</v>
      </c>
      <c r="L435" s="28" t="str">
        <f t="shared" si="29"/>
        <v>CLEAN</v>
      </c>
      <c r="M435" s="29">
        <f t="shared" si="30"/>
        <v>0</v>
      </c>
      <c r="N435" s="29">
        <f t="shared" si="31"/>
        <v>0</v>
      </c>
      <c r="O435" s="30" t="s">
        <v>38</v>
      </c>
      <c r="P435" s="22"/>
      <c r="Q435" s="31"/>
    </row>
    <row r="436" spans="1:17" ht="15" customHeight="1">
      <c r="A436" s="32" t="s">
        <v>1003</v>
      </c>
      <c r="B436" s="33" t="s">
        <v>1004</v>
      </c>
      <c r="C436" s="34" t="s">
        <v>944</v>
      </c>
      <c r="D436" s="35" t="str">
        <f>IFERROR(INDEX([1]M_User!$A$12:$J$67,MATCH(C436,[1]M_User!$D$12:$D$67,0),3),"UNMAPPED")</f>
        <v>Samson Felix Ngowi</v>
      </c>
      <c r="E436" s="36" t="str">
        <f>IFERROR(INDEX([1]M_User!$A$12:$J$67,MATCH(C436,[1]M_User!$D$12:$D$67,0),5),"UNMAPPED")</f>
        <v>MOS</v>
      </c>
      <c r="F436" s="34" t="s">
        <v>160</v>
      </c>
      <c r="G436" s="35" t="str">
        <f>IFERROR(INDEX([1]M_SKU!$A$18:$J$57,MATCH(F436,[1]M_SKU!$B$18:$B$57,0),1),"UNKNOWN SKU")</f>
        <v>Sparletta Pine Apple Pet 300ML (x 12)</v>
      </c>
      <c r="H436" s="34" t="s">
        <v>161</v>
      </c>
      <c r="I436" s="37">
        <f>IFERROR(INDEX([1]T_Unload!$K$10:$K$433,MATCH(B436,[1]T_Unload!$B$10:$B$433,0)),0)</f>
        <v>1</v>
      </c>
      <c r="J436" s="26">
        <v>1</v>
      </c>
      <c r="K436" s="38">
        <f t="shared" si="28"/>
        <v>0</v>
      </c>
      <c r="L436" s="39" t="str">
        <f t="shared" si="29"/>
        <v>CLEAN</v>
      </c>
      <c r="M436" s="40">
        <f t="shared" si="30"/>
        <v>0</v>
      </c>
      <c r="N436" s="40">
        <f t="shared" si="31"/>
        <v>0</v>
      </c>
      <c r="O436" s="41" t="s">
        <v>38</v>
      </c>
      <c r="P436" s="42"/>
      <c r="Q436" s="43"/>
    </row>
    <row r="439" spans="1:17" ht="15" customHeight="1">
      <c r="A439" s="49" t="s">
        <v>1005</v>
      </c>
    </row>
    <row r="440" spans="1:17" ht="15" customHeight="1">
      <c r="A440" s="50" t="s">
        <v>1006</v>
      </c>
      <c r="B440" s="5">
        <f>COUNTA(A13:A436)</f>
        <v>424</v>
      </c>
    </row>
    <row r="442" spans="1:17" ht="15" customHeight="1">
      <c r="A442" s="5" t="s">
        <v>1007</v>
      </c>
    </row>
    <row r="443" spans="1:17" ht="15" customHeight="1">
      <c r="A443" s="51" t="s">
        <v>1008</v>
      </c>
      <c r="B443" s="52">
        <f>COUNTIF(L13:L436,"CLEAN")</f>
        <v>192</v>
      </c>
    </row>
    <row r="444" spans="1:17" ht="15" customHeight="1">
      <c r="A444" s="51" t="s">
        <v>1009</v>
      </c>
      <c r="B444" s="53">
        <f>COUNTIF(L13:L436,"Post to Default Outlet")</f>
        <v>103</v>
      </c>
    </row>
    <row r="445" spans="1:17" ht="15" customHeight="1">
      <c r="A445" s="51" t="s">
        <v>1010</v>
      </c>
      <c r="B445" s="54">
        <f>COUNTIF(L13:L436,"Adjust Unload Upward")</f>
        <v>105</v>
      </c>
    </row>
    <row r="446" spans="1:17" ht="15" customHeight="1">
      <c r="A446" s="51" t="s">
        <v>1011</v>
      </c>
      <c r="B446" s="53">
        <f>COUNTIF(L13:L436,"Awaiting Force-Push")</f>
        <v>24</v>
      </c>
    </row>
    <row r="448" spans="1:17" ht="15" customHeight="1">
      <c r="A448" s="5" t="s">
        <v>1012</v>
      </c>
    </row>
    <row r="449" spans="1:2" ht="15" customHeight="1">
      <c r="A449" s="51" t="s">
        <v>1013</v>
      </c>
      <c r="B449" s="55">
        <f>SUM(I13:I436)</f>
        <v>1669.0595223360401</v>
      </c>
    </row>
    <row r="450" spans="1:2" ht="15" customHeight="1">
      <c r="A450" s="51" t="s">
        <v>1014</v>
      </c>
      <c r="B450" s="55">
        <f>SUM(J13:J436)</f>
        <v>1357.4151999999997</v>
      </c>
    </row>
    <row r="451" spans="1:2" ht="15" customHeight="1">
      <c r="A451" s="51" t="s">
        <v>1015</v>
      </c>
      <c r="B451" s="56">
        <f>SUM(M13:M436)</f>
        <v>28.240627308873528</v>
      </c>
    </row>
    <row r="452" spans="1:2" ht="15" customHeight="1">
      <c r="A452" s="51" t="s">
        <v>1016</v>
      </c>
      <c r="B452" s="57">
        <f>SUM(N13:N436)</f>
        <v>36.596089527841428</v>
      </c>
    </row>
    <row r="454" spans="1:2" ht="15" customHeight="1">
      <c r="A454" s="5" t="s">
        <v>1017</v>
      </c>
    </row>
    <row r="455" spans="1:2" ht="15" customHeight="1">
      <c r="A455" s="51" t="s">
        <v>1018</v>
      </c>
      <c r="B455" s="53">
        <f>COUNTIFS(C13:C436,"MOS100645",L13:L436,"Post to Default Outlet")</f>
        <v>23</v>
      </c>
    </row>
    <row r="456" spans="1:2" ht="15" customHeight="1">
      <c r="A456" s="51" t="s">
        <v>1019</v>
      </c>
      <c r="B456" s="54">
        <f>COUNTIFS(C13:C436,"MOS100802",L13:L436,"Adjust Unload Upward")</f>
        <v>23</v>
      </c>
    </row>
    <row r="457" spans="1:2" ht="15" customHeight="1">
      <c r="A457" s="51" t="s">
        <v>1020</v>
      </c>
      <c r="B457" s="53">
        <f>COUNTIFS(C13:C436,"MOS100801",L13:L436,"Awaiting Force-Push")</f>
        <v>24</v>
      </c>
    </row>
    <row r="458" spans="1:2" ht="15" customHeight="1">
      <c r="A458" s="51" t="s">
        <v>1021</v>
      </c>
      <c r="B458" s="52">
        <f>COUNTIF(L13:L436,"CLEAN")</f>
        <v>192</v>
      </c>
    </row>
    <row r="460" spans="1:2" ht="15" customHeight="1">
      <c r="A460" s="2" t="s">
        <v>1022</v>
      </c>
    </row>
  </sheetData>
  <conditionalFormatting sqref="D13:D436">
    <cfRule type="cellIs" dxfId="7" priority="8" operator="equal">
      <formula>"UNMAPPED"</formula>
    </cfRule>
  </conditionalFormatting>
  <conditionalFormatting sqref="L13:L436">
    <cfRule type="cellIs" dxfId="6" priority="1" operator="equal">
      <formula>"CLEAN"</formula>
    </cfRule>
    <cfRule type="cellIs" dxfId="5" priority="2" operator="equal">
      <formula>"Post to Default Outlet"</formula>
    </cfRule>
    <cfRule type="cellIs" dxfId="4" priority="3" operator="equal">
      <formula>"Adjust Unload Upward"</formula>
    </cfRule>
    <cfRule type="cellIs" dxfId="3" priority="4" operator="equal">
      <formula>"Awaiting Force-Push"</formula>
    </cfRule>
  </conditionalFormatting>
  <conditionalFormatting sqref="O13:O436">
    <cfRule type="cellIs" dxfId="2" priority="5" operator="equal">
      <formula>"Pending Verification"</formula>
    </cfRule>
    <cfRule type="cellIs" dxfId="1" priority="6" operator="equal">
      <formula>"Verified"</formula>
    </cfRule>
    <cfRule type="cellIs" dxfId="0" priority="7" operator="equal">
      <formula>"Blocked - Force-Push Required"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Ashok Kumar</dc:creator>
  <cp:keywords/>
  <dc:description/>
  <cp:lastModifiedBy>Guest User</cp:lastModifiedBy>
  <cp:revision/>
  <dcterms:created xsi:type="dcterms:W3CDTF">2026-06-22T10:20:06Z</dcterms:created>
  <dcterms:modified xsi:type="dcterms:W3CDTF">2026-06-22T10:33:01Z</dcterms:modified>
  <cp:category/>
  <cp:contentStatus/>
</cp:coreProperties>
</file>